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Other Sealed" sheetId="2" state="visible" r:id="rId2"/>
    <sheet name="Settings" sheetId="3" state="visible" r:id="rId3"/>
  </sheets>
  <definedNames>
    <definedName name="_xlnm._FilterDatabase" localSheetId="0" hidden="1">'Prices'!$A$1:$O$3649</definedName>
    <definedName name="_xlnm._FilterDatabase" localSheetId="1" hidden="1">'Other Sealed'!$A$1:$O$900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9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icecharting.com/game/one-piece-500-years-in-the-future/booster-box" TargetMode="External" Id="rId1" /><Relationship Type="http://schemas.openxmlformats.org/officeDocument/2006/relationships/hyperlink" Target="https://www.tcgplayer.com/product/532106" TargetMode="External" Id="rId2" /><Relationship Type="http://schemas.openxmlformats.org/officeDocument/2006/relationships/hyperlink" Target="https://www.pricecharting.com/game/one-piece-500-years-in-the-future/double-pack-dp-04-display-box" TargetMode="External" Id="rId3" /><Relationship Type="http://schemas.openxmlformats.org/officeDocument/2006/relationships/hyperlink" Target="https://www.tcgplayer.com/product/620180" TargetMode="External" Id="rId4" /><Relationship Type="http://schemas.openxmlformats.org/officeDocument/2006/relationships/hyperlink" Target="https://www.tcgplayer.com/product/682057" TargetMode="External" Id="rId5" /><Relationship Type="http://schemas.openxmlformats.org/officeDocument/2006/relationships/hyperlink" Target="https://www.pricecharting.com/game/one-piece-awakening-of-the-new-era/booster-box" TargetMode="External" Id="rId6" /><Relationship Type="http://schemas.openxmlformats.org/officeDocument/2006/relationships/hyperlink" Target="https://www.tcgplayer.com/product/498734" TargetMode="External" Id="rId7" /><Relationship Type="http://schemas.openxmlformats.org/officeDocument/2006/relationships/hyperlink" Target="https://www.pricecharting.com/game/one-piece-awakening-of-the-new-era/double-pack-dp-02-display-box" TargetMode="External" Id="rId8" /><Relationship Type="http://schemas.openxmlformats.org/officeDocument/2006/relationships/hyperlink" Target="https://www.pricecharting.com/game/one-piece-carrying-on-his-will/booster-box" TargetMode="External" Id="rId9" /><Relationship Type="http://schemas.openxmlformats.org/officeDocument/2006/relationships/hyperlink" Target="https://www.tcgplayer.com/product/628352" TargetMode="External" Id="rId10" /><Relationship Type="http://schemas.openxmlformats.org/officeDocument/2006/relationships/hyperlink" Target="https://www.pricecharting.com/game/one-piece-emperors-in-the-new-world/booster-box" TargetMode="External" Id="rId11" /><Relationship Type="http://schemas.openxmlformats.org/officeDocument/2006/relationships/hyperlink" Target="https://www.tcgplayer.com/product/563834" TargetMode="External" Id="rId12" /><Relationship Type="http://schemas.openxmlformats.org/officeDocument/2006/relationships/hyperlink" Target="https://www.pricecharting.com/game/one-piece-emperors-in-the-new-world/double-pack-dp-06-display-box" TargetMode="External" Id="rId13" /><Relationship Type="http://schemas.openxmlformats.org/officeDocument/2006/relationships/hyperlink" Target="https://www.pricecharting.com/game/one-piece-extra-booster-anime-25th-collection/booster-box" TargetMode="External" Id="rId14" /><Relationship Type="http://schemas.openxmlformats.org/officeDocument/2006/relationships/hyperlink" Target="https://www.pricecharting.com/game/one-piece-extra-booster-heroines-edition/booster-box" TargetMode="External" Id="rId15" /><Relationship Type="http://schemas.openxmlformats.org/officeDocument/2006/relationships/hyperlink" Target="https://www.pricecharting.com/game/one-piece-extra-booster-memorial-collection/sealed-booster-box" TargetMode="External" Id="rId16" /><Relationship Type="http://schemas.openxmlformats.org/officeDocument/2006/relationships/hyperlink" Target="https://www.tcgplayer.com/product/521161" TargetMode="External" Id="rId17" /><Relationship Type="http://schemas.openxmlformats.org/officeDocument/2006/relationships/hyperlink" Target="https://www.tcgplayer.com/product/711385" TargetMode="External" Id="rId18" /><Relationship Type="http://schemas.openxmlformats.org/officeDocument/2006/relationships/hyperlink" Target="https://www.pricecharting.com/game/one-piece-fist-of-divine-speed/booster-box" TargetMode="External" Id="rId19" /><Relationship Type="http://schemas.openxmlformats.org/officeDocument/2006/relationships/hyperlink" Target="https://www.pricecharting.com/game/one-piece-japanese-500-years-in-the-future/booster-box" TargetMode="External" Id="rId20" /><Relationship Type="http://schemas.openxmlformats.org/officeDocument/2006/relationships/hyperlink" Target="https://www.pricecharting.com/game/one-piece-japanese-awakening-of-the-new-era/booster-box" TargetMode="External" Id="rId21" /><Relationship Type="http://schemas.openxmlformats.org/officeDocument/2006/relationships/hyperlink" Target="https://www.pricecharting.com/game/one-piece-japanese-carrying-on-his-will/booster-box" TargetMode="External" Id="rId22" /><Relationship Type="http://schemas.openxmlformats.org/officeDocument/2006/relationships/hyperlink" Target="https://www.pricecharting.com/game/one-piece-japanese-emperors-in-the-new-world/booster-box" TargetMode="External" Id="rId23" /><Relationship Type="http://schemas.openxmlformats.org/officeDocument/2006/relationships/hyperlink" Target="https://www.pricecharting.com/game/one-piece-japanese-extra-booster-anime-25th-collection/booster-box" TargetMode="External" Id="rId24" /><Relationship Type="http://schemas.openxmlformats.org/officeDocument/2006/relationships/hyperlink" Target="https://www.pricecharting.com/game/one-piece-japanese-extra-booster-egghead-crisis/booster-box" TargetMode="External" Id="rId25" /><Relationship Type="http://schemas.openxmlformats.org/officeDocument/2006/relationships/hyperlink" Target="https://www.pricecharting.com/game/one-piece-japanese-extra-booster-heroines-edition/booster-box" TargetMode="External" Id="rId26" /><Relationship Type="http://schemas.openxmlformats.org/officeDocument/2006/relationships/hyperlink" Target="https://www.pricecharting.com/game/one-piece-japanese-extra-booster-memorial-collection/booster-box" TargetMode="External" Id="rId27" /><Relationship Type="http://schemas.openxmlformats.org/officeDocument/2006/relationships/hyperlink" Target="https://www.pricecharting.com/game/one-piece-japanese-fist-of-divine-speed/booster-box" TargetMode="External" Id="rId28" /><Relationship Type="http://schemas.openxmlformats.org/officeDocument/2006/relationships/hyperlink" Target="https://www.pricecharting.com/game/one-piece-japanese-kingdoms-of-intrigue/booster-box" TargetMode="External" Id="rId29" /><Relationship Type="http://schemas.openxmlformats.org/officeDocument/2006/relationships/hyperlink" Target="https://www.pricecharting.com/game/one-piece-japanese-legacy-of-the-master/booster-box" TargetMode="External" Id="rId30" /><Relationship Type="http://schemas.openxmlformats.org/officeDocument/2006/relationships/hyperlink" Target="https://www.pricecharting.com/game/one-piece-japanese-paramount-war/booster-box" TargetMode="External" Id="rId31" /><Relationship Type="http://schemas.openxmlformats.org/officeDocument/2006/relationships/hyperlink" Target="https://www.pricecharting.com/game/one-piece-japanese-pillars-of-strength/booster-box" TargetMode="External" Id="rId32" /><Relationship Type="http://schemas.openxmlformats.org/officeDocument/2006/relationships/hyperlink" Target="https://www.pricecharting.com/game/one-piece-japanese-premium-booster/booster-box-prb01" TargetMode="External" Id="rId33" /><Relationship Type="http://schemas.openxmlformats.org/officeDocument/2006/relationships/hyperlink" Target="https://www.pricecharting.com/game/one-piece-japanese-premium-booster-2/booster-box" TargetMode="External" Id="rId34" /><Relationship Type="http://schemas.openxmlformats.org/officeDocument/2006/relationships/hyperlink" Target="https://www.pricecharting.com/game/one-piece-japanese-romance-dawn/booster-box" TargetMode="External" Id="rId35" /><Relationship Type="http://schemas.openxmlformats.org/officeDocument/2006/relationships/hyperlink" Target="https://www.pricecharting.com/game/one-piece-japanese-royal-blood/booster-box" TargetMode="External" Id="rId36" /><Relationship Type="http://schemas.openxmlformats.org/officeDocument/2006/relationships/hyperlink" Target="https://www.pricecharting.com/game/one-piece-japanese-the-time-of-battle/booster-box" TargetMode="External" Id="rId37" /><Relationship Type="http://schemas.openxmlformats.org/officeDocument/2006/relationships/hyperlink" Target="https://www.pricecharting.com/game/one-piece-japanese-two-legends/booster-box" TargetMode="External" Id="rId38" /><Relationship Type="http://schemas.openxmlformats.org/officeDocument/2006/relationships/hyperlink" Target="https://www.pricecharting.com/game/one-piece-japanese-wings-of-the-captain/booster-box" TargetMode="External" Id="rId39" /><Relationship Type="http://schemas.openxmlformats.org/officeDocument/2006/relationships/hyperlink" Target="https://www.pricecharting.com/game/one-piece-kingdoms-of-intrigue/booster-box" TargetMode="External" Id="rId40" /><Relationship Type="http://schemas.openxmlformats.org/officeDocument/2006/relationships/hyperlink" Target="https://www.tcgplayer.com/product/485833" TargetMode="External" Id="rId41" /><Relationship Type="http://schemas.openxmlformats.org/officeDocument/2006/relationships/hyperlink" Target="https://www.pricecharting.com/game/one-piece-kingdoms-of-intrigue/double-pack-dp-01-display-box" TargetMode="External" Id="rId42" /><Relationship Type="http://schemas.openxmlformats.org/officeDocument/2006/relationships/hyperlink" Target="https://www.pricecharting.com/game/one-piece-legacy-of-the-master/booster-box" TargetMode="External" Id="rId43" /><Relationship Type="http://schemas.openxmlformats.org/officeDocument/2006/relationships/hyperlink" Target="https://www.tcgplayer.com/product/628346" TargetMode="External" Id="rId44" /><Relationship Type="http://schemas.openxmlformats.org/officeDocument/2006/relationships/hyperlink" Target="https://www.pricecharting.com/game/one-piece-legacy-of-the-master/double-pack-dp-08-display-box" TargetMode="External" Id="rId45" /><Relationship Type="http://schemas.openxmlformats.org/officeDocument/2006/relationships/hyperlink" Target="https://www.pricecharting.com/game/one-piece-paramount-war/booster-box" TargetMode="External" Id="rId46" /><Relationship Type="http://schemas.openxmlformats.org/officeDocument/2006/relationships/hyperlink" Target="https://www.tcgplayer.com/product/455866" TargetMode="External" Id="rId47" /><Relationship Type="http://schemas.openxmlformats.org/officeDocument/2006/relationships/hyperlink" Target="https://www.pricecharting.com/game/one-piece-pillars-of-strength/booster-box" TargetMode="External" Id="rId48" /><Relationship Type="http://schemas.openxmlformats.org/officeDocument/2006/relationships/hyperlink" Target="https://www.tcgplayer.com/product/477176" TargetMode="External" Id="rId49" /><Relationship Type="http://schemas.openxmlformats.org/officeDocument/2006/relationships/hyperlink" Target="https://www.tcgplayer.com/product/545399" TargetMode="External" Id="rId50" /><Relationship Type="http://schemas.openxmlformats.org/officeDocument/2006/relationships/hyperlink" Target="https://www.tcgplayer.com/product/628452" TargetMode="External" Id="rId51" /><Relationship Type="http://schemas.openxmlformats.org/officeDocument/2006/relationships/hyperlink" Target="https://www.pricecharting.com/game/one-piece-premium-booster-2/booster-box" TargetMode="External" Id="rId52" /><Relationship Type="http://schemas.openxmlformats.org/officeDocument/2006/relationships/hyperlink" Target="https://www.tcgplayer.com/product/450086" TargetMode="External" Id="rId53" /><Relationship Type="http://schemas.openxmlformats.org/officeDocument/2006/relationships/hyperlink" Target="https://www.tcgplayer.com/product/557280" TargetMode="External" Id="rId54" /><Relationship Type="http://schemas.openxmlformats.org/officeDocument/2006/relationships/hyperlink" Target="https://www.pricecharting.com/game/one-piece-romance-dawn/booster-box" TargetMode="External" Id="rId55" /><Relationship Type="http://schemas.openxmlformats.org/officeDocument/2006/relationships/hyperlink" Target="https://www.pricecharting.com/game/one-piece-romance-dawn/booster-box-blue-bottom" TargetMode="External" Id="rId56" /><Relationship Type="http://schemas.openxmlformats.org/officeDocument/2006/relationships/hyperlink" Target="https://www.pricecharting.com/game/one-piece-royal-blood/booster-box" TargetMode="External" Id="rId57" /><Relationship Type="http://schemas.openxmlformats.org/officeDocument/2006/relationships/hyperlink" Target="https://www.tcgplayer.com/product/586671" TargetMode="External" Id="rId58" /><Relationship Type="http://schemas.openxmlformats.org/officeDocument/2006/relationships/hyperlink" Target="https://www.tcgplayer.com/product/665598" TargetMode="External" Id="rId59" /><Relationship Type="http://schemas.openxmlformats.org/officeDocument/2006/relationships/hyperlink" Target="https://www.tcgplayer.com/product/712901" TargetMode="External" Id="rId60" /><Relationship Type="http://schemas.openxmlformats.org/officeDocument/2006/relationships/hyperlink" Target="https://www.pricecharting.com/game/one-piece-the-quest-begins/booster-box" TargetMode="External" Id="rId61" /><Relationship Type="http://schemas.openxmlformats.org/officeDocument/2006/relationships/hyperlink" Target="https://www.pricecharting.com/game/one-piece-the-time-of-battle/booster-box" TargetMode="External" Id="rId62" /><Relationship Type="http://schemas.openxmlformats.org/officeDocument/2006/relationships/hyperlink" Target="https://www.tcgplayer.com/product/689336" TargetMode="External" Id="rId63" /><Relationship Type="http://schemas.openxmlformats.org/officeDocument/2006/relationships/hyperlink" Target="https://www.tcgplayer.com/product/704752" TargetMode="External" Id="rId64" /><Relationship Type="http://schemas.openxmlformats.org/officeDocument/2006/relationships/hyperlink" Target="https://www.pricecharting.com/game/one-piece-two-legends/booster-box" TargetMode="External" Id="rId65" /><Relationship Type="http://schemas.openxmlformats.org/officeDocument/2006/relationships/hyperlink" Target="https://www.tcgplayer.com/product/542504" TargetMode="External" Id="rId66" /><Relationship Type="http://schemas.openxmlformats.org/officeDocument/2006/relationships/hyperlink" Target="https://www.pricecharting.com/game/one-piece-two-legends/double-pack-dp-05-display-box" TargetMode="External" Id="rId67" /><Relationship Type="http://schemas.openxmlformats.org/officeDocument/2006/relationships/hyperlink" Target="https://www.pricecharting.com/game/one-piece-wings-of-the-captain/booster-box" TargetMode="External" Id="rId68" /><Relationship Type="http://schemas.openxmlformats.org/officeDocument/2006/relationships/hyperlink" Target="https://www.tcgplayer.com/product/515080" TargetMode="External" Id="rId69" /><Relationship Type="http://schemas.openxmlformats.org/officeDocument/2006/relationships/hyperlink" Target="https://www.pricecharting.com/game/one-piece-wings-of-the-captain/double-pack-dp-03-display-box" TargetMode="External" Id="rId70" /><Relationship Type="http://schemas.openxmlformats.org/officeDocument/2006/relationships/hyperlink" Target="https://www.tcgplayer.com/product/549493" TargetMode="External" Id="rId71" /><Relationship Type="http://schemas.openxmlformats.org/officeDocument/2006/relationships/hyperlink" Target="https://www.tcgplayer.com/product/606561" TargetMode="External" Id="rId72" /><Relationship Type="http://schemas.openxmlformats.org/officeDocument/2006/relationships/hyperlink" Target="https://www.tcgplayer.com/product/682789" TargetMode="External" Id="rId73" /><Relationship Type="http://schemas.openxmlformats.org/officeDocument/2006/relationships/hyperlink" Target="https://www.tcgplayer.com/product/527060" TargetMode="External" Id="rId74" /><Relationship Type="http://schemas.openxmlformats.org/officeDocument/2006/relationships/hyperlink" Target="https://www.pricecharting.com/game/one-piece-carrying-on-his-will/one-piece-tin-pack-set-vol-2-monkeydluffy" TargetMode="External" Id="rId75" /><Relationship Type="http://schemas.openxmlformats.org/officeDocument/2006/relationships/hyperlink" Target="https://www.tcgplayer.com/product/563842" TargetMode="External" Id="rId76" /><Relationship Type="http://schemas.openxmlformats.org/officeDocument/2006/relationships/hyperlink" Target="https://www.pricecharting.com/game/one-piece-extra-booster-heroines-edition/heroines-special-set" TargetMode="External" Id="rId77" /><Relationship Type="http://schemas.openxmlformats.org/officeDocument/2006/relationships/hyperlink" Target="https://www.tcgplayer.com/product/594069" TargetMode="External" Id="rId78" /><Relationship Type="http://schemas.openxmlformats.org/officeDocument/2006/relationships/hyperlink" Target="https://www.tcgplayer.com/product/594068" TargetMode="External" Id="rId79" /><Relationship Type="http://schemas.openxmlformats.org/officeDocument/2006/relationships/hyperlink" Target="https://www.tcgplayer.com/product/521160" TargetMode="External" Id="rId80" /><Relationship Type="http://schemas.openxmlformats.org/officeDocument/2006/relationships/hyperlink" Target="https://www.tcgplayer.com/product/666891" TargetMode="External" Id="rId81" /><Relationship Type="http://schemas.openxmlformats.org/officeDocument/2006/relationships/hyperlink" Target="https://www.pricecharting.com/game/one-piece-japanese-carrying-on-his-will/mini-tin" TargetMode="External" Id="rId82" /><Relationship Type="http://schemas.openxmlformats.org/officeDocument/2006/relationships/hyperlink" Target="https://www.pricecharting.com/game/one-piece-japanese-carrying-on-his-will/treasure-chest-vol-1" TargetMode="External" Id="rId83" /><Relationship Type="http://schemas.openxmlformats.org/officeDocument/2006/relationships/hyperlink" Target="https://www.pricecharting.com/game/one-piece-japanese-extra-booster-heroines-edition/heroines-special-set" TargetMode="External" Id="rId84" /><Relationship Type="http://schemas.openxmlformats.org/officeDocument/2006/relationships/hyperlink" Target="https://www.pricecharting.com/game/one-piece-japanese-extra-booster-heroines-edition/sealed-admirable-collection-vol1-vinsmoke-reiju" TargetMode="External" Id="rId85" /><Relationship Type="http://schemas.openxmlformats.org/officeDocument/2006/relationships/hyperlink" Target="https://www.pricecharting.com/game/one-piece-japanese-paramount-war/box-promotion-pack" TargetMode="External" Id="rId86" /><Relationship Type="http://schemas.openxmlformats.org/officeDocument/2006/relationships/hyperlink" Target="https://www.pricecharting.com/game/one-piece-japanese-promo/1st-anniversary-set" TargetMode="External" Id="rId87" /><Relationship Type="http://schemas.openxmlformats.org/officeDocument/2006/relationships/hyperlink" Target="https://www.pricecharting.com/game/one-piece-japanese-promo/2nd-anniversary-set" TargetMode="External" Id="rId88" /><Relationship Type="http://schemas.openxmlformats.org/officeDocument/2006/relationships/hyperlink" Target="https://www.pricecharting.com/game/one-piece-japanese-promo/base-shop-limited-card-collection-vol1" TargetMode="External" Id="rId89" /><Relationship Type="http://schemas.openxmlformats.org/officeDocument/2006/relationships/hyperlink" Target="https://www.pricecharting.com/game/one-piece-japanese-promo/premium-card-collection-25th-anniversary" TargetMode="External" Id="rId90" /><Relationship Type="http://schemas.openxmlformats.org/officeDocument/2006/relationships/hyperlink" Target="https://www.pricecharting.com/game/one-piece-japanese-promo/premium-card-collection-6-assort-vol1" TargetMode="External" Id="rId91" /><Relationship Type="http://schemas.openxmlformats.org/officeDocument/2006/relationships/hyperlink" Target="https://www.pricecharting.com/game/one-piece-japanese-promo/premium-card-collection-bandai-card-games-fest-23-24" TargetMode="External" Id="rId92" /><Relationship Type="http://schemas.openxmlformats.org/officeDocument/2006/relationships/hyperlink" Target="https://www.pricecharting.com/game/one-piece-japanese-promo/premium-card-collection-best-selection-vol2" TargetMode="External" Id="rId93" /><Relationship Type="http://schemas.openxmlformats.org/officeDocument/2006/relationships/hyperlink" Target="https://www.pricecharting.com/game/one-piece-japanese-promo/premium-card-collection-best-selection-vol3" TargetMode="External" Id="rId94" /><Relationship Type="http://schemas.openxmlformats.org/officeDocument/2006/relationships/hyperlink" Target="https://www.pricecharting.com/game/one-piece-japanese-promo/premium-card-collection-best-selection-vol4" TargetMode="External" Id="rId95" /><Relationship Type="http://schemas.openxmlformats.org/officeDocument/2006/relationships/hyperlink" Target="https://www.pricecharting.com/game/one-piece-japanese-promo/premium-card-collection-best-selection-vol5" TargetMode="External" Id="rId96" /><Relationship Type="http://schemas.openxmlformats.org/officeDocument/2006/relationships/hyperlink" Target="https://www.pricecharting.com/game/one-piece-japanese-promo/premium-card-collection-film-red" TargetMode="External" Id="rId97" /><Relationship Type="http://schemas.openxmlformats.org/officeDocument/2006/relationships/hyperlink" Target="https://www.pricecharting.com/game/one-piece-japanese-promo/premium-card-collection-girls-edition" TargetMode="External" Id="rId98" /><Relationship Type="http://schemas.openxmlformats.org/officeDocument/2006/relationships/hyperlink" Target="https://www.pricecharting.com/game/one-piece-japanese-promo/premium-card-collection-kumamoto-special" TargetMode="External" Id="rId99" /><Relationship Type="http://schemas.openxmlformats.org/officeDocument/2006/relationships/hyperlink" Target="https://www.pricecharting.com/game/one-piece-japanese-promo/premium-card-collection-leader-collection" TargetMode="External" Id="rId100" /><Relationship Type="http://schemas.openxmlformats.org/officeDocument/2006/relationships/hyperlink" Target="https://www.pricecharting.com/game/one-piece-japanese-promo/premium-card-collection-live-action-edition" TargetMode="External" Id="rId101" /><Relationship Type="http://schemas.openxmlformats.org/officeDocument/2006/relationships/hyperlink" Target="https://www.pricecharting.com/game/one-piece-japanese-promo/premium-card-collection-one-piece-day-'24" TargetMode="External" Id="rId102" /><Relationship Type="http://schemas.openxmlformats.org/officeDocument/2006/relationships/hyperlink" Target="https://www.pricecharting.com/game/one-piece-japanese-promo/premium-card-collection-one-piece-day-'25" TargetMode="External" Id="rId103" /><Relationship Type="http://schemas.openxmlformats.org/officeDocument/2006/relationships/hyperlink" Target="https://www.pricecharting.com/game/one-piece-japanese-promo/sealed-3rd-anniversary-set" TargetMode="External" Id="rId104" /><Relationship Type="http://schemas.openxmlformats.org/officeDocument/2006/relationships/hyperlink" Target="https://www.pricecharting.com/game/one-piece-japanese-promo/sealed-premium-card-collection-best-selection-vol-1" TargetMode="External" Id="rId105" /><Relationship Type="http://schemas.openxmlformats.org/officeDocument/2006/relationships/hyperlink" Target="https://www.pricecharting.com/game/one-piece-japanese-promo/sealed-premium-card-collection-uta" TargetMode="External" Id="rId106" /><Relationship Type="http://schemas.openxmlformats.org/officeDocument/2006/relationships/hyperlink" Target="https://www.tcgplayer.com/product/493752" TargetMode="External" Id="rId107" /><Relationship Type="http://schemas.openxmlformats.org/officeDocument/2006/relationships/hyperlink" Target="https://www.tcgplayer.com/product/628348" TargetMode="External" Id="rId108" /><Relationship Type="http://schemas.openxmlformats.org/officeDocument/2006/relationships/hyperlink" Target="https://www.tcgplayer.com/product/516299" TargetMode="External" Id="rId109" /><Relationship Type="http://schemas.openxmlformats.org/officeDocument/2006/relationships/hyperlink" Target="https://www.tcgplayer.com/product/593446" TargetMode="External" Id="rId110" /><Relationship Type="http://schemas.openxmlformats.org/officeDocument/2006/relationships/hyperlink" Target="https://www.tcgplayer.com/product/649748" TargetMode="External" Id="rId111" /><Relationship Type="http://schemas.openxmlformats.org/officeDocument/2006/relationships/hyperlink" Target="https://www.tcgplayer.com/product/536588" TargetMode="External" Id="rId112" /><Relationship Type="http://schemas.openxmlformats.org/officeDocument/2006/relationships/hyperlink" Target="https://www.tcgplayer.com/product/536154" TargetMode="External" Id="rId113" /><Relationship Type="http://schemas.openxmlformats.org/officeDocument/2006/relationships/hyperlink" Target="https://www.tcgplayer.com/product/635482" TargetMode="External" Id="rId114" /><Relationship Type="http://schemas.openxmlformats.org/officeDocument/2006/relationships/hyperlink" Target="https://www.tcgplayer.com/product/710691" TargetMode="External" Id="rId115" /><Relationship Type="http://schemas.openxmlformats.org/officeDocument/2006/relationships/hyperlink" Target="https://www.tcgplayer.com/product/717554" TargetMode="External" Id="rId116" /><Relationship Type="http://schemas.openxmlformats.org/officeDocument/2006/relationships/hyperlink" Target="https://www.tcgplayer.com/product/617585" TargetMode="External" Id="rId117" /><Relationship Type="http://schemas.openxmlformats.org/officeDocument/2006/relationships/hyperlink" Target="https://www.tcgplayer.com/product/680488" TargetMode="External" Id="rId118" /><Relationship Type="http://schemas.openxmlformats.org/officeDocument/2006/relationships/hyperlink" Target="https://www.tcgplayer.com/product/484943" TargetMode="External" Id="rId119" /><Relationship Type="http://schemas.openxmlformats.org/officeDocument/2006/relationships/hyperlink" Target="https://www.tcgplayer.com/product/547692" TargetMode="External" Id="rId120" /><Relationship Type="http://schemas.openxmlformats.org/officeDocument/2006/relationships/hyperlink" Target="https://www.tcgplayer.com/product/610118" TargetMode="External" Id="rId121" /><Relationship Type="http://schemas.openxmlformats.org/officeDocument/2006/relationships/hyperlink" Target="https://www.tcgplayer.com/product/610116" TargetMode="External" Id="rId122" /><Relationship Type="http://schemas.openxmlformats.org/officeDocument/2006/relationships/hyperlink" Target="https://www.tcgplayer.com/product/610117" TargetMode="External" Id="rId123" /><Relationship Type="http://schemas.openxmlformats.org/officeDocument/2006/relationships/hyperlink" Target="https://www.tcgplayer.com/product/646591" TargetMode="External" Id="rId124" /><Relationship Type="http://schemas.openxmlformats.org/officeDocument/2006/relationships/hyperlink" Target="https://www.tcgplayer.com/product/646592" TargetMode="External" Id="rId125" /><Relationship Type="http://schemas.openxmlformats.org/officeDocument/2006/relationships/hyperlink" Target="https://www.tcgplayer.com/product/669241" TargetMode="External" Id="rId126" /><Relationship Type="http://schemas.openxmlformats.org/officeDocument/2006/relationships/hyperlink" Target="https://www.tcgplayer.com/product/669242" TargetMode="External" Id="rId127" /><Relationship Type="http://schemas.openxmlformats.org/officeDocument/2006/relationships/hyperlink" Target="https://www.tcgplayer.com/product/694721" TargetMode="External" Id="rId128" /><Relationship Type="http://schemas.openxmlformats.org/officeDocument/2006/relationships/hyperlink" Target="https://www.tcgplayer.com/product/694722" TargetMode="External" Id="rId129" /><Relationship Type="http://schemas.openxmlformats.org/officeDocument/2006/relationships/hyperlink" Target="https://www.tcgplayer.com/product/620278" TargetMode="External" Id="rId130" /><Relationship Type="http://schemas.openxmlformats.org/officeDocument/2006/relationships/hyperlink" Target="https://www.tcgplayer.com/product/620279" TargetMode="External" Id="rId131" /><Relationship Type="http://schemas.openxmlformats.org/officeDocument/2006/relationships/hyperlink" Target="https://www.tcgplayer.com/product/629815" TargetMode="External" Id="rId132" /><Relationship Type="http://schemas.openxmlformats.org/officeDocument/2006/relationships/hyperlink" Target="https://www.tcgplayer.com/product/669273" TargetMode="External" Id="rId133" /><Relationship Type="http://schemas.openxmlformats.org/officeDocument/2006/relationships/hyperlink" Target="https://www.tcgplayer.com/product/669277" TargetMode="External" Id="rId134" /><Relationship Type="http://schemas.openxmlformats.org/officeDocument/2006/relationships/hyperlink" Target="https://www.tcgplayer.com/product/669278" TargetMode="External" Id="rId135" /><Relationship Type="http://schemas.openxmlformats.org/officeDocument/2006/relationships/hyperlink" Target="https://www.tcgplayer.com/product/669298" TargetMode="External" Id="rId136" /><Relationship Type="http://schemas.openxmlformats.org/officeDocument/2006/relationships/hyperlink" Target="https://www.tcgplayer.com/product/649694" TargetMode="External" Id="rId137" /><Relationship Type="http://schemas.openxmlformats.org/officeDocument/2006/relationships/hyperlink" Target="https://www.tcgplayer.com/product/536278" TargetMode="External" Id="rId138" /><Relationship Type="http://schemas.openxmlformats.org/officeDocument/2006/relationships/hyperlink" Target="https://www.tcgplayer.com/product/525294" TargetMode="External" Id="rId139" /><Relationship Type="http://schemas.openxmlformats.org/officeDocument/2006/relationships/hyperlink" Target="https://www.tcgplayer.com/product/587220" TargetMode="External" Id="rId140" /><Relationship Type="http://schemas.openxmlformats.org/officeDocument/2006/relationships/hyperlink" Target="https://www.tcgplayer.com/product/606589" TargetMode="External" Id="rId141" /><Relationship Type="http://schemas.openxmlformats.org/officeDocument/2006/relationships/hyperlink" Target="https://www.tcgplayer.com/product/649681" TargetMode="External" Id="rId142" /><Relationship Type="http://schemas.openxmlformats.org/officeDocument/2006/relationships/hyperlink" Target="https://www.tcgplayer.com/product/657215" TargetMode="External" Id="rId143" /><Relationship Type="http://schemas.openxmlformats.org/officeDocument/2006/relationships/hyperlink" Target="https://www.tcgplayer.com/product/694874" TargetMode="External" Id="rId144" /><Relationship Type="http://schemas.openxmlformats.org/officeDocument/2006/relationships/hyperlink" Target="https://www.tcgplayer.com/product/717026" TargetMode="External" Id="rId145" /><Relationship Type="http://schemas.openxmlformats.org/officeDocument/2006/relationships/hyperlink" Target="https://www.tcgplayer.com/product/566951" TargetMode="External" Id="rId146" /><Relationship Type="http://schemas.openxmlformats.org/officeDocument/2006/relationships/hyperlink" Target="https://www.tcgplayer.com/product/527128" TargetMode="External" Id="rId147" /><Relationship Type="http://schemas.openxmlformats.org/officeDocument/2006/relationships/hyperlink" Target="https://www.tcgplayer.com/product/504466" TargetMode="External" Id="rId148" /><Relationship Type="http://schemas.openxmlformats.org/officeDocument/2006/relationships/hyperlink" Target="https://www.tcgplayer.com/product/538837" TargetMode="External" Id="rId149" /><Relationship Type="http://schemas.openxmlformats.org/officeDocument/2006/relationships/hyperlink" Target="https://www.tcgplayer.com/product/485271" TargetMode="External" Id="rId150" /><Relationship Type="http://schemas.openxmlformats.org/officeDocument/2006/relationships/hyperlink" Target="https://www.tcgplayer.com/product/518704" TargetMode="External" Id="rId151" /><Relationship Type="http://schemas.openxmlformats.org/officeDocument/2006/relationships/hyperlink" Target="https://www.tcgplayer.com/product/620141" TargetMode="External" Id="rId152" /><Relationship Type="http://schemas.openxmlformats.org/officeDocument/2006/relationships/hyperlink" Target="https://www.tcgplayer.com/product/620144" TargetMode="External" Id="rId153" /><Relationship Type="http://schemas.openxmlformats.org/officeDocument/2006/relationships/hyperlink" Target="https://www.tcgplayer.com/product/620142" TargetMode="External" Id="rId154" /><Relationship Type="http://schemas.openxmlformats.org/officeDocument/2006/relationships/hyperlink" Target="https://www.tcgplayer.com/product/620143" TargetMode="External" Id="rId155" /><Relationship Type="http://schemas.openxmlformats.org/officeDocument/2006/relationships/hyperlink" Target="https://www.tcgplayer.com/product/565285" TargetMode="External" Id="rId156" /><Relationship Type="http://schemas.openxmlformats.org/officeDocument/2006/relationships/hyperlink" Target="https://www.pricecharting.com/game/one-piece-paramount-war/box-promotion-pack" TargetMode="External" Id="rId157" /><Relationship Type="http://schemas.openxmlformats.org/officeDocument/2006/relationships/hyperlink" Target="https://www.tcgplayer.com/product/488298" TargetMode="External" Id="rId158" /><Relationship Type="http://schemas.openxmlformats.org/officeDocument/2006/relationships/hyperlink" Target="https://www.pricecharting.com/game/one-piece-passage-to-the-grand-line/wapol-the-tin-tyrant-ch059" TargetMode="External" Id="rId159" /><Relationship Type="http://schemas.openxmlformats.org/officeDocument/2006/relationships/hyperlink" Target="https://www.pricecharting.com/game/one-piece-promo/2nd-anniversary-set" TargetMode="External" Id="rId160" /><Relationship Type="http://schemas.openxmlformats.org/officeDocument/2006/relationships/hyperlink" Target="https://www.pricecharting.com/game/one-piece-promo/devil-fruits-collection-vol-1" TargetMode="External" Id="rId161" /><Relationship Type="http://schemas.openxmlformats.org/officeDocument/2006/relationships/hyperlink" Target="https://www.pricecharting.com/game/one-piece-promo/devil-fruits-collection-vol-2" TargetMode="External" Id="rId162" /><Relationship Type="http://schemas.openxmlformats.org/officeDocument/2006/relationships/hyperlink" Target="https://www.pricecharting.com/game/one-piece-promo/devil-fruits-collection-vol-3" TargetMode="External" Id="rId163" /><Relationship Type="http://schemas.openxmlformats.org/officeDocument/2006/relationships/hyperlink" Target="https://www.pricecharting.com/game/one-piece-promo/illustration-box-volume-01" TargetMode="External" Id="rId164" /><Relationship Type="http://schemas.openxmlformats.org/officeDocument/2006/relationships/hyperlink" Target="https://www.pricecharting.com/game/one-piece-promo/illustration-box-volume-02" TargetMode="External" Id="rId165" /><Relationship Type="http://schemas.openxmlformats.org/officeDocument/2006/relationships/hyperlink" Target="https://www.pricecharting.com/game/one-piece-promo/premium-card-collection-25th-edition" TargetMode="External" Id="rId166" /><Relationship Type="http://schemas.openxmlformats.org/officeDocument/2006/relationships/hyperlink" Target="https://www.pricecharting.com/game/one-piece-promo/premium-card-collection-6-assort-vol1" TargetMode="External" Id="rId167" /><Relationship Type="http://schemas.openxmlformats.org/officeDocument/2006/relationships/hyperlink" Target="https://www.pricecharting.com/game/one-piece-promo/premium-card-collection-best-selection" TargetMode="External" Id="rId168" /><Relationship Type="http://schemas.openxmlformats.org/officeDocument/2006/relationships/hyperlink" Target="https://www.pricecharting.com/game/one-piece-promo/premium-card-collection-live-action-edition" TargetMode="External" Id="rId169" /><Relationship Type="http://schemas.openxmlformats.org/officeDocument/2006/relationships/hyperlink" Target="https://www.pricecharting.com/game/one-piece-promo/sealed-1st-anniversary-set" TargetMode="External" Id="rId170" /><Relationship Type="http://schemas.openxmlformats.org/officeDocument/2006/relationships/hyperlink" Target="https://www.pricecharting.com/game/one-piece-promo/sealed-3rd-anniversary-set" TargetMode="External" Id="rId171" /><Relationship Type="http://schemas.openxmlformats.org/officeDocument/2006/relationships/hyperlink" Target="https://www.pricecharting.com/game/one-piece-promo/sealed-battle-kit" TargetMode="External" Id="rId172" /><Relationship Type="http://schemas.openxmlformats.org/officeDocument/2006/relationships/hyperlink" Target="https://www.pricecharting.com/game/one-piece-promo/sealed-gift-collection-box-2023" TargetMode="External" Id="rId173" /><Relationship Type="http://schemas.openxmlformats.org/officeDocument/2006/relationships/hyperlink" Target="https://www.pricecharting.com/game/one-piece-promo/sealed-illustration-box-vol-7" TargetMode="External" Id="rId174" /><Relationship Type="http://schemas.openxmlformats.org/officeDocument/2006/relationships/hyperlink" Target="https://www.pricecharting.com/game/one-piece-promo/sealed-illustration-box-vol-8" TargetMode="External" Id="rId175" /><Relationship Type="http://schemas.openxmlformats.org/officeDocument/2006/relationships/hyperlink" Target="https://www.pricecharting.com/game/one-piece-promo/sealed-illustration-box-vol-3" TargetMode="External" Id="rId176" /><Relationship Type="http://schemas.openxmlformats.org/officeDocument/2006/relationships/hyperlink" Target="https://www.pricecharting.com/game/one-piece-promo/sealed-illustration-box-vol-4" TargetMode="External" Id="rId177" /><Relationship Type="http://schemas.openxmlformats.org/officeDocument/2006/relationships/hyperlink" Target="https://www.pricecharting.com/game/one-piece-promo/sealed-illustration-box-vol-5" TargetMode="External" Id="rId178" /><Relationship Type="http://schemas.openxmlformats.org/officeDocument/2006/relationships/hyperlink" Target="https://www.pricecharting.com/game/one-piece-promo/sealed-illustration-box-vol-6" TargetMode="External" Id="rId179" /><Relationship Type="http://schemas.openxmlformats.org/officeDocument/2006/relationships/hyperlink" Target="https://www.pricecharting.com/game/one-piece-promo/sealed-premium-card-collection-best-selection-vol-6" TargetMode="External" Id="rId180" /><Relationship Type="http://schemas.openxmlformats.org/officeDocument/2006/relationships/hyperlink" Target="https://www.pricecharting.com/game/one-piece-promo/sealed-premium-card-collection-bandai-card-games-fest-23-24-edition" TargetMode="External" Id="rId181" /><Relationship Type="http://schemas.openxmlformats.org/officeDocument/2006/relationships/hyperlink" Target="https://www.pricecharting.com/game/one-piece-promo/sealed-premium-card-collection-best-selection-vol-2" TargetMode="External" Id="rId182" /><Relationship Type="http://schemas.openxmlformats.org/officeDocument/2006/relationships/hyperlink" Target="https://www.pricecharting.com/game/one-piece-promo/sealed-premium-card-collection-best-selection-vol-3" TargetMode="External" Id="rId183" /><Relationship Type="http://schemas.openxmlformats.org/officeDocument/2006/relationships/hyperlink" Target="https://www.pricecharting.com/game/one-piece-promo/sealed-premium-card-collection-best-selection-vol-4" TargetMode="External" Id="rId184" /><Relationship Type="http://schemas.openxmlformats.org/officeDocument/2006/relationships/hyperlink" Target="https://www.pricecharting.com/game/one-piece-promo/sealed-premium-card-collection-best-selection-vol-5" TargetMode="External" Id="rId185" /><Relationship Type="http://schemas.openxmlformats.org/officeDocument/2006/relationships/hyperlink" Target="https://www.pricecharting.com/game/one-piece-promo/sealed-premium-card-collection-leader-collection" TargetMode="External" Id="rId186" /><Relationship Type="http://schemas.openxmlformats.org/officeDocument/2006/relationships/hyperlink" Target="https://www.pricecharting.com/game/one-piece-promo/sealed-premium-card-collection-live-action-edition" TargetMode="External" Id="rId187" /><Relationship Type="http://schemas.openxmlformats.org/officeDocument/2006/relationships/hyperlink" Target="https://www.pricecharting.com/game/one-piece-promo/sealed-premium-card-collection-red-edition" TargetMode="External" Id="rId188" /><Relationship Type="http://schemas.openxmlformats.org/officeDocument/2006/relationships/hyperlink" Target="https://www.pricecharting.com/game/one-piece-promo/sealed-premium-card-collection-uta" TargetMode="External" Id="rId189" /><Relationship Type="http://schemas.openxmlformats.org/officeDocument/2006/relationships/hyperlink" Target="https://www.pricecharting.com/game/one-piece-promo/sealed-tin-vol-2-portgasdace" TargetMode="External" Id="rId190" /><Relationship Type="http://schemas.openxmlformats.org/officeDocument/2006/relationships/hyperlink" Target="https://www.pricecharting.com/game/one-piece-promo/tin-pack-set-vol-2-sabo" TargetMode="External" Id="rId191" /><Relationship Type="http://schemas.openxmlformats.org/officeDocument/2006/relationships/hyperlink" Target="https://www.pricecharting.com/game/one-piece-promo/treasure-booster-set-box" TargetMode="External" Id="rId192" /><Relationship Type="http://schemas.openxmlformats.org/officeDocument/2006/relationships/hyperlink" Target="https://www.pricecharting.com/game/one-piece-romance-dawn/box-promotion-pack" TargetMode="External" Id="rId193" /><Relationship Type="http://schemas.openxmlformats.org/officeDocument/2006/relationships/hyperlink" Target="https://www.tcgplayer.com/product/532645" TargetMode="External" Id="rId194" /><Relationship Type="http://schemas.openxmlformats.org/officeDocument/2006/relationships/hyperlink" Target="https://www.pricecharting.com/game/one-piece-royal-blood/goldroger-sealed-tin" TargetMode="External" Id="rId195" /><Relationship Type="http://schemas.openxmlformats.org/officeDocument/2006/relationships/hyperlink" Target="https://www.pricecharting.com/game/one-piece-royal-blood/monkeydluffy-sealed-tin" TargetMode="External" Id="rId196" /><Relationship Type="http://schemas.openxmlformats.org/officeDocument/2006/relationships/hyperlink" Target="https://www.tcgplayer.com/product/666578" TargetMode="External" Id="rId197" /><Relationship Type="http://schemas.openxmlformats.org/officeDocument/2006/relationships/hyperlink" Target="https://www.tcgplayer.com/product/712907" TargetMode="External" Id="rId198" /><Relationship Type="http://schemas.openxmlformats.org/officeDocument/2006/relationships/hyperlink" Target="https://www.tcgplayer.com/product/693364" TargetMode="External" Id="rId199" /><Relationship Type="http://schemas.openxmlformats.org/officeDocument/2006/relationships/hyperlink" Target="https://www.tcgplayer.com/product/704757" TargetMode="External" Id="rId200" /><Relationship Type="http://schemas.openxmlformats.org/officeDocument/2006/relationships/hyperlink" Target="https://www.tcgplayer.com/product/715980" TargetMode="External" Id="rId201" /><Relationship Type="http://schemas.openxmlformats.org/officeDocument/2006/relationships/hyperlink" Target="https://www.pricecharting.com/game/one-piece-tin-pack-set-vol-1/sealed-tin" TargetMode="External" Id="rId202" /><Relationship Type="http://schemas.openxmlformats.org/officeDocument/2006/relationships/hyperlink" Target="https://www.tcgplayer.com/product/561689" TargetMode="External" Id="rId203" /><Relationship Type="http://schemas.openxmlformats.org/officeDocument/2006/relationships/hyperlink" Target="https://www.tcgplayer.com/product/541542" TargetMode="External" Id="rId204" /><Relationship Type="http://schemas.openxmlformats.org/officeDocument/2006/relationships/hyperlink" Target="https://www.pricecharting.com/game/one-piece-500-years-in-the-future/booster-pack" TargetMode="External" Id="rId205" /><Relationship Type="http://schemas.openxmlformats.org/officeDocument/2006/relationships/hyperlink" Target="https://www.tcgplayer.com/product/532104" TargetMode="External" Id="rId206" /><Relationship Type="http://schemas.openxmlformats.org/officeDocument/2006/relationships/hyperlink" Target="https://www.pricecharting.com/game/one-piece-500-years-in-the-future/sleeved-booster-pack" TargetMode="External" Id="rId207" /><Relationship Type="http://schemas.openxmlformats.org/officeDocument/2006/relationships/hyperlink" Target="https://www.tcgplayer.com/product/532105" TargetMode="External" Id="rId208" /><Relationship Type="http://schemas.openxmlformats.org/officeDocument/2006/relationships/hyperlink" Target="https://www.pricecharting.com/game/one-piece-500-years-in-the-future/double-pack-dp-04" TargetMode="External" Id="rId209" /><Relationship Type="http://schemas.openxmlformats.org/officeDocument/2006/relationships/hyperlink" Target="https://www.tcgplayer.com/product/557077" TargetMode="External" Id="rId210" /><Relationship Type="http://schemas.openxmlformats.org/officeDocument/2006/relationships/hyperlink" Target="https://www.tcgplayer.com/product/552054" TargetMode="External" Id="rId211" /><Relationship Type="http://schemas.openxmlformats.org/officeDocument/2006/relationships/hyperlink" Target="https://www.tcgplayer.com/product/636741" TargetMode="External" Id="rId212" /><Relationship Type="http://schemas.openxmlformats.org/officeDocument/2006/relationships/hyperlink" Target="https://www.tcgplayer.com/product/620179" TargetMode="External" Id="rId213" /><Relationship Type="http://schemas.openxmlformats.org/officeDocument/2006/relationships/hyperlink" Target="https://www.tcgplayer.com/product/636743" TargetMode="External" Id="rId214" /><Relationship Type="http://schemas.openxmlformats.org/officeDocument/2006/relationships/hyperlink" Target="https://www.tcgplayer.com/product/634527" TargetMode="External" Id="rId215" /><Relationship Type="http://schemas.openxmlformats.org/officeDocument/2006/relationships/hyperlink" Target="https://www.tcgplayer.com/product/686290" TargetMode="External" Id="rId216" /><Relationship Type="http://schemas.openxmlformats.org/officeDocument/2006/relationships/hyperlink" Target="https://www.tcgplayer.com/product/688634" TargetMode="External" Id="rId217" /><Relationship Type="http://schemas.openxmlformats.org/officeDocument/2006/relationships/hyperlink" Target="https://www.tcgplayer.com/product/682056" TargetMode="External" Id="rId218" /><Relationship Type="http://schemas.openxmlformats.org/officeDocument/2006/relationships/hyperlink" Target="https://www.tcgplayer.com/product/689162" TargetMode="External" Id="rId219" /><Relationship Type="http://schemas.openxmlformats.org/officeDocument/2006/relationships/hyperlink" Target="https://www.tcgplayer.com/product/686456" TargetMode="External" Id="rId220" /><Relationship Type="http://schemas.openxmlformats.org/officeDocument/2006/relationships/hyperlink" Target="https://www.pricecharting.com/game/one-piece-awakening-of-the-new-era/booster-pack" TargetMode="External" Id="rId221" /><Relationship Type="http://schemas.openxmlformats.org/officeDocument/2006/relationships/hyperlink" Target="https://www.tcgplayer.com/product/498733" TargetMode="External" Id="rId222" /><Relationship Type="http://schemas.openxmlformats.org/officeDocument/2006/relationships/hyperlink" Target="https://www.pricecharting.com/game/one-piece-awakening-of-the-new-era/sleeved-booster-pack" TargetMode="External" Id="rId223" /><Relationship Type="http://schemas.openxmlformats.org/officeDocument/2006/relationships/hyperlink" Target="https://www.tcgplayer.com/product/531575" TargetMode="External" Id="rId224" /><Relationship Type="http://schemas.openxmlformats.org/officeDocument/2006/relationships/hyperlink" Target="https://www.pricecharting.com/game/one-piece-awakening-of-the-new-era/double-pack-dp-02" TargetMode="External" Id="rId225" /><Relationship Type="http://schemas.openxmlformats.org/officeDocument/2006/relationships/hyperlink" Target="https://www.tcgplayer.com/product/531974" TargetMode="External" Id="rId226" /><Relationship Type="http://schemas.openxmlformats.org/officeDocument/2006/relationships/hyperlink" Target="https://www.tcgplayer.com/product/520771" TargetMode="External" Id="rId227" /><Relationship Type="http://schemas.openxmlformats.org/officeDocument/2006/relationships/hyperlink" Target="https://www.pricecharting.com/game/one-piece-carrying-on-his-will/booster-pack" TargetMode="External" Id="rId228" /><Relationship Type="http://schemas.openxmlformats.org/officeDocument/2006/relationships/hyperlink" Target="https://www.tcgplayer.com/product/628351" TargetMode="External" Id="rId229" /><Relationship Type="http://schemas.openxmlformats.org/officeDocument/2006/relationships/hyperlink" Target="https://www.pricecharting.com/game/one-piece-carrying-on-his-will/sleeved-booster-pack" TargetMode="External" Id="rId230" /><Relationship Type="http://schemas.openxmlformats.org/officeDocument/2006/relationships/hyperlink" Target="https://www.tcgplayer.com/product/652643" TargetMode="External" Id="rId231" /><Relationship Type="http://schemas.openxmlformats.org/officeDocument/2006/relationships/hyperlink" Target="https://www.tcgplayer.com/product/657797" TargetMode="External" Id="rId232" /><Relationship Type="http://schemas.openxmlformats.org/officeDocument/2006/relationships/hyperlink" Target="https://www.tcgplayer.com/product/657796" TargetMode="External" Id="rId233" /><Relationship Type="http://schemas.openxmlformats.org/officeDocument/2006/relationships/hyperlink" Target="https://www.pricecharting.com/game/one-piece-emperors-in-the-new-world/booster-pack" TargetMode="External" Id="rId234" /><Relationship Type="http://schemas.openxmlformats.org/officeDocument/2006/relationships/hyperlink" Target="https://www.tcgplayer.com/product/563833" TargetMode="External" Id="rId235" /><Relationship Type="http://schemas.openxmlformats.org/officeDocument/2006/relationships/hyperlink" Target="https://www.pricecharting.com/game/one-piece-emperors-in-the-new-world/sleeved-booster-pack" TargetMode="External" Id="rId236" /><Relationship Type="http://schemas.openxmlformats.org/officeDocument/2006/relationships/hyperlink" Target="https://www.tcgplayer.com/product/606604" TargetMode="External" Id="rId237" /><Relationship Type="http://schemas.openxmlformats.org/officeDocument/2006/relationships/hyperlink" Target="https://www.pricecharting.com/game/one-piece-emperors-in-the-new-world/sealed-double-pack-dp-06" TargetMode="External" Id="rId238" /><Relationship Type="http://schemas.openxmlformats.org/officeDocument/2006/relationships/hyperlink" Target="https://www.tcgplayer.com/product/617844" TargetMode="External" Id="rId239" /><Relationship Type="http://schemas.openxmlformats.org/officeDocument/2006/relationships/hyperlink" Target="https://www.tcgplayer.com/product/600705" TargetMode="External" Id="rId240" /><Relationship Type="http://schemas.openxmlformats.org/officeDocument/2006/relationships/hyperlink" Target="https://www.pricecharting.com/game/one-piece-extra-booster-anime-25th-collection/booster-pack" TargetMode="External" Id="rId241" /><Relationship Type="http://schemas.openxmlformats.org/officeDocument/2006/relationships/hyperlink" Target="https://www.pricecharting.com/game/one-piece-extra-booster-heroines-edition/booster-pack" TargetMode="External" Id="rId242" /><Relationship Type="http://schemas.openxmlformats.org/officeDocument/2006/relationships/hyperlink" Target="https://www.pricecharting.com/game/one-piece-extra-booster-heroines-edition/sleeved-booster-pack" TargetMode="External" Id="rId243" /><Relationship Type="http://schemas.openxmlformats.org/officeDocument/2006/relationships/hyperlink" Target="https://www.pricecharting.com/game/one-piece-extra-booster-memorial-collection/booster-pack" TargetMode="External" Id="rId244" /><Relationship Type="http://schemas.openxmlformats.org/officeDocument/2006/relationships/hyperlink" Target="https://www.tcgplayer.com/product/666727" TargetMode="External" Id="rId245" /><Relationship Type="http://schemas.openxmlformats.org/officeDocument/2006/relationships/hyperlink" Target="https://www.tcgplayer.com/product/679503" TargetMode="External" Id="rId246" /><Relationship Type="http://schemas.openxmlformats.org/officeDocument/2006/relationships/hyperlink" Target="https://www.tcgplayer.com/product/675744" TargetMode="External" Id="rId247" /><Relationship Type="http://schemas.openxmlformats.org/officeDocument/2006/relationships/hyperlink" Target="https://www.tcgplayer.com/product/711383" TargetMode="External" Id="rId248" /><Relationship Type="http://schemas.openxmlformats.org/officeDocument/2006/relationships/hyperlink" Target="https://www.pricecharting.com/game/one-piece-fist-of-divine-speed/booster-pack" TargetMode="External" Id="rId249" /><Relationship Type="http://schemas.openxmlformats.org/officeDocument/2006/relationships/hyperlink" Target="https://www.pricecharting.com/game/one-piece-fist-of-divine-speed/sleeved-booster-pack" TargetMode="External" Id="rId250" /><Relationship Type="http://schemas.openxmlformats.org/officeDocument/2006/relationships/hyperlink" Target="https://www.pricecharting.com/game/one-piece-japanese-500-years-in-the-future/booster-pack" TargetMode="External" Id="rId251" /><Relationship Type="http://schemas.openxmlformats.org/officeDocument/2006/relationships/hyperlink" Target="https://www.pricecharting.com/game/one-piece-japanese-awakening-of-the-new-era/booster-pack" TargetMode="External" Id="rId252" /><Relationship Type="http://schemas.openxmlformats.org/officeDocument/2006/relationships/hyperlink" Target="https://www.pricecharting.com/game/one-piece-japanese-carrying-on-his-will/booster-pack" TargetMode="External" Id="rId253" /><Relationship Type="http://schemas.openxmlformats.org/officeDocument/2006/relationships/hyperlink" Target="https://www.pricecharting.com/game/one-piece-japanese-emperors-in-the-new-world/booster-pack" TargetMode="External" Id="rId254" /><Relationship Type="http://schemas.openxmlformats.org/officeDocument/2006/relationships/hyperlink" Target="https://www.pricecharting.com/game/one-piece-japanese-extra-booster-anime-25th-collection/booster-pack" TargetMode="External" Id="rId255" /><Relationship Type="http://schemas.openxmlformats.org/officeDocument/2006/relationships/hyperlink" Target="https://www.pricecharting.com/game/one-piece-japanese-extra-booster-egghead-crisis/booster-pack" TargetMode="External" Id="rId256" /><Relationship Type="http://schemas.openxmlformats.org/officeDocument/2006/relationships/hyperlink" Target="https://www.pricecharting.com/game/one-piece-japanese-extra-booster-heroines-edition/booster-pack" TargetMode="External" Id="rId257" /><Relationship Type="http://schemas.openxmlformats.org/officeDocument/2006/relationships/hyperlink" Target="https://www.pricecharting.com/game/one-piece-japanese-extra-booster-memorial-collection/booster-pack" TargetMode="External" Id="rId258" /><Relationship Type="http://schemas.openxmlformats.org/officeDocument/2006/relationships/hyperlink" Target="https://www.pricecharting.com/game/one-piece-japanese-fist-of-divine-speed/booster-pack" TargetMode="External" Id="rId259" /><Relationship Type="http://schemas.openxmlformats.org/officeDocument/2006/relationships/hyperlink" Target="https://www.pricecharting.com/game/one-piece-japanese-kingdoms-of-intrigue/booster-pack" TargetMode="External" Id="rId260" /><Relationship Type="http://schemas.openxmlformats.org/officeDocument/2006/relationships/hyperlink" Target="https://www.pricecharting.com/game/one-piece-japanese-legacy-of-the-master/booster-pack" TargetMode="External" Id="rId261" /><Relationship Type="http://schemas.openxmlformats.org/officeDocument/2006/relationships/hyperlink" Target="https://www.pricecharting.com/game/one-piece-japanese-paramount-war/booster-pack" TargetMode="External" Id="rId262" /><Relationship Type="http://schemas.openxmlformats.org/officeDocument/2006/relationships/hyperlink" Target="https://www.pricecharting.com/game/one-piece-japanese-pillars-of-strength/booster-pack" TargetMode="External" Id="rId263" /><Relationship Type="http://schemas.openxmlformats.org/officeDocument/2006/relationships/hyperlink" Target="https://www.pricecharting.com/game/one-piece-japanese-premium-booster/booster-pack" TargetMode="External" Id="rId264" /><Relationship Type="http://schemas.openxmlformats.org/officeDocument/2006/relationships/hyperlink" Target="https://www.pricecharting.com/game/one-piece-japanese-premium-booster-2/booster-pack" TargetMode="External" Id="rId265" /><Relationship Type="http://schemas.openxmlformats.org/officeDocument/2006/relationships/hyperlink" Target="https://www.pricecharting.com/game/one-piece-japanese-promo/4th-anniversary-treasure-campaign-pack" TargetMode="External" Id="rId266" /><Relationship Type="http://schemas.openxmlformats.org/officeDocument/2006/relationships/hyperlink" Target="https://www.pricecharting.com/game/one-piece-japanese-promo/mcdonald's-promo-pack-2025" TargetMode="External" Id="rId267" /><Relationship Type="http://schemas.openxmlformats.org/officeDocument/2006/relationships/hyperlink" Target="https://www.pricecharting.com/game/one-piece-japanese-promo/sealed-3rd-anniversary-treasure-campaign-pack" TargetMode="External" Id="rId268" /><Relationship Type="http://schemas.openxmlformats.org/officeDocument/2006/relationships/hyperlink" Target="https://www.pricecharting.com/game/one-piece-japanese-promo/sealed-film-red-uta-promo-pack" TargetMode="External" Id="rId269" /><Relationship Type="http://schemas.openxmlformats.org/officeDocument/2006/relationships/hyperlink" Target="https://www.pricecharting.com/game/one-piece-japanese-promo/sealed-let's-get-started-campaign-promotion-pack" TargetMode="External" Id="rId270" /><Relationship Type="http://schemas.openxmlformats.org/officeDocument/2006/relationships/hyperlink" Target="https://www.pricecharting.com/game/one-piece-japanese-promo/sealed-pack-v-jump" TargetMode="External" Id="rId271" /><Relationship Type="http://schemas.openxmlformats.org/officeDocument/2006/relationships/hyperlink" Target="https://www.pricecharting.com/game/one-piece-japanese-promo/sealed-promotion-pack-2022" TargetMode="External" Id="rId272" /><Relationship Type="http://schemas.openxmlformats.org/officeDocument/2006/relationships/hyperlink" Target="https://www.pricecharting.com/game/one-piece-japanese-promo/sealed-promotion-pack-ex-vol-1" TargetMode="External" Id="rId273" /><Relationship Type="http://schemas.openxmlformats.org/officeDocument/2006/relationships/hyperlink" Target="https://www.pricecharting.com/game/one-piece-japanese-promo/sealed-promotion-pack-ex-vol-2" TargetMode="External" Id="rId274" /><Relationship Type="http://schemas.openxmlformats.org/officeDocument/2006/relationships/hyperlink" Target="https://www.pricecharting.com/game/one-piece-japanese-promo/sealed-promotion-pack-ex-vol-3" TargetMode="External" Id="rId275" /><Relationship Type="http://schemas.openxmlformats.org/officeDocument/2006/relationships/hyperlink" Target="https://www.pricecharting.com/game/one-piece-japanese-promo/sealed-promotion-pack-ex-vol-4" TargetMode="External" Id="rId276" /><Relationship Type="http://schemas.openxmlformats.org/officeDocument/2006/relationships/hyperlink" Target="https://www.pricecharting.com/game/one-piece-japanese-promo/sealed-promotion-pack-vol-2" TargetMode="External" Id="rId277" /><Relationship Type="http://schemas.openxmlformats.org/officeDocument/2006/relationships/hyperlink" Target="https://www.pricecharting.com/game/one-piece-japanese-promo/sealed-promotion-pack-vol-3" TargetMode="External" Id="rId278" /><Relationship Type="http://schemas.openxmlformats.org/officeDocument/2006/relationships/hyperlink" Target="https://www.pricecharting.com/game/one-piece-japanese-promo/sealed-promotion-pack-vol-4" TargetMode="External" Id="rId279" /><Relationship Type="http://schemas.openxmlformats.org/officeDocument/2006/relationships/hyperlink" Target="https://www.pricecharting.com/game/one-piece-japanese-promo/sealed-promotion-pack-vol-5" TargetMode="External" Id="rId280" /><Relationship Type="http://schemas.openxmlformats.org/officeDocument/2006/relationships/hyperlink" Target="https://www.pricecharting.com/game/one-piece-japanese-promo/sealed-promotion-pack-vol-6" TargetMode="External" Id="rId281" /><Relationship Type="http://schemas.openxmlformats.org/officeDocument/2006/relationships/hyperlink" Target="https://www.pricecharting.com/game/one-piece-japanese-promo/sealed-promotion-pack-vol-7" TargetMode="External" Id="rId282" /><Relationship Type="http://schemas.openxmlformats.org/officeDocument/2006/relationships/hyperlink" Target="https://www.pricecharting.com/game/one-piece-japanese-promo/sealed-promotion-pack-vol-8" TargetMode="External" Id="rId283" /><Relationship Type="http://schemas.openxmlformats.org/officeDocument/2006/relationships/hyperlink" Target="https://www.pricecharting.com/game/one-piece-japanese-promo/sealed-promotion-pack-vol-9" TargetMode="External" Id="rId284" /><Relationship Type="http://schemas.openxmlformats.org/officeDocument/2006/relationships/hyperlink" Target="https://www.pricecharting.com/game/one-piece-japanese-promo/sealed-round-1-pack" TargetMode="External" Id="rId285" /><Relationship Type="http://schemas.openxmlformats.org/officeDocument/2006/relationships/hyperlink" Target="https://www.pricecharting.com/game/one-piece-japanese-promo/sealed-standard-battle-pack-vol-12" TargetMode="External" Id="rId286" /><Relationship Type="http://schemas.openxmlformats.org/officeDocument/2006/relationships/hyperlink" Target="https://www.pricecharting.com/game/one-piece-japanese-promo/sealed-standard-battle-pack-vol-13" TargetMode="External" Id="rId287" /><Relationship Type="http://schemas.openxmlformats.org/officeDocument/2006/relationships/hyperlink" Target="https://www.pricecharting.com/game/one-piece-japanese-promo/sealed-standard-battle-pack-vol-16" TargetMode="External" Id="rId288" /><Relationship Type="http://schemas.openxmlformats.org/officeDocument/2006/relationships/hyperlink" Target="https://www.pricecharting.com/game/one-piece-japanese-promo/sealed-top-strongest-pack" TargetMode="External" Id="rId289" /><Relationship Type="http://schemas.openxmlformats.org/officeDocument/2006/relationships/hyperlink" Target="https://www.pricecharting.com/game/one-piece-japanese-promo/sealed-tournament-pack-vol-4" TargetMode="External" Id="rId290" /><Relationship Type="http://schemas.openxmlformats.org/officeDocument/2006/relationships/hyperlink" Target="https://www.pricecharting.com/game/one-piece-japanese-promo/sealed-tournament-pack-vol-5" TargetMode="External" Id="rId291" /><Relationship Type="http://schemas.openxmlformats.org/officeDocument/2006/relationships/hyperlink" Target="https://www.pricecharting.com/game/one-piece-japanese-promo/strongest-three-brothers-pack" TargetMode="External" Id="rId292" /><Relationship Type="http://schemas.openxmlformats.org/officeDocument/2006/relationships/hyperlink" Target="https://www.pricecharting.com/game/one-piece-japanese-romance-dawn/booster-pack" TargetMode="External" Id="rId293" /><Relationship Type="http://schemas.openxmlformats.org/officeDocument/2006/relationships/hyperlink" Target="https://www.pricecharting.com/game/one-piece-japanese-royal-blood/booster-pack" TargetMode="External" Id="rId294" /><Relationship Type="http://schemas.openxmlformats.org/officeDocument/2006/relationships/hyperlink" Target="https://www.pricecharting.com/game/one-piece-japanese-the-time-of-battle/booster-pack" TargetMode="External" Id="rId295" /><Relationship Type="http://schemas.openxmlformats.org/officeDocument/2006/relationships/hyperlink" Target="https://www.pricecharting.com/game/one-piece-japanese-two-legends/booster-pack" TargetMode="External" Id="rId296" /><Relationship Type="http://schemas.openxmlformats.org/officeDocument/2006/relationships/hyperlink" Target="https://www.pricecharting.com/game/one-piece-japanese-ultra-deck-the-three-brothers/bonus-pack" TargetMode="External" Id="rId297" /><Relationship Type="http://schemas.openxmlformats.org/officeDocument/2006/relationships/hyperlink" Target="https://www.pricecharting.com/game/one-piece-japanese-wings-of-the-captain/booster-pack" TargetMode="External" Id="rId298" /><Relationship Type="http://schemas.openxmlformats.org/officeDocument/2006/relationships/hyperlink" Target="https://www.pricecharting.com/game/one-piece-kingdoms-of-intrigue/booster-pack" TargetMode="External" Id="rId299" /><Relationship Type="http://schemas.openxmlformats.org/officeDocument/2006/relationships/hyperlink" Target="https://www.tcgplayer.com/product/485832" TargetMode="External" Id="rId300" /><Relationship Type="http://schemas.openxmlformats.org/officeDocument/2006/relationships/hyperlink" Target="https://www.pricecharting.com/game/one-piece-kingdoms-of-intrigue/dash-pack" TargetMode="External" Id="rId301" /><Relationship Type="http://schemas.openxmlformats.org/officeDocument/2006/relationships/hyperlink" Target="https://www.tcgplayer.com/product/516954" TargetMode="External" Id="rId302" /><Relationship Type="http://schemas.openxmlformats.org/officeDocument/2006/relationships/hyperlink" Target="https://www.pricecharting.com/game/one-piece-kingdoms-of-intrigue/sleeved-booster-pack" TargetMode="External" Id="rId303" /><Relationship Type="http://schemas.openxmlformats.org/officeDocument/2006/relationships/hyperlink" Target="https://www.tcgplayer.com/product/531777" TargetMode="External" Id="rId304" /><Relationship Type="http://schemas.openxmlformats.org/officeDocument/2006/relationships/hyperlink" Target="https://www.pricecharting.com/game/one-piece-kingdoms-of-intrigue/double-pack-dp-01" TargetMode="External" Id="rId305" /><Relationship Type="http://schemas.openxmlformats.org/officeDocument/2006/relationships/hyperlink" Target="https://www.pricecharting.com/game/one-piece-kingdoms-of-intrigue/kingdoms-of-intrigue-pre-release-pack" TargetMode="External" Id="rId306" /><Relationship Type="http://schemas.openxmlformats.org/officeDocument/2006/relationships/hyperlink" Target="https://www.tcgplayer.com/product/521201" TargetMode="External" Id="rId307" /><Relationship Type="http://schemas.openxmlformats.org/officeDocument/2006/relationships/hyperlink" Target="https://www.tcgplayer.com/product/516961" TargetMode="External" Id="rId308" /><Relationship Type="http://schemas.openxmlformats.org/officeDocument/2006/relationships/hyperlink" Target="https://www.pricecharting.com/game/one-piece-legacy-of-the-master/sleeved-booster-pack" TargetMode="External" Id="rId309" /><Relationship Type="http://schemas.openxmlformats.org/officeDocument/2006/relationships/hyperlink" Target="https://www.tcgplayer.com/product/650645" TargetMode="External" Id="rId310" /><Relationship Type="http://schemas.openxmlformats.org/officeDocument/2006/relationships/hyperlink" Target="https://www.pricecharting.com/game/one-piece-legacy-of-the-master/booster-pack" TargetMode="External" Id="rId311" /><Relationship Type="http://schemas.openxmlformats.org/officeDocument/2006/relationships/hyperlink" Target="https://www.tcgplayer.com/product/628345" TargetMode="External" Id="rId312" /><Relationship Type="http://schemas.openxmlformats.org/officeDocument/2006/relationships/hyperlink" Target="https://www.pricecharting.com/game/one-piece-legacy-of-the-master/double-pack-dp-08" TargetMode="External" Id="rId313" /><Relationship Type="http://schemas.openxmlformats.org/officeDocument/2006/relationships/hyperlink" Target="https://www.tcgplayer.com/product/651980" TargetMode="External" Id="rId314" /><Relationship Type="http://schemas.openxmlformats.org/officeDocument/2006/relationships/hyperlink" Target="https://www.tcgplayer.com/product/649244" TargetMode="External" Id="rId315" /><Relationship Type="http://schemas.openxmlformats.org/officeDocument/2006/relationships/hyperlink" Target="https://www.tcgplayer.com/product/545700" TargetMode="External" Id="rId316" /><Relationship Type="http://schemas.openxmlformats.org/officeDocument/2006/relationships/hyperlink" Target="https://www.tcgplayer.com/product/661447" TargetMode="External" Id="rId317" /><Relationship Type="http://schemas.openxmlformats.org/officeDocument/2006/relationships/hyperlink" Target="https://www.tcgplayer.com/product/714348" TargetMode="External" Id="rId318" /><Relationship Type="http://schemas.openxmlformats.org/officeDocument/2006/relationships/hyperlink" Target="https://www.tcgplayer.com/product/580054" TargetMode="External" Id="rId319" /><Relationship Type="http://schemas.openxmlformats.org/officeDocument/2006/relationships/hyperlink" Target="https://www.tcgplayer.com/product/579991" TargetMode="External" Id="rId320" /><Relationship Type="http://schemas.openxmlformats.org/officeDocument/2006/relationships/hyperlink" Target="https://www.tcgplayer.com/product/649629" TargetMode="External" Id="rId321" /><Relationship Type="http://schemas.openxmlformats.org/officeDocument/2006/relationships/hyperlink" Target="https://www.tcgplayer.com/product/649617" TargetMode="External" Id="rId322" /><Relationship Type="http://schemas.openxmlformats.org/officeDocument/2006/relationships/hyperlink" Target="https://www.tcgplayer.com/product/710246" TargetMode="External" Id="rId323" /><Relationship Type="http://schemas.openxmlformats.org/officeDocument/2006/relationships/hyperlink" Target="https://www.tcgplayer.com/product/710211" TargetMode="External" Id="rId324" /><Relationship Type="http://schemas.openxmlformats.org/officeDocument/2006/relationships/hyperlink" Target="https://www.tcgplayer.com/product/710247" TargetMode="External" Id="rId325" /><Relationship Type="http://schemas.openxmlformats.org/officeDocument/2006/relationships/hyperlink" Target="https://www.tcgplayer.com/product/660407" TargetMode="External" Id="rId326" /><Relationship Type="http://schemas.openxmlformats.org/officeDocument/2006/relationships/hyperlink" Target="https://www.tcgplayer.com/product/493339" TargetMode="External" Id="rId327" /><Relationship Type="http://schemas.openxmlformats.org/officeDocument/2006/relationships/hyperlink" Target="https://www.tcgplayer.com/product/483165" TargetMode="External" Id="rId328" /><Relationship Type="http://schemas.openxmlformats.org/officeDocument/2006/relationships/hyperlink" Target="https://www.tcgplayer.com/product/483166" TargetMode="External" Id="rId329" /><Relationship Type="http://schemas.openxmlformats.org/officeDocument/2006/relationships/hyperlink" Target="https://www.tcgplayer.com/product/509458" TargetMode="External" Id="rId330" /><Relationship Type="http://schemas.openxmlformats.org/officeDocument/2006/relationships/hyperlink" Target="https://www.tcgplayer.com/product/539179" TargetMode="External" Id="rId331" /><Relationship Type="http://schemas.openxmlformats.org/officeDocument/2006/relationships/hyperlink" Target="https://www.tcgplayer.com/product/544798" TargetMode="External" Id="rId332" /><Relationship Type="http://schemas.openxmlformats.org/officeDocument/2006/relationships/hyperlink" Target="https://www.tcgplayer.com/product/583733" TargetMode="External" Id="rId333" /><Relationship Type="http://schemas.openxmlformats.org/officeDocument/2006/relationships/hyperlink" Target="https://www.tcgplayer.com/product/619193" TargetMode="External" Id="rId334" /><Relationship Type="http://schemas.openxmlformats.org/officeDocument/2006/relationships/hyperlink" Target="https://www.tcgplayer.com/product/646736" TargetMode="External" Id="rId335" /><Relationship Type="http://schemas.openxmlformats.org/officeDocument/2006/relationships/hyperlink" Target="https://www.tcgplayer.com/product/675734" TargetMode="External" Id="rId336" /><Relationship Type="http://schemas.openxmlformats.org/officeDocument/2006/relationships/hyperlink" Target="https://www.tcgplayer.com/product/709534" TargetMode="External" Id="rId337" /><Relationship Type="http://schemas.openxmlformats.org/officeDocument/2006/relationships/hyperlink" Target="https://www.tcgplayer.com/product/676678" TargetMode="External" Id="rId338" /><Relationship Type="http://schemas.openxmlformats.org/officeDocument/2006/relationships/hyperlink" Target="https://www.tcgplayer.com/product/502570" TargetMode="External" Id="rId339" /><Relationship Type="http://schemas.openxmlformats.org/officeDocument/2006/relationships/hyperlink" Target="https://www.tcgplayer.com/product/536257" TargetMode="External" Id="rId340" /><Relationship Type="http://schemas.openxmlformats.org/officeDocument/2006/relationships/hyperlink" Target="https://www.tcgplayer.com/product/544799" TargetMode="External" Id="rId341" /><Relationship Type="http://schemas.openxmlformats.org/officeDocument/2006/relationships/hyperlink" Target="https://www.tcgplayer.com/product/583744" TargetMode="External" Id="rId342" /><Relationship Type="http://schemas.openxmlformats.org/officeDocument/2006/relationships/hyperlink" Target="https://www.tcgplayer.com/product/619194" TargetMode="External" Id="rId343" /><Relationship Type="http://schemas.openxmlformats.org/officeDocument/2006/relationships/hyperlink" Target="https://www.tcgplayer.com/product/641217" TargetMode="External" Id="rId344" /><Relationship Type="http://schemas.openxmlformats.org/officeDocument/2006/relationships/hyperlink" Target="https://www.tcgplayer.com/product/668191" TargetMode="External" Id="rId345" /><Relationship Type="http://schemas.openxmlformats.org/officeDocument/2006/relationships/hyperlink" Target="https://www.tcgplayer.com/product/717406" TargetMode="External" Id="rId346" /><Relationship Type="http://schemas.openxmlformats.org/officeDocument/2006/relationships/hyperlink" Target="https://www.tcgplayer.com/product/539204" TargetMode="External" Id="rId347" /><Relationship Type="http://schemas.openxmlformats.org/officeDocument/2006/relationships/hyperlink" Target="https://www.tcgplayer.com/product/544801" TargetMode="External" Id="rId348" /><Relationship Type="http://schemas.openxmlformats.org/officeDocument/2006/relationships/hyperlink" Target="https://www.tcgplayer.com/product/586031" TargetMode="External" Id="rId349" /><Relationship Type="http://schemas.openxmlformats.org/officeDocument/2006/relationships/hyperlink" Target="https://www.tcgplayer.com/product/619192" TargetMode="External" Id="rId350" /><Relationship Type="http://schemas.openxmlformats.org/officeDocument/2006/relationships/hyperlink" Target="https://www.tcgplayer.com/product/646715" TargetMode="External" Id="rId351" /><Relationship Type="http://schemas.openxmlformats.org/officeDocument/2006/relationships/hyperlink" Target="https://www.tcgplayer.com/product/514200" TargetMode="External" Id="rId352" /><Relationship Type="http://schemas.openxmlformats.org/officeDocument/2006/relationships/hyperlink" Target="https://www.tcgplayer.com/product/488903" TargetMode="External" Id="rId353" /><Relationship Type="http://schemas.openxmlformats.org/officeDocument/2006/relationships/hyperlink" Target="https://www.tcgplayer.com/product/539178" TargetMode="External" Id="rId354" /><Relationship Type="http://schemas.openxmlformats.org/officeDocument/2006/relationships/hyperlink" Target="https://www.tcgplayer.com/product/544800" TargetMode="External" Id="rId355" /><Relationship Type="http://schemas.openxmlformats.org/officeDocument/2006/relationships/hyperlink" Target="https://www.tcgplayer.com/product/585580" TargetMode="External" Id="rId356" /><Relationship Type="http://schemas.openxmlformats.org/officeDocument/2006/relationships/hyperlink" Target="https://www.tcgplayer.com/product/666567" TargetMode="External" Id="rId357" /><Relationship Type="http://schemas.openxmlformats.org/officeDocument/2006/relationships/hyperlink" Target="https://www.tcgplayer.com/product/649735" TargetMode="External" Id="rId358" /><Relationship Type="http://schemas.openxmlformats.org/officeDocument/2006/relationships/hyperlink" Target="https://www.tcgplayer.com/product/457043" TargetMode="External" Id="rId359" /><Relationship Type="http://schemas.openxmlformats.org/officeDocument/2006/relationships/hyperlink" Target="https://www.tcgplayer.com/product/483109" TargetMode="External" Id="rId360" /><Relationship Type="http://schemas.openxmlformats.org/officeDocument/2006/relationships/hyperlink" Target="https://www.tcgplayer.com/product/708202" TargetMode="External" Id="rId361" /><Relationship Type="http://schemas.openxmlformats.org/officeDocument/2006/relationships/hyperlink" Target="https://www.tcgplayer.com/product/588184" TargetMode="External" Id="rId362" /><Relationship Type="http://schemas.openxmlformats.org/officeDocument/2006/relationships/hyperlink" Target="https://www.tcgplayer.com/product/696826" TargetMode="External" Id="rId363" /><Relationship Type="http://schemas.openxmlformats.org/officeDocument/2006/relationships/hyperlink" Target="https://www.tcgplayer.com/product/583731" TargetMode="External" Id="rId364" /><Relationship Type="http://schemas.openxmlformats.org/officeDocument/2006/relationships/hyperlink" Target="https://www.tcgplayer.com/product/609714" TargetMode="External" Id="rId365" /><Relationship Type="http://schemas.openxmlformats.org/officeDocument/2006/relationships/hyperlink" Target="https://www.tcgplayer.com/product/622589" TargetMode="External" Id="rId366" /><Relationship Type="http://schemas.openxmlformats.org/officeDocument/2006/relationships/hyperlink" Target="https://www.tcgplayer.com/product/641169" TargetMode="External" Id="rId367" /><Relationship Type="http://schemas.openxmlformats.org/officeDocument/2006/relationships/hyperlink" Target="https://www.tcgplayer.com/product/655958" TargetMode="External" Id="rId368" /><Relationship Type="http://schemas.openxmlformats.org/officeDocument/2006/relationships/hyperlink" Target="https://www.tcgplayer.com/product/668163" TargetMode="External" Id="rId369" /><Relationship Type="http://schemas.openxmlformats.org/officeDocument/2006/relationships/hyperlink" Target="https://www.tcgplayer.com/product/684308" TargetMode="External" Id="rId370" /><Relationship Type="http://schemas.openxmlformats.org/officeDocument/2006/relationships/hyperlink" Target="https://www.tcgplayer.com/product/708460" TargetMode="External" Id="rId371" /><Relationship Type="http://schemas.openxmlformats.org/officeDocument/2006/relationships/hyperlink" Target="https://www.tcgplayer.com/product/722628" TargetMode="External" Id="rId372" /><Relationship Type="http://schemas.openxmlformats.org/officeDocument/2006/relationships/hyperlink" Target="https://www.tcgplayer.com/product/457013" TargetMode="External" Id="rId373" /><Relationship Type="http://schemas.openxmlformats.org/officeDocument/2006/relationships/hyperlink" Target="https://www.tcgplayer.com/product/483112" TargetMode="External" Id="rId374" /><Relationship Type="http://schemas.openxmlformats.org/officeDocument/2006/relationships/hyperlink" Target="https://www.tcgplayer.com/product/497007" TargetMode="External" Id="rId375" /><Relationship Type="http://schemas.openxmlformats.org/officeDocument/2006/relationships/hyperlink" Target="https://www.tcgplayer.com/product/503251" TargetMode="External" Id="rId376" /><Relationship Type="http://schemas.openxmlformats.org/officeDocument/2006/relationships/hyperlink" Target="https://www.tcgplayer.com/product/519829" TargetMode="External" Id="rId377" /><Relationship Type="http://schemas.openxmlformats.org/officeDocument/2006/relationships/hyperlink" Target="https://www.tcgplayer.com/product/537448" TargetMode="External" Id="rId378" /><Relationship Type="http://schemas.openxmlformats.org/officeDocument/2006/relationships/hyperlink" Target="https://www.tcgplayer.com/product/548440" TargetMode="External" Id="rId379" /><Relationship Type="http://schemas.openxmlformats.org/officeDocument/2006/relationships/hyperlink" Target="https://www.tcgplayer.com/product/683970" TargetMode="External" Id="rId380" /><Relationship Type="http://schemas.openxmlformats.org/officeDocument/2006/relationships/hyperlink" Target="https://www.tcgplayer.com/product/558742" TargetMode="External" Id="rId381" /><Relationship Type="http://schemas.openxmlformats.org/officeDocument/2006/relationships/hyperlink" Target="https://www.tcgplayer.com/product/653799" TargetMode="External" Id="rId382" /><Relationship Type="http://schemas.openxmlformats.org/officeDocument/2006/relationships/hyperlink" Target="https://www.tcgplayer.com/product/583732" TargetMode="External" Id="rId383" /><Relationship Type="http://schemas.openxmlformats.org/officeDocument/2006/relationships/hyperlink" Target="https://www.tcgplayer.com/product/609715" TargetMode="External" Id="rId384" /><Relationship Type="http://schemas.openxmlformats.org/officeDocument/2006/relationships/hyperlink" Target="https://www.tcgplayer.com/product/622590" TargetMode="External" Id="rId385" /><Relationship Type="http://schemas.openxmlformats.org/officeDocument/2006/relationships/hyperlink" Target="https://www.tcgplayer.com/product/641167" TargetMode="External" Id="rId386" /><Relationship Type="http://schemas.openxmlformats.org/officeDocument/2006/relationships/hyperlink" Target="https://www.tcgplayer.com/product/655959" TargetMode="External" Id="rId387" /><Relationship Type="http://schemas.openxmlformats.org/officeDocument/2006/relationships/hyperlink" Target="https://www.tcgplayer.com/product/668184" TargetMode="External" Id="rId388" /><Relationship Type="http://schemas.openxmlformats.org/officeDocument/2006/relationships/hyperlink" Target="https://www.tcgplayer.com/product/684301" TargetMode="External" Id="rId389" /><Relationship Type="http://schemas.openxmlformats.org/officeDocument/2006/relationships/hyperlink" Target="https://www.tcgplayer.com/product/708461" TargetMode="External" Id="rId390" /><Relationship Type="http://schemas.openxmlformats.org/officeDocument/2006/relationships/hyperlink" Target="https://www.tcgplayer.com/product/722629" TargetMode="External" Id="rId391" /><Relationship Type="http://schemas.openxmlformats.org/officeDocument/2006/relationships/hyperlink" Target="https://www.tcgplayer.com/product/457017" TargetMode="External" Id="rId392" /><Relationship Type="http://schemas.openxmlformats.org/officeDocument/2006/relationships/hyperlink" Target="https://www.tcgplayer.com/product/483164" TargetMode="External" Id="rId393" /><Relationship Type="http://schemas.openxmlformats.org/officeDocument/2006/relationships/hyperlink" Target="https://www.tcgplayer.com/product/497008" TargetMode="External" Id="rId394" /><Relationship Type="http://schemas.openxmlformats.org/officeDocument/2006/relationships/hyperlink" Target="https://www.tcgplayer.com/product/519831" TargetMode="External" Id="rId395" /><Relationship Type="http://schemas.openxmlformats.org/officeDocument/2006/relationships/hyperlink" Target="https://www.tcgplayer.com/product/537449" TargetMode="External" Id="rId396" /><Relationship Type="http://schemas.openxmlformats.org/officeDocument/2006/relationships/hyperlink" Target="https://www.tcgplayer.com/product/548441" TargetMode="External" Id="rId397" /><Relationship Type="http://schemas.openxmlformats.org/officeDocument/2006/relationships/hyperlink" Target="https://www.pricecharting.com/game/one-piece-paramount-war/booster-pack" TargetMode="External" Id="rId398" /><Relationship Type="http://schemas.openxmlformats.org/officeDocument/2006/relationships/hyperlink" Target="https://www.tcgplayer.com/product/455865" TargetMode="External" Id="rId399" /><Relationship Type="http://schemas.openxmlformats.org/officeDocument/2006/relationships/hyperlink" Target="https://www.pricecharting.com/game/one-piece-paramount-war/sleeved-booster-pack" TargetMode="External" Id="rId400" /><Relationship Type="http://schemas.openxmlformats.org/officeDocument/2006/relationships/hyperlink" Target="https://www.tcgplayer.com/product/531775" TargetMode="External" Id="rId401" /><Relationship Type="http://schemas.openxmlformats.org/officeDocument/2006/relationships/hyperlink" Target="https://www.pricecharting.com/game/one-piece-paramount-war/paramount-war-pre-release-pack" TargetMode="External" Id="rId402" /><Relationship Type="http://schemas.openxmlformats.org/officeDocument/2006/relationships/hyperlink" Target="https://www.pricecharting.com/game/one-piece-paramount-war/revision-pack" TargetMode="External" Id="rId403" /><Relationship Type="http://schemas.openxmlformats.org/officeDocument/2006/relationships/hyperlink" Target="https://www.tcgplayer.com/product/487126" TargetMode="External" Id="rId404" /><Relationship Type="http://schemas.openxmlformats.org/officeDocument/2006/relationships/hyperlink" Target="https://www.tcgplayer.com/product/482217" TargetMode="External" Id="rId405" /><Relationship Type="http://schemas.openxmlformats.org/officeDocument/2006/relationships/hyperlink" Target="https://www.pricecharting.com/game/one-piece-pillars-of-strength/booster-pack" TargetMode="External" Id="rId406" /><Relationship Type="http://schemas.openxmlformats.org/officeDocument/2006/relationships/hyperlink" Target="https://www.tcgplayer.com/product/477175" TargetMode="External" Id="rId407" /><Relationship Type="http://schemas.openxmlformats.org/officeDocument/2006/relationships/hyperlink" Target="https://www.pricecharting.com/game/one-piece-pillars-of-strength/sleeved-booster-pack" TargetMode="External" Id="rId408" /><Relationship Type="http://schemas.openxmlformats.org/officeDocument/2006/relationships/hyperlink" Target="https://www.tcgplayer.com/product/531776" TargetMode="External" Id="rId409" /><Relationship Type="http://schemas.openxmlformats.org/officeDocument/2006/relationships/hyperlink" Target="https://www.pricecharting.com/game/one-piece-pillars-of-strength/pillars-of-strength-pre-release-pack" TargetMode="External" Id="rId410" /><Relationship Type="http://schemas.openxmlformats.org/officeDocument/2006/relationships/hyperlink" Target="https://www.tcgplayer.com/product/502624" TargetMode="External" Id="rId411" /><Relationship Type="http://schemas.openxmlformats.org/officeDocument/2006/relationships/hyperlink" Target="https://www.pricecharting.com/game/one-piece-premium-booster/premium-booster-pack-prb01" TargetMode="External" Id="rId412" /><Relationship Type="http://schemas.openxmlformats.org/officeDocument/2006/relationships/hyperlink" Target="https://www.pricecharting.com/game/one-piece-premium-booster/sleeved-booster-pack" TargetMode="External" Id="rId413" /><Relationship Type="http://schemas.openxmlformats.org/officeDocument/2006/relationships/hyperlink" Target="https://www.tcgplayer.com/product/545398" TargetMode="External" Id="rId414" /><Relationship Type="http://schemas.openxmlformats.org/officeDocument/2006/relationships/hyperlink" Target="https://www.tcgplayer.com/product/622980" TargetMode="External" Id="rId415" /><Relationship Type="http://schemas.openxmlformats.org/officeDocument/2006/relationships/hyperlink" Target="https://www.tcgplayer.com/product/628451" TargetMode="External" Id="rId416" /><Relationship Type="http://schemas.openxmlformats.org/officeDocument/2006/relationships/hyperlink" Target="https://www.tcgplayer.com/product/657211" TargetMode="External" Id="rId417" /><Relationship Type="http://schemas.openxmlformats.org/officeDocument/2006/relationships/hyperlink" Target="https://www.pricecharting.com/game/one-piece-premium-booster-2/booster-pack" TargetMode="External" Id="rId418" /><Relationship Type="http://schemas.openxmlformats.org/officeDocument/2006/relationships/hyperlink" Target="https://www.pricecharting.com/game/one-piece-premium-booster-2/sleeved-booster-pack" TargetMode="External" Id="rId419" /><Relationship Type="http://schemas.openxmlformats.org/officeDocument/2006/relationships/hyperlink" Target="https://www.pricecharting.com/game/one-piece-promo/double-pack-dp-07" TargetMode="External" Id="rId420" /><Relationship Type="http://schemas.openxmlformats.org/officeDocument/2006/relationships/hyperlink" Target="https://www.pricecharting.com/game/one-piece-promo/monkeydluffy-3rd-anniversary-winner-sealed-pack" TargetMode="External" Id="rId421" /><Relationship Type="http://schemas.openxmlformats.org/officeDocument/2006/relationships/hyperlink" Target="https://www.pricecharting.com/game/one-piece-promo/sealed-event-pack-vol-1" TargetMode="External" Id="rId422" /><Relationship Type="http://schemas.openxmlformats.org/officeDocument/2006/relationships/hyperlink" Target="https://www.pricecharting.com/game/one-piece-promo/sealed-event-pack-vol-2" TargetMode="External" Id="rId423" /><Relationship Type="http://schemas.openxmlformats.org/officeDocument/2006/relationships/hyperlink" Target="https://www.pricecharting.com/game/one-piece-promo/sealed-event-pack-vol-5" TargetMode="External" Id="rId424" /><Relationship Type="http://schemas.openxmlformats.org/officeDocument/2006/relationships/hyperlink" Target="https://www.pricecharting.com/game/one-piece-promo/sealed-film-red-uta-promo-pack" TargetMode="External" Id="rId425" /><Relationship Type="http://schemas.openxmlformats.org/officeDocument/2006/relationships/hyperlink" Target="https://www.pricecharting.com/game/one-piece-promo/sealed-judge-pack-vol-1" TargetMode="External" Id="rId426" /><Relationship Type="http://schemas.openxmlformats.org/officeDocument/2006/relationships/hyperlink" Target="https://www.pricecharting.com/game/one-piece-promo/sealed-promotion-pack-2022" TargetMode="External" Id="rId427" /><Relationship Type="http://schemas.openxmlformats.org/officeDocument/2006/relationships/hyperlink" Target="https://www.pricecharting.com/game/one-piece-promo/sealed-promotion-pack-2023" TargetMode="External" Id="rId428" /><Relationship Type="http://schemas.openxmlformats.org/officeDocument/2006/relationships/hyperlink" Target="https://www.pricecharting.com/game/one-piece-promo/sealed-round-1-pack" TargetMode="External" Id="rId429" /><Relationship Type="http://schemas.openxmlformats.org/officeDocument/2006/relationships/hyperlink" Target="https://www.pricecharting.com/game/one-piece-promo/sealed-tournament-pack-vol-1" TargetMode="External" Id="rId430" /><Relationship Type="http://schemas.openxmlformats.org/officeDocument/2006/relationships/hyperlink" Target="https://www.pricecharting.com/game/one-piece-promo/sealed-tournament-pack-vol-2" TargetMode="External" Id="rId431" /><Relationship Type="http://schemas.openxmlformats.org/officeDocument/2006/relationships/hyperlink" Target="https://www.pricecharting.com/game/one-piece-promo/sealed-tournament-pack-vol-3" TargetMode="External" Id="rId432" /><Relationship Type="http://schemas.openxmlformats.org/officeDocument/2006/relationships/hyperlink" Target="https://www.pricecharting.com/game/one-piece-promo/sealed-tournament-pack-vol-4" TargetMode="External" Id="rId433" /><Relationship Type="http://schemas.openxmlformats.org/officeDocument/2006/relationships/hyperlink" Target="https://www.pricecharting.com/game/one-piece-promo/sealed-tournament-pack-vol-5" TargetMode="External" Id="rId434" /><Relationship Type="http://schemas.openxmlformats.org/officeDocument/2006/relationships/hyperlink" Target="https://www.pricecharting.com/game/one-piece-promo/sealed-winner-pack-vol-1" TargetMode="External" Id="rId435" /><Relationship Type="http://schemas.openxmlformats.org/officeDocument/2006/relationships/hyperlink" Target="https://www.pricecharting.com/game/one-piece-promo/sealed-winner-pack-vol-2" TargetMode="External" Id="rId436" /><Relationship Type="http://schemas.openxmlformats.org/officeDocument/2006/relationships/hyperlink" Target="https://www.pricecharting.com/game/one-piece-promo/sealed-winner-pack-vol-3" TargetMode="External" Id="rId437" /><Relationship Type="http://schemas.openxmlformats.org/officeDocument/2006/relationships/hyperlink" Target="https://www.pricecharting.com/game/one-piece-promo/sealed-winner-pack-vol-4" TargetMode="External" Id="rId438" /><Relationship Type="http://schemas.openxmlformats.org/officeDocument/2006/relationships/hyperlink" Target="https://www.pricecharting.com/game/one-piece-promo/sealed-winner-pack-vol-5" TargetMode="External" Id="rId439" /><Relationship Type="http://schemas.openxmlformats.org/officeDocument/2006/relationships/hyperlink" Target="https://www.pricecharting.com/game/one-piece-romance-dawn/booster-pack" TargetMode="External" Id="rId440" /><Relationship Type="http://schemas.openxmlformats.org/officeDocument/2006/relationships/hyperlink" Target="https://www.tcgplayer.com/product/450085" TargetMode="External" Id="rId441" /><Relationship Type="http://schemas.openxmlformats.org/officeDocument/2006/relationships/hyperlink" Target="https://www.pricecharting.com/game/one-piece-romance-dawn/sleeved-booster-pack" TargetMode="External" Id="rId442" /><Relationship Type="http://schemas.openxmlformats.org/officeDocument/2006/relationships/hyperlink" Target="https://www.tcgplayer.com/product/531774" TargetMode="External" Id="rId443" /><Relationship Type="http://schemas.openxmlformats.org/officeDocument/2006/relationships/hyperlink" Target="https://www.pricecharting.com/game/one-piece-royal-blood/sleeved-booster-pack" TargetMode="External" Id="rId444" /><Relationship Type="http://schemas.openxmlformats.org/officeDocument/2006/relationships/hyperlink" Target="https://www.tcgplayer.com/product/624523" TargetMode="External" Id="rId445" /><Relationship Type="http://schemas.openxmlformats.org/officeDocument/2006/relationships/hyperlink" Target="https://www.pricecharting.com/game/one-piece-royal-blood/booster-pack" TargetMode="External" Id="rId446" /><Relationship Type="http://schemas.openxmlformats.org/officeDocument/2006/relationships/hyperlink" Target="https://www.tcgplayer.com/product/586670" TargetMode="External" Id="rId447" /><Relationship Type="http://schemas.openxmlformats.org/officeDocument/2006/relationships/hyperlink" Target="https://www.tcgplayer.com/product/620841" TargetMode="External" Id="rId448" /><Relationship Type="http://schemas.openxmlformats.org/officeDocument/2006/relationships/hyperlink" Target="https://www.pricecharting.com/game/one-piece-starter-deck-29-egghead/sealed-bonus-pack" TargetMode="External" Id="rId449" /><Relationship Type="http://schemas.openxmlformats.org/officeDocument/2006/relationships/hyperlink" Target="https://www.tcgplayer.com/product/675812" TargetMode="External" Id="rId450" /><Relationship Type="http://schemas.openxmlformats.org/officeDocument/2006/relationships/hyperlink" Target="https://www.tcgplayer.com/product/672372" TargetMode="External" Id="rId451" /><Relationship Type="http://schemas.openxmlformats.org/officeDocument/2006/relationships/hyperlink" Target="https://www.tcgplayer.com/product/666577" TargetMode="External" Id="rId452" /><Relationship Type="http://schemas.openxmlformats.org/officeDocument/2006/relationships/hyperlink" Target="https://www.tcgplayer.com/product/666576" TargetMode="External" Id="rId453" /><Relationship Type="http://schemas.openxmlformats.org/officeDocument/2006/relationships/hyperlink" Target="https://www.tcgplayer.com/product/671882" TargetMode="External" Id="rId454" /><Relationship Type="http://schemas.openxmlformats.org/officeDocument/2006/relationships/hyperlink" Target="https://www.tcgplayer.com/product/712904" TargetMode="External" Id="rId455" /><Relationship Type="http://schemas.openxmlformats.org/officeDocument/2006/relationships/hyperlink" Target="https://www.tcgplayer.com/product/712903" TargetMode="External" Id="rId456" /><Relationship Type="http://schemas.openxmlformats.org/officeDocument/2006/relationships/hyperlink" Target="https://www.tcgplayer.com/product/701593" TargetMode="External" Id="rId457" /><Relationship Type="http://schemas.openxmlformats.org/officeDocument/2006/relationships/hyperlink" Target="https://www.pricecharting.com/game/one-piece-the-time-of-battle/booster-pack" TargetMode="External" Id="rId458" /><Relationship Type="http://schemas.openxmlformats.org/officeDocument/2006/relationships/hyperlink" Target="https://www.tcgplayer.com/product/689341" TargetMode="External" Id="rId459" /><Relationship Type="http://schemas.openxmlformats.org/officeDocument/2006/relationships/hyperlink" Target="https://www.pricecharting.com/game/one-piece-the-time-of-battle/sealed-double-pack" TargetMode="External" Id="rId460" /><Relationship Type="http://schemas.openxmlformats.org/officeDocument/2006/relationships/hyperlink" Target="https://www.pricecharting.com/game/one-piece-the-time-of-battle/sleeved-booster-pack" TargetMode="External" Id="rId461" /><Relationship Type="http://schemas.openxmlformats.org/officeDocument/2006/relationships/hyperlink" Target="https://www.tcgplayer.com/product/689347" TargetMode="External" Id="rId462" /><Relationship Type="http://schemas.openxmlformats.org/officeDocument/2006/relationships/hyperlink" Target="https://www.tcgplayer.com/product/697491" TargetMode="External" Id="rId463" /><Relationship Type="http://schemas.openxmlformats.org/officeDocument/2006/relationships/hyperlink" Target="https://www.tcgplayer.com/product/704756" TargetMode="External" Id="rId464" /><Relationship Type="http://schemas.openxmlformats.org/officeDocument/2006/relationships/hyperlink" Target="https://www.tcgplayer.com/product/704755" TargetMode="External" Id="rId465" /><Relationship Type="http://schemas.openxmlformats.org/officeDocument/2006/relationships/hyperlink" Target="https://www.tcgplayer.com/product/712741" TargetMode="External" Id="rId466" /><Relationship Type="http://schemas.openxmlformats.org/officeDocument/2006/relationships/hyperlink" Target="https://www.tcgplayer.com/product/586061" TargetMode="External" Id="rId467" /><Relationship Type="http://schemas.openxmlformats.org/officeDocument/2006/relationships/hyperlink" Target="https://www.pricecharting.com/game/one-piece-two-legends/booster-pack" TargetMode="External" Id="rId468" /><Relationship Type="http://schemas.openxmlformats.org/officeDocument/2006/relationships/hyperlink" Target="https://www.tcgplayer.com/product/542502" TargetMode="External" Id="rId469" /><Relationship Type="http://schemas.openxmlformats.org/officeDocument/2006/relationships/hyperlink" Target="https://www.pricecharting.com/game/one-piece-two-legends/sleeved-booster-pack" TargetMode="External" Id="rId470" /><Relationship Type="http://schemas.openxmlformats.org/officeDocument/2006/relationships/hyperlink" Target="https://www.tcgplayer.com/product/542503" TargetMode="External" Id="rId471" /><Relationship Type="http://schemas.openxmlformats.org/officeDocument/2006/relationships/hyperlink" Target="https://www.pricecharting.com/game/one-piece-two-legends/double-pack-dp-05" TargetMode="External" Id="rId472" /><Relationship Type="http://schemas.openxmlformats.org/officeDocument/2006/relationships/hyperlink" Target="https://www.pricecharting.com/game/one-piece-two-legends/pre-release-pack" TargetMode="External" Id="rId473" /><Relationship Type="http://schemas.openxmlformats.org/officeDocument/2006/relationships/hyperlink" Target="https://www.tcgplayer.com/product/577144" TargetMode="External" Id="rId474" /><Relationship Type="http://schemas.openxmlformats.org/officeDocument/2006/relationships/hyperlink" Target="https://www.pricecharting.com/game/one-piece-ultra-deck-the-three-brothers/bonus-pack" TargetMode="External" Id="rId475" /><Relationship Type="http://schemas.openxmlformats.org/officeDocument/2006/relationships/hyperlink" Target="https://www.tcgplayer.com/product/543906" TargetMode="External" Id="rId476" /><Relationship Type="http://schemas.openxmlformats.org/officeDocument/2006/relationships/hyperlink" Target="https://www.pricecharting.com/game/one-piece-wings-of-the-captain/booster-pack" TargetMode="External" Id="rId477" /><Relationship Type="http://schemas.openxmlformats.org/officeDocument/2006/relationships/hyperlink" Target="https://www.tcgplayer.com/product/515077" TargetMode="External" Id="rId478" /><Relationship Type="http://schemas.openxmlformats.org/officeDocument/2006/relationships/hyperlink" Target="https://www.pricecharting.com/game/one-piece-wings-of-the-captain/sleeved-booster-pack" TargetMode="External" Id="rId479" /><Relationship Type="http://schemas.openxmlformats.org/officeDocument/2006/relationships/hyperlink" Target="https://www.tcgplayer.com/product/543371" TargetMode="External" Id="rId480" /><Relationship Type="http://schemas.openxmlformats.org/officeDocument/2006/relationships/hyperlink" Target="https://www.pricecharting.com/game/one-piece-wings-of-the-captain/double-pack-dp-03" TargetMode="External" Id="rId481" /><Relationship Type="http://schemas.openxmlformats.org/officeDocument/2006/relationships/hyperlink" Target="https://www.tcgplayer.com/product/537437" TargetMode="External" Id="rId482" /><Relationship Type="http://schemas.openxmlformats.org/officeDocument/2006/relationships/hyperlink" Target="https://www.pricecharting.com/game/pokemon-1999-topps-movie/booster-box" TargetMode="External" Id="rId483" /><Relationship Type="http://schemas.openxmlformats.org/officeDocument/2006/relationships/hyperlink" Target="https://www.pricecharting.com/game/pokemon-1999-topps-movie/booster-box-black-logo" TargetMode="External" Id="rId484" /><Relationship Type="http://schemas.openxmlformats.org/officeDocument/2006/relationships/hyperlink" Target="https://www.pricecharting.com/game/pokemon-1999-topps-tv/booster-box" TargetMode="External" Id="rId485" /><Relationship Type="http://schemas.openxmlformats.org/officeDocument/2006/relationships/hyperlink" Target="https://www.pricecharting.com/game/pokemon-2000-topps-tv/booster-box-series-2" TargetMode="External" Id="rId486" /><Relationship Type="http://schemas.openxmlformats.org/officeDocument/2006/relationships/hyperlink" Target="https://www.pricecharting.com/game/pokemon-2000-topps-tv/booster-box-series-3" TargetMode="External" Id="rId487" /><Relationship Type="http://schemas.openxmlformats.org/officeDocument/2006/relationships/hyperlink" Target="https://www.pricecharting.com/game/pokemon-ancient-origins/booster-box" TargetMode="External" Id="rId488" /><Relationship Type="http://schemas.openxmlformats.org/officeDocument/2006/relationships/hyperlink" Target="https://www.pricecharting.com/game/pokemon-aquapolis/booster-box" TargetMode="External" Id="rId489" /><Relationship Type="http://schemas.openxmlformats.org/officeDocument/2006/relationships/hyperlink" Target="https://www.pricecharting.com/game/pokemon-arceus/booster-box" TargetMode="External" Id="rId490" /><Relationship Type="http://schemas.openxmlformats.org/officeDocument/2006/relationships/hyperlink" Target="https://www.tcgplayer.com/product/98593" TargetMode="External" Id="rId491" /><Relationship Type="http://schemas.openxmlformats.org/officeDocument/2006/relationships/hyperlink" Target="https://www.pricecharting.com/game/pokemon-ascended-heroes/booster-bundle-display-box" TargetMode="External" Id="rId492" /><Relationship Type="http://schemas.openxmlformats.org/officeDocument/2006/relationships/hyperlink" Target="https://www.pricecharting.com/game/pokemon-astral-radiance/build-&amp;-battle-display-box" TargetMode="External" Id="rId493" /><Relationship Type="http://schemas.openxmlformats.org/officeDocument/2006/relationships/hyperlink" Target="https://www.pricecharting.com/game/pokemon-base-set/booster-box" TargetMode="External" Id="rId494" /><Relationship Type="http://schemas.openxmlformats.org/officeDocument/2006/relationships/hyperlink" Target="https://www.pricecharting.com/game/pokemon-base-set/booster-box-1st-edition" TargetMode="External" Id="rId495" /><Relationship Type="http://schemas.openxmlformats.org/officeDocument/2006/relationships/hyperlink" Target="https://www.tcgplayer.com/product/185731" TargetMode="External" Id="rId496" /><Relationship Type="http://schemas.openxmlformats.org/officeDocument/2006/relationships/hyperlink" Target="https://www.pricecharting.com/game/pokemon-base-set-2/booster-box" TargetMode="External" Id="rId497" /><Relationship Type="http://schemas.openxmlformats.org/officeDocument/2006/relationships/hyperlink" Target="https://www.tcgplayer.com/product/107610" TargetMode="External" Id="rId498" /><Relationship Type="http://schemas.openxmlformats.org/officeDocument/2006/relationships/hyperlink" Target="https://www.pricecharting.com/game/pokemon-black-bolt/booster-bundle-display-box" TargetMode="External" Id="rId499" /><Relationship Type="http://schemas.openxmlformats.org/officeDocument/2006/relationships/hyperlink" Target="https://www.pricecharting.com/game/pokemon-boundaries-crossed/booster-box" TargetMode="External" Id="rId500" /><Relationship Type="http://schemas.openxmlformats.org/officeDocument/2006/relationships/hyperlink" Target="https://www.tcgplayer.com/product/98555" TargetMode="External" Id="rId501" /><Relationship Type="http://schemas.openxmlformats.org/officeDocument/2006/relationships/hyperlink" Target="https://www.pricecharting.com/game/pokemon-breakpoint/booster-box" TargetMode="External" Id="rId502" /><Relationship Type="http://schemas.openxmlformats.org/officeDocument/2006/relationships/hyperlink" Target="https://www.pricecharting.com/game/pokemon-breakthrough/booster-box" TargetMode="External" Id="rId503" /><Relationship Type="http://schemas.openxmlformats.org/officeDocument/2006/relationships/hyperlink" Target="https://www.pricecharting.com/game/pokemon-brilliant-stars/build-&amp;-battle-display-box" TargetMode="External" Id="rId504" /><Relationship Type="http://schemas.openxmlformats.org/officeDocument/2006/relationships/hyperlink" Target="https://www.pricecharting.com/game/pokemon-burning-shadows/booster-box-prerelease" TargetMode="External" Id="rId505" /><Relationship Type="http://schemas.openxmlformats.org/officeDocument/2006/relationships/hyperlink" Target="https://www.pricecharting.com/game/pokemon-call-of-legends/booster-box" TargetMode="External" Id="rId506" /><Relationship Type="http://schemas.openxmlformats.org/officeDocument/2006/relationships/hyperlink" Target="https://www.tcgplayer.com/product/98514" TargetMode="External" Id="rId507" /><Relationship Type="http://schemas.openxmlformats.org/officeDocument/2006/relationships/hyperlink" Target="https://www.pricecharting.com/game/pokemon-chaos-rising/booster-box" TargetMode="External" Id="rId508" /><Relationship Type="http://schemas.openxmlformats.org/officeDocument/2006/relationships/hyperlink" Target="https://www.pricecharting.com/game/pokemon-chaos-rising/half-booster-box" TargetMode="External" Id="rId509" /><Relationship Type="http://schemas.openxmlformats.org/officeDocument/2006/relationships/hyperlink" Target="https://www.pricecharting.com/game/pokemon-chilling-reign/build-&amp;-battle-display-box" TargetMode="External" Id="rId510" /><Relationship Type="http://schemas.openxmlformats.org/officeDocument/2006/relationships/hyperlink" Target="https://www.pricecharting.com/game/pokemon-chinese-151-collect/booster-box" TargetMode="External" Id="rId511" /><Relationship Type="http://schemas.openxmlformats.org/officeDocument/2006/relationships/hyperlink" Target="https://www.pricecharting.com/game/pokemon-chinese-151-collect/booster-box-surprise-jumbo" TargetMode="External" Id="rId512" /><Relationship Type="http://schemas.openxmlformats.org/officeDocument/2006/relationships/hyperlink" Target="https://www.pricecharting.com/game/pokemon-chinese-151-collect/booster-box-surprise-slim" TargetMode="External" Id="rId513" /><Relationship Type="http://schemas.openxmlformats.org/officeDocument/2006/relationships/hyperlink" Target="https://www.pricecharting.com/game/pokemon-chinese-151-collect/booster-box-volume-4" TargetMode="External" Id="rId514" /><Relationship Type="http://schemas.openxmlformats.org/officeDocument/2006/relationships/hyperlink" Target="https://www.pricecharting.com/game/pokemon-chinese-151-collect/slim-booster-box-hope" TargetMode="External" Id="rId515" /><Relationship Type="http://schemas.openxmlformats.org/officeDocument/2006/relationships/hyperlink" Target="https://www.pricecharting.com/game/pokemon-chinese-csv10c/jumbo-booster-box" TargetMode="External" Id="rId516" /><Relationship Type="http://schemas.openxmlformats.org/officeDocument/2006/relationships/hyperlink" Target="https://www.pricecharting.com/game/pokemon-chinese-csv10c/slim-booster-box" TargetMode="External" Id="rId517" /><Relationship Type="http://schemas.openxmlformats.org/officeDocument/2006/relationships/hyperlink" Target="https://www.pricecharting.com/game/pokemon-chinese-csv4c/booster-box-jumbo" TargetMode="External" Id="rId518" /><Relationship Type="http://schemas.openxmlformats.org/officeDocument/2006/relationships/hyperlink" Target="https://www.pricecharting.com/game/pokemon-chinese-csv4c/booster-box-slim" TargetMode="External" Id="rId519" /><Relationship Type="http://schemas.openxmlformats.org/officeDocument/2006/relationships/hyperlink" Target="https://www.pricecharting.com/game/pokemon-chinese-csv5c/jumbo-booster-box" TargetMode="External" Id="rId520" /><Relationship Type="http://schemas.openxmlformats.org/officeDocument/2006/relationships/hyperlink" Target="https://www.pricecharting.com/game/pokemon-chinese-csv5c/slim-booster-box" TargetMode="External" Id="rId521" /><Relationship Type="http://schemas.openxmlformats.org/officeDocument/2006/relationships/hyperlink" Target="https://www.pricecharting.com/game/pokemon-chinese-csv6c/jumbo-booster-box" TargetMode="External" Id="rId522" /><Relationship Type="http://schemas.openxmlformats.org/officeDocument/2006/relationships/hyperlink" Target="https://www.pricecharting.com/game/pokemon-chinese-csv7c/jumbo-booster-box" TargetMode="External" Id="rId523" /><Relationship Type="http://schemas.openxmlformats.org/officeDocument/2006/relationships/hyperlink" Target="https://www.pricecharting.com/game/pokemon-chinese-csv8c/jumbo-booster-box" TargetMode="External" Id="rId524" /><Relationship Type="http://schemas.openxmlformats.org/officeDocument/2006/relationships/hyperlink" Target="https://www.pricecharting.com/game/pokemon-chinese-csv9c/booster-box" TargetMode="External" Id="rId525" /><Relationship Type="http://schemas.openxmlformats.org/officeDocument/2006/relationships/hyperlink" Target="https://www.pricecharting.com/game/pokemon-chinese-gem-pack/sealed-booster-box" TargetMode="External" Id="rId526" /><Relationship Type="http://schemas.openxmlformats.org/officeDocument/2006/relationships/hyperlink" Target="https://www.pricecharting.com/game/pokemon-chinese-gem-pack-2/booster-box" TargetMode="External" Id="rId527" /><Relationship Type="http://schemas.openxmlformats.org/officeDocument/2006/relationships/hyperlink" Target="https://www.pricecharting.com/game/pokemon-chinese-gem-pack-3/booster-box" TargetMode="External" Id="rId528" /><Relationship Type="http://schemas.openxmlformats.org/officeDocument/2006/relationships/hyperlink" Target="https://www.pricecharting.com/game/pokemon-chinese-gem-pack-4/booster-box" TargetMode="External" Id="rId529" /><Relationship Type="http://schemas.openxmlformats.org/officeDocument/2006/relationships/hyperlink" Target="https://www.pricecharting.com/game/pokemon-chinese-gem-pack-5/booster-box" TargetMode="External" Id="rId530" /><Relationship Type="http://schemas.openxmlformats.org/officeDocument/2006/relationships/hyperlink" Target="https://www.pricecharting.com/game/pokemon-chinese-gem-pack-6/booster-box" TargetMode="External" Id="rId531" /><Relationship Type="http://schemas.openxmlformats.org/officeDocument/2006/relationships/hyperlink" Target="https://www.pricecharting.com/game/pokemon-chinese-promo/151-first-partner-display-box-bulbasaur" TargetMode="External" Id="rId532" /><Relationship Type="http://schemas.openxmlformats.org/officeDocument/2006/relationships/hyperlink" Target="https://www.pricecharting.com/game/pokemon-chinese-promo/151-first-partner-display-box-charmander" TargetMode="External" Id="rId533" /><Relationship Type="http://schemas.openxmlformats.org/officeDocument/2006/relationships/hyperlink" Target="https://www.pricecharting.com/game/pokemon-chinese-promo/151-first-partner-display-box-squirtle" TargetMode="External" Id="rId534" /><Relationship Type="http://schemas.openxmlformats.org/officeDocument/2006/relationships/hyperlink" Target="https://www.pricecharting.com/game/pokemon-cosmic-eclipse/booster-box" TargetMode="External" Id="rId535" /><Relationship Type="http://schemas.openxmlformats.org/officeDocument/2006/relationships/hyperlink" Target="https://www.pricecharting.com/game/pokemon-cosmic-eclipse/booster-box-build-&amp;-battle" TargetMode="External" Id="rId536" /><Relationship Type="http://schemas.openxmlformats.org/officeDocument/2006/relationships/hyperlink" Target="https://www.pricecharting.com/game/pokemon-cosmic-eclipse/build-&amp;-battle-display-box" TargetMode="External" Id="rId537" /><Relationship Type="http://schemas.openxmlformats.org/officeDocument/2006/relationships/hyperlink" Target="https://www.tcgplayer.com/product/660024" TargetMode="External" Id="rId538" /><Relationship Type="http://schemas.openxmlformats.org/officeDocument/2006/relationships/hyperlink" Target="https://www.pricecharting.com/game/pokemon-dark-explorers/booster-box" TargetMode="External" Id="rId539" /><Relationship Type="http://schemas.openxmlformats.org/officeDocument/2006/relationships/hyperlink" Target="https://www.tcgplayer.com/product/98520" TargetMode="External" Id="rId540" /><Relationship Type="http://schemas.openxmlformats.org/officeDocument/2006/relationships/hyperlink" Target="https://www.pricecharting.com/game/pokemon-darkness-ablaze/build-&amp;-battle-display-box" TargetMode="External" Id="rId541" /><Relationship Type="http://schemas.openxmlformats.org/officeDocument/2006/relationships/hyperlink" Target="https://www.pricecharting.com/game/pokemon-destined-rivals/build-&amp;-battle-display-box" TargetMode="External" Id="rId542" /><Relationship Type="http://schemas.openxmlformats.org/officeDocument/2006/relationships/hyperlink" Target="https://www.pricecharting.com/game/pokemon-destined-rivals/half-booster-box" TargetMode="External" Id="rId543" /><Relationship Type="http://schemas.openxmlformats.org/officeDocument/2006/relationships/hyperlink" Target="https://www.pricecharting.com/game/pokemon-dragons-exalted/booster-box" TargetMode="External" Id="rId544" /><Relationship Type="http://schemas.openxmlformats.org/officeDocument/2006/relationships/hyperlink" Target="https://www.tcgplayer.com/product/98540" TargetMode="External" Id="rId545" /><Relationship Type="http://schemas.openxmlformats.org/officeDocument/2006/relationships/hyperlink" Target="https://www.pricecharting.com/game/pokemon-evolutions/booster-box" TargetMode="External" Id="rId546" /><Relationship Type="http://schemas.openxmlformats.org/officeDocument/2006/relationships/hyperlink" Target="https://www.pricecharting.com/game/pokemon-evolving-skies/build-&amp;-battle-display-box" TargetMode="External" Id="rId547" /><Relationship Type="http://schemas.openxmlformats.org/officeDocument/2006/relationships/hyperlink" Target="https://www.pricecharting.com/game/pokemon-crystal-guardians/booster-box" TargetMode="External" Id="rId548" /><Relationship Type="http://schemas.openxmlformats.org/officeDocument/2006/relationships/hyperlink" Target="https://www.tcgplayer.com/product/98567" TargetMode="External" Id="rId549" /><Relationship Type="http://schemas.openxmlformats.org/officeDocument/2006/relationships/hyperlink" Target="https://www.pricecharting.com/game/pokemon-delta-species/booster-box" TargetMode="External" Id="rId550" /><Relationship Type="http://schemas.openxmlformats.org/officeDocument/2006/relationships/hyperlink" Target="https://www.tcgplayer.com/product/98943" TargetMode="External" Id="rId551" /><Relationship Type="http://schemas.openxmlformats.org/officeDocument/2006/relationships/hyperlink" Target="https://www.pricecharting.com/game/pokemon-deoxys/booster-box" TargetMode="External" Id="rId552" /><Relationship Type="http://schemas.openxmlformats.org/officeDocument/2006/relationships/hyperlink" Target="https://www.tcgplayer.com/product/98563" TargetMode="External" Id="rId553" /><Relationship Type="http://schemas.openxmlformats.org/officeDocument/2006/relationships/hyperlink" Target="https://www.pricecharting.com/game/pokemon-dragon-frontiers/booster-box" TargetMode="External" Id="rId554" /><Relationship Type="http://schemas.openxmlformats.org/officeDocument/2006/relationships/hyperlink" Target="https://www.tcgplayer.com/product/98532" TargetMode="External" Id="rId555" /><Relationship Type="http://schemas.openxmlformats.org/officeDocument/2006/relationships/hyperlink" Target="https://www.pricecharting.com/game/pokemon-emerald/booster-box" TargetMode="External" Id="rId556" /><Relationship Type="http://schemas.openxmlformats.org/officeDocument/2006/relationships/hyperlink" Target="https://www.tcgplayer.com/product/98547" TargetMode="External" Id="rId557" /><Relationship Type="http://schemas.openxmlformats.org/officeDocument/2006/relationships/hyperlink" Target="https://www.pricecharting.com/game/pokemon-hidden-legends/booster-box" TargetMode="External" Id="rId558" /><Relationship Type="http://schemas.openxmlformats.org/officeDocument/2006/relationships/hyperlink" Target="https://www.tcgplayer.com/product/98596" TargetMode="External" Id="rId559" /><Relationship Type="http://schemas.openxmlformats.org/officeDocument/2006/relationships/hyperlink" Target="https://www.pricecharting.com/game/pokemon-holon-phantoms/booster-box" TargetMode="External" Id="rId560" /><Relationship Type="http://schemas.openxmlformats.org/officeDocument/2006/relationships/hyperlink" Target="https://www.tcgplayer.com/product/98523" TargetMode="External" Id="rId561" /><Relationship Type="http://schemas.openxmlformats.org/officeDocument/2006/relationships/hyperlink" Target="https://www.pricecharting.com/game/pokemon-legend-maker/booster-box" TargetMode="External" Id="rId562" /><Relationship Type="http://schemas.openxmlformats.org/officeDocument/2006/relationships/hyperlink" Target="https://www.tcgplayer.com/product/98556" TargetMode="External" Id="rId563" /><Relationship Type="http://schemas.openxmlformats.org/officeDocument/2006/relationships/hyperlink" Target="https://www.pricecharting.com/game/pokemon-power-keepers/booster-box" TargetMode="External" Id="rId564" /><Relationship Type="http://schemas.openxmlformats.org/officeDocument/2006/relationships/hyperlink" Target="https://www.tcgplayer.com/product/98528" TargetMode="External" Id="rId565" /><Relationship Type="http://schemas.openxmlformats.org/officeDocument/2006/relationships/hyperlink" Target="https://www.pricecharting.com/game/pokemon-team-rocket-returns/booster-box" TargetMode="External" Id="rId566" /><Relationship Type="http://schemas.openxmlformats.org/officeDocument/2006/relationships/hyperlink" Target="https://www.tcgplayer.com/product/98579" TargetMode="External" Id="rId567" /><Relationship Type="http://schemas.openxmlformats.org/officeDocument/2006/relationships/hyperlink" Target="https://www.pricecharting.com/game/pokemon-unseen-forces/booster-box" TargetMode="External" Id="rId568" /><Relationship Type="http://schemas.openxmlformats.org/officeDocument/2006/relationships/hyperlink" Target="https://www.tcgplayer.com/product/98576" TargetMode="External" Id="rId569" /><Relationship Type="http://schemas.openxmlformats.org/officeDocument/2006/relationships/hyperlink" Target="https://www.pricecharting.com/game/pokemon-expedition/booster-box" TargetMode="External" Id="rId570" /><Relationship Type="http://schemas.openxmlformats.org/officeDocument/2006/relationships/hyperlink" Target="https://www.pricecharting.com/game/pokemon-fates-collide/booster-box" TargetMode="External" Id="rId571" /><Relationship Type="http://schemas.openxmlformats.org/officeDocument/2006/relationships/hyperlink" Target="https://www.pricecharting.com/game/pokemon-fossil/booster-box" TargetMode="External" Id="rId572" /><Relationship Type="http://schemas.openxmlformats.org/officeDocument/2006/relationships/hyperlink" Target="https://www.pricecharting.com/game/pokemon-fossil/booster-box-1st-edition" TargetMode="External" Id="rId573" /><Relationship Type="http://schemas.openxmlformats.org/officeDocument/2006/relationships/hyperlink" Target="https://www.pricecharting.com/game/pokemon-fusion-strike/half-booster-box" TargetMode="External" Id="rId574" /><Relationship Type="http://schemas.openxmlformats.org/officeDocument/2006/relationships/hyperlink" Target="https://www.pricecharting.com/game/pokemon-great-encounters/booster-box" TargetMode="External" Id="rId575" /><Relationship Type="http://schemas.openxmlformats.org/officeDocument/2006/relationships/hyperlink" Target="https://www.tcgplayer.com/product/98544" TargetMode="External" Id="rId576" /><Relationship Type="http://schemas.openxmlformats.org/officeDocument/2006/relationships/hyperlink" Target="https://www.pricecharting.com/game/pokemon-guardians-rising/booster-box" TargetMode="External" Id="rId577" /><Relationship Type="http://schemas.openxmlformats.org/officeDocument/2006/relationships/hyperlink" Target="https://www.pricecharting.com/game/pokemon-gym-challenge/booster-box" TargetMode="External" Id="rId578" /><Relationship Type="http://schemas.openxmlformats.org/officeDocument/2006/relationships/hyperlink" Target="https://www.pricecharting.com/game/pokemon-gym-challenge/booster-box-1st-edition" TargetMode="External" Id="rId579" /><Relationship Type="http://schemas.openxmlformats.org/officeDocument/2006/relationships/hyperlink" Target="https://www.tcgplayer.com/product/276588" TargetMode="External" Id="rId580" /><Relationship Type="http://schemas.openxmlformats.org/officeDocument/2006/relationships/hyperlink" Target="https://www.pricecharting.com/game/pokemon-gym-heroes/booster-box" TargetMode="External" Id="rId581" /><Relationship Type="http://schemas.openxmlformats.org/officeDocument/2006/relationships/hyperlink" Target="https://www.pricecharting.com/game/pokemon-gym-heroes/booster-box-1st-edition" TargetMode="External" Id="rId582" /><Relationship Type="http://schemas.openxmlformats.org/officeDocument/2006/relationships/hyperlink" Target="https://www.tcgplayer.com/product/208707" TargetMode="External" Id="rId583" /><Relationship Type="http://schemas.openxmlformats.org/officeDocument/2006/relationships/hyperlink" Target="https://www.pricecharting.com/game/pokemon-japanese-20th-anniversary/booster-box" TargetMode="External" Id="rId584" /><Relationship Type="http://schemas.openxmlformats.org/officeDocument/2006/relationships/hyperlink" Target="https://www.pricecharting.com/game/pokemon-japanese-25th-anniversary-collection/booster-box" TargetMode="External" Id="rId585" /><Relationship Type="http://schemas.openxmlformats.org/officeDocument/2006/relationships/hyperlink" Target="https://www.pricecharting.com/game/pokemon-japanese-30th-celebration/booster-box" TargetMode="External" Id="rId586" /><Relationship Type="http://schemas.openxmlformats.org/officeDocument/2006/relationships/hyperlink" Target="https://www.pricecharting.com/game/pokemon-japanese-abyss-eye/booster-box" TargetMode="External" Id="rId587" /><Relationship Type="http://schemas.openxmlformats.org/officeDocument/2006/relationships/hyperlink" Target="https://www.pricecharting.com/game/pokemon-japanese-alolan-moonlight/booster-box" TargetMode="External" Id="rId588" /><Relationship Type="http://schemas.openxmlformats.org/officeDocument/2006/relationships/hyperlink" Target="https://www.pricecharting.com/game/pokemon-japanese-alter-genesis/booster-box" TargetMode="External" Id="rId589" /><Relationship Type="http://schemas.openxmlformats.org/officeDocument/2006/relationships/hyperlink" Target="https://www.pricecharting.com/game/pokemon-japanese-amazing-volt-tackle/booster-box" TargetMode="External" Id="rId590" /><Relationship Type="http://schemas.openxmlformats.org/officeDocument/2006/relationships/hyperlink" Target="https://www.pricecharting.com/game/pokemon-japanese-ancient-roar/booster-box" TargetMode="External" Id="rId591" /><Relationship Type="http://schemas.openxmlformats.org/officeDocument/2006/relationships/hyperlink" Target="https://www.pricecharting.com/game/pokemon-japanese-bandit-ring/booster-box" TargetMode="External" Id="rId592" /><Relationship Type="http://schemas.openxmlformats.org/officeDocument/2006/relationships/hyperlink" Target="https://www.pricecharting.com/game/pokemon-japanese-battle-partners/booster-box" TargetMode="External" Id="rId593" /><Relationship Type="http://schemas.openxmlformats.org/officeDocument/2006/relationships/hyperlink" Target="https://www.pricecharting.com/game/pokemon-japanese-battle-region/booster-box" TargetMode="External" Id="rId594" /><Relationship Type="http://schemas.openxmlformats.org/officeDocument/2006/relationships/hyperlink" Target="https://www.pricecharting.com/game/pokemon-japanese-best-of-xy/booster-box" TargetMode="External" Id="rId595" /><Relationship Type="http://schemas.openxmlformats.org/officeDocument/2006/relationships/hyperlink" Target="https://www.pricecharting.com/game/pokemon-japanese-black-bolt/booster-box" TargetMode="External" Id="rId596" /><Relationship Type="http://schemas.openxmlformats.org/officeDocument/2006/relationships/hyperlink" Target="https://www.pricecharting.com/game/pokemon-japanese-black-bolt/deluxe-booster-box" TargetMode="External" Id="rId597" /><Relationship Type="http://schemas.openxmlformats.org/officeDocument/2006/relationships/hyperlink" Target="https://www.pricecharting.com/game/pokemon-japanese-blue-sky-stream/booster-box" TargetMode="External" Id="rId598" /><Relationship Type="http://schemas.openxmlformats.org/officeDocument/2006/relationships/hyperlink" Target="https://www.pricecharting.com/game/pokemon-japanese-cd-promo/booster-box" TargetMode="External" Id="rId599" /><Relationship Type="http://schemas.openxmlformats.org/officeDocument/2006/relationships/hyperlink" Target="https://www.pricecharting.com/game/pokemon-japanese-challenge-from-the-darkness/booster-box" TargetMode="External" Id="rId600" /><Relationship Type="http://schemas.openxmlformats.org/officeDocument/2006/relationships/hyperlink" Target="https://www.pricecharting.com/game/pokemon-japanese-clay-burst/booster-box" TargetMode="External" Id="rId601" /><Relationship Type="http://schemas.openxmlformats.org/officeDocument/2006/relationships/hyperlink" Target="https://www.pricecharting.com/game/pokemon-japanese-crimson-haze/booster-box" TargetMode="External" Id="rId602" /><Relationship Type="http://schemas.openxmlformats.org/officeDocument/2006/relationships/hyperlink" Target="https://www.pricecharting.com/game/pokemon-japanese-crossing-the-ruins/booster-box" TargetMode="External" Id="rId603" /><Relationship Type="http://schemas.openxmlformats.org/officeDocument/2006/relationships/hyperlink" Target="https://www.pricecharting.com/game/pokemon-japanese-cyber-judge/booster-box" TargetMode="External" Id="rId604" /><Relationship Type="http://schemas.openxmlformats.org/officeDocument/2006/relationships/hyperlink" Target="https://www.pricecharting.com/game/pokemon-japanese-dark-phantasma/booster-box" TargetMode="External" Id="rId605" /><Relationship Type="http://schemas.openxmlformats.org/officeDocument/2006/relationships/hyperlink" Target="https://www.pricecharting.com/game/pokemon-japanese-double-blaze/booster-box" TargetMode="External" Id="rId606" /><Relationship Type="http://schemas.openxmlformats.org/officeDocument/2006/relationships/hyperlink" Target="https://www.pricecharting.com/game/pokemon-japanese-dream-league/booster-box" TargetMode="External" Id="rId607" /><Relationship Type="http://schemas.openxmlformats.org/officeDocument/2006/relationships/hyperlink" Target="https://www.pricecharting.com/game/pokemon-japanese-dream-shine-collection/booster-box" TargetMode="External" Id="rId608" /><Relationship Type="http://schemas.openxmlformats.org/officeDocument/2006/relationships/hyperlink" Target="https://www.pricecharting.com/game/pokemon-japanese-eevee-heroes/booster-box" TargetMode="External" Id="rId609" /><Relationship Type="http://schemas.openxmlformats.org/officeDocument/2006/relationships/hyperlink" Target="https://www.pricecharting.com/game/pokemon-japanese-expansion-pack/booster-box-base-set" TargetMode="External" Id="rId610" /><Relationship Type="http://schemas.openxmlformats.org/officeDocument/2006/relationships/hyperlink" Target="https://www.pricecharting.com/game/pokemon-japanese-fusion-arts/booster-box" TargetMode="External" Id="rId611" /><Relationship Type="http://schemas.openxmlformats.org/officeDocument/2006/relationships/hyperlink" Target="https://www.pricecharting.com/game/pokemon-japanese-future-flash/booster-box" TargetMode="External" Id="rId612" /><Relationship Type="http://schemas.openxmlformats.org/officeDocument/2006/relationships/hyperlink" Target="https://www.pricecharting.com/game/pokemon-japanese-glory-of-team-rocket/booster-box" TargetMode="External" Id="rId613" /><Relationship Type="http://schemas.openxmlformats.org/officeDocument/2006/relationships/hyperlink" Target="https://www.pricecharting.com/game/pokemon-japanese-go/booster-box" TargetMode="External" Id="rId614" /><Relationship Type="http://schemas.openxmlformats.org/officeDocument/2006/relationships/hyperlink" Target="https://www.pricecharting.com/game/pokemon-japanese-gold-silver-new-world/booster-box" TargetMode="External" Id="rId615" /><Relationship Type="http://schemas.openxmlformats.org/officeDocument/2006/relationships/hyperlink" Target="https://www.pricecharting.com/game/pokemon-japanese-gx-battle-boost/booster-box-version-1" TargetMode="External" Id="rId616" /><Relationship Type="http://schemas.openxmlformats.org/officeDocument/2006/relationships/hyperlink" Target="https://www.pricecharting.com/game/pokemon-japanese-gx-ultra-shiny/booster-box" TargetMode="External" Id="rId617" /><Relationship Type="http://schemas.openxmlformats.org/officeDocument/2006/relationships/hyperlink" Target="https://www.pricecharting.com/game/pokemon-japanese-heat-wave-arena/booster-box" TargetMode="External" Id="rId618" /><Relationship Type="http://schemas.openxmlformats.org/officeDocument/2006/relationships/hyperlink" Target="https://www.pricecharting.com/game/pokemon-japanese-incandescent-arcana/booster-box" TargetMode="External" Id="rId619" /><Relationship Type="http://schemas.openxmlformats.org/officeDocument/2006/relationships/hyperlink" Target="https://www.pricecharting.com/game/pokemon-japanese-inferno-x/booster-box" TargetMode="External" Id="rId620" /><Relationship Type="http://schemas.openxmlformats.org/officeDocument/2006/relationships/hyperlink" Target="https://www.pricecharting.com/game/pokemon-japanese-jungle/booster-box" TargetMode="External" Id="rId621" /><Relationship Type="http://schemas.openxmlformats.org/officeDocument/2006/relationships/hyperlink" Target="https://www.pricecharting.com/game/pokemon-japanese-legendary-shine-collection/booster-box" TargetMode="External" Id="rId622" /><Relationship Type="http://schemas.openxmlformats.org/officeDocument/2006/relationships/hyperlink" Target="https://www.pricecharting.com/game/pokemon-japanese-lost-abyss/booster-box" TargetMode="External" Id="rId623" /><Relationship Type="http://schemas.openxmlformats.org/officeDocument/2006/relationships/hyperlink" Target="https://www.pricecharting.com/game/pokemon-japanese-mask-of-change/booster-box" TargetMode="External" Id="rId624" /><Relationship Type="http://schemas.openxmlformats.org/officeDocument/2006/relationships/hyperlink" Target="https://www.pricecharting.com/game/pokemon-japanese-mega-brave/booster-box" TargetMode="External" Id="rId625" /><Relationship Type="http://schemas.openxmlformats.org/officeDocument/2006/relationships/hyperlink" Target="https://www.pricecharting.com/game/pokemon-japanese-mega-dream-ex/booster-box" TargetMode="External" Id="rId626" /><Relationship Type="http://schemas.openxmlformats.org/officeDocument/2006/relationships/hyperlink" Target="https://www.pricecharting.com/game/pokemon-japanese-mega-symphonia/booster-box" TargetMode="External" Id="rId627" /><Relationship Type="http://schemas.openxmlformats.org/officeDocument/2006/relationships/hyperlink" Target="https://www.pricecharting.com/game/pokemon-japanese-miracle-twins/booster-box" TargetMode="External" Id="rId628" /><Relationship Type="http://schemas.openxmlformats.org/officeDocument/2006/relationships/hyperlink" Target="https://www.pricecharting.com/game/pokemon-japanese-mystery-of-the-fossils/booster-box" TargetMode="External" Id="rId629" /><Relationship Type="http://schemas.openxmlformats.org/officeDocument/2006/relationships/hyperlink" Target="https://www.pricecharting.com/game/pokemon-japanese-night-wanderer/booster-box" TargetMode="External" Id="rId630" /><Relationship Type="http://schemas.openxmlformats.org/officeDocument/2006/relationships/hyperlink" Target="https://www.pricecharting.com/game/pokemon-japanese-nihil-zero/booster-box" TargetMode="External" Id="rId631" /><Relationship Type="http://schemas.openxmlformats.org/officeDocument/2006/relationships/hyperlink" Target="https://www.pricecharting.com/game/pokemon-japanese-ninja-spinner/booster-box" TargetMode="External" Id="rId632" /><Relationship Type="http://schemas.openxmlformats.org/officeDocument/2006/relationships/hyperlink" Target="https://www.pricecharting.com/game/pokemon-japanese-paradigm-trigger/booster-box" TargetMode="External" Id="rId633" /><Relationship Type="http://schemas.openxmlformats.org/officeDocument/2006/relationships/hyperlink" Target="https://www.pricecharting.com/game/pokemon-japanese-paradise-dragona/booster-box" TargetMode="External" Id="rId634" /><Relationship Type="http://schemas.openxmlformats.org/officeDocument/2006/relationships/hyperlink" Target="https://www.pricecharting.com/game/pokemon-japanese-pokekyun-collection/booster-box" TargetMode="External" Id="rId635" /><Relationship Type="http://schemas.openxmlformats.org/officeDocument/2006/relationships/hyperlink" Target="https://www.pricecharting.com/game/pokemon-japanese-raging-surf/booster-box" TargetMode="External" Id="rId636" /><Relationship Type="http://schemas.openxmlformats.org/officeDocument/2006/relationships/hyperlink" Target="https://www.pricecharting.com/game/pokemon-japanese-remix-bout/booster-box" TargetMode="External" Id="rId637" /><Relationship Type="http://schemas.openxmlformats.org/officeDocument/2006/relationships/hyperlink" Target="https://www.pricecharting.com/game/pokemon-japanese-rocket-gang/booster-box" TargetMode="External" Id="rId638" /><Relationship Type="http://schemas.openxmlformats.org/officeDocument/2006/relationships/hyperlink" Target="https://www.pricecharting.com/game/pokemon-japanese-rocket-gang-strikes-back/booster-box" TargetMode="External" Id="rId639" /><Relationship Type="http://schemas.openxmlformats.org/officeDocument/2006/relationships/hyperlink" Target="https://www.pricecharting.com/game/pokemon-japanese-ruler-of-the-black-flame/booster-box" TargetMode="External" Id="rId640" /><Relationship Type="http://schemas.openxmlformats.org/officeDocument/2006/relationships/hyperlink" Target="https://www.pricecharting.com/game/pokemon-japanese-scarlet-ex/booster-box" TargetMode="External" Id="rId641" /><Relationship Type="http://schemas.openxmlformats.org/officeDocument/2006/relationships/hyperlink" Target="https://www.pricecharting.com/game/pokemon-japanese-shining-legends/booster-box" TargetMode="External" Id="rId642" /><Relationship Type="http://schemas.openxmlformats.org/officeDocument/2006/relationships/hyperlink" Target="https://www.pricecharting.com/game/pokemon-japanese-shiny-collection/booster-box" TargetMode="External" Id="rId643" /><Relationship Type="http://schemas.openxmlformats.org/officeDocument/2006/relationships/hyperlink" Target="https://www.pricecharting.com/game/pokemon-japanese-shiny-star-v/booster-box" TargetMode="External" Id="rId644" /><Relationship Type="http://schemas.openxmlformats.org/officeDocument/2006/relationships/hyperlink" Target="https://www.pricecharting.com/game/pokemon-japanese-shiny-star-v/booster-box-1st-edition" TargetMode="External" Id="rId645" /><Relationship Type="http://schemas.openxmlformats.org/officeDocument/2006/relationships/hyperlink" Target="https://www.pricecharting.com/game/pokemon-japanese-shiny-treasure-ex/booster-box" TargetMode="External" Id="rId646" /><Relationship Type="http://schemas.openxmlformats.org/officeDocument/2006/relationships/hyperlink" Target="https://www.pricecharting.com/game/pokemon-japanese-snow-hazard/booster-box" TargetMode="External" Id="rId647" /><Relationship Type="http://schemas.openxmlformats.org/officeDocument/2006/relationships/hyperlink" Target="https://www.pricecharting.com/game/pokemon-japanese-star-birth/booster-box" TargetMode="External" Id="rId648" /><Relationship Type="http://schemas.openxmlformats.org/officeDocument/2006/relationships/hyperlink" Target="https://www.pricecharting.com/game/pokemon-japanese-stellar-miracle/booster-box" TargetMode="External" Id="rId649" /><Relationship Type="http://schemas.openxmlformats.org/officeDocument/2006/relationships/hyperlink" Target="https://www.pricecharting.com/game/pokemon-japanese-storm-emeralda/booster-box" TargetMode="External" Id="rId650" /><Relationship Type="http://schemas.openxmlformats.org/officeDocument/2006/relationships/hyperlink" Target="https://www.pricecharting.com/game/pokemon-japanese-super-electric-breaker/booster-box" TargetMode="External" Id="rId651" /><Relationship Type="http://schemas.openxmlformats.org/officeDocument/2006/relationships/hyperlink" Target="https://www.pricecharting.com/game/pokemon-japanese-tag-all-stars/booster-box" TargetMode="External" Id="rId652" /><Relationship Type="http://schemas.openxmlformats.org/officeDocument/2006/relationships/hyperlink" Target="https://www.pricecharting.com/game/pokemon-japanese-tag-bolt/booster-box" TargetMode="External" Id="rId653" /><Relationship Type="http://schemas.openxmlformats.org/officeDocument/2006/relationships/hyperlink" Target="https://www.pricecharting.com/game/pokemon-japanese-terastal-festival/booster-box" TargetMode="External" Id="rId654" /><Relationship Type="http://schemas.openxmlformats.org/officeDocument/2006/relationships/hyperlink" Target="https://www.pricecharting.com/game/pokemon-japanese-triplet-beat/booster-box" TargetMode="External" Id="rId655" /><Relationship Type="http://schemas.openxmlformats.org/officeDocument/2006/relationships/hyperlink" Target="https://www.pricecharting.com/game/pokemon-japanese-violet-ex/booster-box" TargetMode="External" Id="rId656" /><Relationship Type="http://schemas.openxmlformats.org/officeDocument/2006/relationships/hyperlink" Target="https://www.pricecharting.com/game/pokemon-japanese-vmax-climax/booster-box" TargetMode="External" Id="rId657" /><Relationship Type="http://schemas.openxmlformats.org/officeDocument/2006/relationships/hyperlink" Target="https://www.pricecharting.com/game/pokemon-japanese-vstar-universe/booster-box" TargetMode="External" Id="rId658" /><Relationship Type="http://schemas.openxmlformats.org/officeDocument/2006/relationships/hyperlink" Target="https://www.pricecharting.com/game/pokemon-japanese-white-flare/booster-box" TargetMode="External" Id="rId659" /><Relationship Type="http://schemas.openxmlformats.org/officeDocument/2006/relationships/hyperlink" Target="https://www.pricecharting.com/game/pokemon-japanese-white-flare/deluxe-booster-box" TargetMode="External" Id="rId660" /><Relationship Type="http://schemas.openxmlformats.org/officeDocument/2006/relationships/hyperlink" Target="https://www.pricecharting.com/game/pokemon-japanese-wild-force/booster-box" TargetMode="External" Id="rId661" /><Relationship Type="http://schemas.openxmlformats.org/officeDocument/2006/relationships/hyperlink" Target="https://www.pricecharting.com/game/pokemon-japanese-wind-from-the-sea/booster-box" TargetMode="External" Id="rId662" /><Relationship Type="http://schemas.openxmlformats.org/officeDocument/2006/relationships/hyperlink" Target="https://www.pricecharting.com/game/pokemon-journey-together/booster-box-enhanced" TargetMode="External" Id="rId663" /><Relationship Type="http://schemas.openxmlformats.org/officeDocument/2006/relationships/hyperlink" Target="https://www.pricecharting.com/game/pokemon-journey-together/build-&amp;-battle-display-box" TargetMode="External" Id="rId664" /><Relationship Type="http://schemas.openxmlformats.org/officeDocument/2006/relationships/hyperlink" Target="https://www.pricecharting.com/game/pokemon-jungle/booster-box" TargetMode="External" Id="rId665" /><Relationship Type="http://schemas.openxmlformats.org/officeDocument/2006/relationships/hyperlink" Target="https://www.pricecharting.com/game/pokemon-jungle/booster-box-1st-edition" TargetMode="External" Id="rId666" /><Relationship Type="http://schemas.openxmlformats.org/officeDocument/2006/relationships/hyperlink" Target="https://www.tcgplayer.com/product/107599" TargetMode="External" Id="rId667" /><Relationship Type="http://schemas.openxmlformats.org/officeDocument/2006/relationships/hyperlink" Target="https://www.pricecharting.com/game/pokemon-korean-30th-celebration/booster-box" TargetMode="External" Id="rId668" /><Relationship Type="http://schemas.openxmlformats.org/officeDocument/2006/relationships/hyperlink" Target="https://www.pricecharting.com/game/pokemon-korean-terastal-festival-ex/booster-box" TargetMode="External" Id="rId669" /><Relationship Type="http://schemas.openxmlformats.org/officeDocument/2006/relationships/hyperlink" Target="https://www.pricecharting.com/game/pokemon-legendary-collection/booster-box" TargetMode="External" Id="rId670" /><Relationship Type="http://schemas.openxmlformats.org/officeDocument/2006/relationships/hyperlink" Target="https://www.tcgplayer.com/product/691155" TargetMode="External" Id="rId671" /><Relationship Type="http://schemas.openxmlformats.org/officeDocument/2006/relationships/hyperlink" Target="https://www.pricecharting.com/game/pokemon-legendary-treasures/booster-box" TargetMode="External" Id="rId672" /><Relationship Type="http://schemas.openxmlformats.org/officeDocument/2006/relationships/hyperlink" Target="https://www.pricecharting.com/game/pokemon-legends-awakened/booster-box" TargetMode="External" Id="rId673" /><Relationship Type="http://schemas.openxmlformats.org/officeDocument/2006/relationships/hyperlink" Target="https://www.tcgplayer.com/product/98536" TargetMode="External" Id="rId674" /><Relationship Type="http://schemas.openxmlformats.org/officeDocument/2006/relationships/hyperlink" Target="https://www.pricecharting.com/game/pokemon-lost-origin/build-&amp;-battle-display-box" TargetMode="External" Id="rId675" /><Relationship Type="http://schemas.openxmlformats.org/officeDocument/2006/relationships/hyperlink" Target="https://www.pricecharting.com/game/pokemon-lost-origin/half-booster-box" TargetMode="External" Id="rId676" /><Relationship Type="http://schemas.openxmlformats.org/officeDocument/2006/relationships/hyperlink" Target="https://www.tcgplayer.com/product/647500" TargetMode="External" Id="rId677" /><Relationship Type="http://schemas.openxmlformats.org/officeDocument/2006/relationships/hyperlink" Target="https://www.tcgplayer.com/product/647501" TargetMode="External" Id="rId678" /><Relationship Type="http://schemas.openxmlformats.org/officeDocument/2006/relationships/hyperlink" Target="https://www.tcgplayer.com/product/655968" TargetMode="External" Id="rId679" /><Relationship Type="http://schemas.openxmlformats.org/officeDocument/2006/relationships/hyperlink" Target="https://www.tcgplayer.com/product/666254" TargetMode="External" Id="rId680" /><Relationship Type="http://schemas.openxmlformats.org/officeDocument/2006/relationships/hyperlink" Target="https://www.tcgplayer.com/product/674449" TargetMode="External" Id="rId681" /><Relationship Type="http://schemas.openxmlformats.org/officeDocument/2006/relationships/hyperlink" Target="https://www.tcgplayer.com/product/683774" TargetMode="External" Id="rId682" /><Relationship Type="http://schemas.openxmlformats.org/officeDocument/2006/relationships/hyperlink" Target="https://www.tcgplayer.com/product/695112" TargetMode="External" Id="rId683" /><Relationship Type="http://schemas.openxmlformats.org/officeDocument/2006/relationships/hyperlink" Target="https://www.tcgplayer.com/product/709110" TargetMode="External" Id="rId684" /><Relationship Type="http://schemas.openxmlformats.org/officeDocument/2006/relationships/hyperlink" Target="https://www.tcgplayer.com/product/718620" TargetMode="External" Id="rId685" /><Relationship Type="http://schemas.openxmlformats.org/officeDocument/2006/relationships/hyperlink" Target="https://www.pricecharting.com/game/pokemon-majestic-dawn/booster-box" TargetMode="External" Id="rId686" /><Relationship Type="http://schemas.openxmlformats.org/officeDocument/2006/relationships/hyperlink" Target="https://www.tcgplayer.com/product/98584" TargetMode="External" Id="rId687" /><Relationship Type="http://schemas.openxmlformats.org/officeDocument/2006/relationships/hyperlink" Target="https://www.tcgplayer.com/product/644298" TargetMode="External" Id="rId688" /><Relationship Type="http://schemas.openxmlformats.org/officeDocument/2006/relationships/hyperlink" Target="https://www.tcgplayer.com/product/644300" TargetMode="External" Id="rId689" /><Relationship Type="http://schemas.openxmlformats.org/officeDocument/2006/relationships/hyperlink" Target="https://www.tcgplayer.com/product/644351" TargetMode="External" Id="rId690" /><Relationship Type="http://schemas.openxmlformats.org/officeDocument/2006/relationships/hyperlink" Target="https://www.tcgplayer.com/product/654137" TargetMode="External" Id="rId691" /><Relationship Type="http://schemas.openxmlformats.org/officeDocument/2006/relationships/hyperlink" Target="https://www.tcgplayer.com/product/672394" TargetMode="External" Id="rId692" /><Relationship Type="http://schemas.openxmlformats.org/officeDocument/2006/relationships/hyperlink" Target="https://www.tcgplayer.com/product/684444" TargetMode="External" Id="rId693" /><Relationship Type="http://schemas.openxmlformats.org/officeDocument/2006/relationships/hyperlink" Target="https://www.tcgplayer.com/product/692939" TargetMode="External" Id="rId694" /><Relationship Type="http://schemas.openxmlformats.org/officeDocument/2006/relationships/hyperlink" Target="https://www.tcgplayer.com/product/712094" TargetMode="External" Id="rId695" /><Relationship Type="http://schemas.openxmlformats.org/officeDocument/2006/relationships/hyperlink" Target="https://www.pricecharting.com/game/pokemon-mega-evolution/booster-box" TargetMode="External" Id="rId696" /><Relationship Type="http://schemas.openxmlformats.org/officeDocument/2006/relationships/hyperlink" Target="https://www.pricecharting.com/game/pokemon-mega-evolution/enhanced-booster-box" TargetMode="External" Id="rId697" /><Relationship Type="http://schemas.openxmlformats.org/officeDocument/2006/relationships/hyperlink" Target="https://www.pricecharting.com/game/pokemon-mega-evolution/half-booster-box" TargetMode="External" Id="rId698" /><Relationship Type="http://schemas.openxmlformats.org/officeDocument/2006/relationships/hyperlink" Target="https://www.pricecharting.com/game/pokemon-mysterious-treasures/booster-box" TargetMode="External" Id="rId699" /><Relationship Type="http://schemas.openxmlformats.org/officeDocument/2006/relationships/hyperlink" Target="https://www.tcgplayer.com/product/98560" TargetMode="External" Id="rId700" /><Relationship Type="http://schemas.openxmlformats.org/officeDocument/2006/relationships/hyperlink" Target="https://www.pricecharting.com/game/pokemon-neo-destiny/booster-box" TargetMode="External" Id="rId701" /><Relationship Type="http://schemas.openxmlformats.org/officeDocument/2006/relationships/hyperlink" Target="https://www.pricecharting.com/game/pokemon-neo-destiny/booster-box-1st-edition" TargetMode="External" Id="rId702" /><Relationship Type="http://schemas.openxmlformats.org/officeDocument/2006/relationships/hyperlink" Target="https://www.tcgplayer.com/product/563754" TargetMode="External" Id="rId703" /><Relationship Type="http://schemas.openxmlformats.org/officeDocument/2006/relationships/hyperlink" Target="https://www.pricecharting.com/game/pokemon-neo-discovery/booster-box" TargetMode="External" Id="rId704" /><Relationship Type="http://schemas.openxmlformats.org/officeDocument/2006/relationships/hyperlink" Target="https://www.pricecharting.com/game/pokemon-neo-discovery/booster-box-1st-edition" TargetMode="External" Id="rId705" /><Relationship Type="http://schemas.openxmlformats.org/officeDocument/2006/relationships/hyperlink" Target="https://www.pricecharting.com/game/pokemon-neo-genesis/booster-box" TargetMode="External" Id="rId706" /><Relationship Type="http://schemas.openxmlformats.org/officeDocument/2006/relationships/hyperlink" Target="https://www.pricecharting.com/game/pokemon-neo-genesis/booster-box-1st-edition" TargetMode="External" Id="rId707" /><Relationship Type="http://schemas.openxmlformats.org/officeDocument/2006/relationships/hyperlink" Target="https://www.tcgplayer.com/product/193334" TargetMode="External" Id="rId708" /><Relationship Type="http://schemas.openxmlformats.org/officeDocument/2006/relationships/hyperlink" Target="https://www.pricecharting.com/game/pokemon-neo-revelation/booster-box" TargetMode="External" Id="rId709" /><Relationship Type="http://schemas.openxmlformats.org/officeDocument/2006/relationships/hyperlink" Target="https://www.pricecharting.com/game/pokemon-neo-revelation/booster-box-1st-edition" TargetMode="External" Id="rId710" /><Relationship Type="http://schemas.openxmlformats.org/officeDocument/2006/relationships/hyperlink" Target="https://www.tcgplayer.com/product/634445" TargetMode="External" Id="rId711" /><Relationship Type="http://schemas.openxmlformats.org/officeDocument/2006/relationships/hyperlink" Target="https://www.pricecharting.com/game/pokemon-next-destinies/booster-box" TargetMode="External" Id="rId712" /><Relationship Type="http://schemas.openxmlformats.org/officeDocument/2006/relationships/hyperlink" Target="https://www.tcgplayer.com/product/98539" TargetMode="External" Id="rId713" /><Relationship Type="http://schemas.openxmlformats.org/officeDocument/2006/relationships/hyperlink" Target="https://www.pricecharting.com/game/pokemon-noble-victories/booster-box" TargetMode="External" Id="rId714" /><Relationship Type="http://schemas.openxmlformats.org/officeDocument/2006/relationships/hyperlink" Target="https://www.tcgplayer.com/product/98571" TargetMode="External" Id="rId715" /><Relationship Type="http://schemas.openxmlformats.org/officeDocument/2006/relationships/hyperlink" Target="https://www.pricecharting.com/game/pokemon-obsidian-flames/build-&amp;-battle-display-box" TargetMode="External" Id="rId716" /><Relationship Type="http://schemas.openxmlformats.org/officeDocument/2006/relationships/hyperlink" Target="https://www.pricecharting.com/game/pokemon-obsidian-flames/half-booster-box" TargetMode="External" Id="rId717" /><Relationship Type="http://schemas.openxmlformats.org/officeDocument/2006/relationships/hyperlink" Target="https://www.pricecharting.com/game/pokemon-paldea-evolved/build-&amp;-battle-display-box" TargetMode="External" Id="rId718" /><Relationship Type="http://schemas.openxmlformats.org/officeDocument/2006/relationships/hyperlink" Target="https://www.pricecharting.com/game/pokemon-paldean-fates/sealed-mini-tin-display-box" TargetMode="External" Id="rId719" /><Relationship Type="http://schemas.openxmlformats.org/officeDocument/2006/relationships/hyperlink" Target="https://www.pricecharting.com/game/pokemon-paradox-rift/build-&amp;-battle-display-box" TargetMode="External" Id="rId720" /><Relationship Type="http://schemas.openxmlformats.org/officeDocument/2006/relationships/hyperlink" Target="https://www.pricecharting.com/game/pokemon-paradox-rift/half-booster-box" TargetMode="External" Id="rId721" /><Relationship Type="http://schemas.openxmlformats.org/officeDocument/2006/relationships/hyperlink" Target="https://www.pricecharting.com/game/pokemon-perfect-order/booster-box" TargetMode="External" Id="rId722" /><Relationship Type="http://schemas.openxmlformats.org/officeDocument/2006/relationships/hyperlink" Target="https://www.pricecharting.com/game/pokemon-perfect-order/half-booster-box" TargetMode="External" Id="rId723" /><Relationship Type="http://schemas.openxmlformats.org/officeDocument/2006/relationships/hyperlink" Target="https://www.pricecharting.com/game/pokemon-phantasmal-flames/booster-box" TargetMode="External" Id="rId724" /><Relationship Type="http://schemas.openxmlformats.org/officeDocument/2006/relationships/hyperlink" Target="https://www.pricecharting.com/game/pokemon-phantasmal-flames/half-booster-box" TargetMode="External" Id="rId725" /><Relationship Type="http://schemas.openxmlformats.org/officeDocument/2006/relationships/hyperlink" Target="https://www.pricecharting.com/game/pokemon-phantom-forces/booster-box" TargetMode="External" Id="rId726" /><Relationship Type="http://schemas.openxmlformats.org/officeDocument/2006/relationships/hyperlink" Target="https://www.pricecharting.com/game/pokemon-pitch-black/booster-box" TargetMode="External" Id="rId727" /><Relationship Type="http://schemas.openxmlformats.org/officeDocument/2006/relationships/hyperlink" Target="https://www.pricecharting.com/game/pokemon-pitch-black/half-booster-box" TargetMode="External" Id="rId728" /><Relationship Type="http://schemas.openxmlformats.org/officeDocument/2006/relationships/hyperlink" Target="https://www.pricecharting.com/game/pokemon-plasma-blast/booster-box" TargetMode="External" Id="rId729" /><Relationship Type="http://schemas.openxmlformats.org/officeDocument/2006/relationships/hyperlink" Target="https://www.tcgplayer.com/product/98572" TargetMode="External" Id="rId730" /><Relationship Type="http://schemas.openxmlformats.org/officeDocument/2006/relationships/hyperlink" Target="https://www.pricecharting.com/game/pokemon-plasma-freeze/booster-box" TargetMode="External" Id="rId731" /><Relationship Type="http://schemas.openxmlformats.org/officeDocument/2006/relationships/hyperlink" Target="https://www.tcgplayer.com/product/98516" TargetMode="External" Id="rId732" /><Relationship Type="http://schemas.openxmlformats.org/officeDocument/2006/relationships/hyperlink" Target="https://www.pricecharting.com/game/pokemon-plasma-storm/booster-box" TargetMode="External" Id="rId733" /><Relationship Type="http://schemas.openxmlformats.org/officeDocument/2006/relationships/hyperlink" Target="https://www.tcgplayer.com/product/98527" TargetMode="External" Id="rId734" /><Relationship Type="http://schemas.openxmlformats.org/officeDocument/2006/relationships/hyperlink" Target="https://www.pricecharting.com/game/pokemon-platinum/booster-box" TargetMode="External" Id="rId735" /><Relationship Type="http://schemas.openxmlformats.org/officeDocument/2006/relationships/hyperlink" Target="https://www.tcgplayer.com/product/98592" TargetMode="External" Id="rId736" /><Relationship Type="http://schemas.openxmlformats.org/officeDocument/2006/relationships/hyperlink" Target="https://www.pricecharting.com/game/pokemon-primal-clash/booster-box" TargetMode="External" Id="rId737" /><Relationship Type="http://schemas.openxmlformats.org/officeDocument/2006/relationships/hyperlink" Target="https://www.pricecharting.com/game/pokemon-prismatic-evolutions/booster-bundle-display-box" TargetMode="External" Id="rId738" /><Relationship Type="http://schemas.openxmlformats.org/officeDocument/2006/relationships/hyperlink" Target="https://www.pricecharting.com/game/pokemon-rebel-clash/half-booster-box" TargetMode="External" Id="rId739" /><Relationship Type="http://schemas.openxmlformats.org/officeDocument/2006/relationships/hyperlink" Target="https://www.pricecharting.com/game/pokemon-rising-rivals/booster-box" TargetMode="External" Id="rId740" /><Relationship Type="http://schemas.openxmlformats.org/officeDocument/2006/relationships/hyperlink" Target="https://www.tcgplayer.com/product/98543" TargetMode="External" Id="rId741" /><Relationship Type="http://schemas.openxmlformats.org/officeDocument/2006/relationships/hyperlink" Target="https://www.pricecharting.com/game/pokemon-roaring-skies/booster-box" TargetMode="External" Id="rId742" /><Relationship Type="http://schemas.openxmlformats.org/officeDocument/2006/relationships/hyperlink" Target="https://www.tcgplayer.com/product/575042" TargetMode="External" Id="rId743" /><Relationship Type="http://schemas.openxmlformats.org/officeDocument/2006/relationships/hyperlink" Target="https://www.tcgplayer.com/product/575040" TargetMode="External" Id="rId744" /><Relationship Type="http://schemas.openxmlformats.org/officeDocument/2006/relationships/hyperlink" Target="https://www.tcgplayer.com/product/571832" TargetMode="External" Id="rId745" /><Relationship Type="http://schemas.openxmlformats.org/officeDocument/2006/relationships/hyperlink" Target="https://www.tcgplayer.com/product/575036" TargetMode="External" Id="rId746" /><Relationship Type="http://schemas.openxmlformats.org/officeDocument/2006/relationships/hyperlink" Target="https://www.tcgplayer.com/product/574954" TargetMode="External" Id="rId747" /><Relationship Type="http://schemas.openxmlformats.org/officeDocument/2006/relationships/hyperlink" Target="https://www.tcgplayer.com/product/574876" TargetMode="External" Id="rId748" /><Relationship Type="http://schemas.openxmlformats.org/officeDocument/2006/relationships/hyperlink" Target="https://www.tcgplayer.com/product/565250" TargetMode="External" Id="rId749" /><Relationship Type="http://schemas.openxmlformats.org/officeDocument/2006/relationships/hyperlink" Target="https://www.tcgplayer.com/product/565252" TargetMode="External" Id="rId750" /><Relationship Type="http://schemas.openxmlformats.org/officeDocument/2006/relationships/hyperlink" Target="https://www.tcgplayer.com/product/574874" TargetMode="External" Id="rId751" /><Relationship Type="http://schemas.openxmlformats.org/officeDocument/2006/relationships/hyperlink" Target="https://www.tcgplayer.com/product/574871" TargetMode="External" Id="rId752" /><Relationship Type="http://schemas.openxmlformats.org/officeDocument/2006/relationships/hyperlink" Target="https://www.tcgplayer.com/product/574796" TargetMode="External" Id="rId753" /><Relationship Type="http://schemas.openxmlformats.org/officeDocument/2006/relationships/hyperlink" Target="https://www.tcgplayer.com/product/574371" TargetMode="External" Id="rId754" /><Relationship Type="http://schemas.openxmlformats.org/officeDocument/2006/relationships/hyperlink" Target="https://www.tcgplayer.com/product/571840" TargetMode="External" Id="rId755" /><Relationship Type="http://schemas.openxmlformats.org/officeDocument/2006/relationships/hyperlink" Target="https://www.tcgplayer.com/product/571838" TargetMode="External" Id="rId756" /><Relationship Type="http://schemas.openxmlformats.org/officeDocument/2006/relationships/hyperlink" Target="https://www.tcgplayer.com/product/571836" TargetMode="External" Id="rId757" /><Relationship Type="http://schemas.openxmlformats.org/officeDocument/2006/relationships/hyperlink" Target="https://www.tcgplayer.com/product/565373" TargetMode="External" Id="rId758" /><Relationship Type="http://schemas.openxmlformats.org/officeDocument/2006/relationships/hyperlink" Target="https://www.tcgplayer.com/product/565369" TargetMode="External" Id="rId759" /><Relationship Type="http://schemas.openxmlformats.org/officeDocument/2006/relationships/hyperlink" Target="https://www.tcgplayer.com/product/565362" TargetMode="External" Id="rId760" /><Relationship Type="http://schemas.openxmlformats.org/officeDocument/2006/relationships/hyperlink" Target="https://www.tcgplayer.com/product/565361" TargetMode="External" Id="rId761" /><Relationship Type="http://schemas.openxmlformats.org/officeDocument/2006/relationships/hyperlink" Target="https://www.tcgplayer.com/product/565358" TargetMode="External" Id="rId762" /><Relationship Type="http://schemas.openxmlformats.org/officeDocument/2006/relationships/hyperlink" Target="https://www.tcgplayer.com/product/565351" TargetMode="External" Id="rId763" /><Relationship Type="http://schemas.openxmlformats.org/officeDocument/2006/relationships/hyperlink" Target="https://www.tcgplayer.com/product/565348" TargetMode="External" Id="rId764" /><Relationship Type="http://schemas.openxmlformats.org/officeDocument/2006/relationships/hyperlink" Target="https://www.tcgplayer.com/product/565344" TargetMode="External" Id="rId765" /><Relationship Type="http://schemas.openxmlformats.org/officeDocument/2006/relationships/hyperlink" Target="https://www.tcgplayer.com/product/565262" TargetMode="External" Id="rId766" /><Relationship Type="http://schemas.openxmlformats.org/officeDocument/2006/relationships/hyperlink" Target="https://www.tcgplayer.com/product/565260" TargetMode="External" Id="rId767" /><Relationship Type="http://schemas.openxmlformats.org/officeDocument/2006/relationships/hyperlink" Target="https://www.tcgplayer.com/product/565259" TargetMode="External" Id="rId768" /><Relationship Type="http://schemas.openxmlformats.org/officeDocument/2006/relationships/hyperlink" Target="https://www.tcgplayer.com/product/565256" TargetMode="External" Id="rId769" /><Relationship Type="http://schemas.openxmlformats.org/officeDocument/2006/relationships/hyperlink" Target="https://www.tcgplayer.com/product/565255" TargetMode="External" Id="rId770" /><Relationship Type="http://schemas.openxmlformats.org/officeDocument/2006/relationships/hyperlink" Target="https://www.pricecharting.com/game/pokemon-secret-wonders/booster-box" TargetMode="External" Id="rId771" /><Relationship Type="http://schemas.openxmlformats.org/officeDocument/2006/relationships/hyperlink" Target="https://www.tcgplayer.com/product/98568" TargetMode="External" Id="rId772" /><Relationship Type="http://schemas.openxmlformats.org/officeDocument/2006/relationships/hyperlink" Target="https://www.pricecharting.com/game/pokemon-shining-fates/mini-tins-display-box" TargetMode="External" Id="rId773" /><Relationship Type="http://schemas.openxmlformats.org/officeDocument/2006/relationships/hyperlink" Target="https://www.pricecharting.com/game/pokemon-shrouded-fable/booster-bundle-display-box" TargetMode="External" Id="rId774" /><Relationship Type="http://schemas.openxmlformats.org/officeDocument/2006/relationships/hyperlink" Target="https://www.pricecharting.com/game/pokemon-silver-tempest/half-booster-box" TargetMode="External" Id="rId775" /><Relationship Type="http://schemas.openxmlformats.org/officeDocument/2006/relationships/hyperlink" Target="https://www.pricecharting.com/game/pokemon-skyridge/booster-box" TargetMode="External" Id="rId776" /><Relationship Type="http://schemas.openxmlformats.org/officeDocument/2006/relationships/hyperlink" Target="https://www.pricecharting.com/game/pokemon-burning-shadows/booster-box" TargetMode="External" Id="rId777" /><Relationship Type="http://schemas.openxmlformats.org/officeDocument/2006/relationships/hyperlink" Target="https://www.tcgplayer.com/product/133773" TargetMode="External" Id="rId778" /><Relationship Type="http://schemas.openxmlformats.org/officeDocument/2006/relationships/hyperlink" Target="https://www.pricecharting.com/game/pokemon-celestial-storm/booster-box" TargetMode="External" Id="rId779" /><Relationship Type="http://schemas.openxmlformats.org/officeDocument/2006/relationships/hyperlink" Target="https://www.tcgplayer.com/product/170273" TargetMode="External" Id="rId780" /><Relationship Type="http://schemas.openxmlformats.org/officeDocument/2006/relationships/hyperlink" Target="https://www.pricecharting.com/game/pokemon-crimson-invasion/booster-box" TargetMode="External" Id="rId781" /><Relationship Type="http://schemas.openxmlformats.org/officeDocument/2006/relationships/hyperlink" Target="https://www.tcgplayer.com/product/146995" TargetMode="External" Id="rId782" /><Relationship Type="http://schemas.openxmlformats.org/officeDocument/2006/relationships/hyperlink" Target="https://www.pricecharting.com/game/pokemon-forbidden-light/booster-box" TargetMode="External" Id="rId783" /><Relationship Type="http://schemas.openxmlformats.org/officeDocument/2006/relationships/hyperlink" Target="https://www.tcgplayer.com/product/164296" TargetMode="External" Id="rId784" /><Relationship Type="http://schemas.openxmlformats.org/officeDocument/2006/relationships/hyperlink" Target="https://www.pricecharting.com/game/pokemon-lost-thunder/booster-box" TargetMode="External" Id="rId785" /><Relationship Type="http://schemas.openxmlformats.org/officeDocument/2006/relationships/hyperlink" Target="https://www.tcgplayer.com/product/175509" TargetMode="External" Id="rId786" /><Relationship Type="http://schemas.openxmlformats.org/officeDocument/2006/relationships/hyperlink" Target="https://www.pricecharting.com/game/pokemon-team-up/booster-box" TargetMode="External" Id="rId787" /><Relationship Type="http://schemas.openxmlformats.org/officeDocument/2006/relationships/hyperlink" Target="https://www.tcgplayer.com/product/181698" TargetMode="External" Id="rId788" /><Relationship Type="http://schemas.openxmlformats.org/officeDocument/2006/relationships/hyperlink" Target="https://www.pricecharting.com/game/pokemon-ultra-prism/booster-box" TargetMode="External" Id="rId789" /><Relationship Type="http://schemas.openxmlformats.org/officeDocument/2006/relationships/hyperlink" Target="https://www.tcgplayer.com/product/155661" TargetMode="External" Id="rId790" /><Relationship Type="http://schemas.openxmlformats.org/officeDocument/2006/relationships/hyperlink" Target="https://www.pricecharting.com/game/pokemon-unbroken-bonds/booster-box" TargetMode="External" Id="rId791" /><Relationship Type="http://schemas.openxmlformats.org/officeDocument/2006/relationships/hyperlink" Target="https://www.tcgplayer.com/product/185717" TargetMode="External" Id="rId792" /><Relationship Type="http://schemas.openxmlformats.org/officeDocument/2006/relationships/hyperlink" Target="https://www.pricecharting.com/game/pokemon-unified-minds/booster-box" TargetMode="External" Id="rId793" /><Relationship Type="http://schemas.openxmlformats.org/officeDocument/2006/relationships/hyperlink" Target="https://www.tcgplayer.com/product/191882" TargetMode="External" Id="rId794" /><Relationship Type="http://schemas.openxmlformats.org/officeDocument/2006/relationships/hyperlink" Target="https://www.tcgplayer.com/product/126048" TargetMode="External" Id="rId795" /><Relationship Type="http://schemas.openxmlformats.org/officeDocument/2006/relationships/hyperlink" Target="https://www.tcgplayer.com/product/576914" TargetMode="External" Id="rId796" /><Relationship Type="http://schemas.openxmlformats.org/officeDocument/2006/relationships/hyperlink" Target="https://www.tcgplayer.com/product/576951" TargetMode="External" Id="rId797" /><Relationship Type="http://schemas.openxmlformats.org/officeDocument/2006/relationships/hyperlink" Target="https://www.tcgplayer.com/product/576953" TargetMode="External" Id="rId798" /><Relationship Type="http://schemas.openxmlformats.org/officeDocument/2006/relationships/hyperlink" Target="https://www.tcgplayer.com/product/576917" TargetMode="External" Id="rId799" /><Relationship Type="http://schemas.openxmlformats.org/officeDocument/2006/relationships/hyperlink" Target="https://www.tcgplayer.com/product/576955" TargetMode="External" Id="rId800" /><Relationship Type="http://schemas.openxmlformats.org/officeDocument/2006/relationships/hyperlink" Target="https://www.tcgplayer.com/product/576957" TargetMode="External" Id="rId801" /><Relationship Type="http://schemas.openxmlformats.org/officeDocument/2006/relationships/hyperlink" Target="https://www.tcgplayer.com/product/576919" TargetMode="External" Id="rId802" /><Relationship Type="http://schemas.openxmlformats.org/officeDocument/2006/relationships/hyperlink" Target="https://www.tcgplayer.com/product/576964" TargetMode="External" Id="rId803" /><Relationship Type="http://schemas.openxmlformats.org/officeDocument/2006/relationships/hyperlink" Target="https://www.tcgplayer.com/product/576927" TargetMode="External" Id="rId804" /><Relationship Type="http://schemas.openxmlformats.org/officeDocument/2006/relationships/hyperlink" Target="https://www.tcgplayer.com/product/576902" TargetMode="External" Id="rId805" /><Relationship Type="http://schemas.openxmlformats.org/officeDocument/2006/relationships/hyperlink" Target="https://www.tcgplayer.com/product/576931" TargetMode="External" Id="rId806" /><Relationship Type="http://schemas.openxmlformats.org/officeDocument/2006/relationships/hyperlink" Target="https://www.tcgplayer.com/product/576908" TargetMode="External" Id="rId807" /><Relationship Type="http://schemas.openxmlformats.org/officeDocument/2006/relationships/hyperlink" Target="https://www.tcgplayer.com/product/576940" TargetMode="External" Id="rId808" /><Relationship Type="http://schemas.openxmlformats.org/officeDocument/2006/relationships/hyperlink" Target="https://www.tcgplayer.com/product/576942" TargetMode="External" Id="rId809" /><Relationship Type="http://schemas.openxmlformats.org/officeDocument/2006/relationships/hyperlink" Target="https://www.tcgplayer.com/product/576910" TargetMode="External" Id="rId810" /><Relationship Type="http://schemas.openxmlformats.org/officeDocument/2006/relationships/hyperlink" Target="https://www.tcgplayer.com/product/576944" TargetMode="External" Id="rId811" /><Relationship Type="http://schemas.openxmlformats.org/officeDocument/2006/relationships/hyperlink" Target="https://www.tcgplayer.com/product/576912" TargetMode="External" Id="rId812" /><Relationship Type="http://schemas.openxmlformats.org/officeDocument/2006/relationships/hyperlink" Target="https://www.tcgplayer.com/product/576948" TargetMode="External" Id="rId813" /><Relationship Type="http://schemas.openxmlformats.org/officeDocument/2006/relationships/hyperlink" Target="https://www.tcgplayer.com/product/656901" TargetMode="External" Id="rId814" /><Relationship Type="http://schemas.openxmlformats.org/officeDocument/2006/relationships/hyperlink" Target="https://www.pricecharting.com/game/pokemon-steam-siege/booster-box" TargetMode="External" Id="rId815" /><Relationship Type="http://schemas.openxmlformats.org/officeDocument/2006/relationships/hyperlink" Target="https://www.pricecharting.com/game/pokemon-stellar-crown/booster-box" TargetMode="External" Id="rId816" /><Relationship Type="http://schemas.openxmlformats.org/officeDocument/2006/relationships/hyperlink" Target="https://www.pricecharting.com/game/pokemon-stellar-crown/build-&amp;-battle-display-box" TargetMode="External" Id="rId817" /><Relationship Type="http://schemas.openxmlformats.org/officeDocument/2006/relationships/hyperlink" Target="https://www.pricecharting.com/game/pokemon-stellar-crown/half-booster-box" TargetMode="External" Id="rId818" /><Relationship Type="http://schemas.openxmlformats.org/officeDocument/2006/relationships/hyperlink" Target="https://www.pricecharting.com/game/pokemon-stormfront/booster-box" TargetMode="External" Id="rId819" /><Relationship Type="http://schemas.openxmlformats.org/officeDocument/2006/relationships/hyperlink" Target="https://www.pricecharting.com/game/pokemon-supreme-victors/booster-box" TargetMode="External" Id="rId820" /><Relationship Type="http://schemas.openxmlformats.org/officeDocument/2006/relationships/hyperlink" Target="https://www.tcgplayer.com/product/98575" TargetMode="External" Id="rId821" /><Relationship Type="http://schemas.openxmlformats.org/officeDocument/2006/relationships/hyperlink" Target="https://www.pricecharting.com/game/pokemon-surging-sparks/build-&amp;-battle-display-box" TargetMode="External" Id="rId822" /><Relationship Type="http://schemas.openxmlformats.org/officeDocument/2006/relationships/hyperlink" Target="https://www.tcgplayer.com/product/476452" TargetMode="External" Id="rId823" /><Relationship Type="http://schemas.openxmlformats.org/officeDocument/2006/relationships/hyperlink" Target="https://www.pricecharting.com/game/pokemon-paldea-evolved/booster-box" TargetMode="External" Id="rId824" /><Relationship Type="http://schemas.openxmlformats.org/officeDocument/2006/relationships/hyperlink" Target="https://www.tcgplayer.com/product/493975" TargetMode="External" Id="rId825" /><Relationship Type="http://schemas.openxmlformats.org/officeDocument/2006/relationships/hyperlink" Target="https://www.pricecharting.com/game/pokemon-paldea-evolved/half-booster-box" TargetMode="External" Id="rId826" /><Relationship Type="http://schemas.openxmlformats.org/officeDocument/2006/relationships/hyperlink" Target="https://www.tcgplayer.com/product/649413" TargetMode="External" Id="rId827" /><Relationship Type="http://schemas.openxmlformats.org/officeDocument/2006/relationships/hyperlink" Target="https://www.pricecharting.com/game/pokemon-obsidian-flames/booster-box" TargetMode="External" Id="rId828" /><Relationship Type="http://schemas.openxmlformats.org/officeDocument/2006/relationships/hyperlink" Target="https://www.tcgplayer.com/product/501257" TargetMode="External" Id="rId829" /><Relationship Type="http://schemas.openxmlformats.org/officeDocument/2006/relationships/hyperlink" Target="https://www.pricecharting.com/game/pokemon-paradox-rift/booster-box" TargetMode="External" Id="rId830" /><Relationship Type="http://schemas.openxmlformats.org/officeDocument/2006/relationships/hyperlink" Target="https://www.tcgplayer.com/product/512821" TargetMode="External" Id="rId831" /><Relationship Type="http://schemas.openxmlformats.org/officeDocument/2006/relationships/hyperlink" Target="https://www.pricecharting.com/game/pokemon-temporal-forces/booster-box" TargetMode="External" Id="rId832" /><Relationship Type="http://schemas.openxmlformats.org/officeDocument/2006/relationships/hyperlink" Target="https://www.tcgplayer.com/product/536225" TargetMode="External" Id="rId833" /><Relationship Type="http://schemas.openxmlformats.org/officeDocument/2006/relationships/hyperlink" Target="https://www.pricecharting.com/game/pokemon-temporal-forces/half-booster-box" TargetMode="External" Id="rId834" /><Relationship Type="http://schemas.openxmlformats.org/officeDocument/2006/relationships/hyperlink" Target="https://www.tcgplayer.com/product/649416" TargetMode="External" Id="rId835" /><Relationship Type="http://schemas.openxmlformats.org/officeDocument/2006/relationships/hyperlink" Target="https://www.tcgplayer.com/product/649421" TargetMode="External" Id="rId836" /><Relationship Type="http://schemas.openxmlformats.org/officeDocument/2006/relationships/hyperlink" Target="https://www.pricecharting.com/game/pokemon-twilight-masquerade/booster-box" TargetMode="External" Id="rId837" /><Relationship Type="http://schemas.openxmlformats.org/officeDocument/2006/relationships/hyperlink" Target="https://www.tcgplayer.com/product/543846" TargetMode="External" Id="rId838" /><Relationship Type="http://schemas.openxmlformats.org/officeDocument/2006/relationships/hyperlink" Target="https://www.tcgplayer.com/product/557354" TargetMode="External" Id="rId839" /><Relationship Type="http://schemas.openxmlformats.org/officeDocument/2006/relationships/hyperlink" Target="https://www.pricecharting.com/game/pokemon-surging-sparks/booster-box" TargetMode="External" Id="rId840" /><Relationship Type="http://schemas.openxmlformats.org/officeDocument/2006/relationships/hyperlink" Target="https://www.tcgplayer.com/product/565606" TargetMode="External" Id="rId841" /><Relationship Type="http://schemas.openxmlformats.org/officeDocument/2006/relationships/hyperlink" Target="https://www.pricecharting.com/game/pokemon-surging-sparks/half-booster-box" TargetMode="External" Id="rId842" /><Relationship Type="http://schemas.openxmlformats.org/officeDocument/2006/relationships/hyperlink" Target="https://www.tcgplayer.com/product/646039" TargetMode="External" Id="rId843" /><Relationship Type="http://schemas.openxmlformats.org/officeDocument/2006/relationships/hyperlink" Target="https://www.pricecharting.com/game/pokemon-journey-together/booster-box" TargetMode="External" Id="rId844" /><Relationship Type="http://schemas.openxmlformats.org/officeDocument/2006/relationships/hyperlink" Target="https://www.tcgplayer.com/product/610931" TargetMode="External" Id="rId845" /><Relationship Type="http://schemas.openxmlformats.org/officeDocument/2006/relationships/hyperlink" Target="https://www.tcgplayer.com/product/623628" TargetMode="External" Id="rId846" /><Relationship Type="http://schemas.openxmlformats.org/officeDocument/2006/relationships/hyperlink" Target="https://www.pricecharting.com/game/pokemon-journey-together/half-booster-box" TargetMode="External" Id="rId847" /><Relationship Type="http://schemas.openxmlformats.org/officeDocument/2006/relationships/hyperlink" Target="https://www.tcgplayer.com/product/649492" TargetMode="External" Id="rId848" /><Relationship Type="http://schemas.openxmlformats.org/officeDocument/2006/relationships/hyperlink" Target="https://www.pricecharting.com/game/pokemon-destined-rivals/booster-box" TargetMode="External" Id="rId849" /><Relationship Type="http://schemas.openxmlformats.org/officeDocument/2006/relationships/hyperlink" Target="https://www.tcgplayer.com/product/624679" TargetMode="External" Id="rId850" /><Relationship Type="http://schemas.openxmlformats.org/officeDocument/2006/relationships/hyperlink" Target="https://www.tcgplayer.com/product/629197" TargetMode="External" Id="rId851" /><Relationship Type="http://schemas.openxmlformats.org/officeDocument/2006/relationships/hyperlink" Target="https://www.tcgplayer.com/product/637384" TargetMode="External" Id="rId852" /><Relationship Type="http://schemas.openxmlformats.org/officeDocument/2006/relationships/hyperlink" Target="https://www.tcgplayer.com/product/637491" TargetMode="External" Id="rId853" /><Relationship Type="http://schemas.openxmlformats.org/officeDocument/2006/relationships/hyperlink" Target="https://www.tcgplayer.com/product/637386" TargetMode="External" Id="rId854" /><Relationship Type="http://schemas.openxmlformats.org/officeDocument/2006/relationships/hyperlink" Target="https://www.tcgplayer.com/product/637492" TargetMode="External" Id="rId855" /><Relationship Type="http://schemas.openxmlformats.org/officeDocument/2006/relationships/hyperlink" Target="https://www.tcgplayer.com/product/565248" TargetMode="External" Id="rId856" /><Relationship Type="http://schemas.openxmlformats.org/officeDocument/2006/relationships/hyperlink" Target="https://www.tcgplayer.com/product/565247" TargetMode="External" Id="rId857" /><Relationship Type="http://schemas.openxmlformats.org/officeDocument/2006/relationships/hyperlink" Target="https://www.tcgplayer.com/product/565244" TargetMode="External" Id="rId858" /><Relationship Type="http://schemas.openxmlformats.org/officeDocument/2006/relationships/hyperlink" Target="https://www.tcgplayer.com/product/565243" TargetMode="External" Id="rId859" /><Relationship Type="http://schemas.openxmlformats.org/officeDocument/2006/relationships/hyperlink" Target="https://www.tcgplayer.com/product/565240" TargetMode="External" Id="rId860" /><Relationship Type="http://schemas.openxmlformats.org/officeDocument/2006/relationships/hyperlink" Target="https://www.tcgplayer.com/product/565239" TargetMode="External" Id="rId861" /><Relationship Type="http://schemas.openxmlformats.org/officeDocument/2006/relationships/hyperlink" Target="https://www.tcgplayer.com/product/565236" TargetMode="External" Id="rId862" /><Relationship Type="http://schemas.openxmlformats.org/officeDocument/2006/relationships/hyperlink" Target="https://www.tcgplayer.com/product/565235" TargetMode="External" Id="rId863" /><Relationship Type="http://schemas.openxmlformats.org/officeDocument/2006/relationships/hyperlink" Target="https://www.tcgplayer.com/product/565232" TargetMode="External" Id="rId864" /><Relationship Type="http://schemas.openxmlformats.org/officeDocument/2006/relationships/hyperlink" Target="https://www.tcgplayer.com/product/565231" TargetMode="External" Id="rId865" /><Relationship Type="http://schemas.openxmlformats.org/officeDocument/2006/relationships/hyperlink" Target="https://www.tcgplayer.com/product/565228" TargetMode="External" Id="rId866" /><Relationship Type="http://schemas.openxmlformats.org/officeDocument/2006/relationships/hyperlink" Target="https://www.tcgplayer.com/product/565226" TargetMode="External" Id="rId867" /><Relationship Type="http://schemas.openxmlformats.org/officeDocument/2006/relationships/hyperlink" Target="https://www.tcgplayer.com/product/565225" TargetMode="External" Id="rId868" /><Relationship Type="http://schemas.openxmlformats.org/officeDocument/2006/relationships/hyperlink" Target="https://www.tcgplayer.com/product/565222" TargetMode="External" Id="rId869" /><Relationship Type="http://schemas.openxmlformats.org/officeDocument/2006/relationships/hyperlink" Target="https://www.tcgplayer.com/product/565221" TargetMode="External" Id="rId870" /><Relationship Type="http://schemas.openxmlformats.org/officeDocument/2006/relationships/hyperlink" Target="https://www.tcgplayer.com/product/565218" TargetMode="External" Id="rId871" /><Relationship Type="http://schemas.openxmlformats.org/officeDocument/2006/relationships/hyperlink" Target="https://www.tcgplayer.com/product/565217" TargetMode="External" Id="rId872" /><Relationship Type="http://schemas.openxmlformats.org/officeDocument/2006/relationships/hyperlink" Target="https://www.tcgplayer.com/product/580709" TargetMode="External" Id="rId873" /><Relationship Type="http://schemas.openxmlformats.org/officeDocument/2006/relationships/hyperlink" Target="https://www.tcgplayer.com/product/587728" TargetMode="External" Id="rId874" /><Relationship Type="http://schemas.openxmlformats.org/officeDocument/2006/relationships/hyperlink" Target="https://www.tcgplayer.com/product/603428" TargetMode="External" Id="rId875" /><Relationship Type="http://schemas.openxmlformats.org/officeDocument/2006/relationships/hyperlink" Target="https://www.tcgplayer.com/product/614707" TargetMode="External" Id="rId876" /><Relationship Type="http://schemas.openxmlformats.org/officeDocument/2006/relationships/hyperlink" Target="https://www.tcgplayer.com/product/623310" TargetMode="External" Id="rId877" /><Relationship Type="http://schemas.openxmlformats.org/officeDocument/2006/relationships/hyperlink" Target="https://www.tcgplayer.com/product/206027" TargetMode="External" Id="rId878" /><Relationship Type="http://schemas.openxmlformats.org/officeDocument/2006/relationships/hyperlink" Target="https://www.pricecharting.com/game/pokemon-rebel-clash/booster-box" TargetMode="External" Id="rId879" /><Relationship Type="http://schemas.openxmlformats.org/officeDocument/2006/relationships/hyperlink" Target="https://www.tcgplayer.com/product/210561" TargetMode="External" Id="rId880" /><Relationship Type="http://schemas.openxmlformats.org/officeDocument/2006/relationships/hyperlink" Target="https://www.pricecharting.com/game/pokemon-darkness-ablaze/booster-box" TargetMode="External" Id="rId881" /><Relationship Type="http://schemas.openxmlformats.org/officeDocument/2006/relationships/hyperlink" Target="https://www.tcgplayer.com/product/216853" TargetMode="External" Id="rId882" /><Relationship Type="http://schemas.openxmlformats.org/officeDocument/2006/relationships/hyperlink" Target="https://www.pricecharting.com/game/pokemon-vivid-voltage/booster-box" TargetMode="External" Id="rId883" /><Relationship Type="http://schemas.openxmlformats.org/officeDocument/2006/relationships/hyperlink" Target="https://www.tcgplayer.com/product/221313" TargetMode="External" Id="rId884" /><Relationship Type="http://schemas.openxmlformats.org/officeDocument/2006/relationships/hyperlink" Target="https://www.pricecharting.com/game/pokemon-battle-styles/booster-box" TargetMode="External" Id="rId885" /><Relationship Type="http://schemas.openxmlformats.org/officeDocument/2006/relationships/hyperlink" Target="https://www.tcgplayer.com/product/229277" TargetMode="External" Id="rId886" /><Relationship Type="http://schemas.openxmlformats.org/officeDocument/2006/relationships/hyperlink" Target="https://www.pricecharting.com/game/pokemon-chilling-reign/booster-box" TargetMode="External" Id="rId887" /><Relationship Type="http://schemas.openxmlformats.org/officeDocument/2006/relationships/hyperlink" Target="https://www.tcgplayer.com/product/236258" TargetMode="External" Id="rId888" /><Relationship Type="http://schemas.openxmlformats.org/officeDocument/2006/relationships/hyperlink" Target="https://www.pricecharting.com/game/pokemon-evolving-skies/booster-box" TargetMode="External" Id="rId889" /><Relationship Type="http://schemas.openxmlformats.org/officeDocument/2006/relationships/hyperlink" Target="https://www.tcgplayer.com/product/242436" TargetMode="External" Id="rId890" /><Relationship Type="http://schemas.openxmlformats.org/officeDocument/2006/relationships/hyperlink" Target="https://www.pricecharting.com/game/pokemon-evolving-skies/half-booster-box" TargetMode="External" Id="rId891" /><Relationship Type="http://schemas.openxmlformats.org/officeDocument/2006/relationships/hyperlink" Target="https://www.tcgplayer.com/product/641794" TargetMode="External" Id="rId892" /><Relationship Type="http://schemas.openxmlformats.org/officeDocument/2006/relationships/hyperlink" Target="https://www.pricecharting.com/game/pokemon-fusion-strike/booster-box" TargetMode="External" Id="rId893" /><Relationship Type="http://schemas.openxmlformats.org/officeDocument/2006/relationships/hyperlink" Target="https://www.tcgplayer.com/product/247654" TargetMode="External" Id="rId894" /><Relationship Type="http://schemas.openxmlformats.org/officeDocument/2006/relationships/hyperlink" Target="https://www.pricecharting.com/game/pokemon-brilliant-stars/booster-box" TargetMode="External" Id="rId895" /><Relationship Type="http://schemas.openxmlformats.org/officeDocument/2006/relationships/hyperlink" Target="https://www.tcgplayer.com/product/256141" TargetMode="External" Id="rId896" /><Relationship Type="http://schemas.openxmlformats.org/officeDocument/2006/relationships/hyperlink" Target="https://www.pricecharting.com/game/pokemon-astral-radiance/booster-box" TargetMode="External" Id="rId897" /><Relationship Type="http://schemas.openxmlformats.org/officeDocument/2006/relationships/hyperlink" Target="https://www.tcgplayer.com/product/265519" TargetMode="External" Id="rId898" /><Relationship Type="http://schemas.openxmlformats.org/officeDocument/2006/relationships/hyperlink" Target="https://www.tcgplayer.com/product/704916" TargetMode="External" Id="rId899" /><Relationship Type="http://schemas.openxmlformats.org/officeDocument/2006/relationships/hyperlink" Target="https://www.pricecharting.com/game/pokemon-lost-origin/booster-box" TargetMode="External" Id="rId900" /><Relationship Type="http://schemas.openxmlformats.org/officeDocument/2006/relationships/hyperlink" Target="https://www.tcgplayer.com/product/277324" TargetMode="External" Id="rId901" /><Relationship Type="http://schemas.openxmlformats.org/officeDocument/2006/relationships/hyperlink" Target="https://www.pricecharting.com/game/pokemon-silver-tempest/booster-box" TargetMode="External" Id="rId902" /><Relationship Type="http://schemas.openxmlformats.org/officeDocument/2006/relationships/hyperlink" Target="https://www.tcgplayer.com/product/283389" TargetMode="External" Id="rId903" /><Relationship Type="http://schemas.openxmlformats.org/officeDocument/2006/relationships/hyperlink" Target="https://www.pricecharting.com/game/pokemon-team-rocket/booster-box" TargetMode="External" Id="rId904" /><Relationship Type="http://schemas.openxmlformats.org/officeDocument/2006/relationships/hyperlink" Target="https://www.pricecharting.com/game/pokemon-team-rocket/booster-box-1st-edition" TargetMode="External" Id="rId905" /><Relationship Type="http://schemas.openxmlformats.org/officeDocument/2006/relationships/hyperlink" Target="https://www.tcgplayer.com/product/209436" TargetMode="External" Id="rId906" /><Relationship Type="http://schemas.openxmlformats.org/officeDocument/2006/relationships/hyperlink" Target="https://www.tcgplayer.com/product/209437" TargetMode="External" Id="rId907" /><Relationship Type="http://schemas.openxmlformats.org/officeDocument/2006/relationships/hyperlink" Target="https://www.pricecharting.com/game/pokemon-team-up/build-&amp;-battle-display-box" TargetMode="External" Id="rId908" /><Relationship Type="http://schemas.openxmlformats.org/officeDocument/2006/relationships/hyperlink" Target="https://www.pricecharting.com/game/pokemon-triumphant/booster-box" TargetMode="External" Id="rId909" /><Relationship Type="http://schemas.openxmlformats.org/officeDocument/2006/relationships/hyperlink" Target="https://www.tcgplayer.com/product/98535" TargetMode="External" Id="rId910" /><Relationship Type="http://schemas.openxmlformats.org/officeDocument/2006/relationships/hyperlink" Target="https://www.pricecharting.com/game/pokemon-twilight-masquerade/build-&amp;-battle-display-box" TargetMode="External" Id="rId911" /><Relationship Type="http://schemas.openxmlformats.org/officeDocument/2006/relationships/hyperlink" Target="https://www.pricecharting.com/game/pokemon-twilight-masquerade/half-booster-box" TargetMode="External" Id="rId912" /><Relationship Type="http://schemas.openxmlformats.org/officeDocument/2006/relationships/hyperlink" Target="https://www.pricecharting.com/game/pokemon-undaunted/booster-box" TargetMode="External" Id="rId913" /><Relationship Type="http://schemas.openxmlformats.org/officeDocument/2006/relationships/hyperlink" Target="https://www.tcgplayer.com/product/98587" TargetMode="External" Id="rId914" /><Relationship Type="http://schemas.openxmlformats.org/officeDocument/2006/relationships/hyperlink" Target="https://www.pricecharting.com/game/pokemon-unleashed/booster-box" TargetMode="External" Id="rId915" /><Relationship Type="http://schemas.openxmlformats.org/officeDocument/2006/relationships/hyperlink" Target="https://www.tcgplayer.com/product/98583" TargetMode="External" Id="rId916" /><Relationship Type="http://schemas.openxmlformats.org/officeDocument/2006/relationships/hyperlink" Target="https://www.pricecharting.com/game/pokemon-vivid-voltage/build-&amp;-battle-display-box" TargetMode="External" Id="rId917" /><Relationship Type="http://schemas.openxmlformats.org/officeDocument/2006/relationships/hyperlink" Target="https://www.pricecharting.com/game/pokemon-white-flare/booster-bundle-display-box" TargetMode="External" Id="rId918" /><Relationship Type="http://schemas.openxmlformats.org/officeDocument/2006/relationships/hyperlink" Target="https://www.pricecharting.com/game/pokemon-xy/booster-box" TargetMode="External" Id="rId919" /><Relationship Type="http://schemas.openxmlformats.org/officeDocument/2006/relationships/hyperlink" Target="https://www.tcgplayer.com/product/107101" TargetMode="External" Id="rId920" /><Relationship Type="http://schemas.openxmlformats.org/officeDocument/2006/relationships/hyperlink" Target="https://www.tcgplayer.com/product/123446" TargetMode="External" Id="rId921" /><Relationship Type="http://schemas.openxmlformats.org/officeDocument/2006/relationships/hyperlink" Target="https://www.tcgplayer.com/product/117478" TargetMode="External" Id="rId922" /><Relationship Type="http://schemas.openxmlformats.org/officeDocument/2006/relationships/hyperlink" Target="https://www.pricecharting.com/game/pokemon-flashfire/booster-box" TargetMode="External" Id="rId923" /><Relationship Type="http://schemas.openxmlformats.org/officeDocument/2006/relationships/hyperlink" Target="https://www.tcgplayer.com/product/91594" TargetMode="External" Id="rId924" /><Relationship Type="http://schemas.openxmlformats.org/officeDocument/2006/relationships/hyperlink" Target="https://www.pricecharting.com/game/pokemon-furious-fists/booster-box" TargetMode="External" Id="rId925" /><Relationship Type="http://schemas.openxmlformats.org/officeDocument/2006/relationships/hyperlink" Target="https://www.tcgplayer.com/product/92168" TargetMode="External" Id="rId926" /><Relationship Type="http://schemas.openxmlformats.org/officeDocument/2006/relationships/hyperlink" Target="https://www.tcgplayer.com/product/97750" TargetMode="External" Id="rId927" /><Relationship Type="http://schemas.openxmlformats.org/officeDocument/2006/relationships/hyperlink" Target="https://www.tcgplayer.com/product/98026" TargetMode="External" Id="rId928" /><Relationship Type="http://schemas.openxmlformats.org/officeDocument/2006/relationships/hyperlink" Target="https://www.tcgplayer.com/product/120076" TargetMode="External" Id="rId929" /><Relationship Type="http://schemas.openxmlformats.org/officeDocument/2006/relationships/hyperlink" Target="https://www.pricecharting.com/game/pokemon-30th-celebration/elite-trainer-box-pokemon-center" TargetMode="External" Id="rId930" /><Relationship Type="http://schemas.openxmlformats.org/officeDocument/2006/relationships/hyperlink" Target="https://www.pricecharting.com/game/pokemon-30th-celebration/sealed-tin-greninja-ex" TargetMode="External" Id="rId931" /><Relationship Type="http://schemas.openxmlformats.org/officeDocument/2006/relationships/hyperlink" Target="https://www.pricecharting.com/game/pokemon-30th-celebration/sealed-tin-sylveon-ex" TargetMode="External" Id="rId932" /><Relationship Type="http://schemas.openxmlformats.org/officeDocument/2006/relationships/hyperlink" Target="https://www.tcgplayer.com/product/148226" TargetMode="External" Id="rId933" /><Relationship Type="http://schemas.openxmlformats.org/officeDocument/2006/relationships/hyperlink" Target="https://www.pricecharting.com/game/pokemon-ancient-origins/rayquaza-pin-collection" TargetMode="External" Id="rId934" /><Relationship Type="http://schemas.openxmlformats.org/officeDocument/2006/relationships/hyperlink" Target="https://www.pricecharting.com/game/pokemon-ancient-origins/tyranitar-pin-collection" TargetMode="External" Id="rId935" /><Relationship Type="http://schemas.openxmlformats.org/officeDocument/2006/relationships/hyperlink" Target="https://www.pricecharting.com/game/pokemon-arceus/darkrai-3-pack-blister" TargetMode="External" Id="rId936" /><Relationship Type="http://schemas.openxmlformats.org/officeDocument/2006/relationships/hyperlink" Target="https://www.pricecharting.com/game/pokemon-ascended-heroes/2-pack-blister-collection-erika" TargetMode="External" Id="rId937" /><Relationship Type="http://schemas.openxmlformats.org/officeDocument/2006/relationships/hyperlink" Target="https://www.pricecharting.com/game/pokemon-ascended-heroes/2-pack-blister-collection-larry" TargetMode="External" Id="rId938" /><Relationship Type="http://schemas.openxmlformats.org/officeDocument/2006/relationships/hyperlink" Target="https://www.pricecharting.com/game/pokemon-ascended-heroes/costco-5-pack-mini-tin" TargetMode="External" Id="rId939" /><Relationship Type="http://schemas.openxmlformats.org/officeDocument/2006/relationships/hyperlink" Target="https://www.pricecharting.com/game/pokemon-ascended-heroes/elite-trainer-box-pokemon-center" TargetMode="External" Id="rId940" /><Relationship Type="http://schemas.openxmlformats.org/officeDocument/2006/relationships/hyperlink" Target="https://www.pricecharting.com/game/pokemon-ascended-heroes/sealed-premium-poster-collection-mega-gardevoir" TargetMode="External" Id="rId941" /><Relationship Type="http://schemas.openxmlformats.org/officeDocument/2006/relationships/hyperlink" Target="https://www.pricecharting.com/game/pokemon-ascended-heroes/sealed-tin-mega-emboar-ex" TargetMode="External" Id="rId942" /><Relationship Type="http://schemas.openxmlformats.org/officeDocument/2006/relationships/hyperlink" Target="https://www.pricecharting.com/game/pokemon-ascended-heroes/sealed-tin-mega-feraligatr-ex" TargetMode="External" Id="rId943" /><Relationship Type="http://schemas.openxmlformats.org/officeDocument/2006/relationships/hyperlink" Target="https://www.pricecharting.com/game/pokemon-ascended-heroes/sealed-tin-mega-meganium-ex" TargetMode="External" Id="rId944" /><Relationship Type="http://schemas.openxmlformats.org/officeDocument/2006/relationships/hyperlink" Target="https://www.pricecharting.com/game/pokemon-ascended-heroes/tech-sticker-collection-charmander" TargetMode="External" Id="rId945" /><Relationship Type="http://schemas.openxmlformats.org/officeDocument/2006/relationships/hyperlink" Target="https://www.pricecharting.com/game/pokemon-ascended-heroes/tech-sticker-collection-gastly" TargetMode="External" Id="rId946" /><Relationship Type="http://schemas.openxmlformats.org/officeDocument/2006/relationships/hyperlink" Target="https://www.pricecharting.com/game/pokemon-astral-radiance/back-to-school-eevee-eraser-2-pack-blister" TargetMode="External" Id="rId947" /><Relationship Type="http://schemas.openxmlformats.org/officeDocument/2006/relationships/hyperlink" Target="https://www.pricecharting.com/game/pokemon-astral-radiance/eevee-3-pack-blister" TargetMode="External" Id="rId948" /><Relationship Type="http://schemas.openxmlformats.org/officeDocument/2006/relationships/hyperlink" Target="https://www.pricecharting.com/game/pokemon-astral-radiance/elite-trainer-box-pokemon-center" TargetMode="External" Id="rId949" /><Relationship Type="http://schemas.openxmlformats.org/officeDocument/2006/relationships/hyperlink" Target="https://www.pricecharting.com/game/pokemon-astral-radiance/hanger-box" TargetMode="External" Id="rId950" /><Relationship Type="http://schemas.openxmlformats.org/officeDocument/2006/relationships/hyperlink" Target="https://www.pricecharting.com/game/pokemon-astral-radiance/jirachi-v-box" TargetMode="External" Id="rId951" /><Relationship Type="http://schemas.openxmlformats.org/officeDocument/2006/relationships/hyperlink" Target="https://www.pricecharting.com/game/pokemon-astral-radiance/sylveon-3-pack-blister" TargetMode="External" Id="rId952" /><Relationship Type="http://schemas.openxmlformats.org/officeDocument/2006/relationships/hyperlink" Target="https://www.pricecharting.com/game/pokemon-astral-radiance/toxel-1-pack-blister" TargetMode="External" Id="rId953" /><Relationship Type="http://schemas.openxmlformats.org/officeDocument/2006/relationships/hyperlink" Target="https://www.pricecharting.com/game/pokemon-battle-styles/blastoise-vmax-battle-box" TargetMode="External" Id="rId954" /><Relationship Type="http://schemas.openxmlformats.org/officeDocument/2006/relationships/hyperlink" Target="https://www.pricecharting.com/game/pokemon-battle-styles/dragonite-v-box" TargetMode="External" Id="rId955" /><Relationship Type="http://schemas.openxmlformats.org/officeDocument/2006/relationships/hyperlink" Target="https://www.pricecharting.com/game/pokemon-battle-styles/eevee-3-pack-blister" TargetMode="External" Id="rId956" /><Relationship Type="http://schemas.openxmlformats.org/officeDocument/2006/relationships/hyperlink" Target="https://www.pricecharting.com/game/pokemon-battle-styles/elite-trainer-box-rapid-strike-urshifu" TargetMode="External" Id="rId957" /><Relationship Type="http://schemas.openxmlformats.org/officeDocument/2006/relationships/hyperlink" Target="https://www.pricecharting.com/game/pokemon-battle-styles/elite-trainer-box-single-strike-urshifu" TargetMode="External" Id="rId958" /><Relationship Type="http://schemas.openxmlformats.org/officeDocument/2006/relationships/hyperlink" Target="https://www.pricecharting.com/game/pokemon-battle-styles/jolteon-3-pack-blister" TargetMode="External" Id="rId959" /><Relationship Type="http://schemas.openxmlformats.org/officeDocument/2006/relationships/hyperlink" Target="https://www.pricecharting.com/game/pokemon-battle-styles/spring-2021-collector-chest" TargetMode="External" Id="rId960" /><Relationship Type="http://schemas.openxmlformats.org/officeDocument/2006/relationships/hyperlink" Target="https://www.pricecharting.com/game/pokemon-battle-styles/v-powers-tin-eevee-v" TargetMode="External" Id="rId961" /><Relationship Type="http://schemas.openxmlformats.org/officeDocument/2006/relationships/hyperlink" Target="https://www.pricecharting.com/game/pokemon-battle-styles/v-powers-tin-eternatus-v" TargetMode="External" Id="rId962" /><Relationship Type="http://schemas.openxmlformats.org/officeDocument/2006/relationships/hyperlink" Target="https://www.pricecharting.com/game/pokemon-battle-styles/v-powers-tin-eternatus-v-international" TargetMode="External" Id="rId963" /><Relationship Type="http://schemas.openxmlformats.org/officeDocument/2006/relationships/hyperlink" Target="https://www.pricecharting.com/game/pokemon-battle-styles/v-powers-tin-pikachu-v" TargetMode="External" Id="rId964" /><Relationship Type="http://schemas.openxmlformats.org/officeDocument/2006/relationships/hyperlink" Target="https://www.pricecharting.com/game/pokemon-battle-styles/v-strikers-tin-empoleon" TargetMode="External" Id="rId965" /><Relationship Type="http://schemas.openxmlformats.org/officeDocument/2006/relationships/hyperlink" Target="https://www.pricecharting.com/game/pokemon-battle-styles/v-strikers-tin-empoleon-international" TargetMode="External" Id="rId966" /><Relationship Type="http://schemas.openxmlformats.org/officeDocument/2006/relationships/hyperlink" Target="https://www.pricecharting.com/game/pokemon-battle-styles/v-strikers-tin-tyranitar" TargetMode="External" Id="rId967" /><Relationship Type="http://schemas.openxmlformats.org/officeDocument/2006/relationships/hyperlink" Target="https://www.pricecharting.com/game/pokemon-battle-styles/v-strikers-tin-tyranitar-international" TargetMode="External" Id="rId968" /><Relationship Type="http://schemas.openxmlformats.org/officeDocument/2006/relationships/hyperlink" Target="https://www.pricecharting.com/game/pokemon-battle-styles/venusaur-vmax-battle-box" TargetMode="External" Id="rId969" /><Relationship Type="http://schemas.openxmlformats.org/officeDocument/2006/relationships/hyperlink" Target="https://www.pricecharting.com/game/pokemon-black-bolt/elite-trainer-box-pokemon-center" TargetMode="External" Id="rId970" /><Relationship Type="http://schemas.openxmlformats.org/officeDocument/2006/relationships/hyperlink" Target="https://www.pricecharting.com/game/pokemon-breakpoint/elite-trainer-box" TargetMode="External" Id="rId971" /><Relationship Type="http://schemas.openxmlformats.org/officeDocument/2006/relationships/hyperlink" Target="https://www.pricecharting.com/game/pokemon-breakpoint/triple-power-tin-gyarados" TargetMode="External" Id="rId972" /><Relationship Type="http://schemas.openxmlformats.org/officeDocument/2006/relationships/hyperlink" Target="https://www.pricecharting.com/game/pokemon-breakpoint/triple-power-tin-mewtwo" TargetMode="External" Id="rId973" /><Relationship Type="http://schemas.openxmlformats.org/officeDocument/2006/relationships/hyperlink" Target="https://www.pricecharting.com/game/pokemon-breakpoint/triple-powers-tin-machamp" TargetMode="External" Id="rId974" /><Relationship Type="http://schemas.openxmlformats.org/officeDocument/2006/relationships/hyperlink" Target="https://www.pricecharting.com/game/pokemon-brilliant-stars/arceus-spring-2022-collector's-chest" TargetMode="External" Id="rId975" /><Relationship Type="http://schemas.openxmlformats.org/officeDocument/2006/relationships/hyperlink" Target="https://www.pricecharting.com/game/pokemon-brilliant-stars/arceus-vstar-premium-collection" TargetMode="External" Id="rId976" /><Relationship Type="http://schemas.openxmlformats.org/officeDocument/2006/relationships/hyperlink" Target="https://www.pricecharting.com/game/pokemon-brilliant-stars/arceus-vstar-ultra-premium-collection-box" TargetMode="External" Id="rId977" /><Relationship Type="http://schemas.openxmlformats.org/officeDocument/2006/relationships/hyperlink" Target="https://www.pricecharting.com/game/pokemon-brilliant-stars/boltund-v-box" TargetMode="External" Id="rId978" /><Relationship Type="http://schemas.openxmlformats.org/officeDocument/2006/relationships/hyperlink" Target="https://www.pricecharting.com/game/pokemon-brilliant-stars/build-&amp;-battle-kit" TargetMode="External" Id="rId979" /><Relationship Type="http://schemas.openxmlformats.org/officeDocument/2006/relationships/hyperlink" Target="https://www.pricecharting.com/game/pokemon-brilliant-stars/eevee-1-pack-blister" TargetMode="External" Id="rId980" /><Relationship Type="http://schemas.openxmlformats.org/officeDocument/2006/relationships/hyperlink" Target="https://www.pricecharting.com/game/pokemon-brilliant-stars/elite-trainer-box-pokemon-center" TargetMode="External" Id="rId981" /><Relationship Type="http://schemas.openxmlformats.org/officeDocument/2006/relationships/hyperlink" Target="https://www.pricecharting.com/game/pokemon-brilliant-stars/flapple-1-pack-blister" TargetMode="External" Id="rId982" /><Relationship Type="http://schemas.openxmlformats.org/officeDocument/2006/relationships/hyperlink" Target="https://www.pricecharting.com/game/pokemon-brilliant-stars/glaceon-3-pack-blister" TargetMode="External" Id="rId983" /><Relationship Type="http://schemas.openxmlformats.org/officeDocument/2006/relationships/hyperlink" Target="https://www.pricecharting.com/game/pokemon-brilliant-stars/leafeon-3-pack-blister" TargetMode="External" Id="rId984" /><Relationship Type="http://schemas.openxmlformats.org/officeDocument/2006/relationships/hyperlink" Target="https://www.pricecharting.com/game/pokemon-brilliant-stars/lucario-vstar-premium-collection-box" TargetMode="External" Id="rId985" /><Relationship Type="http://schemas.openxmlformats.org/officeDocument/2006/relationships/hyperlink" Target="https://www.pricecharting.com/game/pokemon-brilliant-stars/pikachu-v-box" TargetMode="External" Id="rId986" /><Relationship Type="http://schemas.openxmlformats.org/officeDocument/2006/relationships/hyperlink" Target="https://www.pricecharting.com/game/pokemon-brilliant-stars/v-heroes-epseon-tin" TargetMode="External" Id="rId987" /><Relationship Type="http://schemas.openxmlformats.org/officeDocument/2006/relationships/hyperlink" Target="https://www.pricecharting.com/game/pokemon-brilliant-stars/v-heroes-sylveon-tin" TargetMode="External" Id="rId988" /><Relationship Type="http://schemas.openxmlformats.org/officeDocument/2006/relationships/hyperlink" Target="https://www.pricecharting.com/game/pokemon-brilliant-stars/v-heroes-umbreon-tin" TargetMode="External" Id="rId989" /><Relationship Type="http://schemas.openxmlformats.org/officeDocument/2006/relationships/hyperlink" Target="https://www.pricecharting.com/game/pokemon-burning-shadows/cosmog-3-pack-blister" TargetMode="External" Id="rId990" /><Relationship Type="http://schemas.openxmlformats.org/officeDocument/2006/relationships/hyperlink" Target="https://www.pricecharting.com/game/pokemon-burning-shadows/team-skull-pin-collection-box" TargetMode="External" Id="rId991" /><Relationship Type="http://schemas.openxmlformats.org/officeDocument/2006/relationships/hyperlink" Target="https://www.tcgplayer.com/product/242809" TargetMode="External" Id="rId992" /><Relationship Type="http://schemas.openxmlformats.org/officeDocument/2006/relationships/hyperlink" Target="https://www.tcgplayer.com/product/242807" TargetMode="External" Id="rId993" /><Relationship Type="http://schemas.openxmlformats.org/officeDocument/2006/relationships/hyperlink" Target="https://www.tcgplayer.com/product/244726" TargetMode="External" Id="rId994" /><Relationship Type="http://schemas.openxmlformats.org/officeDocument/2006/relationships/hyperlink" Target="https://www.pricecharting.com/game/pokemon-celebrations/collector-chest" TargetMode="External" Id="rId995" /><Relationship Type="http://schemas.openxmlformats.org/officeDocument/2006/relationships/hyperlink" Target="https://www.tcgplayer.com/product/244727" TargetMode="External" Id="rId996" /><Relationship Type="http://schemas.openxmlformats.org/officeDocument/2006/relationships/hyperlink" Target="https://www.pricecharting.com/game/pokemon-celebrations/dark-sylveon-tin" TargetMode="External" Id="rId997" /><Relationship Type="http://schemas.openxmlformats.org/officeDocument/2006/relationships/hyperlink" Target="https://www.pricecharting.com/game/pokemon-celebrations/dark-sylveon-tin-international" TargetMode="External" Id="rId998" /><Relationship Type="http://schemas.openxmlformats.org/officeDocument/2006/relationships/hyperlink" Target="https://www.pricecharting.com/game/pokemon-celebrations/dark-sylveon-v-box" TargetMode="External" Id="rId999" /><Relationship Type="http://schemas.openxmlformats.org/officeDocument/2006/relationships/hyperlink" Target="https://www.tcgplayer.com/product/242810" TargetMode="External" Id="rId1000" /><Relationship Type="http://schemas.openxmlformats.org/officeDocument/2006/relationships/hyperlink" Target="https://www.pricecharting.com/game/pokemon-celebrations/deluxe-pin-collection-box" TargetMode="External" Id="rId1001" /><Relationship Type="http://schemas.openxmlformats.org/officeDocument/2006/relationships/hyperlink" Target="https://www.pricecharting.com/game/pokemon-celebrations/dragapult-prime-box" TargetMode="External" Id="rId1002" /><Relationship Type="http://schemas.openxmlformats.org/officeDocument/2006/relationships/hyperlink" Target="https://www.pricecharting.com/game/pokemon-celebrations/elite-trainer-box" TargetMode="External" Id="rId1003" /><Relationship Type="http://schemas.openxmlformats.org/officeDocument/2006/relationships/hyperlink" Target="https://www.tcgplayer.com/product/242811" TargetMode="External" Id="rId1004" /><Relationship Type="http://schemas.openxmlformats.org/officeDocument/2006/relationships/hyperlink" Target="https://www.pricecharting.com/game/pokemon-celebrations/elite-trainer-box-pokemon-center" TargetMode="External" Id="rId1005" /><Relationship Type="http://schemas.openxmlformats.org/officeDocument/2006/relationships/hyperlink" Target="https://www.pricecharting.com/game/pokemon-celebrations/genesect-mythical-collection-box" TargetMode="External" Id="rId1006" /><Relationship Type="http://schemas.openxmlformats.org/officeDocument/2006/relationships/hyperlink" Target="https://www.pricecharting.com/game/pokemon-celebrations/keldeo-mythical-collection-box" TargetMode="External" Id="rId1007" /><Relationship Type="http://schemas.openxmlformats.org/officeDocument/2006/relationships/hyperlink" Target="https://www.pricecharting.com/game/pokemon-celebrations/lance's-charizard-v-big-tin" TargetMode="External" Id="rId1008" /><Relationship Type="http://schemas.openxmlformats.org/officeDocument/2006/relationships/hyperlink" Target="https://www.pricecharting.com/game/pokemon-celebrations/lance's-charizard-v-box" TargetMode="External" Id="rId1009" /><Relationship Type="http://schemas.openxmlformats.org/officeDocument/2006/relationships/hyperlink" Target="https://www.pricecharting.com/game/pokemon-celebrations/lance's-charizard-v-tin" TargetMode="External" Id="rId1010" /><Relationship Type="http://schemas.openxmlformats.org/officeDocument/2006/relationships/hyperlink" Target="https://www.pricecharting.com/game/pokemon-celebrations/manaphy-mythical-collection-box" TargetMode="External" Id="rId1011" /><Relationship Type="http://schemas.openxmlformats.org/officeDocument/2006/relationships/hyperlink" Target="https://www.pricecharting.com/game/pokemon-celebrations/meloetta-mythical-collection-box" TargetMode="External" Id="rId1012" /><Relationship Type="http://schemas.openxmlformats.org/officeDocument/2006/relationships/hyperlink" Target="https://www.tcgplayer.com/product/242819" TargetMode="External" Id="rId1013" /><Relationship Type="http://schemas.openxmlformats.org/officeDocument/2006/relationships/hyperlink" Target="https://www.tcgplayer.com/product/242820" TargetMode="External" Id="rId1014" /><Relationship Type="http://schemas.openxmlformats.org/officeDocument/2006/relationships/hyperlink" Target="https://www.tcgplayer.com/product/242815" TargetMode="External" Id="rId1015" /><Relationship Type="http://schemas.openxmlformats.org/officeDocument/2006/relationships/hyperlink" Target="https://www.tcgplayer.com/product/242818" TargetMode="External" Id="rId1016" /><Relationship Type="http://schemas.openxmlformats.org/officeDocument/2006/relationships/hyperlink" Target="https://www.pricecharting.com/game/pokemon-celebrations/mini-tin-kanto" TargetMode="External" Id="rId1017" /><Relationship Type="http://schemas.openxmlformats.org/officeDocument/2006/relationships/hyperlink" Target="https://www.tcgplayer.com/product/242813" TargetMode="External" Id="rId1018" /><Relationship Type="http://schemas.openxmlformats.org/officeDocument/2006/relationships/hyperlink" Target="https://www.tcgplayer.com/product/242816" TargetMode="External" Id="rId1019" /><Relationship Type="http://schemas.openxmlformats.org/officeDocument/2006/relationships/hyperlink" Target="https://www.tcgplayer.com/product/242817" TargetMode="External" Id="rId1020" /><Relationship Type="http://schemas.openxmlformats.org/officeDocument/2006/relationships/hyperlink" Target="https://www.tcgplayer.com/product/251199" TargetMode="External" Id="rId1021" /><Relationship Type="http://schemas.openxmlformats.org/officeDocument/2006/relationships/hyperlink" Target="https://www.tcgplayer.com/product/245139" TargetMode="External" Id="rId1022" /><Relationship Type="http://schemas.openxmlformats.org/officeDocument/2006/relationships/hyperlink" Target="https://www.pricecharting.com/game/pokemon-celebrations/premium-figure-collection-pikachu-vmax-box" TargetMode="External" Id="rId1023" /><Relationship Type="http://schemas.openxmlformats.org/officeDocument/2006/relationships/hyperlink" Target="https://www.tcgplayer.com/product/251217" TargetMode="External" Id="rId1024" /><Relationship Type="http://schemas.openxmlformats.org/officeDocument/2006/relationships/hyperlink" Target="https://www.pricecharting.com/game/pokemon-celebrations/celebrations-premium-playmat-collection-box-pikachu-v-union" TargetMode="External" Id="rId1025" /><Relationship Type="http://schemas.openxmlformats.org/officeDocument/2006/relationships/hyperlink" Target="https://www.pricecharting.com/game/pokemon-celebrations/prime-collection" TargetMode="External" Id="rId1026" /><Relationship Type="http://schemas.openxmlformats.org/officeDocument/2006/relationships/hyperlink" Target="https://www.tcgplayer.com/product/252416" TargetMode="External" Id="rId1027" /><Relationship Type="http://schemas.openxmlformats.org/officeDocument/2006/relationships/hyperlink" Target="https://www.tcgplayer.com/product/247470" TargetMode="External" Id="rId1028" /><Relationship Type="http://schemas.openxmlformats.org/officeDocument/2006/relationships/hyperlink" Target="https://www.pricecharting.com/game/pokemon-celebrations/special-collection-pikachu-v-union-box" TargetMode="External" Id="rId1029" /><Relationship Type="http://schemas.openxmlformats.org/officeDocument/2006/relationships/hyperlink" Target="https://www.pricecharting.com/game/pokemon-celebrations/ultra-premium-collection-box" TargetMode="External" Id="rId1030" /><Relationship Type="http://schemas.openxmlformats.org/officeDocument/2006/relationships/hyperlink" Target="https://www.tcgplayer.com/product/245140" TargetMode="External" Id="rId1031" /><Relationship Type="http://schemas.openxmlformats.org/officeDocument/2006/relationships/hyperlink" Target="https://www.pricecharting.com/game/pokemon-celebrations/v-memories-collection-box" TargetMode="External" Id="rId1032" /><Relationship Type="http://schemas.openxmlformats.org/officeDocument/2006/relationships/hyperlink" Target="https://www.pricecharting.com/game/pokemon-celebrations/victini-mythical-collection-box" TargetMode="External" Id="rId1033" /><Relationship Type="http://schemas.openxmlformats.org/officeDocument/2006/relationships/hyperlink" Target="https://www.tcgplayer.com/product/251988" TargetMode="External" Id="rId1034" /><Relationship Type="http://schemas.openxmlformats.org/officeDocument/2006/relationships/hyperlink" Target="https://www.tcgplayer.com/product/251987" TargetMode="External" Id="rId1035" /><Relationship Type="http://schemas.openxmlformats.org/officeDocument/2006/relationships/hyperlink" Target="https://www.tcgplayer.com/product/252739" TargetMode="External" Id="rId1036" /><Relationship Type="http://schemas.openxmlformats.org/officeDocument/2006/relationships/hyperlink" Target="https://www.tcgplayer.com/product/251989" TargetMode="External" Id="rId1037" /><Relationship Type="http://schemas.openxmlformats.org/officeDocument/2006/relationships/hyperlink" Target="https://www.tcgplayer.com/product/251986" TargetMode="External" Id="rId1038" /><Relationship Type="http://schemas.openxmlformats.org/officeDocument/2006/relationships/hyperlink" Target="https://www.pricecharting.com/game/pokemon-celestial-storm/elite-trainer-box" TargetMode="External" Id="rId1039" /><Relationship Type="http://schemas.openxmlformats.org/officeDocument/2006/relationships/hyperlink" Target="https://www.pricecharting.com/game/pokemon-celestial-storm/evolution-celebration-tin-glaceon-gx" TargetMode="External" Id="rId1040" /><Relationship Type="http://schemas.openxmlformats.org/officeDocument/2006/relationships/hyperlink" Target="https://www.tcgplayer.com/product/265318" TargetMode="External" Id="rId1041" /><Relationship Type="http://schemas.openxmlformats.org/officeDocument/2006/relationships/hyperlink" Target="https://www.tcgplayer.com/product/218804" TargetMode="External" Id="rId1042" /><Relationship Type="http://schemas.openxmlformats.org/officeDocument/2006/relationships/hyperlink" Target="https://www.tcgplayer.com/product/218791" TargetMode="External" Id="rId1043" /><Relationship Type="http://schemas.openxmlformats.org/officeDocument/2006/relationships/hyperlink" Target="https://www.tcgplayer.com/product/218799" TargetMode="External" Id="rId1044" /><Relationship Type="http://schemas.openxmlformats.org/officeDocument/2006/relationships/hyperlink" Target="https://www.tcgplayer.com/product/218794" TargetMode="External" Id="rId1045" /><Relationship Type="http://schemas.openxmlformats.org/officeDocument/2006/relationships/hyperlink" Target="https://www.tcgplayer.com/product/218796" TargetMode="External" Id="rId1046" /><Relationship Type="http://schemas.openxmlformats.org/officeDocument/2006/relationships/hyperlink" Target="https://www.tcgplayer.com/product/218800" TargetMode="External" Id="rId1047" /><Relationship Type="http://schemas.openxmlformats.org/officeDocument/2006/relationships/hyperlink" Target="https://www.tcgplayer.com/product/218797" TargetMode="External" Id="rId1048" /><Relationship Type="http://schemas.openxmlformats.org/officeDocument/2006/relationships/hyperlink" Target="https://www.tcgplayer.com/product/218807" TargetMode="External" Id="rId1049" /><Relationship Type="http://schemas.openxmlformats.org/officeDocument/2006/relationships/hyperlink" Target="https://www.tcgplayer.com/product/218803" TargetMode="External" Id="rId1050" /><Relationship Type="http://schemas.openxmlformats.org/officeDocument/2006/relationships/hyperlink" Target="https://www.tcgplayer.com/product/218802" TargetMode="External" Id="rId1051" /><Relationship Type="http://schemas.openxmlformats.org/officeDocument/2006/relationships/hyperlink" Target="https://www.pricecharting.com/game/pokemon-chaos-rising/booster-bundle" TargetMode="External" Id="rId1052" /><Relationship Type="http://schemas.openxmlformats.org/officeDocument/2006/relationships/hyperlink" Target="https://www.pricecharting.com/game/pokemon-chaos-rising/build-&amp;-battle-box" TargetMode="External" Id="rId1053" /><Relationship Type="http://schemas.openxmlformats.org/officeDocument/2006/relationships/hyperlink" Target="https://www.pricecharting.com/game/pokemon-chaos-rising/elite-trainer-box" TargetMode="External" Id="rId1054" /><Relationship Type="http://schemas.openxmlformats.org/officeDocument/2006/relationships/hyperlink" Target="https://www.pricecharting.com/game/pokemon-chaos-rising/elite-trainer-box-pokemon-center" TargetMode="External" Id="rId1055" /><Relationship Type="http://schemas.openxmlformats.org/officeDocument/2006/relationships/hyperlink" Target="https://www.pricecharting.com/game/pokemon-chilling-reign/elite-trainer-box-ice-rider-pokemon-center" TargetMode="External" Id="rId1056" /><Relationship Type="http://schemas.openxmlformats.org/officeDocument/2006/relationships/hyperlink" Target="https://www.pricecharting.com/game/pokemon-chilling-reign/elite-trainer-box-ice-rider" TargetMode="External" Id="rId1057" /><Relationship Type="http://schemas.openxmlformats.org/officeDocument/2006/relationships/hyperlink" Target="https://www.pricecharting.com/game/pokemon-chilling-reign/elite-trainer-box-shadow-rider-pokemon-center" TargetMode="External" Id="rId1058" /><Relationship Type="http://schemas.openxmlformats.org/officeDocument/2006/relationships/hyperlink" Target="https://www.pricecharting.com/game/pokemon-chilling-reign/elite-trainer-box-shadow-rider" TargetMode="External" Id="rId1059" /><Relationship Type="http://schemas.openxmlformats.org/officeDocument/2006/relationships/hyperlink" Target="https://www.pricecharting.com/game/pokemon-chinese-151-collect/chinese-new-year-collection-box" TargetMode="External" Id="rId1060" /><Relationship Type="http://schemas.openxmlformats.org/officeDocument/2006/relationships/hyperlink" Target="https://www.pricecharting.com/game/pokemon-chinese-cs4ac/eeveelution-gift-box-flareon" TargetMode="External" Id="rId1061" /><Relationship Type="http://schemas.openxmlformats.org/officeDocument/2006/relationships/hyperlink" Target="https://www.pricecharting.com/game/pokemon-chinese-cs4ac/eeveelution-gift-box-jolteon" TargetMode="External" Id="rId1062" /><Relationship Type="http://schemas.openxmlformats.org/officeDocument/2006/relationships/hyperlink" Target="https://www.pricecharting.com/game/pokemon-chinese-cs4ac/eeveelution-gift-box-vaporeon" TargetMode="External" Id="rId1063" /><Relationship Type="http://schemas.openxmlformats.org/officeDocument/2006/relationships/hyperlink" Target="https://www.pricecharting.com/game/pokemon-chinese-gem-pack/gem-pack-badge-collection" TargetMode="External" Id="rId1064" /><Relationship Type="http://schemas.openxmlformats.org/officeDocument/2006/relationships/hyperlink" Target="https://www.pricecharting.com/game/pokemon-chinese-promo/2026-lunar-new-year-gift-box" TargetMode="External" Id="rId1065" /><Relationship Type="http://schemas.openxmlformats.org/officeDocument/2006/relationships/hyperlink" Target="https://www.pricecharting.com/game/pokemon-chinese-promo/chinese-pokemon-5th-anniversary-gift-box" TargetMode="External" Id="rId1066" /><Relationship Type="http://schemas.openxmlformats.org/officeDocument/2006/relationships/hyperlink" Target="https://www.pricecharting.com/game/pokemon-chinese-promo/metal-pack-storage-box-set" TargetMode="External" Id="rId1067" /><Relationship Type="http://schemas.openxmlformats.org/officeDocument/2006/relationships/hyperlink" Target="https://www.pricecharting.com/game/pokemon-chinese-promo/pikachu-v-union-gift-box" TargetMode="External" Id="rId1068" /><Relationship Type="http://schemas.openxmlformats.org/officeDocument/2006/relationships/hyperlink" Target="https://www.pricecharting.com/game/pokemon-cosmic-eclipse/2-pack-blister" TargetMode="External" Id="rId1069" /><Relationship Type="http://schemas.openxmlformats.org/officeDocument/2006/relationships/hyperlink" Target="https://www.pricecharting.com/game/pokemon-cosmic-eclipse/3-pack-blister" TargetMode="External" Id="rId1070" /><Relationship Type="http://schemas.openxmlformats.org/officeDocument/2006/relationships/hyperlink" Target="https://www.pricecharting.com/game/pokemon-cosmic-eclipse/galarian-sirfetch'd-v-box" TargetMode="External" Id="rId1071" /><Relationship Type="http://schemas.openxmlformats.org/officeDocument/2006/relationships/hyperlink" Target="https://www.pricecharting.com/game/pokemon-cosmic-eclipse/tag-team-powers-collection-box-espeon-&amp;-deoxys-gx" TargetMode="External" Id="rId1072" /><Relationship Type="http://schemas.openxmlformats.org/officeDocument/2006/relationships/hyperlink" Target="https://www.pricecharting.com/game/pokemon-cosmic-eclipse/tag-team-powers-collection-box-umbreon-&amp;-darkrai-gx" TargetMode="External" Id="rId1073" /><Relationship Type="http://schemas.openxmlformats.org/officeDocument/2006/relationships/hyperlink" Target="https://www.pricecharting.com/game/pokemon-crimson-invasion/legends-of-johto-gx-collection" TargetMode="External" Id="rId1074" /><Relationship Type="http://schemas.openxmlformats.org/officeDocument/2006/relationships/hyperlink" Target="https://www.pricecharting.com/game/pokemon-crown-zenith/elite-trainer-box-plus" TargetMode="External" Id="rId1075" /><Relationship Type="http://schemas.openxmlformats.org/officeDocument/2006/relationships/hyperlink" Target="https://www.pricecharting.com/game/pokemon-crown-zenith/galarian-articuno-tin" TargetMode="External" Id="rId1076" /><Relationship Type="http://schemas.openxmlformats.org/officeDocument/2006/relationships/hyperlink" Target="https://www.pricecharting.com/game/pokemon-crown-zenith/galarian-articuno-tin-international" TargetMode="External" Id="rId1077" /><Relationship Type="http://schemas.openxmlformats.org/officeDocument/2006/relationships/hyperlink" Target="https://www.pricecharting.com/game/pokemon-crown-zenith/galarian-moltres-tin-none" TargetMode="External" Id="rId1078" /><Relationship Type="http://schemas.openxmlformats.org/officeDocument/2006/relationships/hyperlink" Target="https://www.pricecharting.com/game/pokemon-crown-zenith/galarian-zapdos-tin-none" TargetMode="External" Id="rId1079" /><Relationship Type="http://schemas.openxmlformats.org/officeDocument/2006/relationships/hyperlink" Target="https://www.pricecharting.com/game/pokemon-crown-zenith/hisuian-zoroark-vstar-premium-collection-box" TargetMode="External" Id="rId1080" /><Relationship Type="http://schemas.openxmlformats.org/officeDocument/2006/relationships/hyperlink" Target="https://www.pricecharting.com/game/pokemon-crown-zenith/lugia-v-&amp;-unown-v-special-collection" TargetMode="External" Id="rId1081" /><Relationship Type="http://schemas.openxmlformats.org/officeDocument/2006/relationships/hyperlink" Target="https://www.pricecharting.com/game/pokemon-crown-zenith/mini-tin-bede" TargetMode="External" Id="rId1082" /><Relationship Type="http://schemas.openxmlformats.org/officeDocument/2006/relationships/hyperlink" Target="https://www.pricecharting.com/game/pokemon-crown-zenith/mini-tin-hop" TargetMode="External" Id="rId1083" /><Relationship Type="http://schemas.openxmlformats.org/officeDocument/2006/relationships/hyperlink" Target="https://www.pricecharting.com/game/pokemon-crown-zenith/morpeko-v-union-premium-playmat-collection-box" TargetMode="External" Id="rId1084" /><Relationship Type="http://schemas.openxmlformats.org/officeDocument/2006/relationships/hyperlink" Target="https://www.pricecharting.com/game/pokemon-crown-zenith/regidrago-v-collection" TargetMode="External" Id="rId1085" /><Relationship Type="http://schemas.openxmlformats.org/officeDocument/2006/relationships/hyperlink" Target="https://www.pricecharting.com/game/pokemon-crown-zenith/regieleki-v-collection" TargetMode="External" Id="rId1086" /><Relationship Type="http://schemas.openxmlformats.org/officeDocument/2006/relationships/hyperlink" Target="https://www.pricecharting.com/game/pokemon-crown-zenith/sea-and-sky-premium-collection-box" TargetMode="External" Id="rId1087" /><Relationship Type="http://schemas.openxmlformats.org/officeDocument/2006/relationships/hyperlink" Target="https://www.pricecharting.com/game/pokemon-crown-zenith/shiny-zacian-premium-figure-collection-box" TargetMode="External" Id="rId1088" /><Relationship Type="http://schemas.openxmlformats.org/officeDocument/2006/relationships/hyperlink" Target="https://www.pricecharting.com/game/pokemon-crown-zenith/shiny-zamazenta-premium-figure-collection-box" TargetMode="External" Id="rId1089" /><Relationship Type="http://schemas.openxmlformats.org/officeDocument/2006/relationships/hyperlink" Target="https://www.pricecharting.com/game/pokemon-dark-explorers/luxray-3-pack-blister" TargetMode="External" Id="rId1090" /><Relationship Type="http://schemas.openxmlformats.org/officeDocument/2006/relationships/hyperlink" Target="https://www.pricecharting.com/game/pokemon-darkness-ablaze/eevee-3-pack-blister" TargetMode="External" Id="rId1091" /><Relationship Type="http://schemas.openxmlformats.org/officeDocument/2006/relationships/hyperlink" Target="https://www.pricecharting.com/game/pokemon-darkness-ablaze/eternatus-vmax-premium-collection-box" TargetMode="External" Id="rId1092" /><Relationship Type="http://schemas.openxmlformats.org/officeDocument/2006/relationships/hyperlink" Target="https://www.pricecharting.com/game/pokemon-destined-rivals/elite-trainer-box-pokemon-center" TargetMode="External" Id="rId1093" /><Relationship Type="http://schemas.openxmlformats.org/officeDocument/2006/relationships/hyperlink" Target="https://www.pricecharting.com/game/pokemon-destined-rivals/team-rocket-tin-mewtwo-ex" TargetMode="External" Id="rId1094" /><Relationship Type="http://schemas.openxmlformats.org/officeDocument/2006/relationships/hyperlink" Target="https://www.pricecharting.com/game/pokemon-destined-rivals/team-rocket-tin-mewtwo-ex-international" TargetMode="External" Id="rId1095" /><Relationship Type="http://schemas.openxmlformats.org/officeDocument/2006/relationships/hyperlink" Target="https://www.pricecharting.com/game/pokemon-destined-rivals/team-rocket-tin-nidoking-ex" TargetMode="External" Id="rId1096" /><Relationship Type="http://schemas.openxmlformats.org/officeDocument/2006/relationships/hyperlink" Target="https://www.pricecharting.com/game/pokemon-destined-rivals/team-rocket-tin-nidoking-ex-international" TargetMode="External" Id="rId1097" /><Relationship Type="http://schemas.openxmlformats.org/officeDocument/2006/relationships/hyperlink" Target="https://www.pricecharting.com/game/pokemon-destined-rivals/team-rocket-tin-persian-ex" TargetMode="External" Id="rId1098" /><Relationship Type="http://schemas.openxmlformats.org/officeDocument/2006/relationships/hyperlink" Target="https://www.pricecharting.com/game/pokemon-destined-rivals/team-rocket-tin-persian-ex-international" TargetMode="External" Id="rId1099" /><Relationship Type="http://schemas.openxmlformats.org/officeDocument/2006/relationships/hyperlink" Target="https://www.pricecharting.com/game/pokemon-destined-rivals/team-rocket's-mewtwo-ex-box" TargetMode="External" Id="rId1100" /><Relationship Type="http://schemas.openxmlformats.org/officeDocument/2006/relationships/hyperlink" Target="https://www.tcgplayer.com/product/264420" TargetMode="External" Id="rId1101" /><Relationship Type="http://schemas.openxmlformats.org/officeDocument/2006/relationships/hyperlink" Target="https://www.pricecharting.com/game/pokemon-detective-pikachu/detective-pikachu-collectors-chest" TargetMode="External" Id="rId1102" /><Relationship Type="http://schemas.openxmlformats.org/officeDocument/2006/relationships/hyperlink" Target="https://www.tcgplayer.com/product/502477" TargetMode="External" Id="rId1103" /><Relationship Type="http://schemas.openxmlformats.org/officeDocument/2006/relationships/hyperlink" Target="https://www.pricecharting.com/game/pokemon-detective-pikachu/detective-pikachu-tin-mewtwo" TargetMode="External" Id="rId1104" /><Relationship Type="http://schemas.openxmlformats.org/officeDocument/2006/relationships/hyperlink" Target="https://www.tcgplayer.com/product/185244" TargetMode="External" Id="rId1105" /><Relationship Type="http://schemas.openxmlformats.org/officeDocument/2006/relationships/hyperlink" Target="https://www.pricecharting.com/game/pokemon-double-crisis/4-pack-blister-pack" TargetMode="External" Id="rId1106" /><Relationship Type="http://schemas.openxmlformats.org/officeDocument/2006/relationships/hyperlink" Target="https://www.pricecharting.com/game/pokemon-dragon-majesty/elite-trainer-box" TargetMode="External" Id="rId1107" /><Relationship Type="http://schemas.openxmlformats.org/officeDocument/2006/relationships/hyperlink" Target="https://www.tcgplayer.com/product/173393" TargetMode="External" Id="rId1108" /><Relationship Type="http://schemas.openxmlformats.org/officeDocument/2006/relationships/hyperlink" Target="https://www.pricecharting.com/game/pokemon-dragon-majesty/legends-of-unova-gx-collection-box" TargetMode="External" Id="rId1109" /><Relationship Type="http://schemas.openxmlformats.org/officeDocument/2006/relationships/hyperlink" Target="https://www.tcgplayer.com/product/175062" TargetMode="External" Id="rId1110" /><Relationship Type="http://schemas.openxmlformats.org/officeDocument/2006/relationships/hyperlink" Target="https://www.tcgplayer.com/product/175063" TargetMode="External" Id="rId1111" /><Relationship Type="http://schemas.openxmlformats.org/officeDocument/2006/relationships/hyperlink" Target="https://www.pricecharting.com/game/pokemon-dragon-majesty/pin-collection-box-latias" TargetMode="External" Id="rId1112" /><Relationship Type="http://schemas.openxmlformats.org/officeDocument/2006/relationships/hyperlink" Target="https://www.pricecharting.com/game/pokemon-dragon-majesty/pin-collection-box-latios" TargetMode="External" Id="rId1113" /><Relationship Type="http://schemas.openxmlformats.org/officeDocument/2006/relationships/hyperlink" Target="https://www.tcgplayer.com/product/180522" TargetMode="External" Id="rId1114" /><Relationship Type="http://schemas.openxmlformats.org/officeDocument/2006/relationships/hyperlink" Target="https://www.tcgplayer.com/product/180526" TargetMode="External" Id="rId1115" /><Relationship Type="http://schemas.openxmlformats.org/officeDocument/2006/relationships/hyperlink" Target="https://www.pricecharting.com/game/pokemon-dragon-majesty/super-premium-collection-box" TargetMode="External" Id="rId1116" /><Relationship Type="http://schemas.openxmlformats.org/officeDocument/2006/relationships/hyperlink" Target="https://www.tcgplayer.com/product/175560" TargetMode="External" Id="rId1117" /><Relationship Type="http://schemas.openxmlformats.org/officeDocument/2006/relationships/hyperlink" Target="https://www.pricecharting.com/game/pokemon-dragon-majesty/ultra-necrozma-gx-box" TargetMode="External" Id="rId1118" /><Relationship Type="http://schemas.openxmlformats.org/officeDocument/2006/relationships/hyperlink" Target="https://www.tcgplayer.com/product/179033" TargetMode="External" Id="rId1119" /><Relationship Type="http://schemas.openxmlformats.org/officeDocument/2006/relationships/hyperlink" Target="https://www.pricecharting.com/game/pokemon-dragon-majesty/ultra-necrozma-gx-figure-collection" TargetMode="External" Id="rId1120" /><Relationship Type="http://schemas.openxmlformats.org/officeDocument/2006/relationships/hyperlink" Target="https://www.tcgplayer.com/product/179038" TargetMode="External" Id="rId1121" /><Relationship Type="http://schemas.openxmlformats.org/officeDocument/2006/relationships/hyperlink" Target="https://www.pricecharting.com/game/pokemon-dragons-exalted/3-pack-blister" TargetMode="External" Id="rId1122" /><Relationship Type="http://schemas.openxmlformats.org/officeDocument/2006/relationships/hyperlink" Target="https://www.pricecharting.com/game/pokemon-evolutions/elite-trainer-box-blastoise" TargetMode="External" Id="rId1123" /><Relationship Type="http://schemas.openxmlformats.org/officeDocument/2006/relationships/hyperlink" Target="https://www.pricecharting.com/game/pokemon-evolutions/elite-trainer-box-charizard" TargetMode="External" Id="rId1124" /><Relationship Type="http://schemas.openxmlformats.org/officeDocument/2006/relationships/hyperlink" Target="https://www.pricecharting.com/game/pokemon-evolutions/espeon-gx-premium-collection-box" TargetMode="External" Id="rId1125" /><Relationship Type="http://schemas.openxmlformats.org/officeDocument/2006/relationships/hyperlink" Target="https://www.pricecharting.com/game/pokemon-evolutions/kanto-power-collection-box" TargetMode="External" Id="rId1126" /><Relationship Type="http://schemas.openxmlformats.org/officeDocument/2006/relationships/hyperlink" Target="https://www.pricecharting.com/game/pokemon-evolutions/prerelease-kit" TargetMode="External" Id="rId1127" /><Relationship Type="http://schemas.openxmlformats.org/officeDocument/2006/relationships/hyperlink" Target="https://www.pricecharting.com/game/pokemon-evolutions/sealed-mewtwo-ex-box" TargetMode="External" Id="rId1128" /><Relationship Type="http://schemas.openxmlformats.org/officeDocument/2006/relationships/hyperlink" Target="https://www.pricecharting.com/game/pokemon-evolutions/snorlax-gx-box" TargetMode="External" Id="rId1129" /><Relationship Type="http://schemas.openxmlformats.org/officeDocument/2006/relationships/hyperlink" Target="https://www.pricecharting.com/game/pokemon-evolutions/volcanion-mythical-collection-box" TargetMode="External" Id="rId1130" /><Relationship Type="http://schemas.openxmlformats.org/officeDocument/2006/relationships/hyperlink" Target="https://www.pricecharting.com/game/pokemon-evolving-skies/2-pack-blister" TargetMode="External" Id="rId1131" /><Relationship Type="http://schemas.openxmlformats.org/officeDocument/2006/relationships/hyperlink" Target="https://www.pricecharting.com/game/pokemon-evolving-skies/dragonite-v-box" TargetMode="External" Id="rId1132" /><Relationship Type="http://schemas.openxmlformats.org/officeDocument/2006/relationships/hyperlink" Target="https://www.pricecharting.com/game/pokemon-evolving-skies/elite-trainer-box-&amp;-tin-costco-bundle" TargetMode="External" Id="rId1133" /><Relationship Type="http://schemas.openxmlformats.org/officeDocument/2006/relationships/hyperlink" Target="https://www.pricecharting.com/game/pokemon-evolving-skies/elite-trainer-box-jolteon" TargetMode="External" Id="rId1134" /><Relationship Type="http://schemas.openxmlformats.org/officeDocument/2006/relationships/hyperlink" Target="https://www.pricecharting.com/game/pokemon-evolving-skies/elite-trainer-box-jolteon-pokemon-center" TargetMode="External" Id="rId1135" /><Relationship Type="http://schemas.openxmlformats.org/officeDocument/2006/relationships/hyperlink" Target="https://www.pricecharting.com/game/pokemon-evolving-skies/elite-trainer-box-vaporeon" TargetMode="External" Id="rId1136" /><Relationship Type="http://schemas.openxmlformats.org/officeDocument/2006/relationships/hyperlink" Target="https://www.pricecharting.com/game/pokemon-evolving-skies/elite-trainer-box-vaporeon-pokemon-center" TargetMode="External" Id="rId1137" /><Relationship Type="http://schemas.openxmlformats.org/officeDocument/2006/relationships/hyperlink" Target="https://www.pricecharting.com/game/pokemon-evolving-skies/flareon-vmax-premium-collection-box" TargetMode="External" Id="rId1138" /><Relationship Type="http://schemas.openxmlformats.org/officeDocument/2006/relationships/hyperlink" Target="https://www.pricecharting.com/game/pokemon-evolving-skies/hanger-box" TargetMode="External" Id="rId1139" /><Relationship Type="http://schemas.openxmlformats.org/officeDocument/2006/relationships/hyperlink" Target="https://www.pricecharting.com/game/pokemon-evolving-skies/jolteon-vmax-premium-collection-box" TargetMode="External" Id="rId1140" /><Relationship Type="http://schemas.openxmlformats.org/officeDocument/2006/relationships/hyperlink" Target="https://www.pricecharting.com/game/pokemon-evolving-skies/mythical-squishy-premium-collection" TargetMode="External" Id="rId1141" /><Relationship Type="http://schemas.openxmlformats.org/officeDocument/2006/relationships/hyperlink" Target="https://www.pricecharting.com/game/pokemon-evolving-skies/vaporeon-vmax-premium-collection-box" TargetMode="External" Id="rId1142" /><Relationship Type="http://schemas.openxmlformats.org/officeDocument/2006/relationships/hyperlink" Target="https://www.pricecharting.com/game/pokemon-evolving-skies/vmax-dragons-premium-collection-box" TargetMode="External" Id="rId1143" /><Relationship Type="http://schemas.openxmlformats.org/officeDocument/2006/relationships/hyperlink" Target="https://www.pricecharting.com/game/pokemon-fates-collide/3-pack-pin-blister-mega-alakazam" TargetMode="External" Id="rId1144" /><Relationship Type="http://schemas.openxmlformats.org/officeDocument/2006/relationships/hyperlink" Target="https://www.pricecharting.com/game/pokemon-fates-collide/build-battle-kit-prerelease" TargetMode="External" Id="rId1145" /><Relationship Type="http://schemas.openxmlformats.org/officeDocument/2006/relationships/hyperlink" Target="https://www.tcgplayer.com/product/694977" TargetMode="External" Id="rId1146" /><Relationship Type="http://schemas.openxmlformats.org/officeDocument/2006/relationships/hyperlink" Target="https://www.tcgplayer.com/product/701484" TargetMode="External" Id="rId1147" /><Relationship Type="http://schemas.openxmlformats.org/officeDocument/2006/relationships/hyperlink" Target="https://www.tcgplayer.com/product/701485" TargetMode="External" Id="rId1148" /><Relationship Type="http://schemas.openxmlformats.org/officeDocument/2006/relationships/hyperlink" Target="https://www.tcgplayer.com/product/673436" TargetMode="External" Id="rId1149" /><Relationship Type="http://schemas.openxmlformats.org/officeDocument/2006/relationships/hyperlink" Target="https://www.tcgplayer.com/product/688712" TargetMode="External" Id="rId1150" /><Relationship Type="http://schemas.openxmlformats.org/officeDocument/2006/relationships/hyperlink" Target="https://www.tcgplayer.com/product/695400" TargetMode="External" Id="rId1151" /><Relationship Type="http://schemas.openxmlformats.org/officeDocument/2006/relationships/hyperlink" Target="https://www.pricecharting.com/game/pokemon-flashfire/kalos-power-tin-delphox" TargetMode="External" Id="rId1152" /><Relationship Type="http://schemas.openxmlformats.org/officeDocument/2006/relationships/hyperlink" Target="https://www.pricecharting.com/game/pokemon-fossil/thunderstorm-gift-box" TargetMode="External" Id="rId1153" /><Relationship Type="http://schemas.openxmlformats.org/officeDocument/2006/relationships/hyperlink" Target="https://www.pricecharting.com/game/pokemon-furious-fists/2-pack-blister" TargetMode="External" Id="rId1154" /><Relationship Type="http://schemas.openxmlformats.org/officeDocument/2006/relationships/hyperlink" Target="https://www.pricecharting.com/game/pokemon-furious-fists/ex-power-trio-tin-charizard-ex" TargetMode="External" Id="rId1155" /><Relationship Type="http://schemas.openxmlformats.org/officeDocument/2006/relationships/hyperlink" Target="https://www.pricecharting.com/game/pokemon-furious-fists/slurpuff-3-pack-blister" TargetMode="External" Id="rId1156" /><Relationship Type="http://schemas.openxmlformats.org/officeDocument/2006/relationships/hyperlink" Target="https://www.pricecharting.com/game/pokemon-fusion-strike/eevee-3-pack-blister" TargetMode="External" Id="rId1157" /><Relationship Type="http://schemas.openxmlformats.org/officeDocument/2006/relationships/hyperlink" Target="https://www.pricecharting.com/game/pokemon-fusion-strike/elite-trainer-box-pokemon-center" TargetMode="External" Id="rId1158" /><Relationship Type="http://schemas.openxmlformats.org/officeDocument/2006/relationships/hyperlink" Target="https://www.pricecharting.com/game/pokemon-fusion-strike/espeon-3-pack-blister" TargetMode="External" Id="rId1159" /><Relationship Type="http://schemas.openxmlformats.org/officeDocument/2006/relationships/hyperlink" Target="https://www.pricecharting.com/game/pokemon-generations/arceus-mythical-collection-box" TargetMode="External" Id="rId1160" /><Relationship Type="http://schemas.openxmlformats.org/officeDocument/2006/relationships/hyperlink" Target="https://www.pricecharting.com/game/pokemon-generations/blastoise-ex-red-and-blue-collection" TargetMode="External" Id="rId1161" /><Relationship Type="http://schemas.openxmlformats.org/officeDocument/2006/relationships/hyperlink" Target="https://www.pricecharting.com/game/pokemon-generations/celebi-mythical-collection-box" TargetMode="External" Id="rId1162" /><Relationship Type="http://schemas.openxmlformats.org/officeDocument/2006/relationships/hyperlink" Target="https://www.pricecharting.com/game/pokemon-generations/charizard-ex-red-and-blue-collection" TargetMode="External" Id="rId1163" /><Relationship Type="http://schemas.openxmlformats.org/officeDocument/2006/relationships/hyperlink" Target="https://www.pricecharting.com/game/pokemon-generations/charizard-ex-red-and-blue-collection-jumbo" TargetMode="External" Id="rId1164" /><Relationship Type="http://schemas.openxmlformats.org/officeDocument/2006/relationships/hyperlink" Target="https://www.pricecharting.com/game/pokemon-generations/darkrai-mythical-collection-box" TargetMode="External" Id="rId1165" /><Relationship Type="http://schemas.openxmlformats.org/officeDocument/2006/relationships/hyperlink" Target="https://www.pricecharting.com/game/pokemon-generations/elite-trainer-box" TargetMode="External" Id="rId1166" /><Relationship Type="http://schemas.openxmlformats.org/officeDocument/2006/relationships/hyperlink" Target="https://www.tcgplayer.com/product/123741" TargetMode="External" Id="rId1167" /><Relationship Type="http://schemas.openxmlformats.org/officeDocument/2006/relationships/hyperlink" Target="https://www.pricecharting.com/game/pokemon-generations/jirachi-mythical-collection-box" TargetMode="External" Id="rId1168" /><Relationship Type="http://schemas.openxmlformats.org/officeDocument/2006/relationships/hyperlink" Target="https://www.pricecharting.com/game/pokemon-generations/mew-mythical-collection-box" TargetMode="External" Id="rId1169" /><Relationship Type="http://schemas.openxmlformats.org/officeDocument/2006/relationships/hyperlink" Target="https://www.pricecharting.com/game/pokemon-generations/pikachu-ex-red-and-blue-collection" TargetMode="External" Id="rId1170" /><Relationship Type="http://schemas.openxmlformats.org/officeDocument/2006/relationships/hyperlink" Target="https://www.pricecharting.com/game/pokemon-generations/shaymin-mythical-collection-box" TargetMode="External" Id="rId1171" /><Relationship Type="http://schemas.openxmlformats.org/officeDocument/2006/relationships/hyperlink" Target="https://www.pricecharting.com/game/pokemon-generations/super-premium-collection-box-mew-and-mewtwo" TargetMode="External" Id="rId1172" /><Relationship Type="http://schemas.openxmlformats.org/officeDocument/2006/relationships/hyperlink" Target="https://www.pricecharting.com/game/pokemon-generations/tag-team-premium-collection-box" TargetMode="External" Id="rId1173" /><Relationship Type="http://schemas.openxmlformats.org/officeDocument/2006/relationships/hyperlink" Target="https://www.pricecharting.com/game/pokemon-generations/venusaur-ex-red-and-blue-collection" TargetMode="External" Id="rId1174" /><Relationship Type="http://schemas.openxmlformats.org/officeDocument/2006/relationships/hyperlink" Target="https://www.tcgplayer.com/product/121363" TargetMode="External" Id="rId1175" /><Relationship Type="http://schemas.openxmlformats.org/officeDocument/2006/relationships/hyperlink" Target="https://www.tcgplayer.com/product/114525" TargetMode="External" Id="rId1176" /><Relationship Type="http://schemas.openxmlformats.org/officeDocument/2006/relationships/hyperlink" Target="https://www.tcgplayer.com/product/118342" TargetMode="External" Id="rId1177" /><Relationship Type="http://schemas.openxmlformats.org/officeDocument/2006/relationships/hyperlink" Target="https://www.tcgplayer.com/product/126569" TargetMode="External" Id="rId1178" /><Relationship Type="http://schemas.openxmlformats.org/officeDocument/2006/relationships/hyperlink" Target="https://www.tcgplayer.com/product/123740" TargetMode="External" Id="rId1179" /><Relationship Type="http://schemas.openxmlformats.org/officeDocument/2006/relationships/hyperlink" Target="https://www.tcgplayer.com/product/118796" TargetMode="External" Id="rId1180" /><Relationship Type="http://schemas.openxmlformats.org/officeDocument/2006/relationships/hyperlink" Target="https://www.tcgplayer.com/product/126568" TargetMode="External" Id="rId1181" /><Relationship Type="http://schemas.openxmlformats.org/officeDocument/2006/relationships/hyperlink" Target="https://www.tcgplayer.com/product/113774" TargetMode="External" Id="rId1182" /><Relationship Type="http://schemas.openxmlformats.org/officeDocument/2006/relationships/hyperlink" Target="https://www.tcgplayer.com/product/120114" TargetMode="External" Id="rId1183" /><Relationship Type="http://schemas.openxmlformats.org/officeDocument/2006/relationships/hyperlink" Target="https://www.tcgplayer.com/product/118795" TargetMode="External" Id="rId1184" /><Relationship Type="http://schemas.openxmlformats.org/officeDocument/2006/relationships/hyperlink" Target="https://www.tcgplayer.com/product/115598" TargetMode="External" Id="rId1185" /><Relationship Type="http://schemas.openxmlformats.org/officeDocument/2006/relationships/hyperlink" Target="https://www.tcgplayer.com/product/123432" TargetMode="External" Id="rId1186" /><Relationship Type="http://schemas.openxmlformats.org/officeDocument/2006/relationships/hyperlink" Target="https://www.tcgplayer.com/product/120700" TargetMode="External" Id="rId1187" /><Relationship Type="http://schemas.openxmlformats.org/officeDocument/2006/relationships/hyperlink" Target="https://www.tcgplayer.com/product/147223" TargetMode="External" Id="rId1188" /><Relationship Type="http://schemas.openxmlformats.org/officeDocument/2006/relationships/hyperlink" Target="https://www.pricecharting.com/game/pokemon-go/alolan-exeggutor-v-collection-box" TargetMode="External" Id="rId1189" /><Relationship Type="http://schemas.openxmlformats.org/officeDocument/2006/relationships/hyperlink" Target="https://www.pricecharting.com/game/pokemon-go/blissey-tin" TargetMode="External" Id="rId1190" /><Relationship Type="http://schemas.openxmlformats.org/officeDocument/2006/relationships/hyperlink" Target="https://www.pricecharting.com/game/pokemon-go/bulbasaur-pin-collection" TargetMode="External" Id="rId1191" /><Relationship Type="http://schemas.openxmlformats.org/officeDocument/2006/relationships/hyperlink" Target="https://www.pricecharting.com/game/pokemon-go/charmander-pin-collection" TargetMode="External" Id="rId1192" /><Relationship Type="http://schemas.openxmlformats.org/officeDocument/2006/relationships/hyperlink" Target="https://www.pricecharting.com/game/pokemon-go/eevee-tin" TargetMode="External" Id="rId1193" /><Relationship Type="http://schemas.openxmlformats.org/officeDocument/2006/relationships/hyperlink" Target="https://www.pricecharting.com/game/pokemon-go/elite-trainer-box" TargetMode="External" Id="rId1194" /><Relationship Type="http://schemas.openxmlformats.org/officeDocument/2006/relationships/hyperlink" Target="https://www.pricecharting.com/game/pokemon-go/elite-trainer-box-plus-pokemon-center" TargetMode="External" Id="rId1195" /><Relationship Type="http://schemas.openxmlformats.org/officeDocument/2006/relationships/hyperlink" Target="https://www.pricecharting.com/game/pokemon-go/magikarp-tin" TargetMode="External" Id="rId1196" /><Relationship Type="http://schemas.openxmlformats.org/officeDocument/2006/relationships/hyperlink" Target="https://www.pricecharting.com/game/pokemon-go/mini-tin-pikachu" TargetMode="External" Id="rId1197" /><Relationship Type="http://schemas.openxmlformats.org/officeDocument/2006/relationships/hyperlink" Target="https://www.pricecharting.com/game/pokemon-go/pikachu-tin" TargetMode="External" Id="rId1198" /><Relationship Type="http://schemas.openxmlformats.org/officeDocument/2006/relationships/hyperlink" Target="https://www.pricecharting.com/game/pokemon-go/poke-ball-tin" TargetMode="External" Id="rId1199" /><Relationship Type="http://schemas.openxmlformats.org/officeDocument/2006/relationships/hyperlink" Target="https://www.pricecharting.com/game/pokemon-go/poke-ball-tin-ultra-ball" TargetMode="External" Id="rId1200" /><Relationship Type="http://schemas.openxmlformats.org/officeDocument/2006/relationships/hyperlink" Target="https://www.pricecharting.com/game/pokemon-go/radiant-eevee-premium-collection-box" TargetMode="External" Id="rId1201" /><Relationship Type="http://schemas.openxmlformats.org/officeDocument/2006/relationships/hyperlink" Target="https://www.pricecharting.com/game/pokemon-go/snorlax-tin" TargetMode="External" Id="rId1202" /><Relationship Type="http://schemas.openxmlformats.org/officeDocument/2006/relationships/hyperlink" Target="https://www.pricecharting.com/game/pokemon-go/squirtle-pin-collection" TargetMode="External" Id="rId1203" /><Relationship Type="http://schemas.openxmlformats.org/officeDocument/2006/relationships/hyperlink" Target="https://www.pricecharting.com/game/pokemon-go/team-instinct-special-collection-box" TargetMode="External" Id="rId1204" /><Relationship Type="http://schemas.openxmlformats.org/officeDocument/2006/relationships/hyperlink" Target="https://www.pricecharting.com/game/pokemon-go/team-mystic-special-collection-box" TargetMode="External" Id="rId1205" /><Relationship Type="http://schemas.openxmlformats.org/officeDocument/2006/relationships/hyperlink" Target="https://www.pricecharting.com/game/pokemon-go/team-valor-special-collection-box" TargetMode="External" Id="rId1206" /><Relationship Type="http://schemas.openxmlformats.org/officeDocument/2006/relationships/hyperlink" Target="https://www.pricecharting.com/game/pokemon-go/v-battle-deck-bundle-mewtwo-vs-melmetal" TargetMode="External" Id="rId1207" /><Relationship Type="http://schemas.openxmlformats.org/officeDocument/2006/relationships/hyperlink" Target="https://www.tcgplayer.com/product/545766" TargetMode="External" Id="rId1208" /><Relationship Type="http://schemas.openxmlformats.org/officeDocument/2006/relationships/hyperlink" Target="https://www.pricecharting.com/game/pokemon-hidden-fates/charizard-gx-hidden-fates-tin" TargetMode="External" Id="rId1209" /><Relationship Type="http://schemas.openxmlformats.org/officeDocument/2006/relationships/hyperlink" Target="https://www.pricecharting.com/game/pokemon-hidden-fates/hidden-fates-collection-charizard-gx" TargetMode="External" Id="rId1210" /><Relationship Type="http://schemas.openxmlformats.org/officeDocument/2006/relationships/hyperlink" Target="https://www.tcgplayer.com/product/205159" TargetMode="External" Id="rId1211" /><Relationship Type="http://schemas.openxmlformats.org/officeDocument/2006/relationships/hyperlink" Target="https://www.pricecharting.com/game/pokemon-hidden-fates/hidden-fates-collection-gyarados-gx" TargetMode="External" Id="rId1212" /><Relationship Type="http://schemas.openxmlformats.org/officeDocument/2006/relationships/hyperlink" Target="https://www.tcgplayer.com/product/205160" TargetMode="External" Id="rId1213" /><Relationship Type="http://schemas.openxmlformats.org/officeDocument/2006/relationships/hyperlink" Target="https://www.pricecharting.com/game/pokemon-hidden-fates/hidden-fates-collection-raichu-gx" TargetMode="External" Id="rId1214" /><Relationship Type="http://schemas.openxmlformats.org/officeDocument/2006/relationships/hyperlink" Target="https://www.tcgplayer.com/product/205161" TargetMode="External" Id="rId1215" /><Relationship Type="http://schemas.openxmlformats.org/officeDocument/2006/relationships/hyperlink" Target="https://www.pricecharting.com/game/pokemon-hidden-fates/elite-trainer-box" TargetMode="External" Id="rId1216" /><Relationship Type="http://schemas.openxmlformats.org/officeDocument/2006/relationships/hyperlink" Target="https://www.tcgplayer.com/product/194729" TargetMode="External" Id="rId1217" /><Relationship Type="http://schemas.openxmlformats.org/officeDocument/2006/relationships/hyperlink" Target="https://www.pricecharting.com/game/pokemon-hidden-fates/great-ball-collection" TargetMode="External" Id="rId1218" /><Relationship Type="http://schemas.openxmlformats.org/officeDocument/2006/relationships/hyperlink" Target="https://www.pricecharting.com/game/pokemon-hidden-fates/gyrados-gx-hidden-fates-tin" TargetMode="External" Id="rId1219" /><Relationship Type="http://schemas.openxmlformats.org/officeDocument/2006/relationships/hyperlink" Target="https://www.tcgplayer.com/product/193439" TargetMode="External" Id="rId1220" /><Relationship Type="http://schemas.openxmlformats.org/officeDocument/2006/relationships/hyperlink" Target="https://www.tcgplayer.com/product/193440" TargetMode="External" Id="rId1221" /><Relationship Type="http://schemas.openxmlformats.org/officeDocument/2006/relationships/hyperlink" Target="https://www.tcgplayer.com/product/198525" TargetMode="External" Id="rId1222" /><Relationship Type="http://schemas.openxmlformats.org/officeDocument/2006/relationships/hyperlink" Target="https://www.tcgplayer.com/product/198524" TargetMode="External" Id="rId1223" /><Relationship Type="http://schemas.openxmlformats.org/officeDocument/2006/relationships/hyperlink" Target="https://www.tcgplayer.com/product/198523" TargetMode="External" Id="rId1224" /><Relationship Type="http://schemas.openxmlformats.org/officeDocument/2006/relationships/hyperlink" Target="https://www.pricecharting.com/game/pokemon-hidden-fates/premium-powers-collection" TargetMode="External" Id="rId1225" /><Relationship Type="http://schemas.openxmlformats.org/officeDocument/2006/relationships/hyperlink" Target="https://www.tcgplayer.com/product/206302" TargetMode="External" Id="rId1226" /><Relationship Type="http://schemas.openxmlformats.org/officeDocument/2006/relationships/hyperlink" Target="https://www.pricecharting.com/game/pokemon-hidden-fates/raichu-gx-hidden-fates-tin" TargetMode="External" Id="rId1227" /><Relationship Type="http://schemas.openxmlformats.org/officeDocument/2006/relationships/hyperlink" Target="https://www.tcgplayer.com/product/193437" TargetMode="External" Id="rId1228" /><Relationship Type="http://schemas.openxmlformats.org/officeDocument/2006/relationships/hyperlink" Target="https://www.tcgplayer.com/product/193436" TargetMode="External" Id="rId1229" /><Relationship Type="http://schemas.openxmlformats.org/officeDocument/2006/relationships/hyperlink" Target="https://www.tcgplayer.com/product/193438" TargetMode="External" Id="rId1230" /><Relationship Type="http://schemas.openxmlformats.org/officeDocument/2006/relationships/hyperlink" Target="https://www.tcgplayer.com/product/213476" TargetMode="External" Id="rId1231" /><Relationship Type="http://schemas.openxmlformats.org/officeDocument/2006/relationships/hyperlink" Target="https://www.pricecharting.com/game/pokemon-hidden-fates/ultra-ball-collection" TargetMode="External" Id="rId1232" /><Relationship Type="http://schemas.openxmlformats.org/officeDocument/2006/relationships/hyperlink" Target="https://www.pricecharting.com/game/pokemon-hidden-fates/ultra-premium-collection-box" TargetMode="External" Id="rId1233" /><Relationship Type="http://schemas.openxmlformats.org/officeDocument/2006/relationships/hyperlink" Target="https://www.tcgplayer.com/product/199466" TargetMode="External" Id="rId1234" /><Relationship Type="http://schemas.openxmlformats.org/officeDocument/2006/relationships/hyperlink" Target="https://www.pricecharting.com/game/pokemon-japanese-10th-movie-commemoration-promo/commemoration-set" TargetMode="External" Id="rId1235" /><Relationship Type="http://schemas.openxmlformats.org/officeDocument/2006/relationships/hyperlink" Target="https://www.pricecharting.com/game/pokemon-japanese-20th-anniversary/3-pack-blister" TargetMode="External" Id="rId1236" /><Relationship Type="http://schemas.openxmlformats.org/officeDocument/2006/relationships/hyperlink" Target="https://www.pricecharting.com/game/pokemon-japanese-25th-anniversary-collection/special-collection-box" TargetMode="External" Id="rId1237" /><Relationship Type="http://schemas.openxmlformats.org/officeDocument/2006/relationships/hyperlink" Target="https://www.pricecharting.com/game/pokemon-japanese-25th-anniversary-golden-box/sealed-25th-anniversary-golden-box" TargetMode="External" Id="rId1238" /><Relationship Type="http://schemas.openxmlformats.org/officeDocument/2006/relationships/hyperlink" Target="https://www.pricecharting.com/game/pokemon-japanese-battle-partners/lillie's-file-set-collection" TargetMode="External" Id="rId1239" /><Relationship Type="http://schemas.openxmlformats.org/officeDocument/2006/relationships/hyperlink" Target="https://www.pricecharting.com/game/pokemon-japanese-battle-partners/n's-file-set-collection" TargetMode="External" Id="rId1240" /><Relationship Type="http://schemas.openxmlformats.org/officeDocument/2006/relationships/hyperlink" Target="https://www.pricecharting.com/game/pokemon-japanese-darkness-and-to-light/energy-stadium" TargetMode="External" Id="rId1241" /><Relationship Type="http://schemas.openxmlformats.org/officeDocument/2006/relationships/hyperlink" Target="https://www.pricecharting.com/game/pokemon-japanese-darkness-and-to-light/lucky-stadium" TargetMode="External" Id="rId1242" /><Relationship Type="http://schemas.openxmlformats.org/officeDocument/2006/relationships/hyperlink" Target="https://www.pricecharting.com/game/pokemon-japanese-eevee-heroes/gym-box" TargetMode="External" Id="rId1243" /><Relationship Type="http://schemas.openxmlformats.org/officeDocument/2006/relationships/hyperlink" Target="https://www.pricecharting.com/game/pokemon-japanese-eevee-heroes/sealed-promo-box" TargetMode="External" Id="rId1244" /><Relationship Type="http://schemas.openxmlformats.org/officeDocument/2006/relationships/hyperlink" Target="https://www.pricecharting.com/game/pokemon-japanese-go/card-file-set" TargetMode="External" Id="rId1245" /><Relationship Type="http://schemas.openxmlformats.org/officeDocument/2006/relationships/hyperlink" Target="https://www.pricecharting.com/game/pokemon-japanese-go/sealed-special-set" TargetMode="External" Id="rId1246" /><Relationship Type="http://schemas.openxmlformats.org/officeDocument/2006/relationships/hyperlink" Target="https://www.pricecharting.com/game/pokemon-japanese-mask-of-change/special-jumbo-card-set-ogerpon" TargetMode="External" Id="rId1247" /><Relationship Type="http://schemas.openxmlformats.org/officeDocument/2006/relationships/hyperlink" Target="https://www.pricecharting.com/game/pokemon-japanese-mega-brave/pokemon-center-set" TargetMode="External" Id="rId1248" /><Relationship Type="http://schemas.openxmlformats.org/officeDocument/2006/relationships/hyperlink" Target="https://www.pricecharting.com/game/pokemon-japanese-mega-brave/premium-trainer-box-mega" TargetMode="External" Id="rId1249" /><Relationship Type="http://schemas.openxmlformats.org/officeDocument/2006/relationships/hyperlink" Target="https://www.pricecharting.com/game/pokemon-japanese-mega-symphonia/pokemon-center-set" TargetMode="External" Id="rId1250" /><Relationship Type="http://schemas.openxmlformats.org/officeDocument/2006/relationships/hyperlink" Target="https://www.pricecharting.com/game/pokemon-japanese-neo-premium-file/premium-file-folder-1" TargetMode="External" Id="rId1251" /><Relationship Type="http://schemas.openxmlformats.org/officeDocument/2006/relationships/hyperlink" Target="https://www.pricecharting.com/game/pokemon-japanese-neo-premium-file/premium-file-folder-2" TargetMode="External" Id="rId1252" /><Relationship Type="http://schemas.openxmlformats.org/officeDocument/2006/relationships/hyperlink" Target="https://www.pricecharting.com/game/pokemon-japanese-neo-premium-file/premium-file-folder-3" TargetMode="External" Id="rId1253" /><Relationship Type="http://schemas.openxmlformats.org/officeDocument/2006/relationships/hyperlink" Target="https://www.pricecharting.com/game/pokemon-japanese-nihil-zero/mega-gallade-ex-special-card-set" TargetMode="External" Id="rId1254" /><Relationship Type="http://schemas.openxmlformats.org/officeDocument/2006/relationships/hyperlink" Target="https://www.pricecharting.com/game/pokemon-japanese-paradigm-trigger/mystery-box" TargetMode="External" Id="rId1255" /><Relationship Type="http://schemas.openxmlformats.org/officeDocument/2006/relationships/hyperlink" Target="https://www.pricecharting.com/game/pokemon-japanese-promo/151-card-file-set" TargetMode="External" Id="rId1256" /><Relationship Type="http://schemas.openxmlformats.org/officeDocument/2006/relationships/hyperlink" Target="https://www.pricecharting.com/game/pokemon-japanese-promo/brock-trainer-battle-box" TargetMode="External" Id="rId1257" /><Relationship Type="http://schemas.openxmlformats.org/officeDocument/2006/relationships/hyperlink" Target="https://www.pricecharting.com/game/pokemon-japanese-promo/ex-generations-special-battle-set" TargetMode="External" Id="rId1258" /><Relationship Type="http://schemas.openxmlformats.org/officeDocument/2006/relationships/hyperlink" Target="https://www.pricecharting.com/game/pokemon-japanese-promo/lucky-stadium-chugoku-shikoku" TargetMode="External" Id="rId1259" /><Relationship Type="http://schemas.openxmlformats.org/officeDocument/2006/relationships/hyperlink" Target="https://www.pricecharting.com/game/pokemon-japanese-promo/lucky-stadium-ch&#363;bu" TargetMode="External" Id="rId1260" /><Relationship Type="http://schemas.openxmlformats.org/officeDocument/2006/relationships/hyperlink" Target="https://www.pricecharting.com/game/pokemon-japanese-promo/lucky-stadium-hokkaid&#333;" TargetMode="External" Id="rId1261" /><Relationship Type="http://schemas.openxmlformats.org/officeDocument/2006/relationships/hyperlink" Target="https://www.pricecharting.com/game/pokemon-japanese-promo/lucky-stadium-kansai" TargetMode="External" Id="rId1262" /><Relationship Type="http://schemas.openxmlformats.org/officeDocument/2006/relationships/hyperlink" Target="https://www.pricecharting.com/game/pokemon-japanese-promo/lucky-stadium-kant&#333;" TargetMode="External" Id="rId1263" /><Relationship Type="http://schemas.openxmlformats.org/officeDocument/2006/relationships/hyperlink" Target="https://www.pricecharting.com/game/pokemon-japanese-promo/lucky-stadium-ky&#363;sh&#363;" TargetMode="External" Id="rId1264" /><Relationship Type="http://schemas.openxmlformats.org/officeDocument/2006/relationships/hyperlink" Target="https://www.pricecharting.com/game/pokemon-japanese-promo/lucky-stadium-t&#333;hoku" TargetMode="External" Id="rId1265" /><Relationship Type="http://schemas.openxmlformats.org/officeDocument/2006/relationships/hyperlink" Target="https://www.pricecharting.com/game/pokemon-japanese-promo/lucky-stadium-hokushin'etsu" TargetMode="External" Id="rId1266" /><Relationship Type="http://schemas.openxmlformats.org/officeDocument/2006/relationships/hyperlink" Target="https://www.pricecharting.com/game/pokemon-japanese-promo/sealed-fukuoka-special-box" TargetMode="External" Id="rId1267" /><Relationship Type="http://schemas.openxmlformats.org/officeDocument/2006/relationships/hyperlink" Target="https://www.pricecharting.com/game/pokemon-japanese-promo/sealed-hiroshima-special-box" TargetMode="External" Id="rId1268" /><Relationship Type="http://schemas.openxmlformats.org/officeDocument/2006/relationships/hyperlink" Target="https://www.pricecharting.com/game/pokemon-japanese-promo/sealed-japanese-stamp-box" TargetMode="External" Id="rId1269" /><Relationship Type="http://schemas.openxmlformats.org/officeDocument/2006/relationships/hyperlink" Target="https://www.pricecharting.com/game/pokemon-japanese-promo/sealed-limited-collection-master-battle-set" TargetMode="External" Id="rId1270" /><Relationship Type="http://schemas.openxmlformats.org/officeDocument/2006/relationships/hyperlink" Target="https://www.pricecharting.com/game/pokemon-japanese-promo/sealed-special-box-mario-pikachu" TargetMode="External" Id="rId1271" /><Relationship Type="http://schemas.openxmlformats.org/officeDocument/2006/relationships/hyperlink" Target="https://www.pricecharting.com/game/pokemon-japanese-promo/sealed-tohoku-special-box" TargetMode="External" Id="rId1272" /><Relationship Type="http://schemas.openxmlformats.org/officeDocument/2006/relationships/hyperlink" Target="https://www.pricecharting.com/game/pokemon-japanese-promo/special-box-15th-anniversary" TargetMode="External" Id="rId1273" /><Relationship Type="http://schemas.openxmlformats.org/officeDocument/2006/relationships/hyperlink" Target="https://www.pricecharting.com/game/pokemon-japanese-promo/special-box-arora-&amp;-locon" TargetMode="External" Id="rId1274" /><Relationship Type="http://schemas.openxmlformats.org/officeDocument/2006/relationships/hyperlink" Target="https://www.pricecharting.com/game/pokemon-japanese-promo/special-box-lillie-&amp;-cosmog" TargetMode="External" Id="rId1275" /><Relationship Type="http://schemas.openxmlformats.org/officeDocument/2006/relationships/hyperlink" Target="https://www.pricecharting.com/game/pokemon-japanese-promo/special-box-luigi-pikachu" TargetMode="External" Id="rId1276" /><Relationship Type="http://schemas.openxmlformats.org/officeDocument/2006/relationships/hyperlink" Target="https://www.pricecharting.com/game/pokemon-japanese-promo/special-box-mimikyu-dayo" TargetMode="External" Id="rId1277" /><Relationship Type="http://schemas.openxmlformats.org/officeDocument/2006/relationships/hyperlink" Target="https://www.pricecharting.com/game/pokemon-japanese-promo/special-box-pokemon-center-kanazawa" TargetMode="External" Id="rId1278" /><Relationship Type="http://schemas.openxmlformats.org/officeDocument/2006/relationships/hyperlink" Target="https://www.pricecharting.com/game/pokemon-japanese-promo/special-box-pokemon-center-yokohama" TargetMode="External" Id="rId1279" /><Relationship Type="http://schemas.openxmlformats.org/officeDocument/2006/relationships/hyperlink" Target="https://www.pricecharting.com/game/pokemon-japanese-promo/special-box-poncho-magikarp-&amp;-gyarados" TargetMode="External" Id="rId1280" /><Relationship Type="http://schemas.openxmlformats.org/officeDocument/2006/relationships/hyperlink" Target="https://www.pricecharting.com/game/pokemon-japanese-promo/special-box-poncho-pikachu-mega-charizard-x" TargetMode="External" Id="rId1281" /><Relationship Type="http://schemas.openxmlformats.org/officeDocument/2006/relationships/hyperlink" Target="https://www.pricecharting.com/game/pokemon-japanese-promo/special-box-poncho-pikachu-mega-charizard-y" TargetMode="External" Id="rId1282" /><Relationship Type="http://schemas.openxmlformats.org/officeDocument/2006/relationships/hyperlink" Target="https://www.pricecharting.com/game/pokemon-japanese-promo/special-box-poncho-rayquaza" TargetMode="External" Id="rId1283" /><Relationship Type="http://schemas.openxmlformats.org/officeDocument/2006/relationships/hyperlink" Target="https://www.pricecharting.com/game/pokemon-japanese-promo/special-box-rokon's-crystal-season" TargetMode="External" Id="rId1284" /><Relationship Type="http://schemas.openxmlformats.org/officeDocument/2006/relationships/hyperlink" Target="https://www.pricecharting.com/game/pokemon-japanese-promo/special-box-tokyo-dx" TargetMode="External" Id="rId1285" /><Relationship Type="http://schemas.openxmlformats.org/officeDocument/2006/relationships/hyperlink" Target="https://www.pricecharting.com/game/pokemon-japanese-promo/yu-nagaba-eevee's-special-box" TargetMode="External" Id="rId1286" /><Relationship Type="http://schemas.openxmlformats.org/officeDocument/2006/relationships/hyperlink" Target="https://www.pricecharting.com/game/pokemon-japanese-promo/yu-nagaba-special-box" TargetMode="External" Id="rId1287" /><Relationship Type="http://schemas.openxmlformats.org/officeDocument/2006/relationships/hyperlink" Target="https://www.pricecharting.com/game/pokemon-japanese-shiny-star-v/crobat-v-shiny-box" TargetMode="External" Id="rId1288" /><Relationship Type="http://schemas.openxmlformats.org/officeDocument/2006/relationships/hyperlink" Target="https://www.pricecharting.com/game/pokemon-japanese-shiny-star-v/nessa-shiny-star-v-set" TargetMode="External" Id="rId1289" /><Relationship Type="http://schemas.openxmlformats.org/officeDocument/2006/relationships/hyperlink" Target="https://www.pricecharting.com/game/pokemon-japanese-snow-hazard/gym-box-pokemon-center" TargetMode="External" Id="rId1290" /><Relationship Type="http://schemas.openxmlformats.org/officeDocument/2006/relationships/hyperlink" Target="https://www.pricecharting.com/game/pokemon-japanese-southern-islands/tropical-island-beach-box" TargetMode="External" Id="rId1291" /><Relationship Type="http://schemas.openxmlformats.org/officeDocument/2006/relationships/hyperlink" Target="https://www.pricecharting.com/game/pokemon-japanese-southern-islands/tropical-island-box" TargetMode="External" Id="rId1292" /><Relationship Type="http://schemas.openxmlformats.org/officeDocument/2006/relationships/hyperlink" Target="https://www.pricecharting.com/game/pokemon-japanese-taruka/sealed-box" TargetMode="External" Id="rId1293" /><Relationship Type="http://schemas.openxmlformats.org/officeDocument/2006/relationships/hyperlink" Target="https://www.pricecharting.com/game/pokemon-japanese-vstar-universe/diamond-clan-special-set" TargetMode="External" Id="rId1294" /><Relationship Type="http://schemas.openxmlformats.org/officeDocument/2006/relationships/hyperlink" Target="https://www.pricecharting.com/game/pokemon-japanese-vstar-universe/pearl-clan-special-set" TargetMode="External" Id="rId1295" /><Relationship Type="http://schemas.openxmlformats.org/officeDocument/2006/relationships/hyperlink" Target="https://www.pricecharting.com/game/pokemon-journey-together/elite-trainer-box-pokemon-center" TargetMode="External" Id="rId1296" /><Relationship Type="http://schemas.openxmlformats.org/officeDocument/2006/relationships/hyperlink" Target="https://www.pricecharting.com/game/pokemon-journey-together/hops-zacian-ex-sealed-box" TargetMode="External" Id="rId1297" /><Relationship Type="http://schemas.openxmlformats.org/officeDocument/2006/relationships/hyperlink" Target="https://www.pricecharting.com/game/pokemon-journey-together/mimikyu-ex-&amp;-alcremie-ex-premium-collection" TargetMode="External" Id="rId1298" /><Relationship Type="http://schemas.openxmlformats.org/officeDocument/2006/relationships/hyperlink" Target="https://www.pricecharting.com/game/pokemon-lost-origin/3-pack-blister" TargetMode="External" Id="rId1299" /><Relationship Type="http://schemas.openxmlformats.org/officeDocument/2006/relationships/hyperlink" Target="https://www.pricecharting.com/game/pokemon-lost-origin/darkness-stacking-tin" TargetMode="External" Id="rId1300" /><Relationship Type="http://schemas.openxmlformats.org/officeDocument/2006/relationships/hyperlink" Target="https://www.pricecharting.com/game/pokemon-lost-origin/eevee-evolutions-premium-collection-box" TargetMode="External" Id="rId1301" /><Relationship Type="http://schemas.openxmlformats.org/officeDocument/2006/relationships/hyperlink" Target="https://www.pricecharting.com/game/pokemon-lost-origin/elite-trainer-box-pokemon-center" TargetMode="External" Id="rId1302" /><Relationship Type="http://schemas.openxmlformats.org/officeDocument/2006/relationships/hyperlink" Target="https://www.pricecharting.com/game/pokemon-lost-origin/fighting-stacking-tin" TargetMode="External" Id="rId1303" /><Relationship Type="http://schemas.openxmlformats.org/officeDocument/2006/relationships/hyperlink" Target="https://www.pricecharting.com/game/pokemon-lost-origin/fire-stacking-tin" TargetMode="External" Id="rId1304" /><Relationship Type="http://schemas.openxmlformats.org/officeDocument/2006/relationships/hyperlink" Target="https://www.pricecharting.com/game/pokemon-lost-origin/infernape-v-collection-box" TargetMode="External" Id="rId1305" /><Relationship Type="http://schemas.openxmlformats.org/officeDocument/2006/relationships/hyperlink" Target="https://www.pricecharting.com/game/pokemon-lost-origin/weavile-3-pack-blister" TargetMode="External" Id="rId1306" /><Relationship Type="http://schemas.openxmlformats.org/officeDocument/2006/relationships/hyperlink" Target="https://www.pricecharting.com/game/pokemon-lost-thunder/alolan-exeggutor-3-pack-blister" TargetMode="External" Id="rId1307" /><Relationship Type="http://schemas.openxmlformats.org/officeDocument/2006/relationships/hyperlink" Target="https://www.pricecharting.com/game/pokemon-lost-thunder/altaria-3-pack-blister" TargetMode="External" Id="rId1308" /><Relationship Type="http://schemas.openxmlformats.org/officeDocument/2006/relationships/hyperlink" Target="https://www.tcgplayer.com/product/648589" TargetMode="External" Id="rId1309" /><Relationship Type="http://schemas.openxmlformats.org/officeDocument/2006/relationships/hyperlink" Target="https://www.tcgplayer.com/product/674457" TargetMode="External" Id="rId1310" /><Relationship Type="http://schemas.openxmlformats.org/officeDocument/2006/relationships/hyperlink" Target="https://www.tcgplayer.com/product/696837" TargetMode="External" Id="rId1311" /><Relationship Type="http://schemas.openxmlformats.org/officeDocument/2006/relationships/hyperlink" Target="https://www.tcgplayer.com/product/644362" TargetMode="External" Id="rId1312" /><Relationship Type="http://schemas.openxmlformats.org/officeDocument/2006/relationships/hyperlink" Target="https://www.tcgplayer.com/product/657875" TargetMode="External" Id="rId1313" /><Relationship Type="http://schemas.openxmlformats.org/officeDocument/2006/relationships/hyperlink" Target="https://www.tcgplayer.com/product/644363" TargetMode="External" Id="rId1314" /><Relationship Type="http://schemas.openxmlformats.org/officeDocument/2006/relationships/hyperlink" Target="https://www.tcgplayer.com/product/644279" TargetMode="External" Id="rId1315" /><Relationship Type="http://schemas.openxmlformats.org/officeDocument/2006/relationships/hyperlink" Target="https://www.tcgplayer.com/product/648394" TargetMode="External" Id="rId1316" /><Relationship Type="http://schemas.openxmlformats.org/officeDocument/2006/relationships/hyperlink" Target="https://www.tcgplayer.com/product/648415" TargetMode="External" Id="rId1317" /><Relationship Type="http://schemas.openxmlformats.org/officeDocument/2006/relationships/hyperlink" Target="https://www.tcgplayer.com/product/644282" TargetMode="External" Id="rId1318" /><Relationship Type="http://schemas.openxmlformats.org/officeDocument/2006/relationships/hyperlink" Target="https://www.tcgplayer.com/product/644355" TargetMode="External" Id="rId1319" /><Relationship Type="http://schemas.openxmlformats.org/officeDocument/2006/relationships/hyperlink" Target="https://www.tcgplayer.com/product/649394" TargetMode="External" Id="rId1320" /><Relationship Type="http://schemas.openxmlformats.org/officeDocument/2006/relationships/hyperlink" Target="https://www.tcgplayer.com/product/649395" TargetMode="External" Id="rId1321" /><Relationship Type="http://schemas.openxmlformats.org/officeDocument/2006/relationships/hyperlink" Target="https://www.tcgplayer.com/product/649397" TargetMode="External" Id="rId1322" /><Relationship Type="http://schemas.openxmlformats.org/officeDocument/2006/relationships/hyperlink" Target="https://www.tcgplayer.com/product/649400" TargetMode="External" Id="rId1323" /><Relationship Type="http://schemas.openxmlformats.org/officeDocument/2006/relationships/hyperlink" Target="https://www.tcgplayer.com/product/649401" TargetMode="External" Id="rId1324" /><Relationship Type="http://schemas.openxmlformats.org/officeDocument/2006/relationships/hyperlink" Target="https://www.tcgplayer.com/product/654160" TargetMode="External" Id="rId1325" /><Relationship Type="http://schemas.openxmlformats.org/officeDocument/2006/relationships/hyperlink" Target="https://www.tcgplayer.com/product/654174" TargetMode="External" Id="rId1326" /><Relationship Type="http://schemas.openxmlformats.org/officeDocument/2006/relationships/hyperlink" Target="https://www.tcgplayer.com/product/662725" TargetMode="External" Id="rId1327" /><Relationship Type="http://schemas.openxmlformats.org/officeDocument/2006/relationships/hyperlink" Target="https://www.tcgplayer.com/product/654136" TargetMode="External" Id="rId1328" /><Relationship Type="http://schemas.openxmlformats.org/officeDocument/2006/relationships/hyperlink" Target="https://www.tcgplayer.com/product/654135" TargetMode="External" Id="rId1329" /><Relationship Type="http://schemas.openxmlformats.org/officeDocument/2006/relationships/hyperlink" Target="https://www.tcgplayer.com/product/664903" TargetMode="External" Id="rId1330" /><Relationship Type="http://schemas.openxmlformats.org/officeDocument/2006/relationships/hyperlink" Target="https://www.tcgplayer.com/product/672396" TargetMode="External" Id="rId1331" /><Relationship Type="http://schemas.openxmlformats.org/officeDocument/2006/relationships/hyperlink" Target="https://www.tcgplayer.com/product/672399" TargetMode="External" Id="rId1332" /><Relationship Type="http://schemas.openxmlformats.org/officeDocument/2006/relationships/hyperlink" Target="https://www.tcgplayer.com/product/672400" TargetMode="External" Id="rId1333" /><Relationship Type="http://schemas.openxmlformats.org/officeDocument/2006/relationships/hyperlink" Target="https://www.tcgplayer.com/product/672401" TargetMode="External" Id="rId1334" /><Relationship Type="http://schemas.openxmlformats.org/officeDocument/2006/relationships/hyperlink" Target="https://www.tcgplayer.com/product/672404" TargetMode="External" Id="rId1335" /><Relationship Type="http://schemas.openxmlformats.org/officeDocument/2006/relationships/hyperlink" Target="https://www.tcgplayer.com/product/672413" TargetMode="External" Id="rId1336" /><Relationship Type="http://schemas.openxmlformats.org/officeDocument/2006/relationships/hyperlink" Target="https://www.tcgplayer.com/product/684458" TargetMode="External" Id="rId1337" /><Relationship Type="http://schemas.openxmlformats.org/officeDocument/2006/relationships/hyperlink" Target="https://www.tcgplayer.com/product/684456" TargetMode="External" Id="rId1338" /><Relationship Type="http://schemas.openxmlformats.org/officeDocument/2006/relationships/hyperlink" Target="https://www.tcgplayer.com/product/684447" TargetMode="External" Id="rId1339" /><Relationship Type="http://schemas.openxmlformats.org/officeDocument/2006/relationships/hyperlink" Target="https://www.tcgplayer.com/product/684454" TargetMode="External" Id="rId1340" /><Relationship Type="http://schemas.openxmlformats.org/officeDocument/2006/relationships/hyperlink" Target="https://www.tcgplayer.com/product/684450" TargetMode="External" Id="rId1341" /><Relationship Type="http://schemas.openxmlformats.org/officeDocument/2006/relationships/hyperlink" Target="https://www.tcgplayer.com/product/684452" TargetMode="External" Id="rId1342" /><Relationship Type="http://schemas.openxmlformats.org/officeDocument/2006/relationships/hyperlink" Target="https://www.tcgplayer.com/product/684449" TargetMode="External" Id="rId1343" /><Relationship Type="http://schemas.openxmlformats.org/officeDocument/2006/relationships/hyperlink" Target="https://www.tcgplayer.com/product/692938" TargetMode="External" Id="rId1344" /><Relationship Type="http://schemas.openxmlformats.org/officeDocument/2006/relationships/hyperlink" Target="https://www.tcgplayer.com/product/692942" TargetMode="External" Id="rId1345" /><Relationship Type="http://schemas.openxmlformats.org/officeDocument/2006/relationships/hyperlink" Target="https://www.tcgplayer.com/product/692945" TargetMode="External" Id="rId1346" /><Relationship Type="http://schemas.openxmlformats.org/officeDocument/2006/relationships/hyperlink" Target="https://www.tcgplayer.com/product/692946" TargetMode="External" Id="rId1347" /><Relationship Type="http://schemas.openxmlformats.org/officeDocument/2006/relationships/hyperlink" Target="https://www.tcgplayer.com/product/692947" TargetMode="External" Id="rId1348" /><Relationship Type="http://schemas.openxmlformats.org/officeDocument/2006/relationships/hyperlink" Target="https://www.tcgplayer.com/product/692949" TargetMode="External" Id="rId1349" /><Relationship Type="http://schemas.openxmlformats.org/officeDocument/2006/relationships/hyperlink" Target="https://www.tcgplayer.com/product/692958" TargetMode="External" Id="rId1350" /><Relationship Type="http://schemas.openxmlformats.org/officeDocument/2006/relationships/hyperlink" Target="https://www.tcgplayer.com/product/712097" TargetMode="External" Id="rId1351" /><Relationship Type="http://schemas.openxmlformats.org/officeDocument/2006/relationships/hyperlink" Target="https://www.tcgplayer.com/product/712100" TargetMode="External" Id="rId1352" /><Relationship Type="http://schemas.openxmlformats.org/officeDocument/2006/relationships/hyperlink" Target="https://www.tcgplayer.com/product/712101" TargetMode="External" Id="rId1353" /><Relationship Type="http://schemas.openxmlformats.org/officeDocument/2006/relationships/hyperlink" Target="https://www.tcgplayer.com/product/712102" TargetMode="External" Id="rId1354" /><Relationship Type="http://schemas.openxmlformats.org/officeDocument/2006/relationships/hyperlink" Target="https://www.tcgplayer.com/product/712104" TargetMode="External" Id="rId1355" /><Relationship Type="http://schemas.openxmlformats.org/officeDocument/2006/relationships/hyperlink" Target="https://www.tcgplayer.com/product/712113" TargetMode="External" Id="rId1356" /><Relationship Type="http://schemas.openxmlformats.org/officeDocument/2006/relationships/hyperlink" Target="https://www.pricecharting.com/game/pokemon-30th-celebration/2-pack-blister" TargetMode="External" Id="rId1357" /><Relationship Type="http://schemas.openxmlformats.org/officeDocument/2006/relationships/hyperlink" Target="https://www.tcgplayer.com/product/704148" TargetMode="External" Id="rId1358" /><Relationship Type="http://schemas.openxmlformats.org/officeDocument/2006/relationships/hyperlink" Target="https://www.pricecharting.com/game/pokemon-30th-celebration/binder-collection" TargetMode="External" Id="rId1359" /><Relationship Type="http://schemas.openxmlformats.org/officeDocument/2006/relationships/hyperlink" Target="https://www.tcgplayer.com/product/704169" TargetMode="External" Id="rId1360" /><Relationship Type="http://schemas.openxmlformats.org/officeDocument/2006/relationships/hyperlink" Target="https://www.pricecharting.com/game/pokemon-30th-celebration/booster-bundle" TargetMode="External" Id="rId1361" /><Relationship Type="http://schemas.openxmlformats.org/officeDocument/2006/relationships/hyperlink" Target="https://www.tcgplayer.com/product/704171" TargetMode="External" Id="rId1362" /><Relationship Type="http://schemas.openxmlformats.org/officeDocument/2006/relationships/hyperlink" Target="https://www.pricecharting.com/game/pokemon-30th-celebration/classic-collection-pack" TargetMode="External" Id="rId1363" /><Relationship Type="http://schemas.openxmlformats.org/officeDocument/2006/relationships/hyperlink" Target="https://www.tcgplayer.com/product/704192" TargetMode="External" Id="rId1364" /><Relationship Type="http://schemas.openxmlformats.org/officeDocument/2006/relationships/hyperlink" Target="https://www.pricecharting.com/game/pokemon-30th-celebration/ditto-premium-collection" TargetMode="External" Id="rId1365" /><Relationship Type="http://schemas.openxmlformats.org/officeDocument/2006/relationships/hyperlink" Target="https://www.tcgplayer.com/product/704189" TargetMode="External" Id="rId1366" /><Relationship Type="http://schemas.openxmlformats.org/officeDocument/2006/relationships/hyperlink" Target="https://www.pricecharting.com/game/pokemon-30th-celebration/elite-trainer-box" TargetMode="External" Id="rId1367" /><Relationship Type="http://schemas.openxmlformats.org/officeDocument/2006/relationships/hyperlink" Target="https://www.tcgplayer.com/product/704143" TargetMode="External" Id="rId1368" /><Relationship Type="http://schemas.openxmlformats.org/officeDocument/2006/relationships/hyperlink" Target="https://www.tcgplayer.com/product/722832" TargetMode="External" Id="rId1369" /><Relationship Type="http://schemas.openxmlformats.org/officeDocument/2006/relationships/hyperlink" Target="https://www.tcgplayer.com/product/704150" TargetMode="External" Id="rId1370" /><Relationship Type="http://schemas.openxmlformats.org/officeDocument/2006/relationships/hyperlink" Target="https://www.tcgplayer.com/product/718673" TargetMode="External" Id="rId1371" /><Relationship Type="http://schemas.openxmlformats.org/officeDocument/2006/relationships/hyperlink" Target="https://www.tcgplayer.com/product/704151" TargetMode="External" Id="rId1372" /><Relationship Type="http://schemas.openxmlformats.org/officeDocument/2006/relationships/hyperlink" Target="https://www.tcgplayer.com/product/718675" TargetMode="External" Id="rId1373" /><Relationship Type="http://schemas.openxmlformats.org/officeDocument/2006/relationships/hyperlink" Target="https://www.tcgplayer.com/product/704149" TargetMode="External" Id="rId1374" /><Relationship Type="http://schemas.openxmlformats.org/officeDocument/2006/relationships/hyperlink" Target="https://www.tcgplayer.com/product/718674" TargetMode="External" Id="rId1375" /><Relationship Type="http://schemas.openxmlformats.org/officeDocument/2006/relationships/hyperlink" Target="https://www.pricecharting.com/game/pokemon-30th-celebration/figure-collection-mew" TargetMode="External" Id="rId1376" /><Relationship Type="http://schemas.openxmlformats.org/officeDocument/2006/relationships/hyperlink" Target="https://www.tcgplayer.com/product/704193" TargetMode="External" Id="rId1377" /><Relationship Type="http://schemas.openxmlformats.org/officeDocument/2006/relationships/hyperlink" Target="https://www.pricecharting.com/game/pokemon-30th-celebration/figure-collection-mewtwo" TargetMode="External" Id="rId1378" /><Relationship Type="http://schemas.openxmlformats.org/officeDocument/2006/relationships/hyperlink" Target="https://www.tcgplayer.com/product/704194" TargetMode="External" Id="rId1379" /><Relationship Type="http://schemas.openxmlformats.org/officeDocument/2006/relationships/hyperlink" Target="https://www.pricecharting.com/game/pokemon-30th-celebration/greninja-ex-box" TargetMode="External" Id="rId1380" /><Relationship Type="http://schemas.openxmlformats.org/officeDocument/2006/relationships/hyperlink" Target="https://www.tcgplayer.com/product/704168" TargetMode="External" Id="rId1381" /><Relationship Type="http://schemas.openxmlformats.org/officeDocument/2006/relationships/hyperlink" Target="https://www.pricecharting.com/game/pokemon-30th-celebration/knock-out-collection" TargetMode="External" Id="rId1382" /><Relationship Type="http://schemas.openxmlformats.org/officeDocument/2006/relationships/hyperlink" Target="https://www.tcgplayer.com/product/704152" TargetMode="External" Id="rId1383" /><Relationship Type="http://schemas.openxmlformats.org/officeDocument/2006/relationships/hyperlink" Target="https://www.pricecharting.com/game/pokemon-30th-celebration/mini-tin-day-pikachu" TargetMode="External" Id="rId1384" /><Relationship Type="http://schemas.openxmlformats.org/officeDocument/2006/relationships/hyperlink" Target="https://www.tcgplayer.com/product/704177" TargetMode="External" Id="rId1385" /><Relationship Type="http://schemas.openxmlformats.org/officeDocument/2006/relationships/hyperlink" Target="https://www.pricecharting.com/game/pokemon-30th-celebration/mini-tin-espeon" TargetMode="External" Id="rId1386" /><Relationship Type="http://schemas.openxmlformats.org/officeDocument/2006/relationships/hyperlink" Target="https://www.tcgplayer.com/product/704176" TargetMode="External" Id="rId1387" /><Relationship Type="http://schemas.openxmlformats.org/officeDocument/2006/relationships/hyperlink" Target="https://www.pricecharting.com/game/pokemon-30th-celebration/mini-tin-greninja" TargetMode="External" Id="rId1388" /><Relationship Type="http://schemas.openxmlformats.org/officeDocument/2006/relationships/hyperlink" Target="https://www.tcgplayer.com/product/704185" TargetMode="External" Id="rId1389" /><Relationship Type="http://schemas.openxmlformats.org/officeDocument/2006/relationships/hyperlink" Target="https://www.pricecharting.com/game/pokemon-30th-celebration/mini-tin-lapras" TargetMode="External" Id="rId1390" /><Relationship Type="http://schemas.openxmlformats.org/officeDocument/2006/relationships/hyperlink" Target="https://www.tcgplayer.com/product/704179" TargetMode="External" Id="rId1391" /><Relationship Type="http://schemas.openxmlformats.org/officeDocument/2006/relationships/hyperlink" Target="https://www.pricecharting.com/game/pokemon-30th-celebration/mini-tin-mew" TargetMode="External" Id="rId1392" /><Relationship Type="http://schemas.openxmlformats.org/officeDocument/2006/relationships/hyperlink" Target="https://www.tcgplayer.com/product/704178" TargetMode="External" Id="rId1393" /><Relationship Type="http://schemas.openxmlformats.org/officeDocument/2006/relationships/hyperlink" Target="https://www.pricecharting.com/game/pokemon-30th-celebration/mini-tin-mewtwo" TargetMode="External" Id="rId1394" /><Relationship Type="http://schemas.openxmlformats.org/officeDocument/2006/relationships/hyperlink" Target="https://www.tcgplayer.com/product/704183" TargetMode="External" Id="rId1395" /><Relationship Type="http://schemas.openxmlformats.org/officeDocument/2006/relationships/hyperlink" Target="https://www.pricecharting.com/game/pokemon-30th-celebration/mini-tin-moltres" TargetMode="External" Id="rId1396" /><Relationship Type="http://schemas.openxmlformats.org/officeDocument/2006/relationships/hyperlink" Target="https://www.tcgplayer.com/product/704180" TargetMode="External" Id="rId1397" /><Relationship Type="http://schemas.openxmlformats.org/officeDocument/2006/relationships/hyperlink" Target="https://www.pricecharting.com/game/pokemon-30th-celebration/mini-tin-night-pikachu" TargetMode="External" Id="rId1398" /><Relationship Type="http://schemas.openxmlformats.org/officeDocument/2006/relationships/hyperlink" Target="https://www.tcgplayer.com/product/704184" TargetMode="External" Id="rId1399" /><Relationship Type="http://schemas.openxmlformats.org/officeDocument/2006/relationships/hyperlink" Target="https://www.pricecharting.com/game/pokemon-30th-celebration/mini-tin-umbreon" TargetMode="External" Id="rId1400" /><Relationship Type="http://schemas.openxmlformats.org/officeDocument/2006/relationships/hyperlink" Target="https://www.tcgplayer.com/product/704182" TargetMode="External" Id="rId1401" /><Relationship Type="http://schemas.openxmlformats.org/officeDocument/2006/relationships/hyperlink" Target="https://www.pricecharting.com/game/pokemon-30th-celebration/mini-tin-zapdos" TargetMode="External" Id="rId1402" /><Relationship Type="http://schemas.openxmlformats.org/officeDocument/2006/relationships/hyperlink" Target="https://www.tcgplayer.com/product/704181" TargetMode="External" Id="rId1403" /><Relationship Type="http://schemas.openxmlformats.org/officeDocument/2006/relationships/hyperlink" Target="https://www.tcgplayer.com/product/704144" TargetMode="External" Id="rId1404" /><Relationship Type="http://schemas.openxmlformats.org/officeDocument/2006/relationships/hyperlink" Target="https://www.pricecharting.com/game/pokemon-30th-celebration/poster-collection" TargetMode="External" Id="rId1405" /><Relationship Type="http://schemas.openxmlformats.org/officeDocument/2006/relationships/hyperlink" Target="https://www.tcgplayer.com/product/704153" TargetMode="External" Id="rId1406" /><Relationship Type="http://schemas.openxmlformats.org/officeDocument/2006/relationships/hyperlink" Target="https://www.pricecharting.com/game/pokemon-30th-celebration/sylveon-ex-box" TargetMode="External" Id="rId1407" /><Relationship Type="http://schemas.openxmlformats.org/officeDocument/2006/relationships/hyperlink" Target="https://www.tcgplayer.com/product/704155" TargetMode="External" Id="rId1408" /><Relationship Type="http://schemas.openxmlformats.org/officeDocument/2006/relationships/hyperlink" Target="https://www.pricecharting.com/game/pokemon-30th-celebration/tech-sticker-collection-alolan-exeggutor" TargetMode="External" Id="rId1409" /><Relationship Type="http://schemas.openxmlformats.org/officeDocument/2006/relationships/hyperlink" Target="https://www.tcgplayer.com/product/704145" TargetMode="External" Id="rId1410" /><Relationship Type="http://schemas.openxmlformats.org/officeDocument/2006/relationships/hyperlink" Target="https://www.pricecharting.com/game/pokemon-30th-celebration/tech-sticker-collection-lucario" TargetMode="External" Id="rId1411" /><Relationship Type="http://schemas.openxmlformats.org/officeDocument/2006/relationships/hyperlink" Target="https://www.tcgplayer.com/product/704146" TargetMode="External" Id="rId1412" /><Relationship Type="http://schemas.openxmlformats.org/officeDocument/2006/relationships/hyperlink" Target="https://www.tcgplayer.com/product/704147" TargetMode="External" Id="rId1413" /><Relationship Type="http://schemas.openxmlformats.org/officeDocument/2006/relationships/hyperlink" Target="https://www.pricecharting.com/game/pokemon-30th-celebration/ultra-premium-collection-day" TargetMode="External" Id="rId1414" /><Relationship Type="http://schemas.openxmlformats.org/officeDocument/2006/relationships/hyperlink" Target="https://www.tcgplayer.com/product/704190" TargetMode="External" Id="rId1415" /><Relationship Type="http://schemas.openxmlformats.org/officeDocument/2006/relationships/hyperlink" Target="https://www.pricecharting.com/game/pokemon-30th-celebration/ultra-premium-collection-night" TargetMode="External" Id="rId1416" /><Relationship Type="http://schemas.openxmlformats.org/officeDocument/2006/relationships/hyperlink" Target="https://www.tcgplayer.com/product/704191" TargetMode="External" Id="rId1417" /><Relationship Type="http://schemas.openxmlformats.org/officeDocument/2006/relationships/hyperlink" Target="https://www.pricecharting.com/game/pokemon-ascended-heroes/booster-bundle" TargetMode="External" Id="rId1418" /><Relationship Type="http://schemas.openxmlformats.org/officeDocument/2006/relationships/hyperlink" Target="https://www.tcgplayer.com/product/668541" TargetMode="External" Id="rId1419" /><Relationship Type="http://schemas.openxmlformats.org/officeDocument/2006/relationships/hyperlink" Target="https://www.pricecharting.com/game/pokemon-ascended-heroes/elite-trainer-box" TargetMode="External" Id="rId1420" /><Relationship Type="http://schemas.openxmlformats.org/officeDocument/2006/relationships/hyperlink" Target="https://www.tcgplayer.com/product/668496" TargetMode="External" Id="rId1421" /><Relationship Type="http://schemas.openxmlformats.org/officeDocument/2006/relationships/hyperlink" Target="https://www.pricecharting.com/game/pokemon-ascended-heroes/first-partners-deluxe-pin-collection" TargetMode="External" Id="rId1422" /><Relationship Type="http://schemas.openxmlformats.org/officeDocument/2006/relationships/hyperlink" Target="https://www.tcgplayer.com/product/672391" TargetMode="External" Id="rId1423" /><Relationship Type="http://schemas.openxmlformats.org/officeDocument/2006/relationships/hyperlink" Target="https://www.tcgplayer.com/product/706959" TargetMode="External" Id="rId1424" /><Relationship Type="http://schemas.openxmlformats.org/officeDocument/2006/relationships/hyperlink" Target="https://www.pricecharting.com/game/pokemon-ascended-heroes/mega-emboar-ex-box" TargetMode="External" Id="rId1425" /><Relationship Type="http://schemas.openxmlformats.org/officeDocument/2006/relationships/hyperlink" Target="https://www.tcgplayer.com/product/672734" TargetMode="External" Id="rId1426" /><Relationship Type="http://schemas.openxmlformats.org/officeDocument/2006/relationships/hyperlink" Target="https://www.pricecharting.com/game/pokemon-ascended-heroes/mega-feraligatr-ex-box" TargetMode="External" Id="rId1427" /><Relationship Type="http://schemas.openxmlformats.org/officeDocument/2006/relationships/hyperlink" Target="https://www.tcgplayer.com/product/672735" TargetMode="External" Id="rId1428" /><Relationship Type="http://schemas.openxmlformats.org/officeDocument/2006/relationships/hyperlink" Target="https://www.pricecharting.com/game/pokemon-ascended-heroes/mega-meganium-ex-box" TargetMode="External" Id="rId1429" /><Relationship Type="http://schemas.openxmlformats.org/officeDocument/2006/relationships/hyperlink" Target="https://www.tcgplayer.com/product/672733" TargetMode="External" Id="rId1430" /><Relationship Type="http://schemas.openxmlformats.org/officeDocument/2006/relationships/hyperlink" Target="https://www.pricecharting.com/game/pokemon-ascended-heroes/mini-tin-clefairy-&amp;-chikorita" TargetMode="External" Id="rId1431" /><Relationship Type="http://schemas.openxmlformats.org/officeDocument/2006/relationships/hyperlink" Target="https://www.tcgplayer.com/product/668535" TargetMode="External" Id="rId1432" /><Relationship Type="http://schemas.openxmlformats.org/officeDocument/2006/relationships/hyperlink" Target="https://www.pricecharting.com/game/pokemon-ascended-heroes/mini-tin-pikachu-&amp;-tepig" TargetMode="External" Id="rId1433" /><Relationship Type="http://schemas.openxmlformats.org/officeDocument/2006/relationships/hyperlink" Target="https://www.tcgplayer.com/product/668531" TargetMode="External" Id="rId1434" /><Relationship Type="http://schemas.openxmlformats.org/officeDocument/2006/relationships/hyperlink" Target="https://www.pricecharting.com/game/pokemon-ascended-heroes/mini-tin-riolu-&amp;-darumaka" TargetMode="External" Id="rId1435" /><Relationship Type="http://schemas.openxmlformats.org/officeDocument/2006/relationships/hyperlink" Target="https://www.tcgplayer.com/product/668532" TargetMode="External" Id="rId1436" /><Relationship Type="http://schemas.openxmlformats.org/officeDocument/2006/relationships/hyperlink" Target="https://www.pricecharting.com/game/pokemon-ascended-heroes/mini-tin-togepi-&amp;-totodile" TargetMode="External" Id="rId1437" /><Relationship Type="http://schemas.openxmlformats.org/officeDocument/2006/relationships/hyperlink" Target="https://www.tcgplayer.com/product/668534" TargetMode="External" Id="rId1438" /><Relationship Type="http://schemas.openxmlformats.org/officeDocument/2006/relationships/hyperlink" Target="https://www.pricecharting.com/game/pokemon-ascended-heroes/mini-tin-zorua-&amp;-cramorant" TargetMode="External" Id="rId1439" /><Relationship Type="http://schemas.openxmlformats.org/officeDocument/2006/relationships/hyperlink" Target="https://www.tcgplayer.com/product/668533" TargetMode="External" Id="rId1440" /><Relationship Type="http://schemas.openxmlformats.org/officeDocument/2006/relationships/hyperlink" Target="https://www.tcgplayer.com/product/668530" TargetMode="External" Id="rId1441" /><Relationship Type="http://schemas.openxmlformats.org/officeDocument/2006/relationships/hyperlink" Target="https://www.tcgplayer.com/product/668497" TargetMode="External" Id="rId1442" /><Relationship Type="http://schemas.openxmlformats.org/officeDocument/2006/relationships/hyperlink" Target="https://www.tcgplayer.com/product/702496" TargetMode="External" Id="rId1443" /><Relationship Type="http://schemas.openxmlformats.org/officeDocument/2006/relationships/hyperlink" Target="https://www.tcgplayer.com/product/702497" TargetMode="External" Id="rId1444" /><Relationship Type="http://schemas.openxmlformats.org/officeDocument/2006/relationships/hyperlink" Target="https://www.tcgplayer.com/product/702498" TargetMode="External" Id="rId1445" /><Relationship Type="http://schemas.openxmlformats.org/officeDocument/2006/relationships/hyperlink" Target="https://www.tcgplayer.com/product/702500" TargetMode="External" Id="rId1446" /><Relationship Type="http://schemas.openxmlformats.org/officeDocument/2006/relationships/hyperlink" Target="https://www.tcgplayer.com/product/692541" TargetMode="External" Id="rId1447" /><Relationship Type="http://schemas.openxmlformats.org/officeDocument/2006/relationships/hyperlink" Target="https://www.tcgplayer.com/product/666906" TargetMode="External" Id="rId1448" /><Relationship Type="http://schemas.openxmlformats.org/officeDocument/2006/relationships/hyperlink" Target="https://www.tcgplayer.com/product/709097" TargetMode="External" Id="rId1449" /><Relationship Type="http://schemas.openxmlformats.org/officeDocument/2006/relationships/hyperlink" Target="https://www.tcgplayer.com/product/666907" TargetMode="External" Id="rId1450" /><Relationship Type="http://schemas.openxmlformats.org/officeDocument/2006/relationships/hyperlink" Target="https://www.tcgplayer.com/product/691923" TargetMode="External" Id="rId1451" /><Relationship Type="http://schemas.openxmlformats.org/officeDocument/2006/relationships/hyperlink" Target="https://www.tcgplayer.com/product/666908" TargetMode="External" Id="rId1452" /><Relationship Type="http://schemas.openxmlformats.org/officeDocument/2006/relationships/hyperlink" Target="https://www.tcgplayer.com/product/666909" TargetMode="External" Id="rId1453" /><Relationship Type="http://schemas.openxmlformats.org/officeDocument/2006/relationships/hyperlink" Target="https://www.tcgplayer.com/product/668537" TargetMode="External" Id="rId1454" /><Relationship Type="http://schemas.openxmlformats.org/officeDocument/2006/relationships/hyperlink" Target="https://www.pricecharting.com/game/pokemon-ascended-heroes/premium-poster-collection-mega-lucario" TargetMode="External" Id="rId1455" /><Relationship Type="http://schemas.openxmlformats.org/officeDocument/2006/relationships/hyperlink" Target="https://www.tcgplayer.com/product/668536" TargetMode="External" Id="rId1456" /><Relationship Type="http://schemas.openxmlformats.org/officeDocument/2006/relationships/hyperlink" Target="https://www.pricecharting.com/game/pokemon-mega-evolution/booster-bundle" TargetMode="External" Id="rId1457" /><Relationship Type="http://schemas.openxmlformats.org/officeDocument/2006/relationships/hyperlink" Target="https://www.pricecharting.com/game/pokemon-mega-evolution/build-&amp;-battle-box" TargetMode="External" Id="rId1458" /><Relationship Type="http://schemas.openxmlformats.org/officeDocument/2006/relationships/hyperlink" Target="https://www.pricecharting.com/game/pokemon-mega-evolution/elite-trainer-box-mega-gardevoir" TargetMode="External" Id="rId1459" /><Relationship Type="http://schemas.openxmlformats.org/officeDocument/2006/relationships/hyperlink" Target="https://www.pricecharting.com/game/pokemon-mega-evolution/elite-trainer-box-mega-lucario" TargetMode="External" Id="rId1460" /><Relationship Type="http://schemas.openxmlformats.org/officeDocument/2006/relationships/hyperlink" Target="https://www.pricecharting.com/game/pokemon-mega-evolution/elite-trainer-box-pokemon-center-gardevoir" TargetMode="External" Id="rId1461" /><Relationship Type="http://schemas.openxmlformats.org/officeDocument/2006/relationships/hyperlink" Target="https://www.pricecharting.com/game/pokemon-mega-evolution/elite-trainer-box-pokemon-center-lucario" TargetMode="External" Id="rId1462" /><Relationship Type="http://schemas.openxmlformats.org/officeDocument/2006/relationships/hyperlink" Target="https://www.pricecharting.com/game/pokemon-mega-evolution/mega-heroes-mini-tin-mega-gardevoir" TargetMode="External" Id="rId1463" /><Relationship Type="http://schemas.openxmlformats.org/officeDocument/2006/relationships/hyperlink" Target="https://www.pricecharting.com/game/pokemon-mega-evolution/mega-heroes-mini-tin-mega-kangaskhan" TargetMode="External" Id="rId1464" /><Relationship Type="http://schemas.openxmlformats.org/officeDocument/2006/relationships/hyperlink" Target="https://www.pricecharting.com/game/pokemon-mega-evolution/mega-heroes-mini-tin-mega-latias" TargetMode="External" Id="rId1465" /><Relationship Type="http://schemas.openxmlformats.org/officeDocument/2006/relationships/hyperlink" Target="https://www.pricecharting.com/game/pokemon-mega-evolution/mega-heroes-mini-tin-mega-lucario" TargetMode="External" Id="rId1466" /><Relationship Type="http://schemas.openxmlformats.org/officeDocument/2006/relationships/hyperlink" Target="https://www.pricecharting.com/game/pokemon-mega-evolution/mega-heroes-mini-tin-mega-venusaur" TargetMode="External" Id="rId1467" /><Relationship Type="http://schemas.openxmlformats.org/officeDocument/2006/relationships/hyperlink" Target="https://www.pricecharting.com/game/pokemon-mega-evolution/mega-lucario-ex-premium-figure-collection" TargetMode="External" Id="rId1468" /><Relationship Type="http://schemas.openxmlformats.org/officeDocument/2006/relationships/hyperlink" Target="https://www.tcgplayer.com/product/671274" TargetMode="External" Id="rId1469" /><Relationship Type="http://schemas.openxmlformats.org/officeDocument/2006/relationships/hyperlink" Target="https://www.tcgplayer.com/product/671271" TargetMode="External" Id="rId1470" /><Relationship Type="http://schemas.openxmlformats.org/officeDocument/2006/relationships/hyperlink" Target="https://www.tcgplayer.com/product/714504" TargetMode="External" Id="rId1471" /><Relationship Type="http://schemas.openxmlformats.org/officeDocument/2006/relationships/hyperlink" Target="https://www.tcgplayer.com/product/706250" TargetMode="External" Id="rId1472" /><Relationship Type="http://schemas.openxmlformats.org/officeDocument/2006/relationships/hyperlink" Target="https://www.tcgplayer.com/product/482320" TargetMode="External" Id="rId1473" /><Relationship Type="http://schemas.openxmlformats.org/officeDocument/2006/relationships/hyperlink" Target="https://www.tcgplayer.com/product/683264" TargetMode="External" Id="rId1474" /><Relationship Type="http://schemas.openxmlformats.org/officeDocument/2006/relationships/hyperlink" Target="https://www.tcgplayer.com/product/477178" TargetMode="External" Id="rId1475" /><Relationship Type="http://schemas.openxmlformats.org/officeDocument/2006/relationships/hyperlink" Target="https://www.tcgplayer.com/product/656995" TargetMode="External" Id="rId1476" /><Relationship Type="http://schemas.openxmlformats.org/officeDocument/2006/relationships/hyperlink" Target="https://www.tcgplayer.com/product/264259" TargetMode="External" Id="rId1477" /><Relationship Type="http://schemas.openxmlformats.org/officeDocument/2006/relationships/hyperlink" Target="https://www.tcgplayer.com/product/497177" TargetMode="External" Id="rId1478" /><Relationship Type="http://schemas.openxmlformats.org/officeDocument/2006/relationships/hyperlink" Target="https://www.tcgplayer.com/product/656955" TargetMode="External" Id="rId1479" /><Relationship Type="http://schemas.openxmlformats.org/officeDocument/2006/relationships/hyperlink" Target="https://www.tcgplayer.com/product/539305" TargetMode="External" Id="rId1480" /><Relationship Type="http://schemas.openxmlformats.org/officeDocument/2006/relationships/hyperlink" Target="https://www.tcgplayer.com/product/723301" TargetMode="External" Id="rId1481" /><Relationship Type="http://schemas.openxmlformats.org/officeDocument/2006/relationships/hyperlink" Target="https://www.tcgplayer.com/product/616291" TargetMode="External" Id="rId1482" /><Relationship Type="http://schemas.openxmlformats.org/officeDocument/2006/relationships/hyperlink" Target="https://www.tcgplayer.com/product/628094" TargetMode="External" Id="rId1483" /><Relationship Type="http://schemas.openxmlformats.org/officeDocument/2006/relationships/hyperlink" Target="https://www.tcgplayer.com/product/616292" TargetMode="External" Id="rId1484" /><Relationship Type="http://schemas.openxmlformats.org/officeDocument/2006/relationships/hyperlink" Target="https://www.tcgplayer.com/product/633082" TargetMode="External" Id="rId1485" /><Relationship Type="http://schemas.openxmlformats.org/officeDocument/2006/relationships/hyperlink" Target="https://www.tcgplayer.com/product/616293" TargetMode="External" Id="rId1486" /><Relationship Type="http://schemas.openxmlformats.org/officeDocument/2006/relationships/hyperlink" Target="https://www.tcgplayer.com/product/633083" TargetMode="External" Id="rId1487" /><Relationship Type="http://schemas.openxmlformats.org/officeDocument/2006/relationships/hyperlink" Target="https://www.tcgplayer.com/product/633084" TargetMode="External" Id="rId1488" /><Relationship Type="http://schemas.openxmlformats.org/officeDocument/2006/relationships/hyperlink" Target="https://www.tcgplayer.com/product/549454" TargetMode="External" Id="rId1489" /><Relationship Type="http://schemas.openxmlformats.org/officeDocument/2006/relationships/hyperlink" Target="https://www.tcgplayer.com/product/662745" TargetMode="External" Id="rId1490" /><Relationship Type="http://schemas.openxmlformats.org/officeDocument/2006/relationships/hyperlink" Target="https://www.tcgplayer.com/product/231295" TargetMode="External" Id="rId1491" /><Relationship Type="http://schemas.openxmlformats.org/officeDocument/2006/relationships/hyperlink" Target="https://www.tcgplayer.com/product/650229" TargetMode="External" Id="rId1492" /><Relationship Type="http://schemas.openxmlformats.org/officeDocument/2006/relationships/hyperlink" Target="https://www.tcgplayer.com/product/575897" TargetMode="External" Id="rId1493" /><Relationship Type="http://schemas.openxmlformats.org/officeDocument/2006/relationships/hyperlink" Target="https://www.tcgplayer.com/product/262968" TargetMode="External" Id="rId1494" /><Relationship Type="http://schemas.openxmlformats.org/officeDocument/2006/relationships/hyperlink" Target="https://www.tcgplayer.com/product/516576" TargetMode="External" Id="rId1495" /><Relationship Type="http://schemas.openxmlformats.org/officeDocument/2006/relationships/hyperlink" Target="https://www.tcgplayer.com/product/616305" TargetMode="External" Id="rId1496" /><Relationship Type="http://schemas.openxmlformats.org/officeDocument/2006/relationships/hyperlink" Target="https://www.tcgplayer.com/product/560625" TargetMode="External" Id="rId1497" /><Relationship Type="http://schemas.openxmlformats.org/officeDocument/2006/relationships/hyperlink" Target="https://www.tcgplayer.com/product/598499" TargetMode="External" Id="rId1498" /><Relationship Type="http://schemas.openxmlformats.org/officeDocument/2006/relationships/hyperlink" Target="https://www.tcgplayer.com/product/653625" TargetMode="External" Id="rId1499" /><Relationship Type="http://schemas.openxmlformats.org/officeDocument/2006/relationships/hyperlink" Target="https://www.tcgplayer.com/product/650144" TargetMode="External" Id="rId1500" /><Relationship Type="http://schemas.openxmlformats.org/officeDocument/2006/relationships/hyperlink" Target="https://www.tcgplayer.com/product/489632" TargetMode="External" Id="rId1501" /><Relationship Type="http://schemas.openxmlformats.org/officeDocument/2006/relationships/hyperlink" Target="https://www.tcgplayer.com/product/456111" TargetMode="External" Id="rId1502" /><Relationship Type="http://schemas.openxmlformats.org/officeDocument/2006/relationships/hyperlink" Target="https://www.tcgplayer.com/product/456118" TargetMode="External" Id="rId1503" /><Relationship Type="http://schemas.openxmlformats.org/officeDocument/2006/relationships/hyperlink" Target="https://www.tcgplayer.com/product/713198" TargetMode="External" Id="rId1504" /><Relationship Type="http://schemas.openxmlformats.org/officeDocument/2006/relationships/hyperlink" Target="https://www.tcgplayer.com/product/532385" TargetMode="External" Id="rId1505" /><Relationship Type="http://schemas.openxmlformats.org/officeDocument/2006/relationships/hyperlink" Target="https://www.tcgplayer.com/product/685924" TargetMode="External" Id="rId1506" /><Relationship Type="http://schemas.openxmlformats.org/officeDocument/2006/relationships/hyperlink" Target="https://www.tcgplayer.com/product/719650" TargetMode="External" Id="rId1507" /><Relationship Type="http://schemas.openxmlformats.org/officeDocument/2006/relationships/hyperlink" Target="https://www.tcgplayer.com/product/702637" TargetMode="External" Id="rId1508" /><Relationship Type="http://schemas.openxmlformats.org/officeDocument/2006/relationships/hyperlink" Target="https://www.tcgplayer.com/product/701600" TargetMode="External" Id="rId1509" /><Relationship Type="http://schemas.openxmlformats.org/officeDocument/2006/relationships/hyperlink" Target="https://www.tcgplayer.com/product/551456" TargetMode="External" Id="rId1510" /><Relationship Type="http://schemas.openxmlformats.org/officeDocument/2006/relationships/hyperlink" Target="https://www.tcgplayer.com/product/256408" TargetMode="External" Id="rId1511" /><Relationship Type="http://schemas.openxmlformats.org/officeDocument/2006/relationships/hyperlink" Target="https://www.tcgplayer.com/product/587750" TargetMode="External" Id="rId1512" /><Relationship Type="http://schemas.openxmlformats.org/officeDocument/2006/relationships/hyperlink" Target="https://www.tcgplayer.com/product/610741" TargetMode="External" Id="rId1513" /><Relationship Type="http://schemas.openxmlformats.org/officeDocument/2006/relationships/hyperlink" Target="https://www.tcgplayer.com/product/650885" TargetMode="External" Id="rId1514" /><Relationship Type="http://schemas.openxmlformats.org/officeDocument/2006/relationships/hyperlink" Target="https://www.tcgplayer.com/product/636740" TargetMode="External" Id="rId1515" /><Relationship Type="http://schemas.openxmlformats.org/officeDocument/2006/relationships/hyperlink" Target="https://www.tcgplayer.com/product/587747" TargetMode="External" Id="rId1516" /><Relationship Type="http://schemas.openxmlformats.org/officeDocument/2006/relationships/hyperlink" Target="https://www.tcgplayer.com/product/587746" TargetMode="External" Id="rId1517" /><Relationship Type="http://schemas.openxmlformats.org/officeDocument/2006/relationships/hyperlink" Target="https://www.tcgplayer.com/product/594729" TargetMode="External" Id="rId1518" /><Relationship Type="http://schemas.openxmlformats.org/officeDocument/2006/relationships/hyperlink" Target="https://www.tcgplayer.com/product/650397" TargetMode="External" Id="rId1519" /><Relationship Type="http://schemas.openxmlformats.org/officeDocument/2006/relationships/hyperlink" Target="https://www.tcgplayer.com/product/653892" TargetMode="External" Id="rId1520" /><Relationship Type="http://schemas.openxmlformats.org/officeDocument/2006/relationships/hyperlink" Target="https://www.tcgplayer.com/product/484372" TargetMode="External" Id="rId1521" /><Relationship Type="http://schemas.openxmlformats.org/officeDocument/2006/relationships/hyperlink" Target="https://www.tcgplayer.com/product/625952" TargetMode="External" Id="rId1522" /><Relationship Type="http://schemas.openxmlformats.org/officeDocument/2006/relationships/hyperlink" Target="https://www.tcgplayer.com/product/477286" TargetMode="External" Id="rId1523" /><Relationship Type="http://schemas.openxmlformats.org/officeDocument/2006/relationships/hyperlink" Target="https://www.tcgplayer.com/product/477288" TargetMode="External" Id="rId1524" /><Relationship Type="http://schemas.openxmlformats.org/officeDocument/2006/relationships/hyperlink" Target="https://www.tcgplayer.com/product/558746" TargetMode="External" Id="rId1525" /><Relationship Type="http://schemas.openxmlformats.org/officeDocument/2006/relationships/hyperlink" Target="https://www.tcgplayer.com/product/286618" TargetMode="External" Id="rId1526" /><Relationship Type="http://schemas.openxmlformats.org/officeDocument/2006/relationships/hyperlink" Target="https://www.tcgplayer.com/product/450103" TargetMode="External" Id="rId1527" /><Relationship Type="http://schemas.openxmlformats.org/officeDocument/2006/relationships/hyperlink" Target="https://www.tcgplayer.com/product/604493" TargetMode="External" Id="rId1528" /><Relationship Type="http://schemas.openxmlformats.org/officeDocument/2006/relationships/hyperlink" Target="https://www.tcgplayer.com/product/282002" TargetMode="External" Id="rId1529" /><Relationship Type="http://schemas.openxmlformats.org/officeDocument/2006/relationships/hyperlink" Target="https://www.tcgplayer.com/product/282004" TargetMode="External" Id="rId1530" /><Relationship Type="http://schemas.openxmlformats.org/officeDocument/2006/relationships/hyperlink" Target="https://www.tcgplayer.com/product/271941" TargetMode="External" Id="rId1531" /><Relationship Type="http://schemas.openxmlformats.org/officeDocument/2006/relationships/hyperlink" Target="https://www.tcgplayer.com/product/271939" TargetMode="External" Id="rId1532" /><Relationship Type="http://schemas.openxmlformats.org/officeDocument/2006/relationships/hyperlink" Target="https://www.tcgplayer.com/product/271943" TargetMode="External" Id="rId1533" /><Relationship Type="http://schemas.openxmlformats.org/officeDocument/2006/relationships/hyperlink" Target="https://www.tcgplayer.com/product/271940" TargetMode="External" Id="rId1534" /><Relationship Type="http://schemas.openxmlformats.org/officeDocument/2006/relationships/hyperlink" Target="https://www.tcgplayer.com/product/271944" TargetMode="External" Id="rId1535" /><Relationship Type="http://schemas.openxmlformats.org/officeDocument/2006/relationships/hyperlink" Target="https://www.tcgplayer.com/product/272521" TargetMode="External" Id="rId1536" /><Relationship Type="http://schemas.openxmlformats.org/officeDocument/2006/relationships/hyperlink" Target="https://www.tcgplayer.com/product/249713" TargetMode="External" Id="rId1537" /><Relationship Type="http://schemas.openxmlformats.org/officeDocument/2006/relationships/hyperlink" Target="https://www.tcgplayer.com/product/286470" TargetMode="External" Id="rId1538" /><Relationship Type="http://schemas.openxmlformats.org/officeDocument/2006/relationships/hyperlink" Target="https://www.tcgplayer.com/product/243562" TargetMode="External" Id="rId1539" /><Relationship Type="http://schemas.openxmlformats.org/officeDocument/2006/relationships/hyperlink" Target="https://www.tcgplayer.com/product/243571" TargetMode="External" Id="rId1540" /><Relationship Type="http://schemas.openxmlformats.org/officeDocument/2006/relationships/hyperlink" Target="https://www.tcgplayer.com/product/243559" TargetMode="External" Id="rId1541" /><Relationship Type="http://schemas.openxmlformats.org/officeDocument/2006/relationships/hyperlink" Target="https://www.tcgplayer.com/product/199787" TargetMode="External" Id="rId1542" /><Relationship Type="http://schemas.openxmlformats.org/officeDocument/2006/relationships/hyperlink" Target="https://www.tcgplayer.com/product/199789" TargetMode="External" Id="rId1543" /><Relationship Type="http://schemas.openxmlformats.org/officeDocument/2006/relationships/hyperlink" Target="https://www.tcgplayer.com/product/199788" TargetMode="External" Id="rId1544" /><Relationship Type="http://schemas.openxmlformats.org/officeDocument/2006/relationships/hyperlink" Target="https://www.tcgplayer.com/product/283135" TargetMode="External" Id="rId1545" /><Relationship Type="http://schemas.openxmlformats.org/officeDocument/2006/relationships/hyperlink" Target="https://www.tcgplayer.com/product/616953" TargetMode="External" Id="rId1546" /><Relationship Type="http://schemas.openxmlformats.org/officeDocument/2006/relationships/hyperlink" Target="https://www.tcgplayer.com/product/489343" TargetMode="External" Id="rId1547" /><Relationship Type="http://schemas.openxmlformats.org/officeDocument/2006/relationships/hyperlink" Target="https://www.tcgplayer.com/product/279606" TargetMode="External" Id="rId1548" /><Relationship Type="http://schemas.openxmlformats.org/officeDocument/2006/relationships/hyperlink" Target="https://www.tcgplayer.com/product/714361" TargetMode="External" Id="rId1549" /><Relationship Type="http://schemas.openxmlformats.org/officeDocument/2006/relationships/hyperlink" Target="https://www.tcgplayer.com/product/616951" TargetMode="External" Id="rId1550" /><Relationship Type="http://schemas.openxmlformats.org/officeDocument/2006/relationships/hyperlink" Target="https://www.tcgplayer.com/product/616940" TargetMode="External" Id="rId1551" /><Relationship Type="http://schemas.openxmlformats.org/officeDocument/2006/relationships/hyperlink" Target="https://www.tcgplayer.com/product/520353" TargetMode="External" Id="rId1552" /><Relationship Type="http://schemas.openxmlformats.org/officeDocument/2006/relationships/hyperlink" Target="https://www.tcgplayer.com/product/200142" TargetMode="External" Id="rId1553" /><Relationship Type="http://schemas.openxmlformats.org/officeDocument/2006/relationships/hyperlink" Target="https://www.tcgplayer.com/product/263031" TargetMode="External" Id="rId1554" /><Relationship Type="http://schemas.openxmlformats.org/officeDocument/2006/relationships/hyperlink" Target="https://www.tcgplayer.com/product/263033" TargetMode="External" Id="rId1555" /><Relationship Type="http://schemas.openxmlformats.org/officeDocument/2006/relationships/hyperlink" Target="https://www.tcgplayer.com/product/263030" TargetMode="External" Id="rId1556" /><Relationship Type="http://schemas.openxmlformats.org/officeDocument/2006/relationships/hyperlink" Target="https://www.tcgplayer.com/product/263029" TargetMode="External" Id="rId1557" /><Relationship Type="http://schemas.openxmlformats.org/officeDocument/2006/relationships/hyperlink" Target="https://www.tcgplayer.com/product/263034" TargetMode="External" Id="rId1558" /><Relationship Type="http://schemas.openxmlformats.org/officeDocument/2006/relationships/hyperlink" Target="https://www.tcgplayer.com/product/516647" TargetMode="External" Id="rId1559" /><Relationship Type="http://schemas.openxmlformats.org/officeDocument/2006/relationships/hyperlink" Target="https://www.tcgplayer.com/product/575706" TargetMode="External" Id="rId1560" /><Relationship Type="http://schemas.openxmlformats.org/officeDocument/2006/relationships/hyperlink" Target="https://www.tcgplayer.com/product/654593" TargetMode="External" Id="rId1561" /><Relationship Type="http://schemas.openxmlformats.org/officeDocument/2006/relationships/hyperlink" Target="https://www.tcgplayer.com/product/249705" TargetMode="External" Id="rId1562" /><Relationship Type="http://schemas.openxmlformats.org/officeDocument/2006/relationships/hyperlink" Target="https://www.tcgplayer.com/product/690199" TargetMode="External" Id="rId1563" /><Relationship Type="http://schemas.openxmlformats.org/officeDocument/2006/relationships/hyperlink" Target="https://www.tcgplayer.com/product/220289" TargetMode="External" Id="rId1564" /><Relationship Type="http://schemas.openxmlformats.org/officeDocument/2006/relationships/hyperlink" Target="https://www.tcgplayer.com/product/220291" TargetMode="External" Id="rId1565" /><Relationship Type="http://schemas.openxmlformats.org/officeDocument/2006/relationships/hyperlink" Target="https://www.tcgplayer.com/product/199786" TargetMode="External" Id="rId1566" /><Relationship Type="http://schemas.openxmlformats.org/officeDocument/2006/relationships/hyperlink" Target="https://www.tcgplayer.com/product/199785" TargetMode="External" Id="rId1567" /><Relationship Type="http://schemas.openxmlformats.org/officeDocument/2006/relationships/hyperlink" Target="https://www.tcgplayer.com/product/207986" TargetMode="External" Id="rId1568" /><Relationship Type="http://schemas.openxmlformats.org/officeDocument/2006/relationships/hyperlink" Target="https://www.tcgplayer.com/product/207987" TargetMode="External" Id="rId1569" /><Relationship Type="http://schemas.openxmlformats.org/officeDocument/2006/relationships/hyperlink" Target="https://www.tcgplayer.com/product/207988" TargetMode="External" Id="rId1570" /><Relationship Type="http://schemas.openxmlformats.org/officeDocument/2006/relationships/hyperlink" Target="https://www.tcgplayer.com/product/207992" TargetMode="External" Id="rId1571" /><Relationship Type="http://schemas.openxmlformats.org/officeDocument/2006/relationships/hyperlink" Target="https://www.tcgplayer.com/product/207989" TargetMode="External" Id="rId1572" /><Relationship Type="http://schemas.openxmlformats.org/officeDocument/2006/relationships/hyperlink" Target="https://www.tcgplayer.com/product/207990" TargetMode="External" Id="rId1573" /><Relationship Type="http://schemas.openxmlformats.org/officeDocument/2006/relationships/hyperlink" Target="https://www.tcgplayer.com/product/218854" TargetMode="External" Id="rId1574" /><Relationship Type="http://schemas.openxmlformats.org/officeDocument/2006/relationships/hyperlink" Target="https://www.tcgplayer.com/product/218857" TargetMode="External" Id="rId1575" /><Relationship Type="http://schemas.openxmlformats.org/officeDocument/2006/relationships/hyperlink" Target="https://www.tcgplayer.com/product/218856" TargetMode="External" Id="rId1576" /><Relationship Type="http://schemas.openxmlformats.org/officeDocument/2006/relationships/hyperlink" Target="https://www.tcgplayer.com/product/218855" TargetMode="External" Id="rId1577" /><Relationship Type="http://schemas.openxmlformats.org/officeDocument/2006/relationships/hyperlink" Target="https://www.tcgplayer.com/product/449727" TargetMode="External" Id="rId1578" /><Relationship Type="http://schemas.openxmlformats.org/officeDocument/2006/relationships/hyperlink" Target="https://www.tcgplayer.com/product/218858" TargetMode="External" Id="rId1579" /><Relationship Type="http://schemas.openxmlformats.org/officeDocument/2006/relationships/hyperlink" Target="https://www.tcgplayer.com/product/546458" TargetMode="External" Id="rId1580" /><Relationship Type="http://schemas.openxmlformats.org/officeDocument/2006/relationships/hyperlink" Target="https://www.tcgplayer.com/product/594896" TargetMode="External" Id="rId1581" /><Relationship Type="http://schemas.openxmlformats.org/officeDocument/2006/relationships/hyperlink" Target="https://www.tcgplayer.com/product/656950" TargetMode="External" Id="rId1582" /><Relationship Type="http://schemas.openxmlformats.org/officeDocument/2006/relationships/hyperlink" Target="https://www.tcgplayer.com/product/594491" TargetMode="External" Id="rId1583" /><Relationship Type="http://schemas.openxmlformats.org/officeDocument/2006/relationships/hyperlink" Target="https://www.tcgplayer.com/product/526914" TargetMode="External" Id="rId1584" /><Relationship Type="http://schemas.openxmlformats.org/officeDocument/2006/relationships/hyperlink" Target="https://www.tcgplayer.com/product/529698" TargetMode="External" Id="rId1585" /><Relationship Type="http://schemas.openxmlformats.org/officeDocument/2006/relationships/hyperlink" Target="https://www.tcgplayer.com/product/281982" TargetMode="External" Id="rId1586" /><Relationship Type="http://schemas.openxmlformats.org/officeDocument/2006/relationships/hyperlink" Target="https://www.tcgplayer.com/product/281981" TargetMode="External" Id="rId1587" /><Relationship Type="http://schemas.openxmlformats.org/officeDocument/2006/relationships/hyperlink" Target="https://www.tcgplayer.com/product/281993" TargetMode="External" Id="rId1588" /><Relationship Type="http://schemas.openxmlformats.org/officeDocument/2006/relationships/hyperlink" Target="https://www.tcgplayer.com/product/616303" TargetMode="External" Id="rId1589" /><Relationship Type="http://schemas.openxmlformats.org/officeDocument/2006/relationships/hyperlink" Target="https://www.tcgplayer.com/product/561521" TargetMode="External" Id="rId1590" /><Relationship Type="http://schemas.openxmlformats.org/officeDocument/2006/relationships/hyperlink" Target="https://www.tcgplayer.com/product/653199" TargetMode="External" Id="rId1591" /><Relationship Type="http://schemas.openxmlformats.org/officeDocument/2006/relationships/hyperlink" Target="https://www.tcgplayer.com/product/664092" TargetMode="External" Id="rId1592" /><Relationship Type="http://schemas.openxmlformats.org/officeDocument/2006/relationships/hyperlink" Target="https://www.tcgplayer.com/product/277568" TargetMode="External" Id="rId1593" /><Relationship Type="http://schemas.openxmlformats.org/officeDocument/2006/relationships/hyperlink" Target="https://www.tcgplayer.com/product/545403" TargetMode="External" Id="rId1594" /><Relationship Type="http://schemas.openxmlformats.org/officeDocument/2006/relationships/hyperlink" Target="https://www.tcgplayer.com/product/616304" TargetMode="External" Id="rId1595" /><Relationship Type="http://schemas.openxmlformats.org/officeDocument/2006/relationships/hyperlink" Target="https://www.tcgplayer.com/product/516578" TargetMode="External" Id="rId1596" /><Relationship Type="http://schemas.openxmlformats.org/officeDocument/2006/relationships/hyperlink" Target="https://www.tcgplayer.com/product/226133" TargetMode="External" Id="rId1597" /><Relationship Type="http://schemas.openxmlformats.org/officeDocument/2006/relationships/hyperlink" Target="https://www.tcgplayer.com/product/583776" TargetMode="External" Id="rId1598" /><Relationship Type="http://schemas.openxmlformats.org/officeDocument/2006/relationships/hyperlink" Target="https://www.tcgplayer.com/product/249693" TargetMode="External" Id="rId1599" /><Relationship Type="http://schemas.openxmlformats.org/officeDocument/2006/relationships/hyperlink" Target="https://www.tcgplayer.com/product/185261" TargetMode="External" Id="rId1600" /><Relationship Type="http://schemas.openxmlformats.org/officeDocument/2006/relationships/hyperlink" Target="https://www.tcgplayer.com/product/185264" TargetMode="External" Id="rId1601" /><Relationship Type="http://schemas.openxmlformats.org/officeDocument/2006/relationships/hyperlink" Target="https://www.tcgplayer.com/product/185263" TargetMode="External" Id="rId1602" /><Relationship Type="http://schemas.openxmlformats.org/officeDocument/2006/relationships/hyperlink" Target="https://www.tcgplayer.com/product/185262" TargetMode="External" Id="rId1603" /><Relationship Type="http://schemas.openxmlformats.org/officeDocument/2006/relationships/hyperlink" Target="https://www.tcgplayer.com/product/550688" TargetMode="External" Id="rId1604" /><Relationship Type="http://schemas.openxmlformats.org/officeDocument/2006/relationships/hyperlink" Target="https://www.tcgplayer.com/product/185265" TargetMode="External" Id="rId1605" /><Relationship Type="http://schemas.openxmlformats.org/officeDocument/2006/relationships/hyperlink" Target="https://www.tcgplayer.com/product/253839" TargetMode="External" Id="rId1606" /><Relationship Type="http://schemas.openxmlformats.org/officeDocument/2006/relationships/hyperlink" Target="https://www.tcgplayer.com/product/198431" TargetMode="External" Id="rId1607" /><Relationship Type="http://schemas.openxmlformats.org/officeDocument/2006/relationships/hyperlink" Target="https://www.tcgplayer.com/product/198434" TargetMode="External" Id="rId1608" /><Relationship Type="http://schemas.openxmlformats.org/officeDocument/2006/relationships/hyperlink" Target="https://www.tcgplayer.com/product/198437" TargetMode="External" Id="rId1609" /><Relationship Type="http://schemas.openxmlformats.org/officeDocument/2006/relationships/hyperlink" Target="https://www.tcgplayer.com/product/198438" TargetMode="External" Id="rId1610" /><Relationship Type="http://schemas.openxmlformats.org/officeDocument/2006/relationships/hyperlink" Target="https://www.tcgplayer.com/product/198439" TargetMode="External" Id="rId1611" /><Relationship Type="http://schemas.openxmlformats.org/officeDocument/2006/relationships/hyperlink" Target="https://www.tcgplayer.com/product/477284" TargetMode="External" Id="rId1612" /><Relationship Type="http://schemas.openxmlformats.org/officeDocument/2006/relationships/hyperlink" Target="https://www.tcgplayer.com/product/637464" TargetMode="External" Id="rId1613" /><Relationship Type="http://schemas.openxmlformats.org/officeDocument/2006/relationships/hyperlink" Target="https://www.tcgplayer.com/product/532560" TargetMode="External" Id="rId1614" /><Relationship Type="http://schemas.openxmlformats.org/officeDocument/2006/relationships/hyperlink" Target="https://www.tcgplayer.com/product/628493" TargetMode="External" Id="rId1615" /><Relationship Type="http://schemas.openxmlformats.org/officeDocument/2006/relationships/hyperlink" Target="https://www.tcgplayer.com/product/264422" TargetMode="External" Id="rId1616" /><Relationship Type="http://schemas.openxmlformats.org/officeDocument/2006/relationships/hyperlink" Target="https://www.tcgplayer.com/product/628494" TargetMode="External" Id="rId1617" /><Relationship Type="http://schemas.openxmlformats.org/officeDocument/2006/relationships/hyperlink" Target="https://www.tcgplayer.com/product/603323" TargetMode="External" Id="rId1618" /><Relationship Type="http://schemas.openxmlformats.org/officeDocument/2006/relationships/hyperlink" Target="https://www.tcgplayer.com/product/670782" TargetMode="External" Id="rId1619" /><Relationship Type="http://schemas.openxmlformats.org/officeDocument/2006/relationships/hyperlink" Target="https://www.tcgplayer.com/product/186994" TargetMode="External" Id="rId1620" /><Relationship Type="http://schemas.openxmlformats.org/officeDocument/2006/relationships/hyperlink" Target="https://www.tcgplayer.com/product/543172" TargetMode="External" Id="rId1621" /><Relationship Type="http://schemas.openxmlformats.org/officeDocument/2006/relationships/hyperlink" Target="https://www.tcgplayer.com/product/670783" TargetMode="External" Id="rId1622" /><Relationship Type="http://schemas.openxmlformats.org/officeDocument/2006/relationships/hyperlink" Target="https://www.tcgplayer.com/product/186984" TargetMode="External" Id="rId1623" /><Relationship Type="http://schemas.openxmlformats.org/officeDocument/2006/relationships/hyperlink" Target="https://www.tcgplayer.com/product/594495" TargetMode="External" Id="rId1624" /><Relationship Type="http://schemas.openxmlformats.org/officeDocument/2006/relationships/hyperlink" Target="https://www.tcgplayer.com/product/228813" TargetMode="External" Id="rId1625" /><Relationship Type="http://schemas.openxmlformats.org/officeDocument/2006/relationships/hyperlink" Target="https://www.tcgplayer.com/product/202117" TargetMode="External" Id="rId1626" /><Relationship Type="http://schemas.openxmlformats.org/officeDocument/2006/relationships/hyperlink" Target="https://www.tcgplayer.com/product/626605" TargetMode="External" Id="rId1627" /><Relationship Type="http://schemas.openxmlformats.org/officeDocument/2006/relationships/hyperlink" Target="https://www.tcgplayer.com/product/262637" TargetMode="External" Id="rId1628" /><Relationship Type="http://schemas.openxmlformats.org/officeDocument/2006/relationships/hyperlink" Target="https://www.tcgplayer.com/product/497728" TargetMode="External" Id="rId1629" /><Relationship Type="http://schemas.openxmlformats.org/officeDocument/2006/relationships/hyperlink" Target="https://www.tcgplayer.com/product/655739" TargetMode="External" Id="rId1630" /><Relationship Type="http://schemas.openxmlformats.org/officeDocument/2006/relationships/hyperlink" Target="https://www.tcgplayer.com/product/685577" TargetMode="External" Id="rId1631" /><Relationship Type="http://schemas.openxmlformats.org/officeDocument/2006/relationships/hyperlink" Target="https://www.tcgplayer.com/product/685578" TargetMode="External" Id="rId1632" /><Relationship Type="http://schemas.openxmlformats.org/officeDocument/2006/relationships/hyperlink" Target="https://www.tcgplayer.com/product/685579" TargetMode="External" Id="rId1633" /><Relationship Type="http://schemas.openxmlformats.org/officeDocument/2006/relationships/hyperlink" Target="https://www.tcgplayer.com/product/685576" TargetMode="External" Id="rId1634" /><Relationship Type="http://schemas.openxmlformats.org/officeDocument/2006/relationships/hyperlink" Target="https://www.tcgplayer.com/product/685575" TargetMode="External" Id="rId1635" /><Relationship Type="http://schemas.openxmlformats.org/officeDocument/2006/relationships/hyperlink" Target="https://www.tcgplayer.com/product/685580" TargetMode="External" Id="rId1636" /><Relationship Type="http://schemas.openxmlformats.org/officeDocument/2006/relationships/hyperlink" Target="https://www.tcgplayer.com/product/531572" TargetMode="External" Id="rId1637" /><Relationship Type="http://schemas.openxmlformats.org/officeDocument/2006/relationships/hyperlink" Target="https://www.tcgplayer.com/product/236549" TargetMode="External" Id="rId1638" /><Relationship Type="http://schemas.openxmlformats.org/officeDocument/2006/relationships/hyperlink" Target="https://www.tcgplayer.com/product/629647" TargetMode="External" Id="rId1639" /><Relationship Type="http://schemas.openxmlformats.org/officeDocument/2006/relationships/hyperlink" Target="https://www.tcgplayer.com/product/606605" TargetMode="External" Id="rId1640" /><Relationship Type="http://schemas.openxmlformats.org/officeDocument/2006/relationships/hyperlink" Target="https://www.tcgplayer.com/product/671250" TargetMode="External" Id="rId1641" /><Relationship Type="http://schemas.openxmlformats.org/officeDocument/2006/relationships/hyperlink" Target="https://www.tcgplayer.com/product/671249" TargetMode="External" Id="rId1642" /><Relationship Type="http://schemas.openxmlformats.org/officeDocument/2006/relationships/hyperlink" Target="https://www.tcgplayer.com/product/654213" TargetMode="External" Id="rId1643" /><Relationship Type="http://schemas.openxmlformats.org/officeDocument/2006/relationships/hyperlink" Target="https://www.tcgplayer.com/product/702506" TargetMode="External" Id="rId1644" /><Relationship Type="http://schemas.openxmlformats.org/officeDocument/2006/relationships/hyperlink" Target="https://www.tcgplayer.com/product/702505" TargetMode="External" Id="rId1645" /><Relationship Type="http://schemas.openxmlformats.org/officeDocument/2006/relationships/hyperlink" Target="https://www.tcgplayer.com/product/702507" TargetMode="External" Id="rId1646" /><Relationship Type="http://schemas.openxmlformats.org/officeDocument/2006/relationships/hyperlink" Target="https://www.tcgplayer.com/product/702508" TargetMode="External" Id="rId1647" /><Relationship Type="http://schemas.openxmlformats.org/officeDocument/2006/relationships/hyperlink" Target="https://www.tcgplayer.com/product/690660" TargetMode="External" Id="rId1648" /><Relationship Type="http://schemas.openxmlformats.org/officeDocument/2006/relationships/hyperlink" Target="https://www.tcgplayer.com/product/654188" TargetMode="External" Id="rId1649" /><Relationship Type="http://schemas.openxmlformats.org/officeDocument/2006/relationships/hyperlink" Target="https://www.tcgplayer.com/product/656487" TargetMode="External" Id="rId1650" /><Relationship Type="http://schemas.openxmlformats.org/officeDocument/2006/relationships/hyperlink" Target="https://www.tcgplayer.com/product/686438" TargetMode="External" Id="rId1651" /><Relationship Type="http://schemas.openxmlformats.org/officeDocument/2006/relationships/hyperlink" Target="https://www.tcgplayer.com/product/686437" TargetMode="External" Id="rId1652" /><Relationship Type="http://schemas.openxmlformats.org/officeDocument/2006/relationships/hyperlink" Target="https://www.tcgplayer.com/product/654212" TargetMode="External" Id="rId1653" /><Relationship Type="http://schemas.openxmlformats.org/officeDocument/2006/relationships/hyperlink" Target="https://www.tcgplayer.com/product/682939" TargetMode="External" Id="rId1654" /><Relationship Type="http://schemas.openxmlformats.org/officeDocument/2006/relationships/hyperlink" Target="https://www.tcgplayer.com/product/662750" TargetMode="External" Id="rId1655" /><Relationship Type="http://schemas.openxmlformats.org/officeDocument/2006/relationships/hyperlink" Target="https://www.tcgplayer.com/product/205464" TargetMode="External" Id="rId1656" /><Relationship Type="http://schemas.openxmlformats.org/officeDocument/2006/relationships/hyperlink" Target="https://www.tcgplayer.com/product/230427" TargetMode="External" Id="rId1657" /><Relationship Type="http://schemas.openxmlformats.org/officeDocument/2006/relationships/hyperlink" Target="https://www.tcgplayer.com/product/286476" TargetMode="External" Id="rId1658" /><Relationship Type="http://schemas.openxmlformats.org/officeDocument/2006/relationships/hyperlink" Target="https://www.tcgplayer.com/product/247818" TargetMode="External" Id="rId1659" /><Relationship Type="http://schemas.openxmlformats.org/officeDocument/2006/relationships/hyperlink" Target="https://www.tcgplayer.com/product/247820" TargetMode="External" Id="rId1660" /><Relationship Type="http://schemas.openxmlformats.org/officeDocument/2006/relationships/hyperlink" Target="https://www.tcgplayer.com/product/648586" TargetMode="External" Id="rId1661" /><Relationship Type="http://schemas.openxmlformats.org/officeDocument/2006/relationships/hyperlink" Target="https://www.tcgplayer.com/product/655747" TargetMode="External" Id="rId1662" /><Relationship Type="http://schemas.openxmlformats.org/officeDocument/2006/relationships/hyperlink" Target="https://www.tcgplayer.com/product/475802" TargetMode="External" Id="rId1663" /><Relationship Type="http://schemas.openxmlformats.org/officeDocument/2006/relationships/hyperlink" Target="https://www.tcgplayer.com/product/262646" TargetMode="External" Id="rId1664" /><Relationship Type="http://schemas.openxmlformats.org/officeDocument/2006/relationships/hyperlink" Target="https://www.tcgplayer.com/product/517119" TargetMode="External" Id="rId1665" /><Relationship Type="http://schemas.openxmlformats.org/officeDocument/2006/relationships/hyperlink" Target="https://www.tcgplayer.com/product/517120" TargetMode="External" Id="rId1666" /><Relationship Type="http://schemas.openxmlformats.org/officeDocument/2006/relationships/hyperlink" Target="https://www.tcgplayer.com/product/248205" TargetMode="External" Id="rId1667" /><Relationship Type="http://schemas.openxmlformats.org/officeDocument/2006/relationships/hyperlink" Target="https://www.tcgplayer.com/product/576482" TargetMode="External" Id="rId1668" /><Relationship Type="http://schemas.openxmlformats.org/officeDocument/2006/relationships/hyperlink" Target="https://www.tcgplayer.com/product/527801" TargetMode="External" Id="rId1669" /><Relationship Type="http://schemas.openxmlformats.org/officeDocument/2006/relationships/hyperlink" Target="https://www.tcgplayer.com/product/532025" TargetMode="External" Id="rId1670" /><Relationship Type="http://schemas.openxmlformats.org/officeDocument/2006/relationships/hyperlink" Target="https://www.tcgplayer.com/product/451119" TargetMode="External" Id="rId1671" /><Relationship Type="http://schemas.openxmlformats.org/officeDocument/2006/relationships/hyperlink" Target="https://www.tcgplayer.com/product/477171" TargetMode="External" Id="rId1672" /><Relationship Type="http://schemas.openxmlformats.org/officeDocument/2006/relationships/hyperlink" Target="https://www.tcgplayer.com/product/451120" TargetMode="External" Id="rId1673" /><Relationship Type="http://schemas.openxmlformats.org/officeDocument/2006/relationships/hyperlink" Target="https://www.tcgplayer.com/product/477173" TargetMode="External" Id="rId1674" /><Relationship Type="http://schemas.openxmlformats.org/officeDocument/2006/relationships/hyperlink" Target="https://www.tcgplayer.com/product/451121" TargetMode="External" Id="rId1675" /><Relationship Type="http://schemas.openxmlformats.org/officeDocument/2006/relationships/hyperlink" Target="https://www.tcgplayer.com/product/477174" TargetMode="External" Id="rId1676" /><Relationship Type="http://schemas.openxmlformats.org/officeDocument/2006/relationships/hyperlink" Target="https://www.tcgplayer.com/product/477172" TargetMode="External" Id="rId1677" /><Relationship Type="http://schemas.openxmlformats.org/officeDocument/2006/relationships/hyperlink" Target="https://www.tcgplayer.com/product/451118" TargetMode="External" Id="rId1678" /><Relationship Type="http://schemas.openxmlformats.org/officeDocument/2006/relationships/hyperlink" Target="https://www.tcgplayer.com/product/484357" TargetMode="External" Id="rId1679" /><Relationship Type="http://schemas.openxmlformats.org/officeDocument/2006/relationships/hyperlink" Target="https://www.tcgplayer.com/product/484362" TargetMode="External" Id="rId1680" /><Relationship Type="http://schemas.openxmlformats.org/officeDocument/2006/relationships/hyperlink" Target="https://www.tcgplayer.com/product/484358" TargetMode="External" Id="rId1681" /><Relationship Type="http://schemas.openxmlformats.org/officeDocument/2006/relationships/hyperlink" Target="https://www.tcgplayer.com/product/484359" TargetMode="External" Id="rId1682" /><Relationship Type="http://schemas.openxmlformats.org/officeDocument/2006/relationships/hyperlink" Target="https://www.tcgplayer.com/product/484363" TargetMode="External" Id="rId1683" /><Relationship Type="http://schemas.openxmlformats.org/officeDocument/2006/relationships/hyperlink" Target="https://www.tcgplayer.com/product/484360" TargetMode="External" Id="rId1684" /><Relationship Type="http://schemas.openxmlformats.org/officeDocument/2006/relationships/hyperlink" Target="https://www.tcgplayer.com/product/633085" TargetMode="External" Id="rId1685" /><Relationship Type="http://schemas.openxmlformats.org/officeDocument/2006/relationships/hyperlink" Target="https://www.tcgplayer.com/product/497390" TargetMode="External" Id="rId1686" /><Relationship Type="http://schemas.openxmlformats.org/officeDocument/2006/relationships/hyperlink" Target="https://www.tcgplayer.com/product/497387" TargetMode="External" Id="rId1687" /><Relationship Type="http://schemas.openxmlformats.org/officeDocument/2006/relationships/hyperlink" Target="https://www.tcgplayer.com/product/497389" TargetMode="External" Id="rId1688" /><Relationship Type="http://schemas.openxmlformats.org/officeDocument/2006/relationships/hyperlink" Target="https://www.tcgplayer.com/product/497388" TargetMode="External" Id="rId1689" /><Relationship Type="http://schemas.openxmlformats.org/officeDocument/2006/relationships/hyperlink" Target="https://www.tcgplayer.com/product/509570" TargetMode="External" Id="rId1690" /><Relationship Type="http://schemas.openxmlformats.org/officeDocument/2006/relationships/hyperlink" Target="https://www.tcgplayer.com/product/543171" TargetMode="External" Id="rId1691" /><Relationship Type="http://schemas.openxmlformats.org/officeDocument/2006/relationships/hyperlink" Target="https://www.tcgplayer.com/product/504330" TargetMode="External" Id="rId1692" /><Relationship Type="http://schemas.openxmlformats.org/officeDocument/2006/relationships/hyperlink" Target="https://www.tcgplayer.com/product/504438" TargetMode="External" Id="rId1693" /><Relationship Type="http://schemas.openxmlformats.org/officeDocument/2006/relationships/hyperlink" Target="https://www.tcgplayer.com/product/504442" TargetMode="External" Id="rId1694" /><Relationship Type="http://schemas.openxmlformats.org/officeDocument/2006/relationships/hyperlink" Target="https://www.tcgplayer.com/product/517101" TargetMode="External" Id="rId1695" /><Relationship Type="http://schemas.openxmlformats.org/officeDocument/2006/relationships/hyperlink" Target="https://www.tcgplayer.com/product/504431" TargetMode="External" Id="rId1696" /><Relationship Type="http://schemas.openxmlformats.org/officeDocument/2006/relationships/hyperlink" Target="https://www.tcgplayer.com/product/504435" TargetMode="External" Id="rId1697" /><Relationship Type="http://schemas.openxmlformats.org/officeDocument/2006/relationships/hyperlink" Target="https://www.tcgplayer.com/product/544241" TargetMode="External" Id="rId1698" /><Relationship Type="http://schemas.openxmlformats.org/officeDocument/2006/relationships/hyperlink" Target="https://www.tcgplayer.com/product/544239" TargetMode="External" Id="rId1699" /><Relationship Type="http://schemas.openxmlformats.org/officeDocument/2006/relationships/hyperlink" Target="https://www.tcgplayer.com/product/562356" TargetMode="External" Id="rId1700" /><Relationship Type="http://schemas.openxmlformats.org/officeDocument/2006/relationships/hyperlink" Target="https://www.tcgplayer.com/product/562357" TargetMode="External" Id="rId1701" /><Relationship Type="http://schemas.openxmlformats.org/officeDocument/2006/relationships/hyperlink" Target="https://www.tcgplayer.com/product/575185" TargetMode="External" Id="rId1702" /><Relationship Type="http://schemas.openxmlformats.org/officeDocument/2006/relationships/hyperlink" Target="https://www.tcgplayer.com/product/621096" TargetMode="External" Id="rId1703" /><Relationship Type="http://schemas.openxmlformats.org/officeDocument/2006/relationships/hyperlink" Target="https://www.tcgplayer.com/product/583521" TargetMode="External" Id="rId1704" /><Relationship Type="http://schemas.openxmlformats.org/officeDocument/2006/relationships/hyperlink" Target="https://www.tcgplayer.com/product/179376" TargetMode="External" Id="rId1705" /><Relationship Type="http://schemas.openxmlformats.org/officeDocument/2006/relationships/hyperlink" Target="https://www.tcgplayer.com/product/253396" TargetMode="External" Id="rId1706" /><Relationship Type="http://schemas.openxmlformats.org/officeDocument/2006/relationships/hyperlink" Target="https://www.tcgplayer.com/product/260709" TargetMode="External" Id="rId1707" /><Relationship Type="http://schemas.openxmlformats.org/officeDocument/2006/relationships/hyperlink" Target="https://www.tcgplayer.com/product/683004" TargetMode="External" Id="rId1708" /><Relationship Type="http://schemas.openxmlformats.org/officeDocument/2006/relationships/hyperlink" Target="https://www.tcgplayer.com/product/245518" TargetMode="External" Id="rId1709" /><Relationship Type="http://schemas.openxmlformats.org/officeDocument/2006/relationships/hyperlink" Target="https://www.tcgplayer.com/product/245517" TargetMode="External" Id="rId1710" /><Relationship Type="http://schemas.openxmlformats.org/officeDocument/2006/relationships/hyperlink" Target="https://www.tcgplayer.com/product/245520" TargetMode="External" Id="rId1711" /><Relationship Type="http://schemas.openxmlformats.org/officeDocument/2006/relationships/hyperlink" Target="https://www.tcgplayer.com/product/245521" TargetMode="External" Id="rId1712" /><Relationship Type="http://schemas.openxmlformats.org/officeDocument/2006/relationships/hyperlink" Target="https://www.tcgplayer.com/product/210170" TargetMode="External" Id="rId1713" /><Relationship Type="http://schemas.openxmlformats.org/officeDocument/2006/relationships/hyperlink" Target="https://www.tcgplayer.com/product/198519" TargetMode="External" Id="rId1714" /><Relationship Type="http://schemas.openxmlformats.org/officeDocument/2006/relationships/hyperlink" Target="https://www.tcgplayer.com/product/587366" TargetMode="External" Id="rId1715" /><Relationship Type="http://schemas.openxmlformats.org/officeDocument/2006/relationships/hyperlink" Target="https://www.tcgplayer.com/product/688966" TargetMode="External" Id="rId1716" /><Relationship Type="http://schemas.openxmlformats.org/officeDocument/2006/relationships/hyperlink" Target="https://www.tcgplayer.com/product/231292" TargetMode="External" Id="rId1717" /><Relationship Type="http://schemas.openxmlformats.org/officeDocument/2006/relationships/hyperlink" Target="https://www.tcgplayer.com/product/271585" TargetMode="External" Id="rId1718" /><Relationship Type="http://schemas.openxmlformats.org/officeDocument/2006/relationships/hyperlink" Target="https://www.tcgplayer.com/product/516987" TargetMode="External" Id="rId1719" /><Relationship Type="http://schemas.openxmlformats.org/officeDocument/2006/relationships/hyperlink" Target="https://www.tcgplayer.com/product/198520" TargetMode="External" Id="rId1720" /><Relationship Type="http://schemas.openxmlformats.org/officeDocument/2006/relationships/hyperlink" Target="https://www.tcgplayer.com/product/686298" TargetMode="External" Id="rId1721" /><Relationship Type="http://schemas.openxmlformats.org/officeDocument/2006/relationships/hyperlink" Target="https://www.tcgplayer.com/product/587369" TargetMode="External" Id="rId1722" /><Relationship Type="http://schemas.openxmlformats.org/officeDocument/2006/relationships/hyperlink" Target="https://www.tcgplayer.com/product/181267" TargetMode="External" Id="rId1723" /><Relationship Type="http://schemas.openxmlformats.org/officeDocument/2006/relationships/hyperlink" Target="https://www.tcgplayer.com/product/587365" TargetMode="External" Id="rId1724" /><Relationship Type="http://schemas.openxmlformats.org/officeDocument/2006/relationships/hyperlink" Target="https://www.tcgplayer.com/product/688964" TargetMode="External" Id="rId1725" /><Relationship Type="http://schemas.openxmlformats.org/officeDocument/2006/relationships/hyperlink" Target="https://www.tcgplayer.com/product/198522" TargetMode="External" Id="rId1726" /><Relationship Type="http://schemas.openxmlformats.org/officeDocument/2006/relationships/hyperlink" Target="https://www.tcgplayer.com/product/587367" TargetMode="External" Id="rId1727" /><Relationship Type="http://schemas.openxmlformats.org/officeDocument/2006/relationships/hyperlink" Target="https://www.tcgplayer.com/product/688967" TargetMode="External" Id="rId1728" /><Relationship Type="http://schemas.openxmlformats.org/officeDocument/2006/relationships/hyperlink" Target="https://www.tcgplayer.com/product/668648" TargetMode="External" Id="rId1729" /><Relationship Type="http://schemas.openxmlformats.org/officeDocument/2006/relationships/hyperlink" Target="https://www.tcgplayer.com/product/688968" TargetMode="External" Id="rId1730" /><Relationship Type="http://schemas.openxmlformats.org/officeDocument/2006/relationships/hyperlink" Target="https://www.tcgplayer.com/product/210169" TargetMode="External" Id="rId1731" /><Relationship Type="http://schemas.openxmlformats.org/officeDocument/2006/relationships/hyperlink" Target="https://www.tcgplayer.com/product/587368" TargetMode="External" Id="rId1732" /><Relationship Type="http://schemas.openxmlformats.org/officeDocument/2006/relationships/hyperlink" Target="https://www.tcgplayer.com/product/688965" TargetMode="External" Id="rId1733" /><Relationship Type="http://schemas.openxmlformats.org/officeDocument/2006/relationships/hyperlink" Target="https://www.tcgplayer.com/product/668590" TargetMode="External" Id="rId1734" /><Relationship Type="http://schemas.openxmlformats.org/officeDocument/2006/relationships/hyperlink" Target="https://www.tcgplayer.com/product/541175" TargetMode="External" Id="rId1735" /><Relationship Type="http://schemas.openxmlformats.org/officeDocument/2006/relationships/hyperlink" Target="https://www.tcgplayer.com/product/260867" TargetMode="External" Id="rId1736" /><Relationship Type="http://schemas.openxmlformats.org/officeDocument/2006/relationships/hyperlink" Target="https://www.tcgplayer.com/product/260866" TargetMode="External" Id="rId1737" /><Relationship Type="http://schemas.openxmlformats.org/officeDocument/2006/relationships/hyperlink" Target="https://www.tcgplayer.com/product/541171" TargetMode="External" Id="rId1738" /><Relationship Type="http://schemas.openxmlformats.org/officeDocument/2006/relationships/hyperlink" Target="https://www.tcgplayer.com/product/616296" TargetMode="External" Id="rId1739" /><Relationship Type="http://schemas.openxmlformats.org/officeDocument/2006/relationships/hyperlink" Target="https://www.tcgplayer.com/product/616295" TargetMode="External" Id="rId1740" /><Relationship Type="http://schemas.openxmlformats.org/officeDocument/2006/relationships/hyperlink" Target="https://www.tcgplayer.com/product/541168" TargetMode="External" Id="rId1741" /><Relationship Type="http://schemas.openxmlformats.org/officeDocument/2006/relationships/hyperlink" Target="https://www.tcgplayer.com/product/616294" TargetMode="External" Id="rId1742" /><Relationship Type="http://schemas.openxmlformats.org/officeDocument/2006/relationships/hyperlink" Target="https://www.tcgplayer.com/product/260869" TargetMode="External" Id="rId1743" /><Relationship Type="http://schemas.openxmlformats.org/officeDocument/2006/relationships/hyperlink" Target="https://www.tcgplayer.com/product/541205" TargetMode="External" Id="rId1744" /><Relationship Type="http://schemas.openxmlformats.org/officeDocument/2006/relationships/hyperlink" Target="https://www.tcgplayer.com/product/260868" TargetMode="External" Id="rId1745" /><Relationship Type="http://schemas.openxmlformats.org/officeDocument/2006/relationships/hyperlink" Target="https://www.tcgplayer.com/product/616297" TargetMode="External" Id="rId1746" /><Relationship Type="http://schemas.openxmlformats.org/officeDocument/2006/relationships/hyperlink" Target="https://www.tcgplayer.com/product/644852" TargetMode="External" Id="rId1747" /><Relationship Type="http://schemas.openxmlformats.org/officeDocument/2006/relationships/hyperlink" Target="https://www.tcgplayer.com/product/648365" TargetMode="External" Id="rId1748" /><Relationship Type="http://schemas.openxmlformats.org/officeDocument/2006/relationships/hyperlink" Target="https://www.tcgplayer.com/product/268713" TargetMode="External" Id="rId1749" /><Relationship Type="http://schemas.openxmlformats.org/officeDocument/2006/relationships/hyperlink" Target="https://www.tcgplayer.com/product/670267" TargetMode="External" Id="rId1750" /><Relationship Type="http://schemas.openxmlformats.org/officeDocument/2006/relationships/hyperlink" Target="https://www.tcgplayer.com/product/248208" TargetMode="External" Id="rId1751" /><Relationship Type="http://schemas.openxmlformats.org/officeDocument/2006/relationships/hyperlink" Target="https://www.tcgplayer.com/product/666512" TargetMode="External" Id="rId1752" /><Relationship Type="http://schemas.openxmlformats.org/officeDocument/2006/relationships/hyperlink" Target="https://www.tcgplayer.com/product/616737" TargetMode="External" Id="rId1753" /><Relationship Type="http://schemas.openxmlformats.org/officeDocument/2006/relationships/hyperlink" Target="https://www.tcgplayer.com/product/516577" TargetMode="External" Id="rId1754" /><Relationship Type="http://schemas.openxmlformats.org/officeDocument/2006/relationships/hyperlink" Target="https://www.tcgplayer.com/product/218438" TargetMode="External" Id="rId1755" /><Relationship Type="http://schemas.openxmlformats.org/officeDocument/2006/relationships/hyperlink" Target="https://www.tcgplayer.com/product/653899" TargetMode="External" Id="rId1756" /><Relationship Type="http://schemas.openxmlformats.org/officeDocument/2006/relationships/hyperlink" Target="https://www.tcgplayer.com/product/286619" TargetMode="External" Id="rId1757" /><Relationship Type="http://schemas.openxmlformats.org/officeDocument/2006/relationships/hyperlink" Target="https://www.tcgplayer.com/product/262641" TargetMode="External" Id="rId1758" /><Relationship Type="http://schemas.openxmlformats.org/officeDocument/2006/relationships/hyperlink" Target="https://www.tcgplayer.com/product/262642" TargetMode="External" Id="rId1759" /><Relationship Type="http://schemas.openxmlformats.org/officeDocument/2006/relationships/hyperlink" Target="https://www.tcgplayer.com/product/262638" TargetMode="External" Id="rId1760" /><Relationship Type="http://schemas.openxmlformats.org/officeDocument/2006/relationships/hyperlink" Target="https://www.tcgplayer.com/product/263258" TargetMode="External" Id="rId1761" /><Relationship Type="http://schemas.openxmlformats.org/officeDocument/2006/relationships/hyperlink" Target="https://www.tcgplayer.com/product/262640" TargetMode="External" Id="rId1762" /><Relationship Type="http://schemas.openxmlformats.org/officeDocument/2006/relationships/hyperlink" Target="https://www.tcgplayer.com/product/532539" TargetMode="External" Id="rId1763" /><Relationship Type="http://schemas.openxmlformats.org/officeDocument/2006/relationships/hyperlink" Target="https://www.tcgplayer.com/product/623647" TargetMode="External" Id="rId1764" /><Relationship Type="http://schemas.openxmlformats.org/officeDocument/2006/relationships/hyperlink" Target="https://www.tcgplayer.com/product/623648" TargetMode="External" Id="rId1765" /><Relationship Type="http://schemas.openxmlformats.org/officeDocument/2006/relationships/hyperlink" Target="https://www.tcgplayer.com/product/226128" TargetMode="External" Id="rId1766" /><Relationship Type="http://schemas.openxmlformats.org/officeDocument/2006/relationships/hyperlink" Target="https://www.tcgplayer.com/product/653192" TargetMode="External" Id="rId1767" /><Relationship Type="http://schemas.openxmlformats.org/officeDocument/2006/relationships/hyperlink" Target="https://www.tcgplayer.com/product/662770" TargetMode="External" Id="rId1768" /><Relationship Type="http://schemas.openxmlformats.org/officeDocument/2006/relationships/hyperlink" Target="https://www.tcgplayer.com/product/261779" TargetMode="External" Id="rId1769" /><Relationship Type="http://schemas.openxmlformats.org/officeDocument/2006/relationships/hyperlink" Target="https://www.tcgplayer.com/product/265252" TargetMode="External" Id="rId1770" /><Relationship Type="http://schemas.openxmlformats.org/officeDocument/2006/relationships/hyperlink" Target="https://www.tcgplayer.com/product/229747" TargetMode="External" Id="rId1771" /><Relationship Type="http://schemas.openxmlformats.org/officeDocument/2006/relationships/hyperlink" Target="https://www.tcgplayer.com/product/497870" TargetMode="External" Id="rId1772" /><Relationship Type="http://schemas.openxmlformats.org/officeDocument/2006/relationships/hyperlink" Target="https://www.tcgplayer.com/product/226136" TargetMode="External" Id="rId1773" /><Relationship Type="http://schemas.openxmlformats.org/officeDocument/2006/relationships/hyperlink" Target="https://www.tcgplayer.com/product/200172" TargetMode="External" Id="rId1774" /><Relationship Type="http://schemas.openxmlformats.org/officeDocument/2006/relationships/hyperlink" Target="https://www.tcgplayer.com/product/209532" TargetMode="External" Id="rId1775" /><Relationship Type="http://schemas.openxmlformats.org/officeDocument/2006/relationships/hyperlink" Target="https://www.tcgplayer.com/product/209533" TargetMode="External" Id="rId1776" /><Relationship Type="http://schemas.openxmlformats.org/officeDocument/2006/relationships/hyperlink" Target="https://www.tcgplayer.com/product/230426" TargetMode="External" Id="rId1777" /><Relationship Type="http://schemas.openxmlformats.org/officeDocument/2006/relationships/hyperlink" Target="https://www.tcgplayer.com/product/653216" TargetMode="External" Id="rId1778" /><Relationship Type="http://schemas.openxmlformats.org/officeDocument/2006/relationships/hyperlink" Target="https://www.tcgplayer.com/product/649193" TargetMode="External" Id="rId1779" /><Relationship Type="http://schemas.openxmlformats.org/officeDocument/2006/relationships/hyperlink" Target="https://www.tcgplayer.com/product/649200" TargetMode="External" Id="rId1780" /><Relationship Type="http://schemas.openxmlformats.org/officeDocument/2006/relationships/hyperlink" Target="https://www.tcgplayer.com/product/649194" TargetMode="External" Id="rId1781" /><Relationship Type="http://schemas.openxmlformats.org/officeDocument/2006/relationships/hyperlink" Target="https://www.tcgplayer.com/product/649199" TargetMode="External" Id="rId1782" /><Relationship Type="http://schemas.openxmlformats.org/officeDocument/2006/relationships/hyperlink" Target="https://www.tcgplayer.com/product/649195" TargetMode="External" Id="rId1783" /><Relationship Type="http://schemas.openxmlformats.org/officeDocument/2006/relationships/hyperlink" Target="https://www.tcgplayer.com/product/649197" TargetMode="External" Id="rId1784" /><Relationship Type="http://schemas.openxmlformats.org/officeDocument/2006/relationships/hyperlink" Target="https://www.tcgplayer.com/product/625695" TargetMode="External" Id="rId1785" /><Relationship Type="http://schemas.openxmlformats.org/officeDocument/2006/relationships/hyperlink" Target="https://www.tcgplayer.com/product/656997" TargetMode="External" Id="rId1786" /><Relationship Type="http://schemas.openxmlformats.org/officeDocument/2006/relationships/hyperlink" Target="https://www.tcgplayer.com/product/594539" TargetMode="External" Id="rId1787" /><Relationship Type="http://schemas.openxmlformats.org/officeDocument/2006/relationships/hyperlink" Target="https://www.tcgplayer.com/product/575198" TargetMode="External" Id="rId1788" /><Relationship Type="http://schemas.openxmlformats.org/officeDocument/2006/relationships/hyperlink" Target="https://www.tcgplayer.com/product/477255" TargetMode="External" Id="rId1789" /><Relationship Type="http://schemas.openxmlformats.org/officeDocument/2006/relationships/hyperlink" Target="https://www.tcgplayer.com/product/477254" TargetMode="External" Id="rId1790" /><Relationship Type="http://schemas.openxmlformats.org/officeDocument/2006/relationships/hyperlink" Target="https://www.tcgplayer.com/product/591146" TargetMode="External" Id="rId1791" /><Relationship Type="http://schemas.openxmlformats.org/officeDocument/2006/relationships/hyperlink" Target="https://www.tcgplayer.com/product/591147" TargetMode="External" Id="rId1792" /><Relationship Type="http://schemas.openxmlformats.org/officeDocument/2006/relationships/hyperlink" Target="https://www.tcgplayer.com/product/591145" TargetMode="External" Id="rId1793" /><Relationship Type="http://schemas.openxmlformats.org/officeDocument/2006/relationships/hyperlink" Target="https://www.tcgplayer.com/product/648588" TargetMode="External" Id="rId1794" /><Relationship Type="http://schemas.openxmlformats.org/officeDocument/2006/relationships/hyperlink" Target="https://www.tcgplayer.com/product/596517" TargetMode="External" Id="rId1795" /><Relationship Type="http://schemas.openxmlformats.org/officeDocument/2006/relationships/hyperlink" Target="https://www.tcgplayer.com/product/596518" TargetMode="External" Id="rId1796" /><Relationship Type="http://schemas.openxmlformats.org/officeDocument/2006/relationships/hyperlink" Target="https://www.tcgplayer.com/product/280864" TargetMode="External" Id="rId1797" /><Relationship Type="http://schemas.openxmlformats.org/officeDocument/2006/relationships/hyperlink" Target="https://www.tcgplayer.com/product/263542" TargetMode="External" Id="rId1798" /><Relationship Type="http://schemas.openxmlformats.org/officeDocument/2006/relationships/hyperlink" Target="https://www.tcgplayer.com/product/245728" TargetMode="External" Id="rId1799" /><Relationship Type="http://schemas.openxmlformats.org/officeDocument/2006/relationships/hyperlink" Target="https://www.tcgplayer.com/product/230394" TargetMode="External" Id="rId1800" /><Relationship Type="http://schemas.openxmlformats.org/officeDocument/2006/relationships/hyperlink" Target="https://www.tcgplayer.com/product/233354" TargetMode="External" Id="rId1801" /><Relationship Type="http://schemas.openxmlformats.org/officeDocument/2006/relationships/hyperlink" Target="https://www.tcgplayer.com/product/230400" TargetMode="External" Id="rId1802" /><Relationship Type="http://schemas.openxmlformats.org/officeDocument/2006/relationships/hyperlink" Target="https://www.tcgplayer.com/product/230401" TargetMode="External" Id="rId1803" /><Relationship Type="http://schemas.openxmlformats.org/officeDocument/2006/relationships/hyperlink" Target="https://www.tcgplayer.com/product/230402" TargetMode="External" Id="rId1804" /><Relationship Type="http://schemas.openxmlformats.org/officeDocument/2006/relationships/hyperlink" Target="https://www.tcgplayer.com/product/230403" TargetMode="External" Id="rId1805" /><Relationship Type="http://schemas.openxmlformats.org/officeDocument/2006/relationships/hyperlink" Target="https://www.tcgplayer.com/product/262969" TargetMode="External" Id="rId1806" /><Relationship Type="http://schemas.openxmlformats.org/officeDocument/2006/relationships/hyperlink" Target="https://www.tcgplayer.com/product/270153" TargetMode="External" Id="rId1807" /><Relationship Type="http://schemas.openxmlformats.org/officeDocument/2006/relationships/hyperlink" Target="https://www.tcgplayer.com/product/262972" TargetMode="External" Id="rId1808" /><Relationship Type="http://schemas.openxmlformats.org/officeDocument/2006/relationships/hyperlink" Target="https://www.tcgplayer.com/product/270154" TargetMode="External" Id="rId1809" /><Relationship Type="http://schemas.openxmlformats.org/officeDocument/2006/relationships/hyperlink" Target="https://www.tcgplayer.com/product/262970" TargetMode="External" Id="rId1810" /><Relationship Type="http://schemas.openxmlformats.org/officeDocument/2006/relationships/hyperlink" Target="https://www.tcgplayer.com/product/270151" TargetMode="External" Id="rId1811" /><Relationship Type="http://schemas.openxmlformats.org/officeDocument/2006/relationships/hyperlink" Target="https://www.tcgplayer.com/product/262971" TargetMode="External" Id="rId1812" /><Relationship Type="http://schemas.openxmlformats.org/officeDocument/2006/relationships/hyperlink" Target="https://www.tcgplayer.com/product/270152" TargetMode="External" Id="rId1813" /><Relationship Type="http://schemas.openxmlformats.org/officeDocument/2006/relationships/hyperlink" Target="https://www.tcgplayer.com/product/220310" TargetMode="External" Id="rId1814" /><Relationship Type="http://schemas.openxmlformats.org/officeDocument/2006/relationships/hyperlink" Target="https://www.tcgplayer.com/product/220311" TargetMode="External" Id="rId1815" /><Relationship Type="http://schemas.openxmlformats.org/officeDocument/2006/relationships/hyperlink" Target="https://www.tcgplayer.com/product/256832" TargetMode="External" Id="rId1816" /><Relationship Type="http://schemas.openxmlformats.org/officeDocument/2006/relationships/hyperlink" Target="https://www.tcgplayer.com/product/220308" TargetMode="External" Id="rId1817" /><Relationship Type="http://schemas.openxmlformats.org/officeDocument/2006/relationships/hyperlink" Target="https://www.tcgplayer.com/product/256830" TargetMode="External" Id="rId1818" /><Relationship Type="http://schemas.openxmlformats.org/officeDocument/2006/relationships/hyperlink" Target="https://www.tcgplayer.com/product/221761" TargetMode="External" Id="rId1819" /><Relationship Type="http://schemas.openxmlformats.org/officeDocument/2006/relationships/hyperlink" Target="https://www.tcgplayer.com/product/256833" TargetMode="External" Id="rId1820" /><Relationship Type="http://schemas.openxmlformats.org/officeDocument/2006/relationships/hyperlink" Target="https://www.tcgplayer.com/product/249689" TargetMode="External" Id="rId1821" /><Relationship Type="http://schemas.openxmlformats.org/officeDocument/2006/relationships/hyperlink" Target="https://www.tcgplayer.com/product/635621" TargetMode="External" Id="rId1822" /><Relationship Type="http://schemas.openxmlformats.org/officeDocument/2006/relationships/hyperlink" Target="https://www.tcgplayer.com/product/231294" TargetMode="External" Id="rId1823" /><Relationship Type="http://schemas.openxmlformats.org/officeDocument/2006/relationships/hyperlink" Target="https://www.tcgplayer.com/product/554181" TargetMode="External" Id="rId1824" /><Relationship Type="http://schemas.openxmlformats.org/officeDocument/2006/relationships/hyperlink" Target="https://www.tcgplayer.com/product/554183" TargetMode="External" Id="rId1825" /><Relationship Type="http://schemas.openxmlformats.org/officeDocument/2006/relationships/hyperlink" Target="https://www.tcgplayer.com/product/554179" TargetMode="External" Id="rId1826" /><Relationship Type="http://schemas.openxmlformats.org/officeDocument/2006/relationships/hyperlink" Target="https://www.tcgplayer.com/product/554180" TargetMode="External" Id="rId1827" /><Relationship Type="http://schemas.openxmlformats.org/officeDocument/2006/relationships/hyperlink" Target="https://www.tcgplayer.com/product/554182" TargetMode="External" Id="rId1828" /><Relationship Type="http://schemas.openxmlformats.org/officeDocument/2006/relationships/hyperlink" Target="https://www.tcgplayer.com/product/280847" TargetMode="External" Id="rId1829" /><Relationship Type="http://schemas.openxmlformats.org/officeDocument/2006/relationships/hyperlink" Target="https://www.tcgplayer.com/product/287228" TargetMode="External" Id="rId1830" /><Relationship Type="http://schemas.openxmlformats.org/officeDocument/2006/relationships/hyperlink" Target="https://www.tcgplayer.com/product/282003" TargetMode="External" Id="rId1831" /><Relationship Type="http://schemas.openxmlformats.org/officeDocument/2006/relationships/hyperlink" Target="https://www.pricecharting.com/game/pokemon-neo-destiny/2-pack-blister" TargetMode="External" Id="rId1832" /><Relationship Type="http://schemas.openxmlformats.org/officeDocument/2006/relationships/hyperlink" Target="https://www.pricecharting.com/game/pokemon-neo-discovery/2-pack-blister" TargetMode="External" Id="rId1833" /><Relationship Type="http://schemas.openxmlformats.org/officeDocument/2006/relationships/hyperlink" Target="https://www.pricecharting.com/game/pokemon-neo-genesis/2-pack-blister" TargetMode="External" Id="rId1834" /><Relationship Type="http://schemas.openxmlformats.org/officeDocument/2006/relationships/hyperlink" Target="https://www.tcgplayer.com/product/703888" TargetMode="External" Id="rId1835" /><Relationship Type="http://schemas.openxmlformats.org/officeDocument/2006/relationships/hyperlink" Target="https://www.tcgplayer.com/product/721778" TargetMode="External" Id="rId1836" /><Relationship Type="http://schemas.openxmlformats.org/officeDocument/2006/relationships/hyperlink" Target="https://www.pricecharting.com/game/pokemon-neo-revelation/2-pack-blister" TargetMode="External" Id="rId1837" /><Relationship Type="http://schemas.openxmlformats.org/officeDocument/2006/relationships/hyperlink" Target="https://www.tcgplayer.com/product/98637" TargetMode="External" Id="rId1838" /><Relationship Type="http://schemas.openxmlformats.org/officeDocument/2006/relationships/hyperlink" Target="https://www.pricecharting.com/game/pokemon-next-destinies/2-pack-blister" TargetMode="External" Id="rId1839" /><Relationship Type="http://schemas.openxmlformats.org/officeDocument/2006/relationships/hyperlink" Target="https://www.pricecharting.com/game/pokemon-next-destinies/black-kyurem-box" TargetMode="External" Id="rId1840" /><Relationship Type="http://schemas.openxmlformats.org/officeDocument/2006/relationships/hyperlink" Target="https://www.pricecharting.com/game/pokemon-noble-victories/scraggy-2-pack-blister" TargetMode="External" Id="rId1841" /><Relationship Type="http://schemas.openxmlformats.org/officeDocument/2006/relationships/hyperlink" Target="https://www.pricecharting.com/game/pokemon-obsidian-flames/build-&amp;-battle-stadium" TargetMode="External" Id="rId1842" /><Relationship Type="http://schemas.openxmlformats.org/officeDocument/2006/relationships/hyperlink" Target="https://www.pricecharting.com/game/pokemon-obsidian-flames/eevee-3-pack-blister" TargetMode="External" Id="rId1843" /><Relationship Type="http://schemas.openxmlformats.org/officeDocument/2006/relationships/hyperlink" Target="https://www.pricecharting.com/game/pokemon-obsidian-flames/elite-trainer-box-pokemon-center" TargetMode="External" Id="rId1844" /><Relationship Type="http://schemas.openxmlformats.org/officeDocument/2006/relationships/hyperlink" Target="https://www.pricecharting.com/game/pokemon-obsidian-flames/gyarados-ex-premium-collection" TargetMode="External" Id="rId1845" /><Relationship Type="http://schemas.openxmlformats.org/officeDocument/2006/relationships/hyperlink" Target="https://www.pricecharting.com/game/pokemon-obsidian-flames/hanger-box" TargetMode="External" Id="rId1846" /><Relationship Type="http://schemas.openxmlformats.org/officeDocument/2006/relationships/hyperlink" Target="https://www.pricecharting.com/game/pokemon-paldea-evolved/elite-trainer-box-pokemon-center" TargetMode="External" Id="rId1847" /><Relationship Type="http://schemas.openxmlformats.org/officeDocument/2006/relationships/hyperlink" Target="https://www.pricecharting.com/game/pokemon-paldea-evolved/koraidon-ex-tin" TargetMode="External" Id="rId1848" /><Relationship Type="http://schemas.openxmlformats.org/officeDocument/2006/relationships/hyperlink" Target="https://www.pricecharting.com/game/pokemon-paldea-evolved/paldea-legends-koraidon-tin" TargetMode="External" Id="rId1849" /><Relationship Type="http://schemas.openxmlformats.org/officeDocument/2006/relationships/hyperlink" Target="https://www.pricecharting.com/game/pokemon-paldea-evolved/paldea-legends-miraidon-tin" TargetMode="External" Id="rId1850" /><Relationship Type="http://schemas.openxmlformats.org/officeDocument/2006/relationships/hyperlink" Target="https://www.pricecharting.com/game/pokemon-paldean-fates/5-mini-tin-set" TargetMode="External" Id="rId1851" /><Relationship Type="http://schemas.openxmlformats.org/officeDocument/2006/relationships/hyperlink" Target="https://www.pricecharting.com/game/pokemon-paldean-fates/elite-trainer-box-pokemon-center" TargetMode="External" Id="rId1852" /><Relationship Type="http://schemas.openxmlformats.org/officeDocument/2006/relationships/hyperlink" Target="https://www.pricecharting.com/game/pokemon-paldean-fates/meowscarada-ex-premium-collection-box" TargetMode="External" Id="rId1853" /><Relationship Type="http://schemas.openxmlformats.org/officeDocument/2006/relationships/hyperlink" Target="https://www.pricecharting.com/game/pokemon-paldean-fates/quaquaval-ex-premium-collection-box" TargetMode="External" Id="rId1854" /><Relationship Type="http://schemas.openxmlformats.org/officeDocument/2006/relationships/hyperlink" Target="https://www.pricecharting.com/game/pokemon-paldean-fates/sealed-charizard-ex-tin" TargetMode="External" Id="rId1855" /><Relationship Type="http://schemas.openxmlformats.org/officeDocument/2006/relationships/hyperlink" Target="https://www.pricecharting.com/game/pokemon-paldean-fates/sealed-great-tusk-ex-tin" TargetMode="External" Id="rId1856" /><Relationship Type="http://schemas.openxmlformats.org/officeDocument/2006/relationships/hyperlink" Target="https://www.pricecharting.com/game/pokemon-paldean-fates/sealed-iron-treads-ex-tin" TargetMode="External" Id="rId1857" /><Relationship Type="http://schemas.openxmlformats.org/officeDocument/2006/relationships/hyperlink" Target="https://www.pricecharting.com/game/pokemon-paldean-fates/skeledirge-ex-premium-collection-box" TargetMode="External" Id="rId1858" /><Relationship Type="http://schemas.openxmlformats.org/officeDocument/2006/relationships/hyperlink" Target="https://www.pricecharting.com/game/pokemon-paradox-rift/arctibax-3-pack-blister" TargetMode="External" Id="rId1859" /><Relationship Type="http://schemas.openxmlformats.org/officeDocument/2006/relationships/hyperlink" Target="https://www.pricecharting.com/game/pokemon-paradox-rift/combined-powers-premium-collection-box" TargetMode="External" Id="rId1860" /><Relationship Type="http://schemas.openxmlformats.org/officeDocument/2006/relationships/hyperlink" Target="https://www.pricecharting.com/game/pokemon-paradox-rift/elite-trainer-box-iron-valiant-pokemon-center" TargetMode="External" Id="rId1861" /><Relationship Type="http://schemas.openxmlformats.org/officeDocument/2006/relationships/hyperlink" Target="https://www.pricecharting.com/game/pokemon-paradox-rift/elite-trainer-box-roaring-moon-pokemon-center" TargetMode="External" Id="rId1862" /><Relationship Type="http://schemas.openxmlformats.org/officeDocument/2006/relationships/hyperlink" Target="https://www.pricecharting.com/game/pokemon-paradox-rift/triple-whammy-tin-darkrai" TargetMode="External" Id="rId1863" /><Relationship Type="http://schemas.openxmlformats.org/officeDocument/2006/relationships/hyperlink" Target="https://www.pricecharting.com/game/pokemon-paradox-rift/triple-whammy-tin-slaking" TargetMode="External" Id="rId1864" /><Relationship Type="http://schemas.openxmlformats.org/officeDocument/2006/relationships/hyperlink" Target="https://www.pricecharting.com/game/pokemon-paradox-rift/triple-whammy-tin-tyranitar" TargetMode="External" Id="rId1865" /><Relationship Type="http://schemas.openxmlformats.org/officeDocument/2006/relationships/hyperlink" Target="https://www.pricecharting.com/game/pokemon-perfect-order/booster-bundle" TargetMode="External" Id="rId1866" /><Relationship Type="http://schemas.openxmlformats.org/officeDocument/2006/relationships/hyperlink" Target="https://www.pricecharting.com/game/pokemon-perfect-order/build-&amp;-battle-box" TargetMode="External" Id="rId1867" /><Relationship Type="http://schemas.openxmlformats.org/officeDocument/2006/relationships/hyperlink" Target="https://www.pricecharting.com/game/pokemon-perfect-order/elite-trainer-box" TargetMode="External" Id="rId1868" /><Relationship Type="http://schemas.openxmlformats.org/officeDocument/2006/relationships/hyperlink" Target="https://www.pricecharting.com/game/pokemon-perfect-order/elite-trainer-box-pokemon-center" TargetMode="External" Id="rId1869" /><Relationship Type="http://schemas.openxmlformats.org/officeDocument/2006/relationships/hyperlink" Target="https://www.pricecharting.com/game/pokemon-phantasmal-flames/booster-bundle" TargetMode="External" Id="rId1870" /><Relationship Type="http://schemas.openxmlformats.org/officeDocument/2006/relationships/hyperlink" Target="https://www.pricecharting.com/game/pokemon-phantasmal-flames/build-&amp;-battle-box" TargetMode="External" Id="rId1871" /><Relationship Type="http://schemas.openxmlformats.org/officeDocument/2006/relationships/hyperlink" Target="https://www.pricecharting.com/game/pokemon-phantasmal-flames/elite-trainer-box" TargetMode="External" Id="rId1872" /><Relationship Type="http://schemas.openxmlformats.org/officeDocument/2006/relationships/hyperlink" Target="https://www.pricecharting.com/game/pokemon-phantasmal-flames/elite-trainer-box-pokemon-center" TargetMode="External" Id="rId1873" /><Relationship Type="http://schemas.openxmlformats.org/officeDocument/2006/relationships/hyperlink" Target="https://www.pricecharting.com/game/pokemon-phantasmal-flames/mega-charizard-x-ex-ultra-premium-collection" TargetMode="External" Id="rId1874" /><Relationship Type="http://schemas.openxmlformats.org/officeDocument/2006/relationships/hyperlink" Target="https://www.pricecharting.com/game/pokemon-phantom-forces/3-pack-blister" TargetMode="External" Id="rId1875" /><Relationship Type="http://schemas.openxmlformats.org/officeDocument/2006/relationships/hyperlink" Target="https://www.tcgplayer.com/product/215162" TargetMode="External" Id="rId1876" /><Relationship Type="http://schemas.openxmlformats.org/officeDocument/2006/relationships/hyperlink" Target="https://www.pricecharting.com/game/pokemon-pitch-black/3-pack-blister" TargetMode="External" Id="rId1877" /><Relationship Type="http://schemas.openxmlformats.org/officeDocument/2006/relationships/hyperlink" Target="https://www.pricecharting.com/game/pokemon-pitch-black/booster-bundle" TargetMode="External" Id="rId1878" /><Relationship Type="http://schemas.openxmlformats.org/officeDocument/2006/relationships/hyperlink" Target="https://www.pricecharting.com/game/pokemon-pitch-black/build-&amp;-battle-box" TargetMode="External" Id="rId1879" /><Relationship Type="http://schemas.openxmlformats.org/officeDocument/2006/relationships/hyperlink" Target="https://www.pricecharting.com/game/pokemon-pitch-black/elite-trainer-box" TargetMode="External" Id="rId1880" /><Relationship Type="http://schemas.openxmlformats.org/officeDocument/2006/relationships/hyperlink" Target="https://www.pricecharting.com/game/pokemon-pitch-black/elite-trainer-box-pokemon-center" TargetMode="External" Id="rId1881" /><Relationship Type="http://schemas.openxmlformats.org/officeDocument/2006/relationships/hyperlink" Target="https://www.pricecharting.com/game/pokemon-plasma-blast/elite-trainer-box" TargetMode="External" Id="rId1882" /><Relationship Type="http://schemas.openxmlformats.org/officeDocument/2006/relationships/hyperlink" Target="https://www.tcgplayer.com/product/137096" TargetMode="External" Id="rId1883" /><Relationship Type="http://schemas.openxmlformats.org/officeDocument/2006/relationships/hyperlink" Target="https://www.pricecharting.com/game/pokemon-plasma-storm/2-pack-blister" TargetMode="External" Id="rId1884" /><Relationship Type="http://schemas.openxmlformats.org/officeDocument/2006/relationships/hyperlink" Target="https://www.pricecharting.com/game/pokemon-plasma-storm/elite-trainer-box" TargetMode="External" Id="rId1885" /><Relationship Type="http://schemas.openxmlformats.org/officeDocument/2006/relationships/hyperlink" Target="https://www.pricecharting.com/game/pokemon-plasma-storm/garchomp-ex-collection-box" TargetMode="External" Id="rId1886" /><Relationship Type="http://schemas.openxmlformats.org/officeDocument/2006/relationships/hyperlink" Target="https://www.pricecharting.com/game/pokemon-platinum/platinum-series-collection" TargetMode="External" Id="rId1887" /><Relationship Type="http://schemas.openxmlformats.org/officeDocument/2006/relationships/hyperlink" Target="https://www.tcgplayer.com/product/270716" TargetMode="External" Id="rId1888" /><Relationship Type="http://schemas.openxmlformats.org/officeDocument/2006/relationships/hyperlink" Target="https://www.tcgplayer.com/product/270708" TargetMode="External" Id="rId1889" /><Relationship Type="http://schemas.openxmlformats.org/officeDocument/2006/relationships/hyperlink" Target="https://www.tcgplayer.com/product/270729" TargetMode="External" Id="rId1890" /><Relationship Type="http://schemas.openxmlformats.org/officeDocument/2006/relationships/hyperlink" Target="https://www.tcgplayer.com/product/270731" TargetMode="External" Id="rId1891" /><Relationship Type="http://schemas.openxmlformats.org/officeDocument/2006/relationships/hyperlink" Target="https://www.tcgplayer.com/product/270728" TargetMode="External" Id="rId1892" /><Relationship Type="http://schemas.openxmlformats.org/officeDocument/2006/relationships/hyperlink" Target="https://www.tcgplayer.com/product/270730" TargetMode="External" Id="rId1893" /><Relationship Type="http://schemas.openxmlformats.org/officeDocument/2006/relationships/hyperlink" Target="https://www.tcgplayer.com/product/271500" TargetMode="External" Id="rId1894" /><Relationship Type="http://schemas.openxmlformats.org/officeDocument/2006/relationships/hyperlink" Target="https://www.tcgplayer.com/product/270732" TargetMode="External" Id="rId1895" /><Relationship Type="http://schemas.openxmlformats.org/officeDocument/2006/relationships/hyperlink" Target="https://www.tcgplayer.com/product/275825" TargetMode="External" Id="rId1896" /><Relationship Type="http://schemas.openxmlformats.org/officeDocument/2006/relationships/hyperlink" Target="https://www.tcgplayer.com/product/275826" TargetMode="External" Id="rId1897" /><Relationship Type="http://schemas.openxmlformats.org/officeDocument/2006/relationships/hyperlink" Target="https://www.tcgplayer.com/product/275845" TargetMode="External" Id="rId1898" /><Relationship Type="http://schemas.openxmlformats.org/officeDocument/2006/relationships/hyperlink" Target="https://www.tcgplayer.com/product/275827" TargetMode="External" Id="rId1899" /><Relationship Type="http://schemas.openxmlformats.org/officeDocument/2006/relationships/hyperlink" Target="https://www.tcgplayer.com/product/270733" TargetMode="External" Id="rId1900" /><Relationship Type="http://schemas.openxmlformats.org/officeDocument/2006/relationships/hyperlink" Target="https://www.tcgplayer.com/product/270734" TargetMode="External" Id="rId1901" /><Relationship Type="http://schemas.openxmlformats.org/officeDocument/2006/relationships/hyperlink" Target="https://www.tcgplayer.com/product/270735" TargetMode="External" Id="rId1902" /><Relationship Type="http://schemas.openxmlformats.org/officeDocument/2006/relationships/hyperlink" Target="https://www.tcgplayer.com/product/271501" TargetMode="External" Id="rId1903" /><Relationship Type="http://schemas.openxmlformats.org/officeDocument/2006/relationships/hyperlink" Target="https://www.tcgplayer.com/product/270709" TargetMode="External" Id="rId1904" /><Relationship Type="http://schemas.openxmlformats.org/officeDocument/2006/relationships/hyperlink" Target="https://www.tcgplayer.com/product/270717" TargetMode="External" Id="rId1905" /><Relationship Type="http://schemas.openxmlformats.org/officeDocument/2006/relationships/hyperlink" Target="https://www.tcgplayer.com/product/270713" TargetMode="External" Id="rId1906" /><Relationship Type="http://schemas.openxmlformats.org/officeDocument/2006/relationships/hyperlink" Target="https://www.tcgplayer.com/product/270714" TargetMode="External" Id="rId1907" /><Relationship Type="http://schemas.openxmlformats.org/officeDocument/2006/relationships/hyperlink" Target="https://www.tcgplayer.com/product/270715" TargetMode="External" Id="rId1908" /><Relationship Type="http://schemas.openxmlformats.org/officeDocument/2006/relationships/hyperlink" Target="https://www.tcgplayer.com/product/271502" TargetMode="External" Id="rId1909" /><Relationship Type="http://schemas.openxmlformats.org/officeDocument/2006/relationships/hyperlink" Target="https://www.tcgplayer.com/product/270725" TargetMode="External" Id="rId1910" /><Relationship Type="http://schemas.openxmlformats.org/officeDocument/2006/relationships/hyperlink" Target="https://www.tcgplayer.com/product/270726" TargetMode="External" Id="rId1911" /><Relationship Type="http://schemas.openxmlformats.org/officeDocument/2006/relationships/hyperlink" Target="https://www.tcgplayer.com/product/271503" TargetMode="External" Id="rId1912" /><Relationship Type="http://schemas.openxmlformats.org/officeDocument/2006/relationships/hyperlink" Target="https://www.tcgplayer.com/product/270727" TargetMode="External" Id="rId1913" /><Relationship Type="http://schemas.openxmlformats.org/officeDocument/2006/relationships/hyperlink" Target="https://www.tcgplayer.com/product/270712" TargetMode="External" Id="rId1914" /><Relationship Type="http://schemas.openxmlformats.org/officeDocument/2006/relationships/hyperlink" Target="https://www.pricecharting.com/game/pokemon-primal-clash/elite-trainer-box-groudon" TargetMode="External" Id="rId1915" /><Relationship Type="http://schemas.openxmlformats.org/officeDocument/2006/relationships/hyperlink" Target="https://www.pricecharting.com/game/pokemon-primal-clash/primal-groudon-collection-box" TargetMode="External" Id="rId1916" /><Relationship Type="http://schemas.openxmlformats.org/officeDocument/2006/relationships/hyperlink" Target="https://www.pricecharting.com/game/pokemon-primal-clash/primal-kyogre-collection-box" TargetMode="External" Id="rId1917" /><Relationship Type="http://schemas.openxmlformats.org/officeDocument/2006/relationships/hyperlink" Target="https://www.pricecharting.com/game/pokemon-prismatic-evolutions/collectors-chest" TargetMode="External" Id="rId1918" /><Relationship Type="http://schemas.openxmlformats.org/officeDocument/2006/relationships/hyperlink" Target="https://www.pricecharting.com/game/pokemon-prismatic-evolutions/costco-2-pack-trainer-box-&amp;-booster-bundle" TargetMode="External" Id="rId1919" /><Relationship Type="http://schemas.openxmlformats.org/officeDocument/2006/relationships/hyperlink" Target="https://www.pricecharting.com/game/pokemon-prismatic-evolutions/costco-8-pack-mini-tins" TargetMode="External" Id="rId1920" /><Relationship Type="http://schemas.openxmlformats.org/officeDocument/2006/relationships/hyperlink" Target="https://www.pricecharting.com/game/pokemon-prismatic-evolutions/elite-trainer-box-pokemon-center" TargetMode="External" Id="rId1921" /><Relationship Type="http://schemas.openxmlformats.org/officeDocument/2006/relationships/hyperlink" Target="https://www.pricecharting.com/game/pokemon-prismatic-evolutions/lucario-ex-&amp;-tyranitar-ex-premium-collection" TargetMode="External" Id="rId1922" /><Relationship Type="http://schemas.openxmlformats.org/officeDocument/2006/relationships/hyperlink" Target="https://www.pricecharting.com/game/pokemon-prismatic-evolutions/sam's-club-elite-trainer-box-and-pokeball" TargetMode="External" Id="rId1923" /><Relationship Type="http://schemas.openxmlformats.org/officeDocument/2006/relationships/hyperlink" Target="https://www.pricecharting.com/game/pokemon-prismatic-evolutions/sealed-poster-collection" TargetMode="External" Id="rId1924" /><Relationship Type="http://schemas.openxmlformats.org/officeDocument/2006/relationships/hyperlink" Target="https://www.pricecharting.com/game/pokemon-prismatic-evolutions/super-premium-collection-box" TargetMode="External" Id="rId1925" /><Relationship Type="http://schemas.openxmlformats.org/officeDocument/2006/relationships/hyperlink" Target="https://www.pricecharting.com/game/pokemon-prismatic-evolutions/surprise-box-+-booster-bundle" TargetMode="External" Id="rId1926" /><Relationship Type="http://schemas.openxmlformats.org/officeDocument/2006/relationships/hyperlink" Target="https://www.pricecharting.com/game/pokemon-promo/2-pack-blister-raikou" TargetMode="External" Id="rId1927" /><Relationship Type="http://schemas.openxmlformats.org/officeDocument/2006/relationships/hyperlink" Target="https://www.pricecharting.com/game/pokemon-promo/2-pack-blister-vileplume" TargetMode="External" Id="rId1928" /><Relationship Type="http://schemas.openxmlformats.org/officeDocument/2006/relationships/hyperlink" Target="https://www.pricecharting.com/game/pokemon-promo/2-pack-blister-pack-team-rocket's-articuno-zapdos-&amp;-tyranitar" TargetMode="External" Id="rId1929" /><Relationship Type="http://schemas.openxmlformats.org/officeDocument/2006/relationships/hyperlink" Target="https://www.pricecharting.com/game/pokemon-promo/2-pack-blister-zarude" TargetMode="External" Id="rId1930" /><Relationship Type="http://schemas.openxmlformats.org/officeDocument/2006/relationships/hyperlink" Target="https://www.pricecharting.com/game/pokemon-promo/2-pack-checklane-blister-zarude" TargetMode="External" Id="rId1931" /><Relationship Type="http://schemas.openxmlformats.org/officeDocument/2006/relationships/hyperlink" Target="https://www.pricecharting.com/game/pokemon-promo/2025-holiday-calendar-box-costco" TargetMode="External" Id="rId1932" /><Relationship Type="http://schemas.openxmlformats.org/officeDocument/2006/relationships/hyperlink" Target="https://www.pricecharting.com/game/pokemon-promo/2025-pokemon-collector-chest" TargetMode="External" Id="rId1933" /><Relationship Type="http://schemas.openxmlformats.org/officeDocument/2006/relationships/hyperlink" Target="https://www.pricecharting.com/game/pokemon-promo/3-pack-blister-carnivine" TargetMode="External" Id="rId1934" /><Relationship Type="http://schemas.openxmlformats.org/officeDocument/2006/relationships/hyperlink" Target="https://www.pricecharting.com/game/pokemon-promo/3-pack-blister-dusknoir" TargetMode="External" Id="rId1935" /><Relationship Type="http://schemas.openxmlformats.org/officeDocument/2006/relationships/hyperlink" Target="https://www.pricecharting.com/game/pokemon-promo/3-pack-blister-magnezone" TargetMode="External" Id="rId1936" /><Relationship Type="http://schemas.openxmlformats.org/officeDocument/2006/relationships/hyperlink" Target="https://www.pricecharting.com/game/pokemon-promo/30th-celebration-futuristic-box-japanese" TargetMode="External" Id="rId1937" /><Relationship Type="http://schemas.openxmlformats.org/officeDocument/2006/relationships/hyperlink" Target="https://www.pricecharting.com/game/pokemon-promo/4-pack-blister-pack" TargetMode="External" Id="rId1938" /><Relationship Type="http://schemas.openxmlformats.org/officeDocument/2006/relationships/hyperlink" Target="https://www.pricecharting.com/game/pokemon-promo/alolan-sandslash-gx-box" TargetMode="External" Id="rId1939" /><Relationship Type="http://schemas.openxmlformats.org/officeDocument/2006/relationships/hyperlink" Target="https://www.pricecharting.com/game/pokemon-promo/annihilape-ex-box" TargetMode="External" Id="rId1940" /><Relationship Type="http://schemas.openxmlformats.org/officeDocument/2006/relationships/hyperlink" Target="https://www.pricecharting.com/game/pokemon-promo/archaludon-ex-box" TargetMode="External" Id="rId1941" /><Relationship Type="http://schemas.openxmlformats.org/officeDocument/2006/relationships/hyperlink" Target="https://www.pricecharting.com/game/pokemon-promo/azure-legends-tin-dialga-ex" TargetMode="External" Id="rId1942" /><Relationship Type="http://schemas.openxmlformats.org/officeDocument/2006/relationships/hyperlink" Target="https://www.pricecharting.com/game/pokemon-promo/azure-legends-tin-dialga-ex-international" TargetMode="External" Id="rId1943" /><Relationship Type="http://schemas.openxmlformats.org/officeDocument/2006/relationships/hyperlink" Target="https://www.pricecharting.com/game/pokemon-promo/azure-legends-tin-kyogre-ex" TargetMode="External" Id="rId1944" /><Relationship Type="http://schemas.openxmlformats.org/officeDocument/2006/relationships/hyperlink" Target="https://www.pricecharting.com/game/pokemon-promo/azure-legends-tin-kyogre-ex-international" TargetMode="External" Id="rId1945" /><Relationship Type="http://schemas.openxmlformats.org/officeDocument/2006/relationships/hyperlink" Target="https://www.pricecharting.com/game/pokemon-promo/azure-legends-tin-xerneas-ex" TargetMode="External" Id="rId1946" /><Relationship Type="http://schemas.openxmlformats.org/officeDocument/2006/relationships/hyperlink" Target="https://www.pricecharting.com/game/pokemon-promo/azure-legends-tin-xerneas-ex-international" TargetMode="External" Id="rId1947" /><Relationship Type="http://schemas.openxmlformats.org/officeDocument/2006/relationships/hyperlink" Target="https://www.pricecharting.com/game/pokemon-promo/black-kyurem-ex-box" TargetMode="External" Id="rId1948" /><Relationship Type="http://schemas.openxmlformats.org/officeDocument/2006/relationships/hyperlink" Target="https://www.pricecharting.com/game/pokemon-promo/blaziken-ex-&amp;-volcanion-ex-premium-collection" TargetMode="External" Id="rId1949" /><Relationship Type="http://schemas.openxmlformats.org/officeDocument/2006/relationships/hyperlink" Target="https://www.pricecharting.com/game/pokemon-promo/celebi-&amp;-venusaur-tin" TargetMode="External" Id="rId1950" /><Relationship Type="http://schemas.openxmlformats.org/officeDocument/2006/relationships/hyperlink" Target="https://www.pricecharting.com/game/pokemon-promo/charizard-ex-special-collection-box" TargetMode="External" Id="rId1951" /><Relationship Type="http://schemas.openxmlformats.org/officeDocument/2006/relationships/hyperlink" Target="https://www.pricecharting.com/game/pokemon-promo/charizard-ex-super-premium-collection-box" TargetMode="External" Id="rId1952" /><Relationship Type="http://schemas.openxmlformats.org/officeDocument/2006/relationships/hyperlink" Target="https://www.pricecharting.com/game/pokemon-promo/charizard-ex-tin" TargetMode="External" Id="rId1953" /><Relationship Type="http://schemas.openxmlformats.org/officeDocument/2006/relationships/hyperlink" Target="https://www.pricecharting.com/game/pokemon-promo/checklane-2-pack-blister-pawmot-3-tab" TargetMode="External" Id="rId1954" /><Relationship Type="http://schemas.openxmlformats.org/officeDocument/2006/relationships/hyperlink" Target="https://www.pricecharting.com/game/pokemon-promo/darkrai-vstar-premium-collection-box" TargetMode="External" Id="rId1955" /><Relationship Type="http://schemas.openxmlformats.org/officeDocument/2006/relationships/hyperlink" Target="https://www.pricecharting.com/game/pokemon-promo/deoxys-vmax-&amp;-vstar-battle-box" TargetMode="External" Id="rId1956" /><Relationship Type="http://schemas.openxmlformats.org/officeDocument/2006/relationships/hyperlink" Target="https://www.pricecharting.com/game/pokemon-promo/divergent-powers-tin-hisuian-decidueye-v" TargetMode="External" Id="rId1957" /><Relationship Type="http://schemas.openxmlformats.org/officeDocument/2006/relationships/hyperlink" Target="https://www.pricecharting.com/game/pokemon-promo/divergent-powers-tin-hisuian-decidueye-v-international" TargetMode="External" Id="rId1958" /><Relationship Type="http://schemas.openxmlformats.org/officeDocument/2006/relationships/hyperlink" Target="https://www.pricecharting.com/game/pokemon-promo/divergent-powers-tin-hisuian-samurott-v" TargetMode="External" Id="rId1959" /><Relationship Type="http://schemas.openxmlformats.org/officeDocument/2006/relationships/hyperlink" Target="https://www.pricecharting.com/game/pokemon-promo/divergent-powers-tin-hisuian-samurott-v-international" TargetMode="External" Id="rId1960" /><Relationship Type="http://schemas.openxmlformats.org/officeDocument/2006/relationships/hyperlink" Target="https://www.pricecharting.com/game/pokemon-promo/divergent-powers-tin-hisuian-typhlosion-v" TargetMode="External" Id="rId1961" /><Relationship Type="http://schemas.openxmlformats.org/officeDocument/2006/relationships/hyperlink" Target="https://www.pricecharting.com/game/pokemon-promo/divergent-powers-tin-hisuian-typhlosion-v-international" TargetMode="External" Id="rId1962" /><Relationship Type="http://schemas.openxmlformats.org/officeDocument/2006/relationships/hyperlink" Target="https://www.pricecharting.com/game/pokemon-promo/dragon-stacking-tin" TargetMode="External" Id="rId1963" /><Relationship Type="http://schemas.openxmlformats.org/officeDocument/2006/relationships/hyperlink" Target="https://www.pricecharting.com/game/pokemon-promo/eevee-&amp;-snorlax-gx-tin" TargetMode="External" Id="rId1964" /><Relationship Type="http://schemas.openxmlformats.org/officeDocument/2006/relationships/hyperlink" Target="https://www.pricecharting.com/game/pokemon-promo/eevee-pokemon-treasure-chest-tin" TargetMode="External" Id="rId1965" /><Relationship Type="http://schemas.openxmlformats.org/officeDocument/2006/relationships/hyperlink" Target="https://www.pricecharting.com/game/pokemon-promo/enhanced-2-pack-blister-pack-galarian-articuno-galarian-zapdos-&amp;-galarian-moltres" TargetMode="External" Id="rId1966" /><Relationship Type="http://schemas.openxmlformats.org/officeDocument/2006/relationships/hyperlink" Target="https://www.pricecharting.com/game/pokemon-promo/enhanced-2-pack-blister-pack-gengar-marshadow-team-rocket's-mimikyu" TargetMode="External" Id="rId1967" /><Relationship Type="http://schemas.openxmlformats.org/officeDocument/2006/relationships/hyperlink" Target="https://www.pricecharting.com/game/pokemon-promo/enhanced-2-pack-blister-pack-latios-zekrom-&amp;-palkia" TargetMode="External" Id="rId1968" /><Relationship Type="http://schemas.openxmlformats.org/officeDocument/2006/relationships/hyperlink" Target="https://www.pricecharting.com/game/pokemon-promo/evolving-powers-premium-collection" TargetMode="External" Id="rId1969" /><Relationship Type="http://schemas.openxmlformats.org/officeDocument/2006/relationships/hyperlink" Target="https://www.pricecharting.com/game/pokemon-promo/factory-sealed-paldea-adventure-chest" TargetMode="External" Id="rId1970" /><Relationship Type="http://schemas.openxmlformats.org/officeDocument/2006/relationships/hyperlink" Target="https://www.pricecharting.com/game/pokemon-promo/fall-2023-collector-chest" TargetMode="External" Id="rId1971" /><Relationship Type="http://schemas.openxmlformats.org/officeDocument/2006/relationships/hyperlink" Target="https://www.pricecharting.com/game/pokemon-promo/fall-2025-collector-chest" TargetMode="External" Id="rId1972" /><Relationship Type="http://schemas.openxmlformats.org/officeDocument/2006/relationships/hyperlink" Target="https://www.pricecharting.com/game/pokemon-promo/first-partner-illustration-collection-series-1" TargetMode="External" Id="rId1973" /><Relationship Type="http://schemas.openxmlformats.org/officeDocument/2006/relationships/hyperlink" Target="https://www.pricecharting.com/game/pokemon-promo/first-partner-illustration-collection-series-2" TargetMode="External" Id="rId1974" /><Relationship Type="http://schemas.openxmlformats.org/officeDocument/2006/relationships/hyperlink" Target="https://www.pricecharting.com/game/pokemon-promo/first-partner-illustration-collection-series-3" TargetMode="External" Id="rId1975" /><Relationship Type="http://schemas.openxmlformats.org/officeDocument/2006/relationships/hyperlink" Target="https://www.pricecharting.com/game/pokemon-promo/focused-fighters-premium-collection" TargetMode="External" Id="rId1976" /><Relationship Type="http://schemas.openxmlformats.org/officeDocument/2006/relationships/hyperlink" Target="https://www.pricecharting.com/game/pokemon-promo/galar-power-mini-tin-dragapult" TargetMode="External" Id="rId1977" /><Relationship Type="http://schemas.openxmlformats.org/officeDocument/2006/relationships/hyperlink" Target="https://www.pricecharting.com/game/pokemon-promo/galar-power-mini-tin-galarian-obstagoon" TargetMode="External" Id="rId1978" /><Relationship Type="http://schemas.openxmlformats.org/officeDocument/2006/relationships/hyperlink" Target="https://www.pricecharting.com/game/pokemon-promo/galar-power-mini-tin-galarian-sirfetch'd" TargetMode="External" Id="rId1979" /><Relationship Type="http://schemas.openxmlformats.org/officeDocument/2006/relationships/hyperlink" Target="https://www.pricecharting.com/game/pokemon-promo/galar-power-mini-tin-toxtricity" TargetMode="External" Id="rId1980" /><Relationship Type="http://schemas.openxmlformats.org/officeDocument/2006/relationships/hyperlink" Target="https://www.pricecharting.com/game/pokemon-promo/galarian-rapidash-v-box" TargetMode="External" Id="rId1981" /><Relationship Type="http://schemas.openxmlformats.org/officeDocument/2006/relationships/hyperlink" Target="https://www.pricecharting.com/game/pokemon-promo/grafaiai-ex-box" TargetMode="External" Id="rId1982" /><Relationship Type="http://schemas.openxmlformats.org/officeDocument/2006/relationships/hyperlink" Target="https://www.pricecharting.com/game/pokemon-promo/greninja-ex-&amp;-kingdra-ex-special-collection-box" TargetMode="External" Id="rId1983" /><Relationship Type="http://schemas.openxmlformats.org/officeDocument/2006/relationships/hyperlink" Target="https://www.pricecharting.com/game/pokemon-promo/greninja-v-union-special-collection" TargetMode="External" Id="rId1984" /><Relationship Type="http://schemas.openxmlformats.org/officeDocument/2006/relationships/hyperlink" Target="https://www.pricecharting.com/game/pokemon-promo/gx-challenge-box-alolan-ninetales" TargetMode="External" Id="rId1985" /><Relationship Type="http://schemas.openxmlformats.org/officeDocument/2006/relationships/hyperlink" Target="https://www.pricecharting.com/game/pokemon-promo/gx-challenge-box-lycanroc" TargetMode="External" Id="rId1986" /><Relationship Type="http://schemas.openxmlformats.org/officeDocument/2006/relationships/hyperlink" Target="https://www.pricecharting.com/game/pokemon-promo/heavy-hitters-premium-collection-lucario-v-&amp;-tyranitar-v" TargetMode="External" Id="rId1987" /><Relationship Type="http://schemas.openxmlformats.org/officeDocument/2006/relationships/hyperlink" Target="https://www.pricecharting.com/game/pokemon-promo/hidden-potential-tin-gallade-v" TargetMode="External" Id="rId1988" /><Relationship Type="http://schemas.openxmlformats.org/officeDocument/2006/relationships/hyperlink" Target="https://www.pricecharting.com/game/pokemon-promo/hidden-potential-tin-giratina-v" TargetMode="External" Id="rId1989" /><Relationship Type="http://schemas.openxmlformats.org/officeDocument/2006/relationships/hyperlink" Target="https://www.pricecharting.com/game/pokemon-promo/hidden-potential-tin-rotom-v" TargetMode="External" Id="rId1990" /><Relationship Type="http://schemas.openxmlformats.org/officeDocument/2006/relationships/hyperlink" Target="https://www.pricecharting.com/game/pokemon-promo/hidden-potential-tin-rotom-v-international" TargetMode="External" Id="rId1991" /><Relationship Type="http://schemas.openxmlformats.org/officeDocument/2006/relationships/hyperlink" Target="https://www.pricecharting.com/game/pokemon-promo/hisuian-electrode-v-box" TargetMode="External" Id="rId1992" /><Relationship Type="http://schemas.openxmlformats.org/officeDocument/2006/relationships/hyperlink" Target="https://www.pricecharting.com/game/pokemon-promo/hisuian-zoroark-vstar-premium-collection-box" TargetMode="External" Id="rId1993" /><Relationship Type="http://schemas.openxmlformats.org/officeDocument/2006/relationships/hyperlink" Target="https://www.pricecharting.com/game/pokemon-promo/holiday-calendar-box-2022" TargetMode="External" Id="rId1994" /><Relationship Type="http://schemas.openxmlformats.org/officeDocument/2006/relationships/hyperlink" Target="https://www.pricecharting.com/game/pokemon-promo/holiday-calendar-box-2023" TargetMode="External" Id="rId1995" /><Relationship Type="http://schemas.openxmlformats.org/officeDocument/2006/relationships/hyperlink" Target="https://www.pricecharting.com/game/pokemon-promo/holiday-calendar-box-2024" TargetMode="External" Id="rId1996" /><Relationship Type="http://schemas.openxmlformats.org/officeDocument/2006/relationships/hyperlink" Target="https://www.pricecharting.com/game/pokemon-promo/holliday-calendar-box-2025" TargetMode="External" Id="rId1997" /><Relationship Type="http://schemas.openxmlformats.org/officeDocument/2006/relationships/hyperlink" Target="https://www.pricecharting.com/game/pokemon-promo/houndstone-ex-box" TargetMode="External" Id="rId1998" /><Relationship Type="http://schemas.openxmlformats.org/officeDocument/2006/relationships/hyperlink" Target="https://www.pricecharting.com/game/pokemon-promo/hydreigon-ex-&amp;-dragapult-ex-premium-collection" TargetMode="External" Id="rId1999" /><Relationship Type="http://schemas.openxmlformats.org/officeDocument/2006/relationships/hyperlink" Target="https://www.pricecharting.com/game/pokemon-promo/ice-rider-calyrex-v-box" TargetMode="External" Id="rId2000" /><Relationship Type="http://schemas.openxmlformats.org/officeDocument/2006/relationships/hyperlink" Target="https://www.pricecharting.com/game/pokemon-promo/incineroar-ex-and-torterra-ex-special-collection" TargetMode="External" Id="rId2001" /><Relationship Type="http://schemas.openxmlformats.org/officeDocument/2006/relationships/hyperlink" Target="https://www.pricecharting.com/game/pokemon-promo/iono-premium-tournament-collection-box" TargetMode="External" Id="rId2002" /><Relationship Type="http://schemas.openxmlformats.org/officeDocument/2006/relationships/hyperlink" Target="https://www.pricecharting.com/game/pokemon-promo/iono's-bellibolt-ex-premium-collection-box" TargetMode="External" Id="rId2003" /><Relationship Type="http://schemas.openxmlformats.org/officeDocument/2006/relationships/hyperlink" Target="https://www.pricecharting.com/game/pokemon-promo/iron-valiant-ex-box" TargetMode="External" Id="rId2004" /><Relationship Type="http://schemas.openxmlformats.org/officeDocument/2006/relationships/hyperlink" Target="https://www.pricecharting.com/game/pokemon-promo/kanto-friends-mini-tin-bulbasaur" TargetMode="External" Id="rId2005" /><Relationship Type="http://schemas.openxmlformats.org/officeDocument/2006/relationships/hyperlink" Target="https://www.pricecharting.com/game/pokemon-promo/kanto-friends-mini-tin-charmander" TargetMode="External" Id="rId2006" /><Relationship Type="http://schemas.openxmlformats.org/officeDocument/2006/relationships/hyperlink" Target="https://www.pricecharting.com/game/pokemon-promo/kanto-friends-mini-tin-squirtle" TargetMode="External" Id="rId2007" /><Relationship Type="http://schemas.openxmlformats.org/officeDocument/2006/relationships/hyperlink" Target="https://www.pricecharting.com/game/pokemon-promo/kanto-power-mini-tin-charizard" TargetMode="External" Id="rId2008" /><Relationship Type="http://schemas.openxmlformats.org/officeDocument/2006/relationships/hyperlink" Target="https://www.pricecharting.com/game/pokemon-promo/kanto-power-mini-tin-dragonite" TargetMode="External" Id="rId2009" /><Relationship Type="http://schemas.openxmlformats.org/officeDocument/2006/relationships/hyperlink" Target="https://www.pricecharting.com/game/pokemon-promo/kanto-power-mini-tin-mew" TargetMode="External" Id="rId2010" /><Relationship Type="http://schemas.openxmlformats.org/officeDocument/2006/relationships/hyperlink" Target="https://www.pricecharting.com/game/pokemon-promo/kanto-power-mini-tin-mewtwo" TargetMode="External" Id="rId2011" /><Relationship Type="http://schemas.openxmlformats.org/officeDocument/2006/relationships/hyperlink" Target="https://www.pricecharting.com/game/pokemon-promo/kanto-power-mini-tin-pikachu" TargetMode="External" Id="rId2012" /><Relationship Type="http://schemas.openxmlformats.org/officeDocument/2006/relationships/hyperlink" Target="https://www.pricecharting.com/game/pokemon-promo/kleavor-vstar-premium-collection" TargetMode="External" Id="rId2013" /><Relationship Type="http://schemas.openxmlformats.org/officeDocument/2006/relationships/hyperlink" Target="https://www.pricecharting.com/game/pokemon-promo/kleavor-vstar-premium-collection-box" TargetMode="External" Id="rId2014" /><Relationship Type="http://schemas.openxmlformats.org/officeDocument/2006/relationships/hyperlink" Target="https://www.pricecharting.com/game/pokemon-promo/kleavor-vstar-special-collection" TargetMode="External" Id="rId2015" /><Relationship Type="http://schemas.openxmlformats.org/officeDocument/2006/relationships/hyperlink" Target="https://www.pricecharting.com/game/pokemon-promo/kommo-o-gx-box" TargetMode="External" Id="rId2016" /><Relationship Type="http://schemas.openxmlformats.org/officeDocument/2006/relationships/hyperlink" Target="https://www.pricecharting.com/game/pokemon-promo/legendary-warriors-premium-collection-box" TargetMode="External" Id="rId2017" /><Relationship Type="http://schemas.openxmlformats.org/officeDocument/2006/relationships/hyperlink" Target="https://www.pricecharting.com/game/pokemon-promo/legends-of-johto-pin-collection" TargetMode="External" Id="rId2018" /><Relationship Type="http://schemas.openxmlformats.org/officeDocument/2006/relationships/hyperlink" Target="https://www.pricecharting.com/game/pokemon-promo/lillie-premium-tournament-collection-box" TargetMode="External" Id="rId2019" /><Relationship Type="http://schemas.openxmlformats.org/officeDocument/2006/relationships/hyperlink" Target="https://www.pricecharting.com/game/pokemon-promo/lucario-vstar-special-collection" TargetMode="External" Id="rId2020" /><Relationship Type="http://schemas.openxmlformats.org/officeDocument/2006/relationships/hyperlink" Target="https://www.pricecharting.com/game/pokemon-promo/lugia-ex-&amp;-latias-ex-premium-collection" TargetMode="External" Id="rId2021" /><Relationship Type="http://schemas.openxmlformats.org/officeDocument/2006/relationships/hyperlink" Target="https://www.pricecharting.com/game/pokemon-promo/lumiose-city-mini-tin-emboar-&amp;-inkay" TargetMode="External" Id="rId2022" /><Relationship Type="http://schemas.openxmlformats.org/officeDocument/2006/relationships/hyperlink" Target="https://www.pricecharting.com/game/pokemon-promo/lumiose-city-mini-tin-feraligatr-&amp;-budew" TargetMode="External" Id="rId2023" /><Relationship Type="http://schemas.openxmlformats.org/officeDocument/2006/relationships/hyperlink" Target="https://www.pricecharting.com/game/pokemon-promo/lumiose-city-mini-tin-gallade-&amp;-goomy" TargetMode="External" Id="rId2024" /><Relationship Type="http://schemas.openxmlformats.org/officeDocument/2006/relationships/hyperlink" Target="https://www.pricecharting.com/game/pokemon-promo/lumiose-city-mini-tin-meganium-&amp;-meowstic" TargetMode="External" Id="rId2025" /><Relationship Type="http://schemas.openxmlformats.org/officeDocument/2006/relationships/hyperlink" Target="https://www.pricecharting.com/game/pokemon-promo/lumiose-city-mini-tin-salamence-&amp;-litleo" TargetMode="External" Id="rId2026" /><Relationship Type="http://schemas.openxmlformats.org/officeDocument/2006/relationships/hyperlink" Target="https://www.pricecharting.com/game/pokemon-promo/mabosstiff-ex-box" TargetMode="External" Id="rId2027" /><Relationship Type="http://schemas.openxmlformats.org/officeDocument/2006/relationships/hyperlink" Target="https://www.pricecharting.com/game/pokemon-promo/mad-party-pin-collection-galarian-mr-rime" TargetMode="External" Id="rId2028" /><Relationship Type="http://schemas.openxmlformats.org/officeDocument/2006/relationships/hyperlink" Target="https://www.pricecharting.com/game/pokemon-promo/marshadow-box" TargetMode="External" Id="rId2029" /><Relationship Type="http://schemas.openxmlformats.org/officeDocument/2006/relationships/hyperlink" Target="https://www.pricecharting.com/game/pokemon-promo/mega-charizard-x-tin" TargetMode="External" Id="rId2030" /><Relationship Type="http://schemas.openxmlformats.org/officeDocument/2006/relationships/hyperlink" Target="https://www.pricecharting.com/game/pokemon-promo/mega-charizard-y-tin" TargetMode="External" Id="rId2031" /><Relationship Type="http://schemas.openxmlformats.org/officeDocument/2006/relationships/hyperlink" Target="https://www.pricecharting.com/game/pokemon-promo/mega-greninja-ex-premium-collection" TargetMode="External" Id="rId2032" /><Relationship Type="http://schemas.openxmlformats.org/officeDocument/2006/relationships/hyperlink" Target="https://www.pricecharting.com/game/pokemon-promo/mega-kangaskhan-ex-box" TargetMode="External" Id="rId2033" /><Relationship Type="http://schemas.openxmlformats.org/officeDocument/2006/relationships/hyperlink" Target="https://www.pricecharting.com/game/pokemon-promo/mega-latias-ex-box" TargetMode="External" Id="rId2034" /><Relationship Type="http://schemas.openxmlformats.org/officeDocument/2006/relationships/hyperlink" Target="https://www.pricecharting.com/game/pokemon-promo/mega-moonlit-tin-mega-gengar-ex" TargetMode="External" Id="rId2035" /><Relationship Type="http://schemas.openxmlformats.org/officeDocument/2006/relationships/hyperlink" Target="https://www.pricecharting.com/game/pokemon-promo/mega-moonlit-tin-mega-clefable-ex" TargetMode="External" Id="rId2036" /><Relationship Type="http://schemas.openxmlformats.org/officeDocument/2006/relationships/hyperlink" Target="https://www.pricecharting.com/game/pokemon-promo/mega-venusaur-ex-premium-collection" TargetMode="External" Id="rId2037" /><Relationship Type="http://schemas.openxmlformats.org/officeDocument/2006/relationships/hyperlink" Target="https://www.pricecharting.com/game/pokemon-promo/mega-zygarde-ex-premium-collection" TargetMode="External" Id="rId2038" /><Relationship Type="http://schemas.openxmlformats.org/officeDocument/2006/relationships/hyperlink" Target="https://www.pricecharting.com/game/pokemon-promo/melmetal-ex-box" TargetMode="External" Id="rId2039" /><Relationship Type="http://schemas.openxmlformats.org/officeDocument/2006/relationships/hyperlink" Target="https://www.pricecharting.com/game/pokemon-promo/meowth-vmax-special-collection-box" TargetMode="External" Id="rId2040" /><Relationship Type="http://schemas.openxmlformats.org/officeDocument/2006/relationships/hyperlink" Target="https://www.pricecharting.com/game/pokemon-promo/metal-stacking-tin" TargetMode="External" Id="rId2041" /><Relationship Type="http://schemas.openxmlformats.org/officeDocument/2006/relationships/hyperlink" Target="https://www.pricecharting.com/game/pokemon-promo/mew-v-box" TargetMode="External" Id="rId2042" /><Relationship Type="http://schemas.openxmlformats.org/officeDocument/2006/relationships/hyperlink" Target="https://www.pricecharting.com/game/pokemon-promo/mighty-mysterious-tin-mimikyu" TargetMode="External" Id="rId2043" /><Relationship Type="http://schemas.openxmlformats.org/officeDocument/2006/relationships/hyperlink" Target="https://www.pricecharting.com/game/pokemon-promo/mimikyu-ex-box" TargetMode="External" Id="rId2044" /><Relationship Type="http://schemas.openxmlformats.org/officeDocument/2006/relationships/hyperlink" Target="https://www.pricecharting.com/game/pokemon-promo/mimikyu-ex-showcase-box" TargetMode="External" Id="rId2045" /><Relationship Type="http://schemas.openxmlformats.org/officeDocument/2006/relationships/hyperlink" Target="https://www.pricecharting.com/game/pokemon-promo/morpeko-pin-collection-box" TargetMode="External" Id="rId2046" /><Relationship Type="http://schemas.openxmlformats.org/officeDocument/2006/relationships/hyperlink" Target="https://www.pricecharting.com/game/pokemon-promo/ogerpon-stacking-tin" TargetMode="External" Id="rId2047" /><Relationship Type="http://schemas.openxmlformats.org/officeDocument/2006/relationships/hyperlink" Target="https://www.pricecharting.com/game/pokemon-promo/oinkologne-ex-box" TargetMode="External" Id="rId2048" /><Relationship Type="http://schemas.openxmlformats.org/officeDocument/2006/relationships/hyperlink" Target="https://www.pricecharting.com/game/pokemon-promo/origin-forme-dialga-vstar-premium-collection-box" TargetMode="External" Id="rId2049" /><Relationship Type="http://schemas.openxmlformats.org/officeDocument/2006/relationships/hyperlink" Target="https://www.pricecharting.com/game/pokemon-promo/palafin-ex-box" TargetMode="External" Id="rId2050" /><Relationship Type="http://schemas.openxmlformats.org/officeDocument/2006/relationships/hyperlink" Target="https://www.pricecharting.com/game/pokemon-promo/paldea-friends-mini-tins-5-pack" TargetMode="External" Id="rId2051" /><Relationship Type="http://schemas.openxmlformats.org/officeDocument/2006/relationships/hyperlink" Target="https://www.pricecharting.com/game/pokemon-promo/paldea-partners-tin-meowscarada-ex-international" TargetMode="External" Id="rId2052" /><Relationship Type="http://schemas.openxmlformats.org/officeDocument/2006/relationships/hyperlink" Target="https://www.pricecharting.com/game/pokemon-promo/paldea-partners-tin-quaquaval-ex" TargetMode="External" Id="rId2053" /><Relationship Type="http://schemas.openxmlformats.org/officeDocument/2006/relationships/hyperlink" Target="https://www.pricecharting.com/game/pokemon-promo/paldea-partners-tin-skeledirge" TargetMode="External" Id="rId2054" /><Relationship Type="http://schemas.openxmlformats.org/officeDocument/2006/relationships/hyperlink" Target="https://www.pricecharting.com/game/pokemon-promo/paldea-partners-tin-meowscarada-ex" TargetMode="External" Id="rId2055" /><Relationship Type="http://schemas.openxmlformats.org/officeDocument/2006/relationships/hyperlink" Target="https://www.pricecharting.com/game/pokemon-promo/paradox-clash-tin-iron-leaves-ex" TargetMode="External" Id="rId2056" /><Relationship Type="http://schemas.openxmlformats.org/officeDocument/2006/relationships/hyperlink" Target="https://www.pricecharting.com/game/pokemon-promo/paradox-clash-tin-walking-wake" TargetMode="External" Id="rId2057" /><Relationship Type="http://schemas.openxmlformats.org/officeDocument/2006/relationships/hyperlink" Target="https://www.pricecharting.com/game/pokemon-promo/paradox-destinies-tin-gouging-fire-ex" TargetMode="External" Id="rId2058" /><Relationship Type="http://schemas.openxmlformats.org/officeDocument/2006/relationships/hyperlink" Target="https://www.pricecharting.com/game/pokemon-promo/paradox-destinies-tin-iron-boulder-ex" TargetMode="External" Id="rId2059" /><Relationship Type="http://schemas.openxmlformats.org/officeDocument/2006/relationships/hyperlink" Target="https://www.pricecharting.com/game/pokemon-promo/paradox-destinies-tin-iron-crown-ex" TargetMode="External" Id="rId2060" /><Relationship Type="http://schemas.openxmlformats.org/officeDocument/2006/relationships/hyperlink" Target="https://www.pricecharting.com/game/pokemon-promo/paradox-destinies-tin-raging-bolt-ex" TargetMode="External" Id="rId2061" /><Relationship Type="http://schemas.openxmlformats.org/officeDocument/2006/relationships/hyperlink" Target="https://www.pricecharting.com/game/pokemon-promo/paradox-fury-premium-collection" TargetMode="External" Id="rId2062" /><Relationship Type="http://schemas.openxmlformats.org/officeDocument/2006/relationships/hyperlink" Target="https://www.pricecharting.com/game/pokemon-promo/paradox-pokemon-stacking-tin" TargetMode="External" Id="rId2063" /><Relationship Type="http://schemas.openxmlformats.org/officeDocument/2006/relationships/hyperlink" Target="https://www.pricecharting.com/game/pokemon-promo/paradox-powers-ex-special-collection" TargetMode="External" Id="rId2064" /><Relationship Type="http://schemas.openxmlformats.org/officeDocument/2006/relationships/hyperlink" Target="https://www.pricecharting.com/game/pokemon-promo/paradox-wisdom-premium-collection" TargetMode="External" Id="rId2065" /><Relationship Type="http://schemas.openxmlformats.org/officeDocument/2006/relationships/hyperlink" Target="https://www.pricecharting.com/game/pokemon-promo/poke-ball-tin" TargetMode="External" Id="rId2066" /><Relationship Type="http://schemas.openxmlformats.org/officeDocument/2006/relationships/hyperlink" Target="https://www.pricecharting.com/game/pokemon-promo/poke-ball-tin-3-pack" TargetMode="External" Id="rId2067" /><Relationship Type="http://schemas.openxmlformats.org/officeDocument/2006/relationships/hyperlink" Target="https://www.pricecharting.com/game/pokemon-promo/poke-ball-tin-dive-ball" TargetMode="External" Id="rId2068" /><Relationship Type="http://schemas.openxmlformats.org/officeDocument/2006/relationships/hyperlink" Target="https://www.pricecharting.com/game/pokemon-promo/poke-ball-tin-dusk-ball" TargetMode="External" Id="rId2069" /><Relationship Type="http://schemas.openxmlformats.org/officeDocument/2006/relationships/hyperlink" Target="https://www.pricecharting.com/game/pokemon-promo/poke-ball-tin-great-ball-q4-2024" TargetMode="External" Id="rId2070" /><Relationship Type="http://schemas.openxmlformats.org/officeDocument/2006/relationships/hyperlink" Target="https://www.pricecharting.com/game/pokemon-promo/poke-ball-tin-great-ball" TargetMode="External" Id="rId2071" /><Relationship Type="http://schemas.openxmlformats.org/officeDocument/2006/relationships/hyperlink" Target="https://www.pricecharting.com/game/pokemon-promo/poke-ball-tin-level-ball" TargetMode="External" Id="rId2072" /><Relationship Type="http://schemas.openxmlformats.org/officeDocument/2006/relationships/hyperlink" Target="https://www.pricecharting.com/game/pokemon-promo/poke-ball-tin-love-ball" TargetMode="External" Id="rId2073" /><Relationship Type="http://schemas.openxmlformats.org/officeDocument/2006/relationships/hyperlink" Target="https://www.pricecharting.com/game/pokemon-promo/poke-ball-tin-lure-ball" TargetMode="External" Id="rId2074" /><Relationship Type="http://schemas.openxmlformats.org/officeDocument/2006/relationships/hyperlink" Target="https://www.pricecharting.com/game/pokemon-promo/poke-ball-tin-luxury-ball" TargetMode="External" Id="rId2075" /><Relationship Type="http://schemas.openxmlformats.org/officeDocument/2006/relationships/hyperlink" Target="https://www.pricecharting.com/game/pokemon-promo/poke-ball-tin-moon-ball-q4-2024" TargetMode="External" Id="rId2076" /><Relationship Type="http://schemas.openxmlformats.org/officeDocument/2006/relationships/hyperlink" Target="https://www.pricecharting.com/game/pokemon-promo/poke-ball-tin-premier-ball-q4-2024" TargetMode="External" Id="rId2077" /><Relationship Type="http://schemas.openxmlformats.org/officeDocument/2006/relationships/hyperlink" Target="https://www.pricecharting.com/game/pokemon-promo/poke-ball-tin-premier-ball-q4-2025" TargetMode="External" Id="rId2078" /><Relationship Type="http://schemas.openxmlformats.org/officeDocument/2006/relationships/hyperlink" Target="https://www.pricecharting.com/game/pokemon-promo/poke-ball-tin-premier-ball" TargetMode="External" Id="rId2079" /><Relationship Type="http://schemas.openxmlformats.org/officeDocument/2006/relationships/hyperlink" Target="https://www.pricecharting.com/game/pokemon-promo/poke-ball-tin-q4-2024" TargetMode="External" Id="rId2080" /><Relationship Type="http://schemas.openxmlformats.org/officeDocument/2006/relationships/hyperlink" Target="https://www.pricecharting.com/game/pokemon-promo/poke-ball-tin-quick-ball" TargetMode="External" Id="rId2081" /><Relationship Type="http://schemas.openxmlformats.org/officeDocument/2006/relationships/hyperlink" Target="https://www.pricecharting.com/game/pokemon-promo/poke-ball-tin-repeat-ball-q4-2025" TargetMode="External" Id="rId2082" /><Relationship Type="http://schemas.openxmlformats.org/officeDocument/2006/relationships/hyperlink" Target="https://www.pricecharting.com/game/pokemon-promo/poke-ball-tin-ultra-ball-q4-2024" TargetMode="External" Id="rId2083" /><Relationship Type="http://schemas.openxmlformats.org/officeDocument/2006/relationships/hyperlink" Target="https://www.pricecharting.com/game/pokemon-promo/poke-ball-tin-ultra-ball" TargetMode="External" Id="rId2084" /><Relationship Type="http://schemas.openxmlformats.org/officeDocument/2006/relationships/hyperlink" Target="https://www.pricecharting.com/game/pokemon-promo/pokemon-day-2026-collection-box" TargetMode="External" Id="rId2085" /><Relationship Type="http://schemas.openxmlformats.org/officeDocument/2006/relationships/hyperlink" Target="https://www.pricecharting.com/game/pokemon-promo/psychic-stacking-tin" TargetMode="External" Id="rId2086" /><Relationship Type="http://schemas.openxmlformats.org/officeDocument/2006/relationships/hyperlink" Target="https://www.pricecharting.com/game/pokemon-promo/reshiram-ex-box" TargetMode="External" Id="rId2087" /><Relationship Type="http://schemas.openxmlformats.org/officeDocument/2006/relationships/hyperlink" Target="https://www.pricecharting.com/game/pokemon-promo/roaring-moon-ex-box" TargetMode="External" Id="rId2088" /><Relationship Type="http://schemas.openxmlformats.org/officeDocument/2006/relationships/hyperlink" Target="https://www.pricecharting.com/game/pokemon-promo/salamence-ex-&amp;-reshiram-ex-premium-collection" TargetMode="External" Id="rId2089" /><Relationship Type="http://schemas.openxmlformats.org/officeDocument/2006/relationships/hyperlink" Target="https://www.pricecharting.com/game/pokemon-promo/sceptile-3-pack-blister" TargetMode="External" Id="rId2090" /><Relationship Type="http://schemas.openxmlformats.org/officeDocument/2006/relationships/hyperlink" Target="https://www.pricecharting.com/game/pokemon-promo/sealed-cynthia's-garchomp-ex-premium-collection" TargetMode="External" Id="rId2091" /><Relationship Type="http://schemas.openxmlformats.org/officeDocument/2006/relationships/hyperlink" Target="https://www.pricecharting.com/game/pokemon-promo/sealed-knock-out-collection-kyogre" TargetMode="External" Id="rId2092" /><Relationship Type="http://schemas.openxmlformats.org/officeDocument/2006/relationships/hyperlink" Target="https://www.pricecharting.com/game/pokemon-promo/sealed-knock-out-collection-suicune" TargetMode="External" Id="rId2093" /><Relationship Type="http://schemas.openxmlformats.org/officeDocument/2006/relationships/hyperlink" Target="https://www.pricecharting.com/game/pokemon-promo/sealed-mega-moonlit-tin-mega-gengar-ex" TargetMode="External" Id="rId2094" /><Relationship Type="http://schemas.openxmlformats.org/officeDocument/2006/relationships/hyperlink" Target="https://www.pricecharting.com/game/pokemon-promo/sealed-tin-mega-emboar-ex" TargetMode="External" Id="rId2095" /><Relationship Type="http://schemas.openxmlformats.org/officeDocument/2006/relationships/hyperlink" Target="https://www.pricecharting.com/game/pokemon-promo/shaymin-vstar-premium-collection" TargetMode="External" Id="rId2096" /><Relationship Type="http://schemas.openxmlformats.org/officeDocument/2006/relationships/hyperlink" Target="https://www.pricecharting.com/game/pokemon-promo/sinnoh-stars-mini-tin-chimchar" TargetMode="External" Id="rId2097" /><Relationship Type="http://schemas.openxmlformats.org/officeDocument/2006/relationships/hyperlink" Target="https://www.pricecharting.com/game/pokemon-promo/sinnoh-stars-mini-tin-munchlax" TargetMode="External" Id="rId2098" /><Relationship Type="http://schemas.openxmlformats.org/officeDocument/2006/relationships/hyperlink" Target="https://www.pricecharting.com/game/pokemon-promo/sinnoh-stars-mini-tin-piplup" TargetMode="External" Id="rId2099" /><Relationship Type="http://schemas.openxmlformats.org/officeDocument/2006/relationships/hyperlink" Target="https://www.pricecharting.com/game/pokemon-promo/sinnoh-stars-mini-tin-riolu" TargetMode="External" Id="rId2100" /><Relationship Type="http://schemas.openxmlformats.org/officeDocument/2006/relationships/hyperlink" Target="https://www.pricecharting.com/game/pokemon-promo/sinnoh-stars-mini-tin-turtwig" TargetMode="External" Id="rId2101" /><Relationship Type="http://schemas.openxmlformats.org/officeDocument/2006/relationships/hyperlink" Target="https://www.pricecharting.com/game/pokemon-promo/sinnoh-stars-mini-tins-5-pack" TargetMode="External" Id="rId2102" /><Relationship Type="http://schemas.openxmlformats.org/officeDocument/2006/relationships/hyperlink" Target="https://www.pricecharting.com/game/pokemon-promo/slashing-legends-tin-koraidon-ex" TargetMode="External" Id="rId2103" /><Relationship Type="http://schemas.openxmlformats.org/officeDocument/2006/relationships/hyperlink" Target="https://www.pricecharting.com/game/pokemon-promo/slashing-legends-tin-zacian-ex" TargetMode="External" Id="rId2104" /><Relationship Type="http://schemas.openxmlformats.org/officeDocument/2006/relationships/hyperlink" Target="https://www.pricecharting.com/game/pokemon-promo/snorlax-ex-&amp;-blissey-ex-special-collection" TargetMode="External" Id="rId2105" /><Relationship Type="http://schemas.openxmlformats.org/officeDocument/2006/relationships/hyperlink" Target="https://www.pricecharting.com/game/pokemon-promo/spring-2022-collector-bundle" TargetMode="External" Id="rId2106" /><Relationship Type="http://schemas.openxmlformats.org/officeDocument/2006/relationships/hyperlink" Target="https://www.pricecharting.com/game/pokemon-promo/summer-2023-collector's-chest" TargetMode="External" Id="rId2107" /><Relationship Type="http://schemas.openxmlformats.org/officeDocument/2006/relationships/hyperlink" Target="https://www.pricecharting.com/game/pokemon-promo/tag-team-tin-pikachu-&amp;-zekrom-gx" TargetMode="External" Id="rId2108" /><Relationship Type="http://schemas.openxmlformats.org/officeDocument/2006/relationships/hyperlink" Target="https://www.pricecharting.com/game/pokemon-promo/tapu-koko-figure-collection" TargetMode="External" Id="rId2109" /><Relationship Type="http://schemas.openxmlformats.org/officeDocument/2006/relationships/hyperlink" Target="https://www.pricecharting.com/game/pokemon-promo/team-rocket's-moltres-ex-ultra-premium-collection-box" TargetMode="External" Id="rId2110" /><Relationship Type="http://schemas.openxmlformats.org/officeDocument/2006/relationships/hyperlink" Target="https://www.pricecharting.com/game/pokemon-promo/team-skull-pin-collection" TargetMode="External" Id="rId2111" /><Relationship Type="http://schemas.openxmlformats.org/officeDocument/2006/relationships/hyperlink" Target="https://www.pricecharting.com/game/pokemon-promo/tera-brawlers-premium-collection-box" TargetMode="External" Id="rId2112" /><Relationship Type="http://schemas.openxmlformats.org/officeDocument/2006/relationships/hyperlink" Target="https://www.pricecharting.com/game/pokemon-promo/tera-team-premium-collection" TargetMode="External" Id="rId2113" /><Relationship Type="http://schemas.openxmlformats.org/officeDocument/2006/relationships/hyperlink" Target="https://www.pricecharting.com/game/pokemon-promo/terapagos-ex-ultra-premium-collection-box" TargetMode="External" Id="rId2114" /><Relationship Type="http://schemas.openxmlformats.org/officeDocument/2006/relationships/hyperlink" Target="https://www.pricecharting.com/game/pokemon-promo/trainer's-legendary-box-ho-oh" TargetMode="External" Id="rId2115" /><Relationship Type="http://schemas.openxmlformats.org/officeDocument/2006/relationships/hyperlink" Target="https://www.pricecharting.com/game/pokemon-promo/treasures-of-ruin-stacking-tin" TargetMode="External" Id="rId2116" /><Relationship Type="http://schemas.openxmlformats.org/officeDocument/2006/relationships/hyperlink" Target="https://www.pricecharting.com/game/pokemon-promo/tyranitar-lunchbox-chest-tin" TargetMode="External" Id="rId2117" /><Relationship Type="http://schemas.openxmlformats.org/officeDocument/2006/relationships/hyperlink" Target="https://www.pricecharting.com/game/pokemon-promo/ultra-beasts-gx-premium-collection-buzzwole-gx-&amp;-xurkitree-gx" TargetMode="External" Id="rId2118" /><Relationship Type="http://schemas.openxmlformats.org/officeDocument/2006/relationships/hyperlink" Target="https://www.pricecharting.com/game/pokemon-promo/v-union-special-collection-mewtwo" TargetMode="External" Id="rId2119" /><Relationship Type="http://schemas.openxmlformats.org/officeDocument/2006/relationships/hyperlink" Target="https://www.pricecharting.com/game/pokemon-promo/vibrant-paldea-mini-tin" TargetMode="External" Id="rId2120" /><Relationship Type="http://schemas.openxmlformats.org/officeDocument/2006/relationships/hyperlink" Target="https://www.pricecharting.com/game/pokemon-promo/vibrant-paldea-mini-tin-collection" TargetMode="External" Id="rId2121" /><Relationship Type="http://schemas.openxmlformats.org/officeDocument/2006/relationships/hyperlink" Target="https://www.pricecharting.com/game/pokemon-promo/white-&amp;-black-poster-collection-+-binder-collection" TargetMode="External" Id="rId2122" /><Relationship Type="http://schemas.openxmlformats.org/officeDocument/2006/relationships/hyperlink" Target="https://www.pricecharting.com/game/pokemon-promo/zacian-v-union-special-collection-box" TargetMode="External" Id="rId2123" /><Relationship Type="http://schemas.openxmlformats.org/officeDocument/2006/relationships/hyperlink" Target="https://www.pricecharting.com/game/pokemon-promo/zeraora-vmax-&amp;-vstar-battle-box" TargetMode="External" Id="rId2124" /><Relationship Type="http://schemas.openxmlformats.org/officeDocument/2006/relationships/hyperlink" Target="https://www.pricecharting.com/game/pokemon-promo/zoroark-&amp;-legendary-pokemon-jumbo-world-of-illusions-box-promo" TargetMode="External" Id="rId2125" /><Relationship Type="http://schemas.openxmlformats.org/officeDocument/2006/relationships/hyperlink" Target="https://www.pricecharting.com/game/pokemon-roaring-skies/3-pack-blister" TargetMode="External" Id="rId2126" /><Relationship Type="http://schemas.openxmlformats.org/officeDocument/2006/relationships/hyperlink" Target="https://www.pricecharting.com/game/pokemon-roaring-skies/elite-trainer-box" TargetMode="External" Id="rId2127" /><Relationship Type="http://schemas.openxmlformats.org/officeDocument/2006/relationships/hyperlink" Target="https://www.pricecharting.com/game/pokemon-roaring-skies/mega-absol-ex-premium-collection-box" TargetMode="External" Id="rId2128" /><Relationship Type="http://schemas.openxmlformats.org/officeDocument/2006/relationships/hyperlink" Target="https://www.pricecharting.com/game/pokemon-rumble/sealed-box" TargetMode="External" Id="rId2129" /><Relationship Type="http://schemas.openxmlformats.org/officeDocument/2006/relationships/hyperlink" Target="https://www.tcgplayer.com/product/627698" TargetMode="External" Id="rId2130" /><Relationship Type="http://schemas.openxmlformats.org/officeDocument/2006/relationships/hyperlink" Target="https://www.tcgplayer.com/product/638934" TargetMode="External" Id="rId2131" /><Relationship Type="http://schemas.openxmlformats.org/officeDocument/2006/relationships/hyperlink" Target="https://www.tcgplayer.com/product/627702" TargetMode="External" Id="rId2132" /><Relationship Type="http://schemas.openxmlformats.org/officeDocument/2006/relationships/hyperlink" Target="https://www.tcgplayer.com/product/618176" TargetMode="External" Id="rId2133" /><Relationship Type="http://schemas.openxmlformats.org/officeDocument/2006/relationships/hyperlink" Target="https://www.tcgplayer.com/product/626514" TargetMode="External" Id="rId2134" /><Relationship Type="http://schemas.openxmlformats.org/officeDocument/2006/relationships/hyperlink" Target="https://www.tcgplayer.com/product/638076" TargetMode="External" Id="rId2135" /><Relationship Type="http://schemas.openxmlformats.org/officeDocument/2006/relationships/hyperlink" Target="https://www.tcgplayer.com/product/608794" TargetMode="External" Id="rId2136" /><Relationship Type="http://schemas.openxmlformats.org/officeDocument/2006/relationships/hyperlink" Target="https://www.tcgplayer.com/product/606718" TargetMode="External" Id="rId2137" /><Relationship Type="http://schemas.openxmlformats.org/officeDocument/2006/relationships/hyperlink" Target="https://www.tcgplayer.com/product/647455" TargetMode="External" Id="rId2138" /><Relationship Type="http://schemas.openxmlformats.org/officeDocument/2006/relationships/hyperlink" Target="https://www.tcgplayer.com/product/657880" TargetMode="External" Id="rId2139" /><Relationship Type="http://schemas.openxmlformats.org/officeDocument/2006/relationships/hyperlink" Target="https://www.tcgplayer.com/product/565261" TargetMode="External" Id="rId2140" /><Relationship Type="http://schemas.openxmlformats.org/officeDocument/2006/relationships/hyperlink" Target="https://www.pricecharting.com/game/pokemon-shining-fates/boltund-v-tin" TargetMode="External" Id="rId2141" /><Relationship Type="http://schemas.openxmlformats.org/officeDocument/2006/relationships/hyperlink" Target="https://www.tcgplayer.com/product/265320" TargetMode="External" Id="rId2142" /><Relationship Type="http://schemas.openxmlformats.org/officeDocument/2006/relationships/hyperlink" Target="https://www.tcgplayer.com/product/228825" TargetMode="External" Id="rId2143" /><Relationship Type="http://schemas.openxmlformats.org/officeDocument/2006/relationships/hyperlink" Target="https://www.tcgplayer.com/product/240191" TargetMode="External" Id="rId2144" /><Relationship Type="http://schemas.openxmlformats.org/officeDocument/2006/relationships/hyperlink" Target="https://www.tcgplayer.com/product/240190" TargetMode="External" Id="rId2145" /><Relationship Type="http://schemas.openxmlformats.org/officeDocument/2006/relationships/hyperlink" Target="https://www.tcgplayer.com/product/240192" TargetMode="External" Id="rId2146" /><Relationship Type="http://schemas.openxmlformats.org/officeDocument/2006/relationships/hyperlink" Target="https://www.pricecharting.com/game/pokemon-shining-fates/cramorant-v-tin" TargetMode="External" Id="rId2147" /><Relationship Type="http://schemas.openxmlformats.org/officeDocument/2006/relationships/hyperlink" Target="https://www.pricecharting.com/game/pokemon-shining-fates/eldegoss-v-tin" TargetMode="External" Id="rId2148" /><Relationship Type="http://schemas.openxmlformats.org/officeDocument/2006/relationships/hyperlink" Target="https://www.pricecharting.com/game/pokemon-shining-fates/elite-trainer-box" TargetMode="External" Id="rId2149" /><Relationship Type="http://schemas.openxmlformats.org/officeDocument/2006/relationships/hyperlink" Target="https://www.tcgplayer.com/product/228821" TargetMode="External" Id="rId2150" /><Relationship Type="http://schemas.openxmlformats.org/officeDocument/2006/relationships/hyperlink" Target="https://www.tcgplayer.com/product/228826" TargetMode="External" Id="rId2151" /><Relationship Type="http://schemas.openxmlformats.org/officeDocument/2006/relationships/hyperlink" Target="https://www.tcgplayer.com/product/228828" TargetMode="External" Id="rId2152" /><Relationship Type="http://schemas.openxmlformats.org/officeDocument/2006/relationships/hyperlink" Target="https://www.tcgplayer.com/product/228829" TargetMode="External" Id="rId2153" /><Relationship Type="http://schemas.openxmlformats.org/officeDocument/2006/relationships/hyperlink" Target="https://www.tcgplayer.com/product/238606" TargetMode="External" Id="rId2154" /><Relationship Type="http://schemas.openxmlformats.org/officeDocument/2006/relationships/hyperlink" Target="https://www.pricecharting.com/game/pokemon-shining-fates/shining-fates-mini-tin" TargetMode="External" Id="rId2155" /><Relationship Type="http://schemas.openxmlformats.org/officeDocument/2006/relationships/hyperlink" Target="https://www.tcgplayer.com/product/230958" TargetMode="External" Id="rId2156" /><Relationship Type="http://schemas.openxmlformats.org/officeDocument/2006/relationships/hyperlink" Target="https://www.tcgplayer.com/product/230956" TargetMode="External" Id="rId2157" /><Relationship Type="http://schemas.openxmlformats.org/officeDocument/2006/relationships/hyperlink" Target="https://www.pricecharting.com/game/pokemon-shining-fates/pikachu-v-collection-box" TargetMode="External" Id="rId2158" /><Relationship Type="http://schemas.openxmlformats.org/officeDocument/2006/relationships/hyperlink" Target="https://www.pricecharting.com/game/pokemon-shining-fates/polteageist-mad-party-pin-collection" TargetMode="External" Id="rId2159" /><Relationship Type="http://schemas.openxmlformats.org/officeDocument/2006/relationships/hyperlink" Target="https://www.tcgplayer.com/product/284772" TargetMode="External" Id="rId2160" /><Relationship Type="http://schemas.openxmlformats.org/officeDocument/2006/relationships/hyperlink" Target="https://www.tcgplayer.com/product/230391" TargetMode="External" Id="rId2161" /><Relationship Type="http://schemas.openxmlformats.org/officeDocument/2006/relationships/hyperlink" Target="https://www.tcgplayer.com/product/230392" TargetMode="External" Id="rId2162" /><Relationship Type="http://schemas.openxmlformats.org/officeDocument/2006/relationships/hyperlink" Target="https://www.pricecharting.com/game/pokemon-shining-fates/premium-collection-box-crobat" TargetMode="External" Id="rId2163" /><Relationship Type="http://schemas.openxmlformats.org/officeDocument/2006/relationships/hyperlink" Target="https://www.pricecharting.com/game/pokemon-shining-fates/premium-collection-box-dragapult" TargetMode="External" Id="rId2164" /><Relationship Type="http://schemas.openxmlformats.org/officeDocument/2006/relationships/hyperlink" Target="https://www.pricecharting.com/game/pokemon-shining-fates/shiny-boltund-v-collection" TargetMode="External" Id="rId2165" /><Relationship Type="http://schemas.openxmlformats.org/officeDocument/2006/relationships/hyperlink" Target="https://www.pricecharting.com/game/pokemon-shining-fates/shiny-cramorant-v-collection" TargetMode="External" Id="rId2166" /><Relationship Type="http://schemas.openxmlformats.org/officeDocument/2006/relationships/hyperlink" Target="https://www.pricecharting.com/game/pokemon-shining-fates/shiny-eldegoss-v-collection" TargetMode="External" Id="rId2167" /><Relationship Type="http://schemas.openxmlformats.org/officeDocument/2006/relationships/hyperlink" Target="https://www.tcgplayer.com/product/228823" TargetMode="External" Id="rId2168" /><Relationship Type="http://schemas.openxmlformats.org/officeDocument/2006/relationships/hyperlink" Target="https://www.tcgplayer.com/product/228824" TargetMode="External" Id="rId2169" /><Relationship Type="http://schemas.openxmlformats.org/officeDocument/2006/relationships/hyperlink" Target="https://www.tcgplayer.com/product/228822" TargetMode="External" Id="rId2170" /><Relationship Type="http://schemas.openxmlformats.org/officeDocument/2006/relationships/hyperlink" Target="https://www.pricecharting.com/game/pokemon-shining-legends/shining-legends-collection-shiny-darkrai-gx" TargetMode="External" Id="rId2171" /><Relationship Type="http://schemas.openxmlformats.org/officeDocument/2006/relationships/hyperlink" Target="https://www.tcgplayer.com/product/600514" TargetMode="External" Id="rId2172" /><Relationship Type="http://schemas.openxmlformats.org/officeDocument/2006/relationships/hyperlink" Target="https://www.tcgplayer.com/product/152603" TargetMode="External" Id="rId2173" /><Relationship Type="http://schemas.openxmlformats.org/officeDocument/2006/relationships/hyperlink" Target="https://www.pricecharting.com/game/pokemon-shining-legends/elite-trainer-box" TargetMode="External" Id="rId2174" /><Relationship Type="http://schemas.openxmlformats.org/officeDocument/2006/relationships/hyperlink" Target="https://www.pricecharting.com/game/pokemon-shining-legends/figure-collection-shiny-darkrai-gx" TargetMode="External" Id="rId2175" /><Relationship Type="http://schemas.openxmlformats.org/officeDocument/2006/relationships/hyperlink" Target="https://www.tcgplayer.com/product/161257" TargetMode="External" Id="rId2176" /><Relationship Type="http://schemas.openxmlformats.org/officeDocument/2006/relationships/hyperlink" Target="https://www.pricecharting.com/game/pokemon-shining-legends/mewtwo-pin-collection" TargetMode="External" Id="rId2177" /><Relationship Type="http://schemas.openxmlformats.org/officeDocument/2006/relationships/hyperlink" Target="https://www.tcgplayer.com/product/155596" TargetMode="External" Id="rId2178" /><Relationship Type="http://schemas.openxmlformats.org/officeDocument/2006/relationships/hyperlink" Target="https://www.tcgplayer.com/product/145848" TargetMode="External" Id="rId2179" /><Relationship Type="http://schemas.openxmlformats.org/officeDocument/2006/relationships/hyperlink" Target="https://www.tcgplayer.com/product/154717" TargetMode="External" Id="rId2180" /><Relationship Type="http://schemas.openxmlformats.org/officeDocument/2006/relationships/hyperlink" Target="https://www.tcgplayer.com/product/209439" TargetMode="External" Id="rId2181" /><Relationship Type="http://schemas.openxmlformats.org/officeDocument/2006/relationships/hyperlink" Target="https://www.pricecharting.com/game/pokemon-shining-legends/sealed-marshadow-pin-collection" TargetMode="External" Id="rId2182" /><Relationship Type="http://schemas.openxmlformats.org/officeDocument/2006/relationships/hyperlink" Target="https://www.pricecharting.com/game/pokemon-shining-legends/sealed-pikachu-pin-collection" TargetMode="External" Id="rId2183" /><Relationship Type="http://schemas.openxmlformats.org/officeDocument/2006/relationships/hyperlink" Target="https://www.pricecharting.com/game/pokemon-shining-legends/special-collection-box-raichu-gx" TargetMode="External" Id="rId2184" /><Relationship Type="http://schemas.openxmlformats.org/officeDocument/2006/relationships/hyperlink" Target="https://www.tcgplayer.com/product/155062" TargetMode="External" Id="rId2185" /><Relationship Type="http://schemas.openxmlformats.org/officeDocument/2006/relationships/hyperlink" Target="https://www.tcgplayer.com/product/149378" TargetMode="External" Id="rId2186" /><Relationship Type="http://schemas.openxmlformats.org/officeDocument/2006/relationships/hyperlink" Target="https://www.pricecharting.com/game/pokemon-shining-legends/super-premium-collection-box" TargetMode="External" Id="rId2187" /><Relationship Type="http://schemas.openxmlformats.org/officeDocument/2006/relationships/hyperlink" Target="https://www.tcgplayer.com/product/148412" TargetMode="External" Id="rId2188" /><Relationship Type="http://schemas.openxmlformats.org/officeDocument/2006/relationships/hyperlink" Target="https://www.pricecharting.com/game/pokemon-shining-legends/zoroark-pin-collection" TargetMode="External" Id="rId2189" /><Relationship Type="http://schemas.openxmlformats.org/officeDocument/2006/relationships/hyperlink" Target="https://www.tcgplayer.com/product/169543" TargetMode="External" Id="rId2190" /><Relationship Type="http://schemas.openxmlformats.org/officeDocument/2006/relationships/hyperlink" Target="https://www.pricecharting.com/game/pokemon-shrouded-fable/elite-trainer-box-pokemon-center" TargetMode="External" Id="rId2191" /><Relationship Type="http://schemas.openxmlformats.org/officeDocument/2006/relationships/hyperlink" Target="https://www.pricecharting.com/game/pokemon-shrouded-fable/mini-tin-zoroark" TargetMode="External" Id="rId2192" /><Relationship Type="http://schemas.openxmlformats.org/officeDocument/2006/relationships/hyperlink" Target="https://www.pricecharting.com/game/pokemon-silver-tempest/collector-chest-fall-2022" TargetMode="External" Id="rId2193" /><Relationship Type="http://schemas.openxmlformats.org/officeDocument/2006/relationships/hyperlink" Target="https://www.pricecharting.com/game/pokemon-silver-tempest/elite-trainer-box-pokemon-center" TargetMode="External" Id="rId2194" /><Relationship Type="http://schemas.openxmlformats.org/officeDocument/2006/relationships/hyperlink" Target="https://www.tcgplayer.com/product/678055" TargetMode="External" Id="rId2195" /><Relationship Type="http://schemas.openxmlformats.org/officeDocument/2006/relationships/hyperlink" Target="https://www.tcgplayer.com/product/267038" TargetMode="External" Id="rId2196" /><Relationship Type="http://schemas.openxmlformats.org/officeDocument/2006/relationships/hyperlink" Target="https://www.pricecharting.com/game/pokemon-burning-shadows/elite-trainer-box" TargetMode="External" Id="rId2197" /><Relationship Type="http://schemas.openxmlformats.org/officeDocument/2006/relationships/hyperlink" Target="https://www.tcgplayer.com/product/133776" TargetMode="External" Id="rId2198" /><Relationship Type="http://schemas.openxmlformats.org/officeDocument/2006/relationships/hyperlink" Target="https://www.tcgplayer.com/product/139888" TargetMode="External" Id="rId2199" /><Relationship Type="http://schemas.openxmlformats.org/officeDocument/2006/relationships/hyperlink" Target="https://www.tcgplayer.com/product/148154" TargetMode="External" Id="rId2200" /><Relationship Type="http://schemas.openxmlformats.org/officeDocument/2006/relationships/hyperlink" Target="https://www.tcgplayer.com/product/218321" TargetMode="External" Id="rId2201" /><Relationship Type="http://schemas.openxmlformats.org/officeDocument/2006/relationships/hyperlink" Target="https://www.pricecharting.com/game/pokemon-burning-shadows/mysterious-powers-tin-ho-oh-gx" TargetMode="External" Id="rId2202" /><Relationship Type="http://schemas.openxmlformats.org/officeDocument/2006/relationships/hyperlink" Target="https://www.tcgplayer.com/product/148418" TargetMode="External" Id="rId2203" /><Relationship Type="http://schemas.openxmlformats.org/officeDocument/2006/relationships/hyperlink" Target="https://www.tcgplayer.com/product/148419" TargetMode="External" Id="rId2204" /><Relationship Type="http://schemas.openxmlformats.org/officeDocument/2006/relationships/hyperlink" Target="https://www.tcgplayer.com/product/133775" TargetMode="External" Id="rId2205" /><Relationship Type="http://schemas.openxmlformats.org/officeDocument/2006/relationships/hyperlink" Target="https://www.tcgplayer.com/product/141243" TargetMode="External" Id="rId2206" /><Relationship Type="http://schemas.openxmlformats.org/officeDocument/2006/relationships/hyperlink" Target="https://www.tcgplayer.com/product/267042" TargetMode="External" Id="rId2207" /><Relationship Type="http://schemas.openxmlformats.org/officeDocument/2006/relationships/hyperlink" Target="https://www.tcgplayer.com/product/170280" TargetMode="External" Id="rId2208" /><Relationship Type="http://schemas.openxmlformats.org/officeDocument/2006/relationships/hyperlink" Target="https://www.pricecharting.com/game/pokemon-celestial-storm/evolution-celebration-tin-leafeon-gx" TargetMode="External" Id="rId2209" /><Relationship Type="http://schemas.openxmlformats.org/officeDocument/2006/relationships/hyperlink" Target="https://www.tcgplayer.com/product/175556" TargetMode="External" Id="rId2210" /><Relationship Type="http://schemas.openxmlformats.org/officeDocument/2006/relationships/hyperlink" Target="https://www.pricecharting.com/game/pokemon-celestial-storm/evolution-celebration-tin-sylveon-gx" TargetMode="External" Id="rId2211" /><Relationship Type="http://schemas.openxmlformats.org/officeDocument/2006/relationships/hyperlink" Target="https://www.tcgplayer.com/product/175557" TargetMode="External" Id="rId2212" /><Relationship Type="http://schemas.openxmlformats.org/officeDocument/2006/relationships/hyperlink" Target="https://www.tcgplayer.com/product/175559" TargetMode="External" Id="rId2213" /><Relationship Type="http://schemas.openxmlformats.org/officeDocument/2006/relationships/hyperlink" Target="https://www.tcgplayer.com/product/175558" TargetMode="External" Id="rId2214" /><Relationship Type="http://schemas.openxmlformats.org/officeDocument/2006/relationships/hyperlink" Target="https://www.pricecharting.com/game/pokemon-cosmic-eclipse/3-pack-blister-celebi" TargetMode="External" Id="rId2215" /><Relationship Type="http://schemas.openxmlformats.org/officeDocument/2006/relationships/hyperlink" Target="https://www.tcgplayer.com/product/199767" TargetMode="External" Id="rId2216" /><Relationship Type="http://schemas.openxmlformats.org/officeDocument/2006/relationships/hyperlink" Target="https://www.tcgplayer.com/product/267047" TargetMode="External" Id="rId2217" /><Relationship Type="http://schemas.openxmlformats.org/officeDocument/2006/relationships/hyperlink" Target="https://www.pricecharting.com/game/pokemon-cosmic-eclipse/build-&amp;-battle-box" TargetMode="External" Id="rId2218" /><Relationship Type="http://schemas.openxmlformats.org/officeDocument/2006/relationships/hyperlink" Target="https://www.tcgplayer.com/product/199310" TargetMode="External" Id="rId2219" /><Relationship Type="http://schemas.openxmlformats.org/officeDocument/2006/relationships/hyperlink" Target="https://www.pricecharting.com/game/pokemon-cosmic-eclipse/elite-trainer-box" TargetMode="External" Id="rId2220" /><Relationship Type="http://schemas.openxmlformats.org/officeDocument/2006/relationships/hyperlink" Target="https://www.tcgplayer.com/product/199308" TargetMode="External" Id="rId2221" /><Relationship Type="http://schemas.openxmlformats.org/officeDocument/2006/relationships/hyperlink" Target="https://www.tcgplayer.com/product/276587" TargetMode="External" Id="rId2222" /><Relationship Type="http://schemas.openxmlformats.org/officeDocument/2006/relationships/hyperlink" Target="https://www.pricecharting.com/game/pokemon-cosmic-eclipse/pikachu-gx-&amp;-eevee-gx-special-collection" TargetMode="External" Id="rId2223" /><Relationship Type="http://schemas.openxmlformats.org/officeDocument/2006/relationships/hyperlink" Target="https://www.tcgplayer.com/product/199772" TargetMode="External" Id="rId2224" /><Relationship Type="http://schemas.openxmlformats.org/officeDocument/2006/relationships/hyperlink" Target="https://www.tcgplayer.com/product/267039" TargetMode="External" Id="rId2225" /><Relationship Type="http://schemas.openxmlformats.org/officeDocument/2006/relationships/hyperlink" Target="https://www.pricecharting.com/game/pokemon-crimson-invasion/elite-trainer-box" TargetMode="External" Id="rId2226" /><Relationship Type="http://schemas.openxmlformats.org/officeDocument/2006/relationships/hyperlink" Target="https://www.tcgplayer.com/product/149377" TargetMode="External" Id="rId2227" /><Relationship Type="http://schemas.openxmlformats.org/officeDocument/2006/relationships/hyperlink" Target="https://www.tcgplayer.com/product/153081" TargetMode="External" Id="rId2228" /><Relationship Type="http://schemas.openxmlformats.org/officeDocument/2006/relationships/hyperlink" Target="https://www.tcgplayer.com/product/155061" TargetMode="External" Id="rId2229" /><Relationship Type="http://schemas.openxmlformats.org/officeDocument/2006/relationships/hyperlink" Target="https://www.tcgplayer.com/product/152602" TargetMode="External" Id="rId2230" /><Relationship Type="http://schemas.openxmlformats.org/officeDocument/2006/relationships/hyperlink" Target="https://www.tcgplayer.com/product/166410" TargetMode="External" Id="rId2231" /><Relationship Type="http://schemas.openxmlformats.org/officeDocument/2006/relationships/hyperlink" Target="https://www.pricecharting.com/game/pokemon-crimson-invasion/pikachu-sidekick-collection" TargetMode="External" Id="rId2232" /><Relationship Type="http://schemas.openxmlformats.org/officeDocument/2006/relationships/hyperlink" Target="https://www.tcgplayer.com/product/166409" TargetMode="External" Id="rId2233" /><Relationship Type="http://schemas.openxmlformats.org/officeDocument/2006/relationships/hyperlink" Target="https://www.tcgplayer.com/product/152598" TargetMode="External" Id="rId2234" /><Relationship Type="http://schemas.openxmlformats.org/officeDocument/2006/relationships/hyperlink" Target="https://www.tcgplayer.com/product/152601" TargetMode="External" Id="rId2235" /><Relationship Type="http://schemas.openxmlformats.org/officeDocument/2006/relationships/hyperlink" Target="https://www.tcgplayer.com/product/149376" TargetMode="External" Id="rId2236" /><Relationship Type="http://schemas.openxmlformats.org/officeDocument/2006/relationships/hyperlink" Target="https://www.pricecharting.com/game/pokemon-crimson-invasion/ultra-beasts-gx-premium-collection-pheromosa-gx-&amp;-celesteela-gx" TargetMode="External" Id="rId2237" /><Relationship Type="http://schemas.openxmlformats.org/officeDocument/2006/relationships/hyperlink" Target="https://www.tcgplayer.com/product/149375" TargetMode="External" Id="rId2238" /><Relationship Type="http://schemas.openxmlformats.org/officeDocument/2006/relationships/hyperlink" Target="https://www.pricecharting.com/game/pokemon-forbidden-light/dawn-wings-necrozma-premium-collection" TargetMode="External" Id="rId2239" /><Relationship Type="http://schemas.openxmlformats.org/officeDocument/2006/relationships/hyperlink" Target="https://www.tcgplayer.com/product/164314" TargetMode="External" Id="rId2240" /><Relationship Type="http://schemas.openxmlformats.org/officeDocument/2006/relationships/hyperlink" Target="https://www.pricecharting.com/game/pokemon-forbidden-light/dusk-mane-necrozma-box" TargetMode="External" Id="rId2241" /><Relationship Type="http://schemas.openxmlformats.org/officeDocument/2006/relationships/hyperlink" Target="https://www.tcgplayer.com/product/246415" TargetMode="External" Id="rId2242" /><Relationship Type="http://schemas.openxmlformats.org/officeDocument/2006/relationships/hyperlink" Target="https://www.pricecharting.com/game/pokemon-forbidden-light/dusk-mane-necrozma-premium-collection" TargetMode="External" Id="rId2243" /><Relationship Type="http://schemas.openxmlformats.org/officeDocument/2006/relationships/hyperlink" Target="https://www.tcgplayer.com/product/164315" TargetMode="External" Id="rId2244" /><Relationship Type="http://schemas.openxmlformats.org/officeDocument/2006/relationships/hyperlink" Target="https://www.tcgplayer.com/product/267041" TargetMode="External" Id="rId2245" /><Relationship Type="http://schemas.openxmlformats.org/officeDocument/2006/relationships/hyperlink" Target="https://www.pricecharting.com/game/pokemon-forbidden-light/elite-trainer-box" TargetMode="External" Id="rId2246" /><Relationship Type="http://schemas.openxmlformats.org/officeDocument/2006/relationships/hyperlink" Target="https://www.tcgplayer.com/product/164303" TargetMode="External" Id="rId2247" /><Relationship Type="http://schemas.openxmlformats.org/officeDocument/2006/relationships/hyperlink" Target="https://www.tcgplayer.com/product/166413" TargetMode="External" Id="rId2248" /><Relationship Type="http://schemas.openxmlformats.org/officeDocument/2006/relationships/hyperlink" Target="https://www.tcgplayer.com/product/169414" TargetMode="External" Id="rId2249" /><Relationship Type="http://schemas.openxmlformats.org/officeDocument/2006/relationships/hyperlink" Target="https://www.pricecharting.com/game/pokemon-guardians-rising/bewear-gx-box" TargetMode="External" Id="rId2250" /><Relationship Type="http://schemas.openxmlformats.org/officeDocument/2006/relationships/hyperlink" Target="https://www.tcgplayer.com/product/132238" TargetMode="External" Id="rId2251" /><Relationship Type="http://schemas.openxmlformats.org/officeDocument/2006/relationships/hyperlink" Target="https://www.tcgplayer.com/product/137523" TargetMode="External" Id="rId2252" /><Relationship Type="http://schemas.openxmlformats.org/officeDocument/2006/relationships/hyperlink" Target="https://www.pricecharting.com/game/pokemon-guardians-rising/3-pack-blister-turtonator" TargetMode="External" Id="rId2253" /><Relationship Type="http://schemas.openxmlformats.org/officeDocument/2006/relationships/hyperlink" Target="https://www.tcgplayer.com/product/184340" TargetMode="External" Id="rId2254" /><Relationship Type="http://schemas.openxmlformats.org/officeDocument/2006/relationships/hyperlink" Target="https://www.tcgplayer.com/product/267037" TargetMode="External" Id="rId2255" /><Relationship Type="http://schemas.openxmlformats.org/officeDocument/2006/relationships/hyperlink" Target="https://www.pricecharting.com/game/pokemon-guardians-rising/elite-trainer-box" TargetMode="External" Id="rId2256" /><Relationship Type="http://schemas.openxmlformats.org/officeDocument/2006/relationships/hyperlink" Target="https://www.tcgplayer.com/product/129890" TargetMode="External" Id="rId2257" /><Relationship Type="http://schemas.openxmlformats.org/officeDocument/2006/relationships/hyperlink" Target="https://www.tcgplayer.com/product/131273" TargetMode="External" Id="rId2258" /><Relationship Type="http://schemas.openxmlformats.org/officeDocument/2006/relationships/hyperlink" Target="https://www.tcgplayer.com/product/276578" TargetMode="External" Id="rId2259" /><Relationship Type="http://schemas.openxmlformats.org/officeDocument/2006/relationships/hyperlink" Target="https://www.tcgplayer.com/product/133807" TargetMode="External" Id="rId2260" /><Relationship Type="http://schemas.openxmlformats.org/officeDocument/2006/relationships/hyperlink" Target="https://www.tcgplayer.com/product/131726" TargetMode="External" Id="rId2261" /><Relationship Type="http://schemas.openxmlformats.org/officeDocument/2006/relationships/hyperlink" Target="https://www.tcgplayer.com/product/131725" TargetMode="External" Id="rId2262" /><Relationship Type="http://schemas.openxmlformats.org/officeDocument/2006/relationships/hyperlink" Target="https://www.tcgplayer.com/product/218328" TargetMode="External" Id="rId2263" /><Relationship Type="http://schemas.openxmlformats.org/officeDocument/2006/relationships/hyperlink" Target="https://www.tcgplayer.com/product/131693" TargetMode="External" Id="rId2264" /><Relationship Type="http://schemas.openxmlformats.org/officeDocument/2006/relationships/hyperlink" Target="https://www.tcgplayer.com/product/133808" TargetMode="External" Id="rId2265" /><Relationship Type="http://schemas.openxmlformats.org/officeDocument/2006/relationships/hyperlink" Target="https://www.tcgplayer.com/product/133809" TargetMode="External" Id="rId2266" /><Relationship Type="http://schemas.openxmlformats.org/officeDocument/2006/relationships/hyperlink" Target="https://www.tcgplayer.com/product/133805" TargetMode="External" Id="rId2267" /><Relationship Type="http://schemas.openxmlformats.org/officeDocument/2006/relationships/hyperlink" Target="https://www.pricecharting.com/game/pokemon-guardians-rising/shiny-tapu-koko-gx-box" TargetMode="External" Id="rId2268" /><Relationship Type="http://schemas.openxmlformats.org/officeDocument/2006/relationships/hyperlink" Target="https://www.tcgplayer.com/product/137872" TargetMode="External" Id="rId2269" /><Relationship Type="http://schemas.openxmlformats.org/officeDocument/2006/relationships/hyperlink" Target="https://www.tcgplayer.com/product/218327" TargetMode="External" Id="rId2270" /><Relationship Type="http://schemas.openxmlformats.org/officeDocument/2006/relationships/hyperlink" Target="https://www.pricecharting.com/game/pokemon-guardians-rising/tapu-koko-pin-collection" TargetMode="External" Id="rId2271" /><Relationship Type="http://schemas.openxmlformats.org/officeDocument/2006/relationships/hyperlink" Target="https://www.tcgplayer.com/product/132237" TargetMode="External" Id="rId2272" /><Relationship Type="http://schemas.openxmlformats.org/officeDocument/2006/relationships/hyperlink" Target="https://www.tcgplayer.com/product/177868" TargetMode="External" Id="rId2273" /><Relationship Type="http://schemas.openxmlformats.org/officeDocument/2006/relationships/hyperlink" Target="https://www.tcgplayer.com/product/177869" TargetMode="External" Id="rId2274" /><Relationship Type="http://schemas.openxmlformats.org/officeDocument/2006/relationships/hyperlink" Target="https://www.pricecharting.com/game/pokemon-guardians-rising/umbreon-gx-premium-collection" TargetMode="External" Id="rId2275" /><Relationship Type="http://schemas.openxmlformats.org/officeDocument/2006/relationships/hyperlink" Target="https://www.tcgplayer.com/product/137524" TargetMode="External" Id="rId2276" /><Relationship Type="http://schemas.openxmlformats.org/officeDocument/2006/relationships/hyperlink" Target="https://www.tcgplayer.com/product/180518" TargetMode="External" Id="rId2277" /><Relationship Type="http://schemas.openxmlformats.org/officeDocument/2006/relationships/hyperlink" Target="https://www.tcgplayer.com/product/181708" TargetMode="External" Id="rId2278" /><Relationship Type="http://schemas.openxmlformats.org/officeDocument/2006/relationships/hyperlink" Target="https://www.tcgplayer.com/product/177864" TargetMode="External" Id="rId2279" /><Relationship Type="http://schemas.openxmlformats.org/officeDocument/2006/relationships/hyperlink" Target="https://www.tcgplayer.com/product/181707" TargetMode="External" Id="rId2280" /><Relationship Type="http://schemas.openxmlformats.org/officeDocument/2006/relationships/hyperlink" Target="https://www.tcgplayer.com/product/181709" TargetMode="External" Id="rId2281" /><Relationship Type="http://schemas.openxmlformats.org/officeDocument/2006/relationships/hyperlink" Target="https://www.tcgplayer.com/product/267043" TargetMode="External" Id="rId2282" /><Relationship Type="http://schemas.openxmlformats.org/officeDocument/2006/relationships/hyperlink" Target="https://www.pricecharting.com/game/pokemon-lost-thunder/build-&amp;-battle-box" TargetMode="External" Id="rId2283" /><Relationship Type="http://schemas.openxmlformats.org/officeDocument/2006/relationships/hyperlink" Target="https://www.tcgplayer.com/product/179423" TargetMode="External" Id="rId2284" /><Relationship Type="http://schemas.openxmlformats.org/officeDocument/2006/relationships/hyperlink" Target="https://www.pricecharting.com/game/pokemon-lost-thunder/elite-trainer-box" TargetMode="External" Id="rId2285" /><Relationship Type="http://schemas.openxmlformats.org/officeDocument/2006/relationships/hyperlink" Target="https://www.tcgplayer.com/product/175511" TargetMode="External" Id="rId2286" /><Relationship Type="http://schemas.openxmlformats.org/officeDocument/2006/relationships/hyperlink" Target="https://www.tcgplayer.com/product/181710" TargetMode="External" Id="rId2287" /><Relationship Type="http://schemas.openxmlformats.org/officeDocument/2006/relationships/hyperlink" Target="https://www.tcgplayer.com/product/185246" TargetMode="External" Id="rId2288" /><Relationship Type="http://schemas.openxmlformats.org/officeDocument/2006/relationships/hyperlink" Target="https://www.tcgplayer.com/product/185256" TargetMode="External" Id="rId2289" /><Relationship Type="http://schemas.openxmlformats.org/officeDocument/2006/relationships/hyperlink" Target="https://www.tcgplayer.com/product/185257" TargetMode="External" Id="rId2290" /><Relationship Type="http://schemas.openxmlformats.org/officeDocument/2006/relationships/hyperlink" Target="https://www.tcgplayer.com/product/185258" TargetMode="External" Id="rId2291" /><Relationship Type="http://schemas.openxmlformats.org/officeDocument/2006/relationships/hyperlink" Target="https://www.tcgplayer.com/product/267044" TargetMode="External" Id="rId2292" /><Relationship Type="http://schemas.openxmlformats.org/officeDocument/2006/relationships/hyperlink" Target="https://www.pricecharting.com/game/pokemon-team-up/elite-trainer-box" TargetMode="External" Id="rId2293" /><Relationship Type="http://schemas.openxmlformats.org/officeDocument/2006/relationships/hyperlink" Target="https://www.tcgplayer.com/product/181704" TargetMode="External" Id="rId2294" /><Relationship Type="http://schemas.openxmlformats.org/officeDocument/2006/relationships/hyperlink" Target="https://www.tcgplayer.com/product/183975" TargetMode="External" Id="rId2295" /><Relationship Type="http://schemas.openxmlformats.org/officeDocument/2006/relationships/hyperlink" Target="https://www.tcgplayer.com/product/276584" TargetMode="External" Id="rId2296" /><Relationship Type="http://schemas.openxmlformats.org/officeDocument/2006/relationships/hyperlink" Target="https://www.pricecharting.com/game/pokemon-team-up/towering-splash-gx-box" TargetMode="External" Id="rId2297" /><Relationship Type="http://schemas.openxmlformats.org/officeDocument/2006/relationships/hyperlink" Target="https://www.tcgplayer.com/product/181693" TargetMode="External" Id="rId2298" /><Relationship Type="http://schemas.openxmlformats.org/officeDocument/2006/relationships/hyperlink" Target="https://www.pricecharting.com/game/pokemon-ultra-prism/charmander-sidekick-collection" TargetMode="External" Id="rId2299" /><Relationship Type="http://schemas.openxmlformats.org/officeDocument/2006/relationships/hyperlink" Target="https://www.tcgplayer.com/product/186105" TargetMode="External" Id="rId2300" /><Relationship Type="http://schemas.openxmlformats.org/officeDocument/2006/relationships/hyperlink" Target="https://www.tcgplayer.com/product/164232" TargetMode="External" Id="rId2301" /><Relationship Type="http://schemas.openxmlformats.org/officeDocument/2006/relationships/hyperlink" Target="https://www.tcgplayer.com/product/161256" TargetMode="External" Id="rId2302" /><Relationship Type="http://schemas.openxmlformats.org/officeDocument/2006/relationships/hyperlink" Target="https://www.tcgplayer.com/product/162046" TargetMode="External" Id="rId2303" /><Relationship Type="http://schemas.openxmlformats.org/officeDocument/2006/relationships/hyperlink" Target="https://www.tcgplayer.com/product/162045" TargetMode="External" Id="rId2304" /><Relationship Type="http://schemas.openxmlformats.org/officeDocument/2006/relationships/hyperlink" Target="https://www.pricecharting.com/game/pokemon-ultra-prism/3-pack-hanger-box" TargetMode="External" Id="rId2305" /><Relationship Type="http://schemas.openxmlformats.org/officeDocument/2006/relationships/hyperlink" Target="https://www.tcgplayer.com/product/232314" TargetMode="External" Id="rId2306" /><Relationship Type="http://schemas.openxmlformats.org/officeDocument/2006/relationships/hyperlink" Target="https://www.tcgplayer.com/product/267040" TargetMode="External" Id="rId2307" /><Relationship Type="http://schemas.openxmlformats.org/officeDocument/2006/relationships/hyperlink" Target="https://www.pricecharting.com/game/pokemon-ultra-prism/elite-trainer-box-dawn-wings-necrozma" TargetMode="External" Id="rId2308" /><Relationship Type="http://schemas.openxmlformats.org/officeDocument/2006/relationships/hyperlink" Target="https://www.tcgplayer.com/product/155663" TargetMode="External" Id="rId2309" /><Relationship Type="http://schemas.openxmlformats.org/officeDocument/2006/relationships/hyperlink" Target="https://www.pricecharting.com/game/pokemon-ultra-prism/elite-trainer-box-dusk-mane-necrozma" TargetMode="External" Id="rId2310" /><Relationship Type="http://schemas.openxmlformats.org/officeDocument/2006/relationships/hyperlink" Target="https://www.tcgplayer.com/product/155664" TargetMode="External" Id="rId2311" /><Relationship Type="http://schemas.openxmlformats.org/officeDocument/2006/relationships/hyperlink" Target="https://www.tcgplayer.com/product/158254" TargetMode="External" Id="rId2312" /><Relationship Type="http://schemas.openxmlformats.org/officeDocument/2006/relationships/hyperlink" Target="https://www.tcgplayer.com/product/276581" TargetMode="External" Id="rId2313" /><Relationship Type="http://schemas.openxmlformats.org/officeDocument/2006/relationships/hyperlink" Target="https://www.tcgplayer.com/product/189658" TargetMode="External" Id="rId2314" /><Relationship Type="http://schemas.openxmlformats.org/officeDocument/2006/relationships/hyperlink" Target="https://www.tcgplayer.com/product/192083" TargetMode="External" Id="rId2315" /><Relationship Type="http://schemas.openxmlformats.org/officeDocument/2006/relationships/hyperlink" Target="https://www.pricecharting.com/game/pokemon-unbroken-bonds/reshiram-&amp;-charizard-gx-figure-collection" TargetMode="External" Id="rId2316" /><Relationship Type="http://schemas.openxmlformats.org/officeDocument/2006/relationships/hyperlink" Target="https://www.tcgplayer.com/product/194597" TargetMode="External" Id="rId2317" /><Relationship Type="http://schemas.openxmlformats.org/officeDocument/2006/relationships/hyperlink" Target="https://www.tcgplayer.com/product/267045" TargetMode="External" Id="rId2318" /><Relationship Type="http://schemas.openxmlformats.org/officeDocument/2006/relationships/hyperlink" Target="https://www.pricecharting.com/game/pokemon-unbroken-bonds/elite-trainer-box" TargetMode="External" Id="rId2319" /><Relationship Type="http://schemas.openxmlformats.org/officeDocument/2006/relationships/hyperlink" Target="https://www.tcgplayer.com/product/185719" TargetMode="External" Id="rId2320" /><Relationship Type="http://schemas.openxmlformats.org/officeDocument/2006/relationships/hyperlink" Target="https://www.tcgplayer.com/product/189823" TargetMode="External" Id="rId2321" /><Relationship Type="http://schemas.openxmlformats.org/officeDocument/2006/relationships/hyperlink" Target="https://www.tcgplayer.com/product/276585" TargetMode="External" Id="rId2322" /><Relationship Type="http://schemas.openxmlformats.org/officeDocument/2006/relationships/hyperlink" Target="https://www.tcgplayer.com/product/198528" TargetMode="External" Id="rId2323" /><Relationship Type="http://schemas.openxmlformats.org/officeDocument/2006/relationships/hyperlink" Target="https://www.tcgplayer.com/product/198521" TargetMode="External" Id="rId2324" /><Relationship Type="http://schemas.openxmlformats.org/officeDocument/2006/relationships/hyperlink" Target="https://www.tcgplayer.com/product/194737" TargetMode="External" Id="rId2325" /><Relationship Type="http://schemas.openxmlformats.org/officeDocument/2006/relationships/hyperlink" Target="https://www.tcgplayer.com/product/194736" TargetMode="External" Id="rId2326" /><Relationship Type="http://schemas.openxmlformats.org/officeDocument/2006/relationships/hyperlink" Target="https://www.tcgplayer.com/product/194735" TargetMode="External" Id="rId2327" /><Relationship Type="http://schemas.openxmlformats.org/officeDocument/2006/relationships/hyperlink" Target="https://www.tcgplayer.com/product/195611" TargetMode="External" Id="rId2328" /><Relationship Type="http://schemas.openxmlformats.org/officeDocument/2006/relationships/hyperlink" Target="https://www.tcgplayer.com/product/267046" TargetMode="External" Id="rId2329" /><Relationship Type="http://schemas.openxmlformats.org/officeDocument/2006/relationships/hyperlink" Target="https://www.pricecharting.com/game/pokemon-unified-minds/elite-trainer-box" TargetMode="External" Id="rId2330" /><Relationship Type="http://schemas.openxmlformats.org/officeDocument/2006/relationships/hyperlink" Target="https://www.tcgplayer.com/product/193052" TargetMode="External" Id="rId2331" /><Relationship Type="http://schemas.openxmlformats.org/officeDocument/2006/relationships/hyperlink" Target="https://www.tcgplayer.com/product/195612" TargetMode="External" Id="rId2332" /><Relationship Type="http://schemas.openxmlformats.org/officeDocument/2006/relationships/hyperlink" Target="https://www.tcgplayer.com/product/276586" TargetMode="External" Id="rId2333" /><Relationship Type="http://schemas.openxmlformats.org/officeDocument/2006/relationships/hyperlink" Target="https://www.tcgplayer.com/product/230425" TargetMode="External" Id="rId2334" /><Relationship Type="http://schemas.openxmlformats.org/officeDocument/2006/relationships/hyperlink" Target="https://www.tcgplayer.com/product/148381" TargetMode="External" Id="rId2335" /><Relationship Type="http://schemas.openxmlformats.org/officeDocument/2006/relationships/hyperlink" Target="https://www.tcgplayer.com/product/129310" TargetMode="External" Id="rId2336" /><Relationship Type="http://schemas.openxmlformats.org/officeDocument/2006/relationships/hyperlink" Target="https://www.tcgplayer.com/product/129309" TargetMode="External" Id="rId2337" /><Relationship Type="http://schemas.openxmlformats.org/officeDocument/2006/relationships/hyperlink" Target="https://www.tcgplayer.com/product/131865" TargetMode="External" Id="rId2338" /><Relationship Type="http://schemas.openxmlformats.org/officeDocument/2006/relationships/hyperlink" Target="https://www.tcgplayer.com/product/129896" TargetMode="External" Id="rId2339" /><Relationship Type="http://schemas.openxmlformats.org/officeDocument/2006/relationships/hyperlink" Target="https://www.tcgplayer.com/product/129895" TargetMode="External" Id="rId2340" /><Relationship Type="http://schemas.openxmlformats.org/officeDocument/2006/relationships/hyperlink" Target="https://www.tcgplayer.com/product/131870" TargetMode="External" Id="rId2341" /><Relationship Type="http://schemas.openxmlformats.org/officeDocument/2006/relationships/hyperlink" Target="https://www.tcgplayer.com/product/267036" TargetMode="External" Id="rId2342" /><Relationship Type="http://schemas.openxmlformats.org/officeDocument/2006/relationships/hyperlink" Target="https://www.tcgplayer.com/product/126091" TargetMode="External" Id="rId2343" /><Relationship Type="http://schemas.openxmlformats.org/officeDocument/2006/relationships/hyperlink" Target="https://www.tcgplayer.com/product/126089" TargetMode="External" Id="rId2344" /><Relationship Type="http://schemas.openxmlformats.org/officeDocument/2006/relationships/hyperlink" Target="https://www.tcgplayer.com/product/244314" TargetMode="External" Id="rId2345" /><Relationship Type="http://schemas.openxmlformats.org/officeDocument/2006/relationships/hyperlink" Target="https://www.tcgplayer.com/product/206409" TargetMode="External" Id="rId2346" /><Relationship Type="http://schemas.openxmlformats.org/officeDocument/2006/relationships/hyperlink" Target="https://www.tcgplayer.com/product/455776" TargetMode="External" Id="rId2347" /><Relationship Type="http://schemas.openxmlformats.org/officeDocument/2006/relationships/hyperlink" Target="https://www.tcgplayer.com/product/576965" TargetMode="External" Id="rId2348" /><Relationship Type="http://schemas.openxmlformats.org/officeDocument/2006/relationships/hyperlink" Target="https://www.tcgplayer.com/product/701545" TargetMode="External" Id="rId2349" /><Relationship Type="http://schemas.openxmlformats.org/officeDocument/2006/relationships/hyperlink" Target="https://www.tcgplayer.com/product/701544" TargetMode="External" Id="rId2350" /><Relationship Type="http://schemas.openxmlformats.org/officeDocument/2006/relationships/hyperlink" Target="https://www.tcgplayer.com/product/701543" TargetMode="External" Id="rId2351" /><Relationship Type="http://schemas.openxmlformats.org/officeDocument/2006/relationships/hyperlink" Target="https://www.tcgplayer.com/product/701539" TargetMode="External" Id="rId2352" /><Relationship Type="http://schemas.openxmlformats.org/officeDocument/2006/relationships/hyperlink" Target="https://www.tcgplayer.com/product/701538" TargetMode="External" Id="rId2353" /><Relationship Type="http://schemas.openxmlformats.org/officeDocument/2006/relationships/hyperlink" Target="https://www.tcgplayer.com/product/701546" TargetMode="External" Id="rId2354" /><Relationship Type="http://schemas.openxmlformats.org/officeDocument/2006/relationships/hyperlink" Target="https://www.tcgplayer.com/product/610709" TargetMode="External" Id="rId2355" /><Relationship Type="http://schemas.openxmlformats.org/officeDocument/2006/relationships/hyperlink" Target="https://www.pricecharting.com/game/pokemon-southern-islands/collection-box" TargetMode="External" Id="rId2356" /><Relationship Type="http://schemas.openxmlformats.org/officeDocument/2006/relationships/hyperlink" Target="https://www.tcgplayer.com/product/688627" TargetMode="External" Id="rId2357" /><Relationship Type="http://schemas.openxmlformats.org/officeDocument/2006/relationships/hyperlink" Target="https://www.tcgplayer.com/product/659614" TargetMode="External" Id="rId2358" /><Relationship Type="http://schemas.openxmlformats.org/officeDocument/2006/relationships/hyperlink" Target="https://www.tcgplayer.com/product/657845" TargetMode="External" Id="rId2359" /><Relationship Type="http://schemas.openxmlformats.org/officeDocument/2006/relationships/hyperlink" Target="https://www.tcgplayer.com/product/650760" TargetMode="External" Id="rId2360" /><Relationship Type="http://schemas.openxmlformats.org/officeDocument/2006/relationships/hyperlink" Target="https://www.tcgplayer.com/product/650419" TargetMode="External" Id="rId2361" /><Relationship Type="http://schemas.openxmlformats.org/officeDocument/2006/relationships/hyperlink" Target="https://www.pricecharting.com/game/pokemon-steam-siege/elite-trainer-box" TargetMode="External" Id="rId2362" /><Relationship Type="http://schemas.openxmlformats.org/officeDocument/2006/relationships/hyperlink" Target="https://www.pricecharting.com/game/pokemon-stellar-crown/booster-bundle" TargetMode="External" Id="rId2363" /><Relationship Type="http://schemas.openxmlformats.org/officeDocument/2006/relationships/hyperlink" Target="https://www.pricecharting.com/game/pokemon-stellar-crown/build-and-battle-box" TargetMode="External" Id="rId2364" /><Relationship Type="http://schemas.openxmlformats.org/officeDocument/2006/relationships/hyperlink" Target="https://www.pricecharting.com/game/pokemon-stellar-crown/elite-trainer-box" TargetMode="External" Id="rId2365" /><Relationship Type="http://schemas.openxmlformats.org/officeDocument/2006/relationships/hyperlink" Target="https://www.pricecharting.com/game/pokemon-stellar-crown/elite-trainer-box-pokemon-center" TargetMode="External" Id="rId2366" /><Relationship Type="http://schemas.openxmlformats.org/officeDocument/2006/relationships/hyperlink" Target="https://www.pricecharting.com/game/pokemon-stormfront/2-pack-blister" TargetMode="External" Id="rId2367" /><Relationship Type="http://schemas.openxmlformats.org/officeDocument/2006/relationships/hyperlink" Target="https://www.pricecharting.com/game/pokemon-stormfront/3-pack-blister" TargetMode="External" Id="rId2368" /><Relationship Type="http://schemas.openxmlformats.org/officeDocument/2006/relationships/hyperlink" Target="https://www.pricecharting.com/game/pokemon-supreme-victors/poster-pack-box" TargetMode="External" Id="rId2369" /><Relationship Type="http://schemas.openxmlformats.org/officeDocument/2006/relationships/hyperlink" Target="https://www.pricecharting.com/game/pokemon-supreme-victors/regigigas-3-pack-blister" TargetMode="External" Id="rId2370" /><Relationship Type="http://schemas.openxmlformats.org/officeDocument/2006/relationships/hyperlink" Target="https://www.pricecharting.com/game/pokemon-surging-sparks/bloodmoon-ursaluna-ex-box" TargetMode="External" Id="rId2371" /><Relationship Type="http://schemas.openxmlformats.org/officeDocument/2006/relationships/hyperlink" Target="https://www.pricecharting.com/game/pokemon-surging-sparks/booster-bundle" TargetMode="External" Id="rId2372" /><Relationship Type="http://schemas.openxmlformats.org/officeDocument/2006/relationships/hyperlink" Target="https://www.pricecharting.com/game/pokemon-surging-sparks/costco-2-pack-trainer-box-&amp;-booster-bundle" TargetMode="External" Id="rId2373" /><Relationship Type="http://schemas.openxmlformats.org/officeDocument/2006/relationships/hyperlink" Target="https://www.pricecharting.com/game/pokemon-surging-sparks/elite-trainer-box-pokemon-center" TargetMode="External" Id="rId2374" /><Relationship Type="http://schemas.openxmlformats.org/officeDocument/2006/relationships/hyperlink" Target="https://www.pricecharting.com/game/pokemon-surging-sparks/grand-adventure-collection" TargetMode="External" Id="rId2375" /><Relationship Type="http://schemas.openxmlformats.org/officeDocument/2006/relationships/hyperlink" Target="https://www.pricecharting.com/game/pokemon-surging-sparks/meddling-sparks-premium-collection-box" TargetMode="External" Id="rId2376" /><Relationship Type="http://schemas.openxmlformats.org/officeDocument/2006/relationships/hyperlink" Target="https://www.tcgplayer.com/product/478258" TargetMode="External" Id="rId2377" /><Relationship Type="http://schemas.openxmlformats.org/officeDocument/2006/relationships/hyperlink" Target="https://www.tcgplayer.com/product/478759" TargetMode="External" Id="rId2378" /><Relationship Type="http://schemas.openxmlformats.org/officeDocument/2006/relationships/hyperlink" Target="https://www.tcgplayer.com/product/478253" TargetMode="External" Id="rId2379" /><Relationship Type="http://schemas.openxmlformats.org/officeDocument/2006/relationships/hyperlink" Target="https://www.tcgplayer.com/product/478257" TargetMode="External" Id="rId2380" /><Relationship Type="http://schemas.openxmlformats.org/officeDocument/2006/relationships/hyperlink" Target="https://www.tcgplayer.com/product/478335" TargetMode="External" Id="rId2381" /><Relationship Type="http://schemas.openxmlformats.org/officeDocument/2006/relationships/hyperlink" Target="https://www.tcgplayer.com/product/478336" TargetMode="External" Id="rId2382" /><Relationship Type="http://schemas.openxmlformats.org/officeDocument/2006/relationships/hyperlink" Target="https://www.tcgplayer.com/product/478758" TargetMode="External" Id="rId2383" /><Relationship Type="http://schemas.openxmlformats.org/officeDocument/2006/relationships/hyperlink" Target="https://www.tcgplayer.com/product/478756" TargetMode="External" Id="rId2384" /><Relationship Type="http://schemas.openxmlformats.org/officeDocument/2006/relationships/hyperlink" Target="https://www.tcgplayer.com/product/478274" TargetMode="External" Id="rId2385" /><Relationship Type="http://schemas.openxmlformats.org/officeDocument/2006/relationships/hyperlink" Target="https://www.tcgplayer.com/product/478275" TargetMode="External" Id="rId2386" /><Relationship Type="http://schemas.openxmlformats.org/officeDocument/2006/relationships/hyperlink" Target="https://www.pricecharting.com/game/pokemon-paldea-evolved/booster-bundle" TargetMode="External" Id="rId2387" /><Relationship Type="http://schemas.openxmlformats.org/officeDocument/2006/relationships/hyperlink" Target="https://www.tcgplayer.com/product/496914" TargetMode="External" Id="rId2388" /><Relationship Type="http://schemas.openxmlformats.org/officeDocument/2006/relationships/hyperlink" Target="https://www.pricecharting.com/game/pokemon-paldea-evolved/build-and-battle-box" TargetMode="External" Id="rId2389" /><Relationship Type="http://schemas.openxmlformats.org/officeDocument/2006/relationships/hyperlink" Target="https://www.tcgplayer.com/product/496929" TargetMode="External" Id="rId2390" /><Relationship Type="http://schemas.openxmlformats.org/officeDocument/2006/relationships/hyperlink" Target="https://www.pricecharting.com/game/pokemon-paldea-evolved/build-&amp;-battle-stadium" TargetMode="External" Id="rId2391" /><Relationship Type="http://schemas.openxmlformats.org/officeDocument/2006/relationships/hyperlink" Target="https://www.tcgplayer.com/product/496935" TargetMode="External" Id="rId2392" /><Relationship Type="http://schemas.openxmlformats.org/officeDocument/2006/relationships/hyperlink" Target="https://www.pricecharting.com/game/pokemon-paldea-evolved/elite-trainer-box" TargetMode="External" Id="rId2393" /><Relationship Type="http://schemas.openxmlformats.org/officeDocument/2006/relationships/hyperlink" Target="https://www.tcgplayer.com/product/493974" TargetMode="External" Id="rId2394" /><Relationship Type="http://schemas.openxmlformats.org/officeDocument/2006/relationships/hyperlink" Target="https://www.tcgplayer.com/product/493973" TargetMode="External" Id="rId2395" /><Relationship Type="http://schemas.openxmlformats.org/officeDocument/2006/relationships/hyperlink" Target="https://www.tcgplayer.com/product/502480" TargetMode="External" Id="rId2396" /><Relationship Type="http://schemas.openxmlformats.org/officeDocument/2006/relationships/hyperlink" Target="https://www.pricecharting.com/game/pokemon-obsidian-flames/booster-bundle" TargetMode="External" Id="rId2397" /><Relationship Type="http://schemas.openxmlformats.org/officeDocument/2006/relationships/hyperlink" Target="https://www.tcgplayer.com/product/501263" TargetMode="External" Id="rId2398" /><Relationship Type="http://schemas.openxmlformats.org/officeDocument/2006/relationships/hyperlink" Target="https://www.tcgplayer.com/product/515079" TargetMode="External" Id="rId2399" /><Relationship Type="http://schemas.openxmlformats.org/officeDocument/2006/relationships/hyperlink" Target="https://www.pricecharting.com/game/pokemon-obsidian-flames/build-and-battle-box" TargetMode="External" Id="rId2400" /><Relationship Type="http://schemas.openxmlformats.org/officeDocument/2006/relationships/hyperlink" Target="https://www.tcgplayer.com/product/501268" TargetMode="External" Id="rId2401" /><Relationship Type="http://schemas.openxmlformats.org/officeDocument/2006/relationships/hyperlink" Target="https://www.pricecharting.com/game/pokemon-obsidian-flames/elite-trainer-box" TargetMode="External" Id="rId2402" /><Relationship Type="http://schemas.openxmlformats.org/officeDocument/2006/relationships/hyperlink" Target="https://www.tcgplayer.com/product/501264" TargetMode="External" Id="rId2403" /><Relationship Type="http://schemas.openxmlformats.org/officeDocument/2006/relationships/hyperlink" Target="https://www.tcgplayer.com/product/501266" TargetMode="External" Id="rId2404" /><Relationship Type="http://schemas.openxmlformats.org/officeDocument/2006/relationships/hyperlink" Target="https://www.tcgplayer.com/product/513422" TargetMode="External" Id="rId2405" /><Relationship Type="http://schemas.openxmlformats.org/officeDocument/2006/relationships/hyperlink" Target="https://www.pricecharting.com/game/pokemon-paradox-rift/booster-bundle" TargetMode="External" Id="rId2406" /><Relationship Type="http://schemas.openxmlformats.org/officeDocument/2006/relationships/hyperlink" Target="https://www.tcgplayer.com/product/512820" TargetMode="External" Id="rId2407" /><Relationship Type="http://schemas.openxmlformats.org/officeDocument/2006/relationships/hyperlink" Target="https://www.tcgplayer.com/product/512831" TargetMode="External" Id="rId2408" /><Relationship Type="http://schemas.openxmlformats.org/officeDocument/2006/relationships/hyperlink" Target="https://www.pricecharting.com/game/pokemon-paradox-rift/build-&amp;-battle-box" TargetMode="External" Id="rId2409" /><Relationship Type="http://schemas.openxmlformats.org/officeDocument/2006/relationships/hyperlink" Target="https://www.tcgplayer.com/product/514068" TargetMode="External" Id="rId2410" /><Relationship Type="http://schemas.openxmlformats.org/officeDocument/2006/relationships/hyperlink" Target="https://www.pricecharting.com/game/pokemon-paradox-rift/build-&amp;-battle-stadium" TargetMode="External" Id="rId2411" /><Relationship Type="http://schemas.openxmlformats.org/officeDocument/2006/relationships/hyperlink" Target="https://www.tcgplayer.com/product/514070" TargetMode="External" Id="rId2412" /><Relationship Type="http://schemas.openxmlformats.org/officeDocument/2006/relationships/hyperlink" Target="https://www.pricecharting.com/game/pokemon-paradox-rift/elite-trainer-box-iron-valiant" TargetMode="External" Id="rId2413" /><Relationship Type="http://schemas.openxmlformats.org/officeDocument/2006/relationships/hyperlink" Target="https://www.tcgplayer.com/product/512813" TargetMode="External" Id="rId2414" /><Relationship Type="http://schemas.openxmlformats.org/officeDocument/2006/relationships/hyperlink" Target="https://www.pricecharting.com/game/pokemon-paradox-rift/elite-trainer-box-roaring-moon" TargetMode="External" Id="rId2415" /><Relationship Type="http://schemas.openxmlformats.org/officeDocument/2006/relationships/hyperlink" Target="https://www.tcgplayer.com/product/512815" TargetMode="External" Id="rId2416" /><Relationship Type="http://schemas.openxmlformats.org/officeDocument/2006/relationships/hyperlink" Target="https://www.tcgplayer.com/product/512801" TargetMode="External" Id="rId2417" /><Relationship Type="http://schemas.openxmlformats.org/officeDocument/2006/relationships/hyperlink" Target="https://www.tcgplayer.com/product/512809" TargetMode="External" Id="rId2418" /><Relationship Type="http://schemas.openxmlformats.org/officeDocument/2006/relationships/hyperlink" Target="https://www.tcgplayer.com/product/524394" TargetMode="External" Id="rId2419" /><Relationship Type="http://schemas.openxmlformats.org/officeDocument/2006/relationships/hyperlink" Target="https://www.tcgplayer.com/product/526674" TargetMode="External" Id="rId2420" /><Relationship Type="http://schemas.openxmlformats.org/officeDocument/2006/relationships/hyperlink" Target="https://www.pricecharting.com/game/pokemon-temporal-forces/booster-bundle" TargetMode="External" Id="rId2421" /><Relationship Type="http://schemas.openxmlformats.org/officeDocument/2006/relationships/hyperlink" Target="https://www.tcgplayer.com/product/541017" TargetMode="External" Id="rId2422" /><Relationship Type="http://schemas.openxmlformats.org/officeDocument/2006/relationships/hyperlink" Target="https://www.tcgplayer.com/product/538786" TargetMode="External" Id="rId2423" /><Relationship Type="http://schemas.openxmlformats.org/officeDocument/2006/relationships/hyperlink" Target="https://www.pricecharting.com/game/pokemon-temporal-forces/build-and-battle-box" TargetMode="External" Id="rId2424" /><Relationship Type="http://schemas.openxmlformats.org/officeDocument/2006/relationships/hyperlink" Target="https://www.tcgplayer.com/product/537411" TargetMode="External" Id="rId2425" /><Relationship Type="http://schemas.openxmlformats.org/officeDocument/2006/relationships/hyperlink" Target="https://www.tcgplayer.com/product/532848" TargetMode="External" Id="rId2426" /><Relationship Type="http://schemas.openxmlformats.org/officeDocument/2006/relationships/hyperlink" Target="https://www.tcgplayer.com/product/532849" TargetMode="External" Id="rId2427" /><Relationship Type="http://schemas.openxmlformats.org/officeDocument/2006/relationships/hyperlink" Target="https://www.pricecharting.com/game/pokemon-temporal-forces/elite-trainer-box-walking-wake" TargetMode="External" Id="rId2428" /><Relationship Type="http://schemas.openxmlformats.org/officeDocument/2006/relationships/hyperlink" Target="https://www.tcgplayer.com/product/532845" TargetMode="External" Id="rId2429" /><Relationship Type="http://schemas.openxmlformats.org/officeDocument/2006/relationships/hyperlink" Target="https://www.tcgplayer.com/product/532853" TargetMode="External" Id="rId2430" /><Relationship Type="http://schemas.openxmlformats.org/officeDocument/2006/relationships/hyperlink" Target="https://www.tcgplayer.com/product/538775" TargetMode="External" Id="rId2431" /><Relationship Type="http://schemas.openxmlformats.org/officeDocument/2006/relationships/hyperlink" Target="https://www.tcgplayer.com/product/538789" TargetMode="External" Id="rId2432" /><Relationship Type="http://schemas.openxmlformats.org/officeDocument/2006/relationships/hyperlink" Target="https://www.tcgplayer.com/product/538807" TargetMode="External" Id="rId2433" /><Relationship Type="http://schemas.openxmlformats.org/officeDocument/2006/relationships/hyperlink" Target="https://www.pricecharting.com/game/pokemon-twilight-masquerade/booster-bundle" TargetMode="External" Id="rId2434" /><Relationship Type="http://schemas.openxmlformats.org/officeDocument/2006/relationships/hyperlink" Target="https://www.tcgplayer.com/product/543852" TargetMode="External" Id="rId2435" /><Relationship Type="http://schemas.openxmlformats.org/officeDocument/2006/relationships/hyperlink" Target="https://www.tcgplayer.com/product/549487" TargetMode="External" Id="rId2436" /><Relationship Type="http://schemas.openxmlformats.org/officeDocument/2006/relationships/hyperlink" Target="https://www.pricecharting.com/game/pokemon-twilight-masquerade/build-and-battle-box" TargetMode="External" Id="rId2437" /><Relationship Type="http://schemas.openxmlformats.org/officeDocument/2006/relationships/hyperlink" Target="https://www.tcgplayer.com/product/544386" TargetMode="External" Id="rId2438" /><Relationship Type="http://schemas.openxmlformats.org/officeDocument/2006/relationships/hyperlink" Target="https://www.pricecharting.com/game/pokemon-twilight-masquerade/elite-trainer-box" TargetMode="External" Id="rId2439" /><Relationship Type="http://schemas.openxmlformats.org/officeDocument/2006/relationships/hyperlink" Target="https://www.tcgplayer.com/product/543845" TargetMode="External" Id="rId2440" /><Relationship Type="http://schemas.openxmlformats.org/officeDocument/2006/relationships/hyperlink" Target="https://www.tcgplayer.com/product/543844" TargetMode="External" Id="rId2441" /><Relationship Type="http://schemas.openxmlformats.org/officeDocument/2006/relationships/hyperlink" Target="https://www.tcgplayer.com/product/549494" TargetMode="External" Id="rId2442" /><Relationship Type="http://schemas.openxmlformats.org/officeDocument/2006/relationships/hyperlink" Target="https://www.tcgplayer.com/product/557345" TargetMode="External" Id="rId2443" /><Relationship Type="http://schemas.openxmlformats.org/officeDocument/2006/relationships/hyperlink" Target="https://www.tcgplayer.com/product/557357" TargetMode="External" Id="rId2444" /><Relationship Type="http://schemas.openxmlformats.org/officeDocument/2006/relationships/hyperlink" Target="https://www.tcgplayer.com/product/557330" TargetMode="External" Id="rId2445" /><Relationship Type="http://schemas.openxmlformats.org/officeDocument/2006/relationships/hyperlink" Target="https://www.tcgplayer.com/product/557350" TargetMode="External" Id="rId2446" /><Relationship Type="http://schemas.openxmlformats.org/officeDocument/2006/relationships/hyperlink" Target="https://www.tcgplayer.com/product/557340" TargetMode="External" Id="rId2447" /><Relationship Type="http://schemas.openxmlformats.org/officeDocument/2006/relationships/hyperlink" Target="https://www.tcgplayer.com/product/557361" TargetMode="External" Id="rId2448" /><Relationship Type="http://schemas.openxmlformats.org/officeDocument/2006/relationships/hyperlink" Target="https://www.tcgplayer.com/product/565629" TargetMode="External" Id="rId2449" /><Relationship Type="http://schemas.openxmlformats.org/officeDocument/2006/relationships/hyperlink" Target="https://www.tcgplayer.com/product/679564" TargetMode="External" Id="rId2450" /><Relationship Type="http://schemas.openxmlformats.org/officeDocument/2006/relationships/hyperlink" Target="https://www.tcgplayer.com/product/565605" TargetMode="External" Id="rId2451" /><Relationship Type="http://schemas.openxmlformats.org/officeDocument/2006/relationships/hyperlink" Target="https://www.pricecharting.com/game/pokemon-surging-sparks/build-and-battle-box" TargetMode="External" Id="rId2452" /><Relationship Type="http://schemas.openxmlformats.org/officeDocument/2006/relationships/hyperlink" Target="https://www.tcgplayer.com/product/565599" TargetMode="External" Id="rId2453" /><Relationship Type="http://schemas.openxmlformats.org/officeDocument/2006/relationships/hyperlink" Target="https://www.pricecharting.com/game/pokemon-surging-sparks/elite-trainer-box" TargetMode="External" Id="rId2454" /><Relationship Type="http://schemas.openxmlformats.org/officeDocument/2006/relationships/hyperlink" Target="https://www.tcgplayer.com/product/565630" TargetMode="External" Id="rId2455" /><Relationship Type="http://schemas.openxmlformats.org/officeDocument/2006/relationships/hyperlink" Target="https://www.tcgplayer.com/product/565632" TargetMode="External" Id="rId2456" /><Relationship Type="http://schemas.openxmlformats.org/officeDocument/2006/relationships/hyperlink" Target="https://www.tcgplayer.com/product/565603" TargetMode="External" Id="rId2457" /><Relationship Type="http://schemas.openxmlformats.org/officeDocument/2006/relationships/hyperlink" Target="https://www.pricecharting.com/game/pokemon-journey-together/booster-bundle" TargetMode="External" Id="rId2458" /><Relationship Type="http://schemas.openxmlformats.org/officeDocument/2006/relationships/hyperlink" Target="https://www.tcgplayer.com/product/610953" TargetMode="External" Id="rId2459" /><Relationship Type="http://schemas.openxmlformats.org/officeDocument/2006/relationships/hyperlink" Target="https://www.tcgplayer.com/product/626660" TargetMode="External" Id="rId2460" /><Relationship Type="http://schemas.openxmlformats.org/officeDocument/2006/relationships/hyperlink" Target="https://www.pricecharting.com/game/pokemon-journey-together/build-&amp;-battle-box" TargetMode="External" Id="rId2461" /><Relationship Type="http://schemas.openxmlformats.org/officeDocument/2006/relationships/hyperlink" Target="https://www.tcgplayer.com/product/610954" TargetMode="External" Id="rId2462" /><Relationship Type="http://schemas.openxmlformats.org/officeDocument/2006/relationships/hyperlink" Target="https://www.pricecharting.com/game/pokemon-journey-together/elite-trainer-box" TargetMode="External" Id="rId2463" /><Relationship Type="http://schemas.openxmlformats.org/officeDocument/2006/relationships/hyperlink" Target="https://www.tcgplayer.com/product/610930" TargetMode="External" Id="rId2464" /><Relationship Type="http://schemas.openxmlformats.org/officeDocument/2006/relationships/hyperlink" Target="https://www.tcgplayer.com/product/610929" TargetMode="External" Id="rId2465" /><Relationship Type="http://schemas.openxmlformats.org/officeDocument/2006/relationships/hyperlink" Target="https://www.tcgplayer.com/product/626659" TargetMode="External" Id="rId2466" /><Relationship Type="http://schemas.openxmlformats.org/officeDocument/2006/relationships/hyperlink" Target="https://www.pricecharting.com/game/pokemon-destined-rivals/booster-bundle" TargetMode="External" Id="rId2467" /><Relationship Type="http://schemas.openxmlformats.org/officeDocument/2006/relationships/hyperlink" Target="https://www.tcgplayer.com/product/625670" TargetMode="External" Id="rId2468" /><Relationship Type="http://schemas.openxmlformats.org/officeDocument/2006/relationships/hyperlink" Target="https://www.tcgplayer.com/product/649711" TargetMode="External" Id="rId2469" /><Relationship Type="http://schemas.openxmlformats.org/officeDocument/2006/relationships/hyperlink" Target="https://www.pricecharting.com/game/pokemon-destined-rivals/build-&amp;-battle-box" TargetMode="External" Id="rId2470" /><Relationship Type="http://schemas.openxmlformats.org/officeDocument/2006/relationships/hyperlink" Target="https://www.tcgplayer.com/product/625677" TargetMode="External" Id="rId2471" /><Relationship Type="http://schemas.openxmlformats.org/officeDocument/2006/relationships/hyperlink" Target="https://www.pricecharting.com/game/pokemon-destined-rivals/elite-trainer-box" TargetMode="External" Id="rId2472" /><Relationship Type="http://schemas.openxmlformats.org/officeDocument/2006/relationships/hyperlink" Target="https://www.tcgplayer.com/product/624676" TargetMode="External" Id="rId2473" /><Relationship Type="http://schemas.openxmlformats.org/officeDocument/2006/relationships/hyperlink" Target="https://www.tcgplayer.com/product/624675" TargetMode="External" Id="rId2474" /><Relationship Type="http://schemas.openxmlformats.org/officeDocument/2006/relationships/hyperlink" Target="https://www.tcgplayer.com/product/628395" TargetMode="External" Id="rId2475" /><Relationship Type="http://schemas.openxmlformats.org/officeDocument/2006/relationships/hyperlink" Target="https://www.tcgplayer.com/product/628396" TargetMode="External" Id="rId2476" /><Relationship Type="http://schemas.openxmlformats.org/officeDocument/2006/relationships/hyperlink" Target="https://www.tcgplayer.com/product/635053" TargetMode="External" Id="rId2477" /><Relationship Type="http://schemas.openxmlformats.org/officeDocument/2006/relationships/hyperlink" Target="https://www.tcgplayer.com/product/637445" TargetMode="External" Id="rId2478" /><Relationship Type="http://schemas.openxmlformats.org/officeDocument/2006/relationships/hyperlink" Target="https://www.tcgplayer.com/product/618706" TargetMode="External" Id="rId2479" /><Relationship Type="http://schemas.openxmlformats.org/officeDocument/2006/relationships/hyperlink" Target="https://www.tcgplayer.com/product/618704" TargetMode="External" Id="rId2480" /><Relationship Type="http://schemas.openxmlformats.org/officeDocument/2006/relationships/hyperlink" Target="https://www.tcgplayer.com/product/614706" TargetMode="External" Id="rId2481" /><Relationship Type="http://schemas.openxmlformats.org/officeDocument/2006/relationships/hyperlink" Target="https://www.tcgplayer.com/product/614705" TargetMode="External" Id="rId2482" /><Relationship Type="http://schemas.openxmlformats.org/officeDocument/2006/relationships/hyperlink" Target="https://www.tcgplayer.com/product/685926" TargetMode="External" Id="rId2483" /><Relationship Type="http://schemas.openxmlformats.org/officeDocument/2006/relationships/hyperlink" Target="https://www.pricecharting.com/game/pokemon-black-bolt/binder-collection" TargetMode="External" Id="rId2484" /><Relationship Type="http://schemas.openxmlformats.org/officeDocument/2006/relationships/hyperlink" Target="https://www.tcgplayer.com/product/630430" TargetMode="External" Id="rId2485" /><Relationship Type="http://schemas.openxmlformats.org/officeDocument/2006/relationships/hyperlink" Target="https://www.pricecharting.com/game/pokemon-black-bolt/booster-bundle" TargetMode="External" Id="rId2486" /><Relationship Type="http://schemas.openxmlformats.org/officeDocument/2006/relationships/hyperlink" Target="https://www.tcgplayer.com/product/630431" TargetMode="External" Id="rId2487" /><Relationship Type="http://schemas.openxmlformats.org/officeDocument/2006/relationships/hyperlink" Target="https://www.pricecharting.com/game/pokemon-black-bolt/elite-trainer-box" TargetMode="External" Id="rId2488" /><Relationship Type="http://schemas.openxmlformats.org/officeDocument/2006/relationships/hyperlink" Target="https://www.tcgplayer.com/product/630686" TargetMode="External" Id="rId2489" /><Relationship Type="http://schemas.openxmlformats.org/officeDocument/2006/relationships/hyperlink" Target="https://www.tcgplayer.com/product/630687" TargetMode="External" Id="rId2490" /><Relationship Type="http://schemas.openxmlformats.org/officeDocument/2006/relationships/hyperlink" Target="https://www.pricecharting.com/game/pokemon-black-bolt/tech-sticker-collection" TargetMode="External" Id="rId2491" /><Relationship Type="http://schemas.openxmlformats.org/officeDocument/2006/relationships/hyperlink" Target="https://www.tcgplayer.com/product/630614" TargetMode="External" Id="rId2492" /><Relationship Type="http://schemas.openxmlformats.org/officeDocument/2006/relationships/hyperlink" Target="https://www.tcgplayer.com/product/668632" TargetMode="External" Id="rId2493" /><Relationship Type="http://schemas.openxmlformats.org/officeDocument/2006/relationships/hyperlink" Target="https://www.pricecharting.com/game/pokemon-black-bolt/unova-mini-tin-alomomola-&amp;-axew" TargetMode="External" Id="rId2494" /><Relationship Type="http://schemas.openxmlformats.org/officeDocument/2006/relationships/hyperlink" Target="https://www.tcgplayer.com/product/630444" TargetMode="External" Id="rId2495" /><Relationship Type="http://schemas.openxmlformats.org/officeDocument/2006/relationships/hyperlink" Target="https://www.pricecharting.com/game/pokemon-black-bolt/unova-mini-tin-chandelure-&amp;-zorua" TargetMode="External" Id="rId2496" /><Relationship Type="http://schemas.openxmlformats.org/officeDocument/2006/relationships/hyperlink" Target="https://www.tcgplayer.com/product/630439" TargetMode="External" Id="rId2497" /><Relationship Type="http://schemas.openxmlformats.org/officeDocument/2006/relationships/hyperlink" Target="https://www.pricecharting.com/game/pokemon-black-bolt/unova-mini-tin-elektross-&amp;-galvantula" TargetMode="External" Id="rId2498" /><Relationship Type="http://schemas.openxmlformats.org/officeDocument/2006/relationships/hyperlink" Target="https://www.tcgplayer.com/product/630445" TargetMode="External" Id="rId2499" /><Relationship Type="http://schemas.openxmlformats.org/officeDocument/2006/relationships/hyperlink" Target="https://www.pricecharting.com/game/pokemon-black-bolt/unova-mini-tin-garbodor-&amp;-amoonguss" TargetMode="External" Id="rId2500" /><Relationship Type="http://schemas.openxmlformats.org/officeDocument/2006/relationships/hyperlink" Target="https://www.tcgplayer.com/product/630438" TargetMode="External" Id="rId2501" /><Relationship Type="http://schemas.openxmlformats.org/officeDocument/2006/relationships/hyperlink" Target="https://www.pricecharting.com/game/pokemon-black-bolt/unova-mini-tin-krookodile-&amp;-excadrill" TargetMode="External" Id="rId2502" /><Relationship Type="http://schemas.openxmlformats.org/officeDocument/2006/relationships/hyperlink" Target="https://www.tcgplayer.com/product/630440" TargetMode="External" Id="rId2503" /><Relationship Type="http://schemas.openxmlformats.org/officeDocument/2006/relationships/hyperlink" Target="https://www.pricecharting.com/game/pokemon-black-bolt/unova-mini-tin-lilligant-&amp;-whimsicot" TargetMode="External" Id="rId2504" /><Relationship Type="http://schemas.openxmlformats.org/officeDocument/2006/relationships/hyperlink" Target="https://www.tcgplayer.com/product/630442" TargetMode="External" Id="rId2505" /><Relationship Type="http://schemas.openxmlformats.org/officeDocument/2006/relationships/hyperlink" Target="https://www.pricecharting.com/game/pokemon-black-bolt/unova-mini-tin-mienshao-&amp;-klinklang" TargetMode="External" Id="rId2506" /><Relationship Type="http://schemas.openxmlformats.org/officeDocument/2006/relationships/hyperlink" Target="https://www.tcgplayer.com/product/630443" TargetMode="External" Id="rId2507" /><Relationship Type="http://schemas.openxmlformats.org/officeDocument/2006/relationships/hyperlink" Target="https://www.pricecharting.com/game/pokemon-black-bolt/unova-mini-tin-volcarona-&amp;-emolga" TargetMode="External" Id="rId2508" /><Relationship Type="http://schemas.openxmlformats.org/officeDocument/2006/relationships/hyperlink" Target="https://www.tcgplayer.com/product/630441" TargetMode="External" Id="rId2509" /><Relationship Type="http://schemas.openxmlformats.org/officeDocument/2006/relationships/hyperlink" Target="https://www.pricecharting.com/game/pokemon-black-bolt/unova-poster-collection" TargetMode="External" Id="rId2510" /><Relationship Type="http://schemas.openxmlformats.org/officeDocument/2006/relationships/hyperlink" Target="https://www.tcgplayer.com/product/630612" TargetMode="External" Id="rId2511" /><Relationship Type="http://schemas.openxmlformats.org/officeDocument/2006/relationships/hyperlink" Target="https://www.pricecharting.com/game/pokemon-black-bolt/unova-victini-illustration-collection" TargetMode="External" Id="rId2512" /><Relationship Type="http://schemas.openxmlformats.org/officeDocument/2006/relationships/hyperlink" Target="https://www.tcgplayer.com/product/630615" TargetMode="External" Id="rId2513" /><Relationship Type="http://schemas.openxmlformats.org/officeDocument/2006/relationships/hyperlink" Target="https://www.tcgplayer.com/product/594104" TargetMode="External" Id="rId2514" /><Relationship Type="http://schemas.openxmlformats.org/officeDocument/2006/relationships/hyperlink" Target="https://www.pricecharting.com/game/pokemon-paldean-fates/booster-bundle" TargetMode="External" Id="rId2515" /><Relationship Type="http://schemas.openxmlformats.org/officeDocument/2006/relationships/hyperlink" Target="https://www.tcgplayer.com/product/528771" TargetMode="External" Id="rId2516" /><Relationship Type="http://schemas.openxmlformats.org/officeDocument/2006/relationships/hyperlink" Target="https://www.tcgplayer.com/product/668624" TargetMode="External" Id="rId2517" /><Relationship Type="http://schemas.openxmlformats.org/officeDocument/2006/relationships/hyperlink" Target="https://www.pricecharting.com/game/pokemon-paldean-fates/elite-trainer-box" TargetMode="External" Id="rId2518" /><Relationship Type="http://schemas.openxmlformats.org/officeDocument/2006/relationships/hyperlink" Target="https://www.tcgplayer.com/product/528040" TargetMode="External" Id="rId2519" /><Relationship Type="http://schemas.openxmlformats.org/officeDocument/2006/relationships/hyperlink" Target="https://www.pricecharting.com/game/pokemon-paldean-fates/great-tusk-ex-&amp;-iron-treads-ex-premium-collection" TargetMode="External" Id="rId2520" /><Relationship Type="http://schemas.openxmlformats.org/officeDocument/2006/relationships/hyperlink" Target="https://www.tcgplayer.com/product/665113" TargetMode="External" Id="rId2521" /><Relationship Type="http://schemas.openxmlformats.org/officeDocument/2006/relationships/hyperlink" Target="https://www.pricecharting.com/game/pokemon-paldean-fates/international-tin-charizard-ex" TargetMode="External" Id="rId2522" /><Relationship Type="http://schemas.openxmlformats.org/officeDocument/2006/relationships/hyperlink" Target="https://www.tcgplayer.com/product/528063" TargetMode="External" Id="rId2523" /><Relationship Type="http://schemas.openxmlformats.org/officeDocument/2006/relationships/hyperlink" Target="https://www.pricecharting.com/game/pokemon-paldean-fates/international-tin-great-tusk-ex" TargetMode="External" Id="rId2524" /><Relationship Type="http://schemas.openxmlformats.org/officeDocument/2006/relationships/hyperlink" Target="https://www.tcgplayer.com/product/528060" TargetMode="External" Id="rId2525" /><Relationship Type="http://schemas.openxmlformats.org/officeDocument/2006/relationships/hyperlink" Target="https://www.pricecharting.com/game/pokemon-paldean-fates/international-tin-iron-treads-ex" TargetMode="External" Id="rId2526" /><Relationship Type="http://schemas.openxmlformats.org/officeDocument/2006/relationships/hyperlink" Target="https://www.tcgplayer.com/product/528059" TargetMode="External" Id="rId2527" /><Relationship Type="http://schemas.openxmlformats.org/officeDocument/2006/relationships/hyperlink" Target="https://www.tcgplayer.com/product/528227" TargetMode="External" Id="rId2528" /><Relationship Type="http://schemas.openxmlformats.org/officeDocument/2006/relationships/hyperlink" Target="https://www.pricecharting.com/game/pokemon-paldean-fates/mini-tin-finizen" TargetMode="External" Id="rId2529" /><Relationship Type="http://schemas.openxmlformats.org/officeDocument/2006/relationships/hyperlink" Target="https://www.tcgplayer.com/product/528055" TargetMode="External" Id="rId2530" /><Relationship Type="http://schemas.openxmlformats.org/officeDocument/2006/relationships/hyperlink" Target="https://www.pricecharting.com/game/pokemon-paldean-fates/mini-tin-flamigo" TargetMode="External" Id="rId2531" /><Relationship Type="http://schemas.openxmlformats.org/officeDocument/2006/relationships/hyperlink" Target="https://www.tcgplayer.com/product/528050" TargetMode="External" Id="rId2532" /><Relationship Type="http://schemas.openxmlformats.org/officeDocument/2006/relationships/hyperlink" Target="https://www.pricecharting.com/game/pokemon-paldean-fates/mini-tin-maushold" TargetMode="External" Id="rId2533" /><Relationship Type="http://schemas.openxmlformats.org/officeDocument/2006/relationships/hyperlink" Target="https://www.tcgplayer.com/product/528051" TargetMode="External" Id="rId2534" /><Relationship Type="http://schemas.openxmlformats.org/officeDocument/2006/relationships/hyperlink" Target="https://www.pricecharting.com/game/pokemon-paldean-fates/mini-tin-smoliv" TargetMode="External" Id="rId2535" /><Relationship Type="http://schemas.openxmlformats.org/officeDocument/2006/relationships/hyperlink" Target="https://www.tcgplayer.com/product/528049" TargetMode="External" Id="rId2536" /><Relationship Type="http://schemas.openxmlformats.org/officeDocument/2006/relationships/hyperlink" Target="https://www.pricecharting.com/game/pokemon-paldean-fates/mini-tin-tinkatink" TargetMode="External" Id="rId2537" /><Relationship Type="http://schemas.openxmlformats.org/officeDocument/2006/relationships/hyperlink" Target="https://www.tcgplayer.com/product/528052" TargetMode="External" Id="rId2538" /><Relationship Type="http://schemas.openxmlformats.org/officeDocument/2006/relationships/hyperlink" Target="https://www.tcgplayer.com/product/528039" TargetMode="External" Id="rId2539" /><Relationship Type="http://schemas.openxmlformats.org/officeDocument/2006/relationships/hyperlink" Target="https://www.tcgplayer.com/product/528079" TargetMode="External" Id="rId2540" /><Relationship Type="http://schemas.openxmlformats.org/officeDocument/2006/relationships/hyperlink" Target="https://www.tcgplayer.com/product/528082" TargetMode="External" Id="rId2541" /><Relationship Type="http://schemas.openxmlformats.org/officeDocument/2006/relationships/hyperlink" Target="https://www.tcgplayer.com/product/528324" TargetMode="External" Id="rId2542" /><Relationship Type="http://schemas.openxmlformats.org/officeDocument/2006/relationships/hyperlink" Target="https://www.tcgplayer.com/product/528080" TargetMode="External" Id="rId2543" /><Relationship Type="http://schemas.openxmlformats.org/officeDocument/2006/relationships/hyperlink" Target="https://www.pricecharting.com/game/pokemon-paldean-fates/tech-sticker-collection-fidough" TargetMode="External" Id="rId2544" /><Relationship Type="http://schemas.openxmlformats.org/officeDocument/2006/relationships/hyperlink" Target="https://www.tcgplayer.com/product/528043" TargetMode="External" Id="rId2545" /><Relationship Type="http://schemas.openxmlformats.org/officeDocument/2006/relationships/hyperlink" Target="https://www.pricecharting.com/game/pokemon-paldean-fates/tech-sticker-collection-greavard" TargetMode="External" Id="rId2546" /><Relationship Type="http://schemas.openxmlformats.org/officeDocument/2006/relationships/hyperlink" Target="https://www.tcgplayer.com/product/528045" TargetMode="External" Id="rId2547" /><Relationship Type="http://schemas.openxmlformats.org/officeDocument/2006/relationships/hyperlink" Target="https://www.pricecharting.com/game/pokemon-paldean-fates/tech-sticker-collection-maschiff" TargetMode="External" Id="rId2548" /><Relationship Type="http://schemas.openxmlformats.org/officeDocument/2006/relationships/hyperlink" Target="https://www.tcgplayer.com/product/528044" TargetMode="External" Id="rId2549" /><Relationship Type="http://schemas.openxmlformats.org/officeDocument/2006/relationships/hyperlink" Target="https://www.tcgplayer.com/product/528056" TargetMode="External" Id="rId2550" /><Relationship Type="http://schemas.openxmlformats.org/officeDocument/2006/relationships/hyperlink" Target="https://www.tcgplayer.com/product/528057" TargetMode="External" Id="rId2551" /><Relationship Type="http://schemas.openxmlformats.org/officeDocument/2006/relationships/hyperlink" Target="https://www.tcgplayer.com/product/528058" TargetMode="External" Id="rId2552" /><Relationship Type="http://schemas.openxmlformats.org/officeDocument/2006/relationships/hyperlink" Target="https://www.tcgplayer.com/product/594110" TargetMode="External" Id="rId2553" /><Relationship Type="http://schemas.openxmlformats.org/officeDocument/2006/relationships/hyperlink" Target="https://www.tcgplayer.com/product/609716" TargetMode="External" Id="rId2554" /><Relationship Type="http://schemas.openxmlformats.org/officeDocument/2006/relationships/hyperlink" Target="https://www.pricecharting.com/game/pokemon-prismatic-evolutions/accessory-pouch-special-collection" TargetMode="External" Id="rId2555" /><Relationship Type="http://schemas.openxmlformats.org/officeDocument/2006/relationships/hyperlink" Target="https://www.tcgplayer.com/product/606881" TargetMode="External" Id="rId2556" /><Relationship Type="http://schemas.openxmlformats.org/officeDocument/2006/relationships/hyperlink" Target="https://www.pricecharting.com/game/pokemon-prismatic-evolutions/binder-collection" TargetMode="External" Id="rId2557" /><Relationship Type="http://schemas.openxmlformats.org/officeDocument/2006/relationships/hyperlink" Target="https://www.tcgplayer.com/product/593356" TargetMode="External" Id="rId2558" /><Relationship Type="http://schemas.openxmlformats.org/officeDocument/2006/relationships/hyperlink" Target="https://www.pricecharting.com/game/pokemon-prismatic-evolutions/booster-bundle" TargetMode="External" Id="rId2559" /><Relationship Type="http://schemas.openxmlformats.org/officeDocument/2006/relationships/hyperlink" Target="https://www.tcgplayer.com/product/600518" TargetMode="External" Id="rId2560" /><Relationship Type="http://schemas.openxmlformats.org/officeDocument/2006/relationships/hyperlink" Target="https://www.tcgplayer.com/product/678555" TargetMode="External" Id="rId2561" /><Relationship Type="http://schemas.openxmlformats.org/officeDocument/2006/relationships/hyperlink" Target="https://www.tcgplayer.com/product/617823" TargetMode="External" Id="rId2562" /><Relationship Type="http://schemas.openxmlformats.org/officeDocument/2006/relationships/hyperlink" Target="https://www.pricecharting.com/game/pokemon-prismatic-evolutions/elite-trainer-box" TargetMode="External" Id="rId2563" /><Relationship Type="http://schemas.openxmlformats.org/officeDocument/2006/relationships/hyperlink" Target="https://www.tcgplayer.com/product/593355" TargetMode="External" Id="rId2564" /><Relationship Type="http://schemas.openxmlformats.org/officeDocument/2006/relationships/hyperlink" Target="https://www.tcgplayer.com/product/670607" TargetMode="External" Id="rId2565" /><Relationship Type="http://schemas.openxmlformats.org/officeDocument/2006/relationships/hyperlink" Target="https://www.pricecharting.com/game/pokemon-prismatic-evolutions/mini-tin-espeon" TargetMode="External" Id="rId2566" /><Relationship Type="http://schemas.openxmlformats.org/officeDocument/2006/relationships/hyperlink" Target="https://www.tcgplayer.com/product/593458" TargetMode="External" Id="rId2567" /><Relationship Type="http://schemas.openxmlformats.org/officeDocument/2006/relationships/hyperlink" Target="https://www.pricecharting.com/game/pokemon-prismatic-evolutions/mini-tin-flareon" TargetMode="External" Id="rId2568" /><Relationship Type="http://schemas.openxmlformats.org/officeDocument/2006/relationships/hyperlink" Target="https://www.tcgplayer.com/product/593457" TargetMode="External" Id="rId2569" /><Relationship Type="http://schemas.openxmlformats.org/officeDocument/2006/relationships/hyperlink" Target="https://www.pricecharting.com/game/pokemon-prismatic-evolutions/mini-tin-glaceon" TargetMode="External" Id="rId2570" /><Relationship Type="http://schemas.openxmlformats.org/officeDocument/2006/relationships/hyperlink" Target="https://www.tcgplayer.com/product/593461" TargetMode="External" Id="rId2571" /><Relationship Type="http://schemas.openxmlformats.org/officeDocument/2006/relationships/hyperlink" Target="https://www.pricecharting.com/game/pokemon-prismatic-evolutions/mini-tin-jolteon" TargetMode="External" Id="rId2572" /><Relationship Type="http://schemas.openxmlformats.org/officeDocument/2006/relationships/hyperlink" Target="https://www.tcgplayer.com/product/593456" TargetMode="External" Id="rId2573" /><Relationship Type="http://schemas.openxmlformats.org/officeDocument/2006/relationships/hyperlink" Target="https://www.pricecharting.com/game/pokemon-prismatic-evolutions/mini-tin-leafeon" TargetMode="External" Id="rId2574" /><Relationship Type="http://schemas.openxmlformats.org/officeDocument/2006/relationships/hyperlink" Target="https://www.tcgplayer.com/product/593460" TargetMode="External" Id="rId2575" /><Relationship Type="http://schemas.openxmlformats.org/officeDocument/2006/relationships/hyperlink" Target="https://www.pricecharting.com/game/pokemon-prismatic-evolutions/mini-tin-sylveon" TargetMode="External" Id="rId2576" /><Relationship Type="http://schemas.openxmlformats.org/officeDocument/2006/relationships/hyperlink" Target="https://www.tcgplayer.com/product/593462" TargetMode="External" Id="rId2577" /><Relationship Type="http://schemas.openxmlformats.org/officeDocument/2006/relationships/hyperlink" Target="https://www.pricecharting.com/game/pokemon-prismatic-evolutions/mini-tin-umbreon" TargetMode="External" Id="rId2578" /><Relationship Type="http://schemas.openxmlformats.org/officeDocument/2006/relationships/hyperlink" Target="https://www.tcgplayer.com/product/593459" TargetMode="External" Id="rId2579" /><Relationship Type="http://schemas.openxmlformats.org/officeDocument/2006/relationships/hyperlink" Target="https://www.pricecharting.com/game/pokemon-prismatic-evolutions/mini-tin-vaporeon" TargetMode="External" Id="rId2580" /><Relationship Type="http://schemas.openxmlformats.org/officeDocument/2006/relationships/hyperlink" Target="https://www.tcgplayer.com/product/593455" TargetMode="External" Id="rId2581" /><Relationship Type="http://schemas.openxmlformats.org/officeDocument/2006/relationships/hyperlink" Target="https://www.tcgplayer.com/product/593324" TargetMode="External" Id="rId2582" /><Relationship Type="http://schemas.openxmlformats.org/officeDocument/2006/relationships/hyperlink" Target="https://www.tcgplayer.com/product/593359" TargetMode="External" Id="rId2583" /><Relationship Type="http://schemas.openxmlformats.org/officeDocument/2006/relationships/hyperlink" Target="https://www.pricecharting.com/game/pokemon-prismatic-evolutions/premium-figure-collection" TargetMode="External" Id="rId2584" /><Relationship Type="http://schemas.openxmlformats.org/officeDocument/2006/relationships/hyperlink" Target="https://www.tcgplayer.com/product/650799" TargetMode="External" Id="rId2585" /><Relationship Type="http://schemas.openxmlformats.org/officeDocument/2006/relationships/hyperlink" Target="https://www.tcgplayer.com/product/617807" TargetMode="External" Id="rId2586" /><Relationship Type="http://schemas.openxmlformats.org/officeDocument/2006/relationships/hyperlink" Target="https://www.tcgplayer.com/product/622770" TargetMode="External" Id="rId2587" /><Relationship Type="http://schemas.openxmlformats.org/officeDocument/2006/relationships/hyperlink" Target="https://www.pricecharting.com/game/pokemon-prismatic-evolutions/surprise-box" TargetMode="External" Id="rId2588" /><Relationship Type="http://schemas.openxmlformats.org/officeDocument/2006/relationships/hyperlink" Target="https://www.tcgplayer.com/product/593466" TargetMode="External" Id="rId2589" /><Relationship Type="http://schemas.openxmlformats.org/officeDocument/2006/relationships/hyperlink" Target="https://www.pricecharting.com/game/pokemon-prismatic-evolutions/tech-sticker-collection-glaceon" TargetMode="External" Id="rId2590" /><Relationship Type="http://schemas.openxmlformats.org/officeDocument/2006/relationships/hyperlink" Target="https://www.tcgplayer.com/product/593451" TargetMode="External" Id="rId2591" /><Relationship Type="http://schemas.openxmlformats.org/officeDocument/2006/relationships/hyperlink" Target="https://www.pricecharting.com/game/pokemon-prismatic-evolutions/tech-sticker-collection-leafeon" TargetMode="External" Id="rId2592" /><Relationship Type="http://schemas.openxmlformats.org/officeDocument/2006/relationships/hyperlink" Target="https://www.tcgplayer.com/product/593453" TargetMode="External" Id="rId2593" /><Relationship Type="http://schemas.openxmlformats.org/officeDocument/2006/relationships/hyperlink" Target="https://www.tcgplayer.com/product/598490" TargetMode="External" Id="rId2594" /><Relationship Type="http://schemas.openxmlformats.org/officeDocument/2006/relationships/hyperlink" Target="https://www.pricecharting.com/game/pokemon-prismatic-evolutions/tech-sticker-collection-sylveon" TargetMode="External" Id="rId2595" /><Relationship Type="http://schemas.openxmlformats.org/officeDocument/2006/relationships/hyperlink" Target="https://www.tcgplayer.com/product/593450" TargetMode="External" Id="rId2596" /><Relationship Type="http://schemas.openxmlformats.org/officeDocument/2006/relationships/hyperlink" Target="https://www.tcgplayer.com/product/502004" TargetMode="External" Id="rId2597" /><Relationship Type="http://schemas.openxmlformats.org/officeDocument/2006/relationships/hyperlink" Target="https://www.tcgplayer.com/product/502000" TargetMode="External" Id="rId2598" /><Relationship Type="http://schemas.openxmlformats.org/officeDocument/2006/relationships/hyperlink" Target="https://www.tcgplayer.com/product/503313" TargetMode="External" Id="rId2599" /><Relationship Type="http://schemas.openxmlformats.org/officeDocument/2006/relationships/hyperlink" Target="https://www.tcgplayer.com/product/522699" TargetMode="External" Id="rId2600" /><Relationship Type="http://schemas.openxmlformats.org/officeDocument/2006/relationships/hyperlink" Target="https://www.tcgplayer.com/product/522700" TargetMode="External" Id="rId2601" /><Relationship Type="http://schemas.openxmlformats.org/officeDocument/2006/relationships/hyperlink" Target="https://www.tcgplayer.com/product/522701" TargetMode="External" Id="rId2602" /><Relationship Type="http://schemas.openxmlformats.org/officeDocument/2006/relationships/hyperlink" Target="https://www.tcgplayer.com/product/522702" TargetMode="External" Id="rId2603" /><Relationship Type="http://schemas.openxmlformats.org/officeDocument/2006/relationships/hyperlink" Target="https://www.tcgplayer.com/product/522706" TargetMode="External" Id="rId2604" /><Relationship Type="http://schemas.openxmlformats.org/officeDocument/2006/relationships/hyperlink" Target="https://www.tcgplayer.com/product/522703" TargetMode="External" Id="rId2605" /><Relationship Type="http://schemas.openxmlformats.org/officeDocument/2006/relationships/hyperlink" Target="https://www.tcgplayer.com/product/522704" TargetMode="External" Id="rId2606" /><Relationship Type="http://schemas.openxmlformats.org/officeDocument/2006/relationships/hyperlink" Target="https://www.tcgplayer.com/product/522705" TargetMode="External" Id="rId2607" /><Relationship Type="http://schemas.openxmlformats.org/officeDocument/2006/relationships/hyperlink" Target="https://www.tcgplayer.com/product/522708" TargetMode="External" Id="rId2608" /><Relationship Type="http://schemas.openxmlformats.org/officeDocument/2006/relationships/hyperlink" Target="https://www.tcgplayer.com/product/522707" TargetMode="External" Id="rId2609" /><Relationship Type="http://schemas.openxmlformats.org/officeDocument/2006/relationships/hyperlink" Target="https://www.tcgplayer.com/product/501999" TargetMode="External" Id="rId2610" /><Relationship Type="http://schemas.openxmlformats.org/officeDocument/2006/relationships/hyperlink" Target="https://www.tcgplayer.com/product/502001" TargetMode="External" Id="rId2611" /><Relationship Type="http://schemas.openxmlformats.org/officeDocument/2006/relationships/hyperlink" Target="https://www.tcgplayer.com/product/502005" TargetMode="External" Id="rId2612" /><Relationship Type="http://schemas.openxmlformats.org/officeDocument/2006/relationships/hyperlink" Target="https://www.tcgplayer.com/product/502006" TargetMode="External" Id="rId2613" /><Relationship Type="http://schemas.openxmlformats.org/officeDocument/2006/relationships/hyperlink" Target="https://www.tcgplayer.com/product/502007" TargetMode="External" Id="rId2614" /><Relationship Type="http://schemas.openxmlformats.org/officeDocument/2006/relationships/hyperlink" Target="https://www.tcgplayer.com/product/609597" TargetMode="External" Id="rId2615" /><Relationship Type="http://schemas.openxmlformats.org/officeDocument/2006/relationships/hyperlink" Target="https://www.tcgplayer.com/product/692583" TargetMode="External" Id="rId2616" /><Relationship Type="http://schemas.openxmlformats.org/officeDocument/2006/relationships/hyperlink" Target="https://www.pricecharting.com/game/pokemon-shrouded-fable/greninja-ex-special-illustration-collection" TargetMode="External" Id="rId2617" /><Relationship Type="http://schemas.openxmlformats.org/officeDocument/2006/relationships/hyperlink" Target="https://www.tcgplayer.com/product/553002" TargetMode="External" Id="rId2618" /><Relationship Type="http://schemas.openxmlformats.org/officeDocument/2006/relationships/hyperlink" Target="https://www.pricecharting.com/game/pokemon-shrouded-fable/kingambit-illustration-collection" TargetMode="External" Id="rId2619" /><Relationship Type="http://schemas.openxmlformats.org/officeDocument/2006/relationships/hyperlink" Target="https://www.tcgplayer.com/product/553000" TargetMode="External" Id="rId2620" /><Relationship Type="http://schemas.openxmlformats.org/officeDocument/2006/relationships/hyperlink" Target="https://www.pricecharting.com/game/pokemon-shrouded-fable/kingdra-ex-special-illustration-collection" TargetMode="External" Id="rId2621" /><Relationship Type="http://schemas.openxmlformats.org/officeDocument/2006/relationships/hyperlink" Target="https://www.tcgplayer.com/product/553001" TargetMode="External" Id="rId2622" /><Relationship Type="http://schemas.openxmlformats.org/officeDocument/2006/relationships/hyperlink" Target="https://www.pricecharting.com/game/pokemon-shrouded-fable/booster-bundle" TargetMode="External" Id="rId2623" /><Relationship Type="http://schemas.openxmlformats.org/officeDocument/2006/relationships/hyperlink" Target="https://www.tcgplayer.com/product/553031" TargetMode="External" Id="rId2624" /><Relationship Type="http://schemas.openxmlformats.org/officeDocument/2006/relationships/hyperlink" Target="https://www.pricecharting.com/game/pokemon-shrouded-fable/elite-trainer-box" TargetMode="External" Id="rId2625" /><Relationship Type="http://schemas.openxmlformats.org/officeDocument/2006/relationships/hyperlink" Target="https://www.tcgplayer.com/product/552999" TargetMode="External" Id="rId2626" /><Relationship Type="http://schemas.openxmlformats.org/officeDocument/2006/relationships/hyperlink" Target="https://www.pricecharting.com/game/pokemon-shrouded-fable/mini-tin-dusknoir" TargetMode="External" Id="rId2627" /><Relationship Type="http://schemas.openxmlformats.org/officeDocument/2006/relationships/hyperlink" Target="https://www.tcgplayer.com/product/553023" TargetMode="External" Id="rId2628" /><Relationship Type="http://schemas.openxmlformats.org/officeDocument/2006/relationships/hyperlink" Target="https://www.pricecharting.com/game/pokemon-shrouded-fable/mini-tin-fezandipiti" TargetMode="External" Id="rId2629" /><Relationship Type="http://schemas.openxmlformats.org/officeDocument/2006/relationships/hyperlink" Target="https://www.tcgplayer.com/product/553018" TargetMode="External" Id="rId2630" /><Relationship Type="http://schemas.openxmlformats.org/officeDocument/2006/relationships/hyperlink" Target="https://www.pricecharting.com/game/pokemon-shrouded-fable/mini-tin-munkidori" TargetMode="External" Id="rId2631" /><Relationship Type="http://schemas.openxmlformats.org/officeDocument/2006/relationships/hyperlink" Target="https://www.tcgplayer.com/product/553011" TargetMode="External" Id="rId2632" /><Relationship Type="http://schemas.openxmlformats.org/officeDocument/2006/relationships/hyperlink" Target="https://www.pricecharting.com/game/pokemon-shrouded-fable/mini-tin-okidogi" TargetMode="External" Id="rId2633" /><Relationship Type="http://schemas.openxmlformats.org/officeDocument/2006/relationships/hyperlink" Target="https://www.tcgplayer.com/product/553012" TargetMode="External" Id="rId2634" /><Relationship Type="http://schemas.openxmlformats.org/officeDocument/2006/relationships/hyperlink" Target="https://www.tcgplayer.com/product/552998" TargetMode="External" Id="rId2635" /><Relationship Type="http://schemas.openxmlformats.org/officeDocument/2006/relationships/hyperlink" Target="https://www.tcgplayer.com/product/685927" TargetMode="External" Id="rId2636" /><Relationship Type="http://schemas.openxmlformats.org/officeDocument/2006/relationships/hyperlink" Target="https://www.pricecharting.com/game/pokemon-white-flare/binder-collection" TargetMode="External" Id="rId2637" /><Relationship Type="http://schemas.openxmlformats.org/officeDocument/2006/relationships/hyperlink" Target="https://www.tcgplayer.com/product/630695" TargetMode="External" Id="rId2638" /><Relationship Type="http://schemas.openxmlformats.org/officeDocument/2006/relationships/hyperlink" Target="https://www.pricecharting.com/game/pokemon-white-flare/booster-bundle" TargetMode="External" Id="rId2639" /><Relationship Type="http://schemas.openxmlformats.org/officeDocument/2006/relationships/hyperlink" Target="https://www.tcgplayer.com/product/630696" TargetMode="External" Id="rId2640" /><Relationship Type="http://schemas.openxmlformats.org/officeDocument/2006/relationships/hyperlink" Target="https://www.pricecharting.com/game/pokemon-white-flare/elite-trainer-box" TargetMode="External" Id="rId2641" /><Relationship Type="http://schemas.openxmlformats.org/officeDocument/2006/relationships/hyperlink" Target="https://www.tcgplayer.com/product/630689" TargetMode="External" Id="rId2642" /><Relationship Type="http://schemas.openxmlformats.org/officeDocument/2006/relationships/hyperlink" Target="https://www.tcgplayer.com/product/630688" TargetMode="External" Id="rId2643" /><Relationship Type="http://schemas.openxmlformats.org/officeDocument/2006/relationships/hyperlink" Target="https://www.pricecharting.com/game/pokemon-white-flare/tech-sticker-collection" TargetMode="External" Id="rId2644" /><Relationship Type="http://schemas.openxmlformats.org/officeDocument/2006/relationships/hyperlink" Target="https://www.tcgplayer.com/product/630700" TargetMode="External" Id="rId2645" /><Relationship Type="http://schemas.openxmlformats.org/officeDocument/2006/relationships/hyperlink" Target="https://www.tcgplayer.com/product/220750" TargetMode="External" Id="rId2646" /><Relationship Type="http://schemas.openxmlformats.org/officeDocument/2006/relationships/hyperlink" Target="https://www.tcgplayer.com/product/220752" TargetMode="External" Id="rId2647" /><Relationship Type="http://schemas.openxmlformats.org/officeDocument/2006/relationships/hyperlink" Target="https://www.tcgplayer.com/product/220751" TargetMode="External" Id="rId2648" /><Relationship Type="http://schemas.openxmlformats.org/officeDocument/2006/relationships/hyperlink" Target="https://www.tcgplayer.com/product/282886" TargetMode="External" Id="rId2649" /><Relationship Type="http://schemas.openxmlformats.org/officeDocument/2006/relationships/hyperlink" Target="https://www.tcgplayer.com/product/282887" TargetMode="External" Id="rId2650" /><Relationship Type="http://schemas.openxmlformats.org/officeDocument/2006/relationships/hyperlink" Target="https://www.tcgplayer.com/product/206420" TargetMode="External" Id="rId2651" /><Relationship Type="http://schemas.openxmlformats.org/officeDocument/2006/relationships/hyperlink" Target="https://www.tcgplayer.com/product/206417" TargetMode="External" Id="rId2652" /><Relationship Type="http://schemas.openxmlformats.org/officeDocument/2006/relationships/hyperlink" Target="https://www.tcgplayer.com/product/206422" TargetMode="External" Id="rId2653" /><Relationship Type="http://schemas.openxmlformats.org/officeDocument/2006/relationships/hyperlink" Target="https://www.tcgplayer.com/product/206423" TargetMode="External" Id="rId2654" /><Relationship Type="http://schemas.openxmlformats.org/officeDocument/2006/relationships/hyperlink" Target="https://www.tcgplayer.com/product/287503" TargetMode="External" Id="rId2655" /><Relationship Type="http://schemas.openxmlformats.org/officeDocument/2006/relationships/hyperlink" Target="https://www.tcgplayer.com/product/287502" TargetMode="External" Id="rId2656" /><Relationship Type="http://schemas.openxmlformats.org/officeDocument/2006/relationships/hyperlink" Target="https://www.tcgplayer.com/product/287500" TargetMode="External" Id="rId2657" /><Relationship Type="http://schemas.openxmlformats.org/officeDocument/2006/relationships/hyperlink" Target="https://www.tcgplayer.com/product/287504" TargetMode="External" Id="rId2658" /><Relationship Type="http://schemas.openxmlformats.org/officeDocument/2006/relationships/hyperlink" Target="https://www.tcgplayer.com/product/287505" TargetMode="External" Id="rId2659" /><Relationship Type="http://schemas.openxmlformats.org/officeDocument/2006/relationships/hyperlink" Target="https://www.tcgplayer.com/product/287507" TargetMode="External" Id="rId2660" /><Relationship Type="http://schemas.openxmlformats.org/officeDocument/2006/relationships/hyperlink" Target="https://www.tcgplayer.com/product/210577" TargetMode="External" Id="rId2661" /><Relationship Type="http://schemas.openxmlformats.org/officeDocument/2006/relationships/hyperlink" Target="https://www.tcgplayer.com/product/210576" TargetMode="External" Id="rId2662" /><Relationship Type="http://schemas.openxmlformats.org/officeDocument/2006/relationships/hyperlink" Target="https://www.tcgplayer.com/product/209531" TargetMode="External" Id="rId2663" /><Relationship Type="http://schemas.openxmlformats.org/officeDocument/2006/relationships/hyperlink" Target="https://www.tcgplayer.com/product/206040" TargetMode="External" Id="rId2664" /><Relationship Type="http://schemas.openxmlformats.org/officeDocument/2006/relationships/hyperlink" Target="https://www.tcgplayer.com/product/244411" TargetMode="External" Id="rId2665" /><Relationship Type="http://schemas.openxmlformats.org/officeDocument/2006/relationships/hyperlink" Target="https://www.tcgplayer.com/product/206038" TargetMode="External" Id="rId2666" /><Relationship Type="http://schemas.openxmlformats.org/officeDocument/2006/relationships/hyperlink" Target="https://www.tcgplayer.com/product/206039" TargetMode="External" Id="rId2667" /><Relationship Type="http://schemas.openxmlformats.org/officeDocument/2006/relationships/hyperlink" Target="https://www.tcgplayer.com/product/265314" TargetMode="External" Id="rId2668" /><Relationship Type="http://schemas.openxmlformats.org/officeDocument/2006/relationships/hyperlink" Target="https://www.tcgplayer.com/product/487795" TargetMode="External" Id="rId2669" /><Relationship Type="http://schemas.openxmlformats.org/officeDocument/2006/relationships/hyperlink" Target="https://www.tcgplayer.com/product/206424" TargetMode="External" Id="rId2670" /><Relationship Type="http://schemas.openxmlformats.org/officeDocument/2006/relationships/hyperlink" Target="https://www.tcgplayer.com/product/214227" TargetMode="External" Id="rId2671" /><Relationship Type="http://schemas.openxmlformats.org/officeDocument/2006/relationships/hyperlink" Target="https://www.tcgplayer.com/product/214232" TargetMode="External" Id="rId2672" /><Relationship Type="http://schemas.openxmlformats.org/officeDocument/2006/relationships/hyperlink" Target="https://www.pricecharting.com/game/pokemon-rebel-clash/legends-of-galar-tin-zacian-v" TargetMode="External" Id="rId2673" /><Relationship Type="http://schemas.openxmlformats.org/officeDocument/2006/relationships/hyperlink" Target="https://www.tcgplayer.com/product/214230" TargetMode="External" Id="rId2674" /><Relationship Type="http://schemas.openxmlformats.org/officeDocument/2006/relationships/hyperlink" Target="https://www.tcgplayer.com/product/279257" TargetMode="External" Id="rId2675" /><Relationship Type="http://schemas.openxmlformats.org/officeDocument/2006/relationships/hyperlink" Target="https://www.tcgplayer.com/product/214231" TargetMode="External" Id="rId2676" /><Relationship Type="http://schemas.openxmlformats.org/officeDocument/2006/relationships/hyperlink" Target="https://www.tcgplayer.com/product/279258" TargetMode="External" Id="rId2677" /><Relationship Type="http://schemas.openxmlformats.org/officeDocument/2006/relationships/hyperlink" Target="https://www.tcgplayer.com/product/210563" TargetMode="External" Id="rId2678" /><Relationship Type="http://schemas.openxmlformats.org/officeDocument/2006/relationships/hyperlink" Target="https://www.tcgplayer.com/product/265316" TargetMode="External" Id="rId2679" /><Relationship Type="http://schemas.openxmlformats.org/officeDocument/2006/relationships/hyperlink" Target="https://www.pricecharting.com/game/pokemon-rebel-clash/build-&amp;-battle-box" TargetMode="External" Id="rId2680" /><Relationship Type="http://schemas.openxmlformats.org/officeDocument/2006/relationships/hyperlink" Target="https://www.tcgplayer.com/product/212821" TargetMode="External" Id="rId2681" /><Relationship Type="http://schemas.openxmlformats.org/officeDocument/2006/relationships/hyperlink" Target="https://www.pricecharting.com/game/pokemon-rebel-clash/elite-trainer-box" TargetMode="External" Id="rId2682" /><Relationship Type="http://schemas.openxmlformats.org/officeDocument/2006/relationships/hyperlink" Target="https://www.tcgplayer.com/product/210572" TargetMode="External" Id="rId2683" /><Relationship Type="http://schemas.openxmlformats.org/officeDocument/2006/relationships/hyperlink" Target="https://www.tcgplayer.com/product/265317" TargetMode="External" Id="rId2684" /><Relationship Type="http://schemas.openxmlformats.org/officeDocument/2006/relationships/hyperlink" Target="https://www.pricecharting.com/game/pokemon-darkness-ablaze/build-&amp;-battle-box" TargetMode="External" Id="rId2685" /><Relationship Type="http://schemas.openxmlformats.org/officeDocument/2006/relationships/hyperlink" Target="https://www.tcgplayer.com/product/216861" TargetMode="External" Id="rId2686" /><Relationship Type="http://schemas.openxmlformats.org/officeDocument/2006/relationships/hyperlink" Target="https://www.pricecharting.com/game/pokemon-darkness-ablaze/elite-trainer-box" TargetMode="External" Id="rId2687" /><Relationship Type="http://schemas.openxmlformats.org/officeDocument/2006/relationships/hyperlink" Target="https://www.tcgplayer.com/product/216856" TargetMode="External" Id="rId2688" /><Relationship Type="http://schemas.openxmlformats.org/officeDocument/2006/relationships/hyperlink" Target="https://www.tcgplayer.com/product/487797" TargetMode="External" Id="rId2689" /><Relationship Type="http://schemas.openxmlformats.org/officeDocument/2006/relationships/hyperlink" Target="https://www.tcgplayer.com/product/220277" TargetMode="External" Id="rId2690" /><Relationship Type="http://schemas.openxmlformats.org/officeDocument/2006/relationships/hyperlink" Target="https://www.tcgplayer.com/product/220272" TargetMode="External" Id="rId2691" /><Relationship Type="http://schemas.openxmlformats.org/officeDocument/2006/relationships/hyperlink" Target="https://www.tcgplayer.com/product/218839" TargetMode="External" Id="rId2692" /><Relationship Type="http://schemas.openxmlformats.org/officeDocument/2006/relationships/hyperlink" Target="https://www.tcgplayer.com/product/218840" TargetMode="External" Id="rId2693" /><Relationship Type="http://schemas.openxmlformats.org/officeDocument/2006/relationships/hyperlink" Target="https://www.pricecharting.com/game/pokemon-vivid-voltage/alakazam-v-box" TargetMode="External" Id="rId2694" /><Relationship Type="http://schemas.openxmlformats.org/officeDocument/2006/relationships/hyperlink" Target="https://www.tcgplayer.com/product/228979" TargetMode="External" Id="rId2695" /><Relationship Type="http://schemas.openxmlformats.org/officeDocument/2006/relationships/hyperlink" Target="https://www.tcgplayer.com/product/222985" TargetMode="External" Id="rId2696" /><Relationship Type="http://schemas.openxmlformats.org/officeDocument/2006/relationships/hyperlink" Target="https://www.pricecharting.com/game/pokemon-vivid-voltage/galar-sidekicks-premium-collection" TargetMode="External" Id="rId2697" /><Relationship Type="http://schemas.openxmlformats.org/officeDocument/2006/relationships/hyperlink" Target="https://www.tcgplayer.com/product/228978" TargetMode="External" Id="rId2698" /><Relationship Type="http://schemas.openxmlformats.org/officeDocument/2006/relationships/hyperlink" Target="https://www.tcgplayer.com/product/226137" TargetMode="External" Id="rId2699" /><Relationship Type="http://schemas.openxmlformats.org/officeDocument/2006/relationships/hyperlink" Target="https://www.tcgplayer.com/product/222987" TargetMode="External" Id="rId2700" /><Relationship Type="http://schemas.openxmlformats.org/officeDocument/2006/relationships/hyperlink" Target="https://www.tcgplayer.com/product/222986" TargetMode="External" Id="rId2701" /><Relationship Type="http://schemas.openxmlformats.org/officeDocument/2006/relationships/hyperlink" Target="https://www.tcgplayer.com/product/265319" TargetMode="External" Id="rId2702" /><Relationship Type="http://schemas.openxmlformats.org/officeDocument/2006/relationships/hyperlink" Target="https://www.pricecharting.com/game/pokemon-vivid-voltage/build-&amp;-battle-box" TargetMode="External" Id="rId2703" /><Relationship Type="http://schemas.openxmlformats.org/officeDocument/2006/relationships/hyperlink" Target="https://www.tcgplayer.com/product/221748" TargetMode="External" Id="rId2704" /><Relationship Type="http://schemas.openxmlformats.org/officeDocument/2006/relationships/hyperlink" Target="https://www.pricecharting.com/game/pokemon-vivid-voltage/elite-trainer-box" TargetMode="External" Id="rId2705" /><Relationship Type="http://schemas.openxmlformats.org/officeDocument/2006/relationships/hyperlink" Target="https://www.tcgplayer.com/product/221752" TargetMode="External" Id="rId2706" /><Relationship Type="http://schemas.openxmlformats.org/officeDocument/2006/relationships/hyperlink" Target="https://www.tcgplayer.com/product/487798" TargetMode="External" Id="rId2707" /><Relationship Type="http://schemas.openxmlformats.org/officeDocument/2006/relationships/hyperlink" Target="https://www.tcgplayer.com/product/265321" TargetMode="External" Id="rId2708" /><Relationship Type="http://schemas.openxmlformats.org/officeDocument/2006/relationships/hyperlink" Target="https://www.pricecharting.com/game/pokemon-battle-styles/build-&amp;-battle-box" TargetMode="External" Id="rId2709" /><Relationship Type="http://schemas.openxmlformats.org/officeDocument/2006/relationships/hyperlink" Target="https://www.tcgplayer.com/product/229278" TargetMode="External" Id="rId2710" /><Relationship Type="http://schemas.openxmlformats.org/officeDocument/2006/relationships/hyperlink" Target="https://www.tcgplayer.com/product/229285" TargetMode="External" Id="rId2711" /><Relationship Type="http://schemas.openxmlformats.org/officeDocument/2006/relationships/hyperlink" Target="https://www.tcgplayer.com/product/244414" TargetMode="External" Id="rId2712" /><Relationship Type="http://schemas.openxmlformats.org/officeDocument/2006/relationships/hyperlink" Target="https://www.tcgplayer.com/product/229284" TargetMode="External" Id="rId2713" /><Relationship Type="http://schemas.openxmlformats.org/officeDocument/2006/relationships/hyperlink" Target="https://www.tcgplayer.com/product/233359" TargetMode="External" Id="rId2714" /><Relationship Type="http://schemas.openxmlformats.org/officeDocument/2006/relationships/hyperlink" Target="https://www.tcgplayer.com/product/231296" TargetMode="External" Id="rId2715" /><Relationship Type="http://schemas.openxmlformats.org/officeDocument/2006/relationships/hyperlink" Target="https://www.tcgplayer.com/product/231297" TargetMode="External" Id="rId2716" /><Relationship Type="http://schemas.openxmlformats.org/officeDocument/2006/relationships/hyperlink" Target="https://www.tcgplayer.com/product/236378" TargetMode="External" Id="rId2717" /><Relationship Type="http://schemas.openxmlformats.org/officeDocument/2006/relationships/hyperlink" Target="https://www.tcgplayer.com/product/236377" TargetMode="External" Id="rId2718" /><Relationship Type="http://schemas.openxmlformats.org/officeDocument/2006/relationships/hyperlink" Target="https://www.tcgplayer.com/product/238638" TargetMode="External" Id="rId2719" /><Relationship Type="http://schemas.openxmlformats.org/officeDocument/2006/relationships/hyperlink" Target="https://www.tcgplayer.com/product/492290" TargetMode="External" Id="rId2720" /><Relationship Type="http://schemas.openxmlformats.org/officeDocument/2006/relationships/hyperlink" Target="https://www.pricecharting.com/game/pokemon-chilling-reign/build-and-battle-box" TargetMode="External" Id="rId2721" /><Relationship Type="http://schemas.openxmlformats.org/officeDocument/2006/relationships/hyperlink" Target="https://www.tcgplayer.com/product/236265" TargetMode="External" Id="rId2722" /><Relationship Type="http://schemas.openxmlformats.org/officeDocument/2006/relationships/hyperlink" Target="https://www.tcgplayer.com/product/236260" TargetMode="External" Id="rId2723" /><Relationship Type="http://schemas.openxmlformats.org/officeDocument/2006/relationships/hyperlink" Target="https://www.tcgplayer.com/product/244410" TargetMode="External" Id="rId2724" /><Relationship Type="http://schemas.openxmlformats.org/officeDocument/2006/relationships/hyperlink" Target="https://www.tcgplayer.com/product/236261" TargetMode="External" Id="rId2725" /><Relationship Type="http://schemas.openxmlformats.org/officeDocument/2006/relationships/hyperlink" Target="https://www.tcgplayer.com/product/247281" TargetMode="External" Id="rId2726" /><Relationship Type="http://schemas.openxmlformats.org/officeDocument/2006/relationships/hyperlink" Target="https://www.tcgplayer.com/product/247282" TargetMode="External" Id="rId2727" /><Relationship Type="http://schemas.openxmlformats.org/officeDocument/2006/relationships/hyperlink" Target="https://www.tcgplayer.com/product/256274" TargetMode="External" Id="rId2728" /><Relationship Type="http://schemas.openxmlformats.org/officeDocument/2006/relationships/hyperlink" Target="https://www.tcgplayer.com/product/256275" TargetMode="External" Id="rId2729" /><Relationship Type="http://schemas.openxmlformats.org/officeDocument/2006/relationships/hyperlink" Target="https://www.tcgplayer.com/product/240975" TargetMode="External" Id="rId2730" /><Relationship Type="http://schemas.openxmlformats.org/officeDocument/2006/relationships/hyperlink" Target="https://www.tcgplayer.com/product/240977" TargetMode="External" Id="rId2731" /><Relationship Type="http://schemas.openxmlformats.org/officeDocument/2006/relationships/hyperlink" Target="https://www.tcgplayer.com/product/650863" TargetMode="External" Id="rId2732" /><Relationship Type="http://schemas.openxmlformats.org/officeDocument/2006/relationships/hyperlink" Target="https://www.tcgplayer.com/product/247497" TargetMode="External" Id="rId2733" /><Relationship Type="http://schemas.openxmlformats.org/officeDocument/2006/relationships/hyperlink" Target="https://www.pricecharting.com/game/pokemon-evolving-skies/build-and-battle-box" TargetMode="External" Id="rId2734" /><Relationship Type="http://schemas.openxmlformats.org/officeDocument/2006/relationships/hyperlink" Target="https://www.tcgplayer.com/product/242449" TargetMode="External" Id="rId2735" /><Relationship Type="http://schemas.openxmlformats.org/officeDocument/2006/relationships/hyperlink" Target="https://www.pricecharting.com/game/pokemon-evolving-skies/build-&amp;-battle-stadium" TargetMode="External" Id="rId2736" /><Relationship Type="http://schemas.openxmlformats.org/officeDocument/2006/relationships/hyperlink" Target="https://www.tcgplayer.com/product/243425" TargetMode="External" Id="rId2737" /><Relationship Type="http://schemas.openxmlformats.org/officeDocument/2006/relationships/hyperlink" Target="https://www.tcgplayer.com/product/242434" TargetMode="External" Id="rId2738" /><Relationship Type="http://schemas.openxmlformats.org/officeDocument/2006/relationships/hyperlink" Target="https://www.tcgplayer.com/product/242443" TargetMode="External" Id="rId2739" /><Relationship Type="http://schemas.openxmlformats.org/officeDocument/2006/relationships/hyperlink" Target="https://www.tcgplayer.com/product/243721" TargetMode="External" Id="rId2740" /><Relationship Type="http://schemas.openxmlformats.org/officeDocument/2006/relationships/hyperlink" Target="https://www.tcgplayer.com/product/245352" TargetMode="External" Id="rId2741" /><Relationship Type="http://schemas.openxmlformats.org/officeDocument/2006/relationships/hyperlink" Target="https://www.tcgplayer.com/product/245376" TargetMode="External" Id="rId2742" /><Relationship Type="http://schemas.openxmlformats.org/officeDocument/2006/relationships/hyperlink" Target="https://www.tcgplayer.com/product/245855" TargetMode="External" Id="rId2743" /><Relationship Type="http://schemas.openxmlformats.org/officeDocument/2006/relationships/hyperlink" Target="https://www.tcgplayer.com/product/247498" TargetMode="External" Id="rId2744" /><Relationship Type="http://schemas.openxmlformats.org/officeDocument/2006/relationships/hyperlink" Target="https://www.tcgplayer.com/product/246274" TargetMode="External" Id="rId2745" /><Relationship Type="http://schemas.openxmlformats.org/officeDocument/2006/relationships/hyperlink" Target="https://www.tcgplayer.com/product/245878" TargetMode="External" Id="rId2746" /><Relationship Type="http://schemas.openxmlformats.org/officeDocument/2006/relationships/hyperlink" Target="https://www.tcgplayer.com/product/245877" TargetMode="External" Id="rId2747" /><Relationship Type="http://schemas.openxmlformats.org/officeDocument/2006/relationships/hyperlink" Target="https://www.tcgplayer.com/product/245880" TargetMode="External" Id="rId2748" /><Relationship Type="http://schemas.openxmlformats.org/officeDocument/2006/relationships/hyperlink" Target="https://www.tcgplayer.com/product/245879" TargetMode="External" Id="rId2749" /><Relationship Type="http://schemas.openxmlformats.org/officeDocument/2006/relationships/hyperlink" Target="https://www.tcgplayer.com/product/245876" TargetMode="External" Id="rId2750" /><Relationship Type="http://schemas.openxmlformats.org/officeDocument/2006/relationships/hyperlink" Target="https://www.tcgplayer.com/product/635742" TargetMode="External" Id="rId2751" /><Relationship Type="http://schemas.openxmlformats.org/officeDocument/2006/relationships/hyperlink" Target="https://www.tcgplayer.com/product/247651" TargetMode="External" Id="rId2752" /><Relationship Type="http://schemas.openxmlformats.org/officeDocument/2006/relationships/hyperlink" Target="https://www.pricecharting.com/game/pokemon-fusion-strike/build-&amp;-battle-box" TargetMode="External" Id="rId2753" /><Relationship Type="http://schemas.openxmlformats.org/officeDocument/2006/relationships/hyperlink" Target="https://www.tcgplayer.com/product/247659" TargetMode="External" Id="rId2754" /><Relationship Type="http://schemas.openxmlformats.org/officeDocument/2006/relationships/hyperlink" Target="https://www.pricecharting.com/game/pokemon-fusion-strike/build-&amp;-battle-stadium" TargetMode="External" Id="rId2755" /><Relationship Type="http://schemas.openxmlformats.org/officeDocument/2006/relationships/hyperlink" Target="https://www.tcgplayer.com/product/247666" TargetMode="External" Id="rId2756" /><Relationship Type="http://schemas.openxmlformats.org/officeDocument/2006/relationships/hyperlink" Target="https://www.pricecharting.com/game/pokemon-fusion-strike/elite-trainer-box" TargetMode="External" Id="rId2757" /><Relationship Type="http://schemas.openxmlformats.org/officeDocument/2006/relationships/hyperlink" Target="https://www.tcgplayer.com/product/247671" TargetMode="External" Id="rId2758" /><Relationship Type="http://schemas.openxmlformats.org/officeDocument/2006/relationships/hyperlink" Target="https://www.tcgplayer.com/product/247673" TargetMode="External" Id="rId2759" /><Relationship Type="http://schemas.openxmlformats.org/officeDocument/2006/relationships/hyperlink" Target="https://www.tcgplayer.com/product/247657" TargetMode="External" Id="rId2760" /><Relationship Type="http://schemas.openxmlformats.org/officeDocument/2006/relationships/hyperlink" Target="https://www.tcgplayer.com/product/247658" TargetMode="External" Id="rId2761" /><Relationship Type="http://schemas.openxmlformats.org/officeDocument/2006/relationships/hyperlink" Target="https://www.tcgplayer.com/product/282721" TargetMode="External" Id="rId2762" /><Relationship Type="http://schemas.openxmlformats.org/officeDocument/2006/relationships/hyperlink" Target="https://www.pricecharting.com/game/pokemon-fusion-strike/hoopa-v-box" TargetMode="External" Id="rId2763" /><Relationship Type="http://schemas.openxmlformats.org/officeDocument/2006/relationships/hyperlink" Target="https://www.tcgplayer.com/product/247817" TargetMode="External" Id="rId2764" /><Relationship Type="http://schemas.openxmlformats.org/officeDocument/2006/relationships/hyperlink" Target="https://www.pricecharting.com/game/pokemon-fusion-strike/rapid-strike-urshifu-vmax-premium-collection" TargetMode="External" Id="rId2765" /><Relationship Type="http://schemas.openxmlformats.org/officeDocument/2006/relationships/hyperlink" Target="https://www.tcgplayer.com/product/253454" TargetMode="External" Id="rId2766" /><Relationship Type="http://schemas.openxmlformats.org/officeDocument/2006/relationships/hyperlink" Target="https://www.tcgplayer.com/product/253455" TargetMode="External" Id="rId2767" /><Relationship Type="http://schemas.openxmlformats.org/officeDocument/2006/relationships/hyperlink" Target="https://www.tcgplayer.com/product/283851" TargetMode="External" Id="rId2768" /><Relationship Type="http://schemas.openxmlformats.org/officeDocument/2006/relationships/hyperlink" Target="https://www.pricecharting.com/game/pokemon-brilliant-stars/arceus-v-figure-collection" TargetMode="External" Id="rId2769" /><Relationship Type="http://schemas.openxmlformats.org/officeDocument/2006/relationships/hyperlink" Target="https://www.tcgplayer.com/product/265251" TargetMode="External" Id="rId2770" /><Relationship Type="http://schemas.openxmlformats.org/officeDocument/2006/relationships/hyperlink" Target="https://www.tcgplayer.com/product/256134" TargetMode="External" Id="rId2771" /><Relationship Type="http://schemas.openxmlformats.org/officeDocument/2006/relationships/hyperlink" Target="https://www.pricecharting.com/game/pokemon-brilliant-stars/build-&amp;-battle-box" TargetMode="External" Id="rId2772" /><Relationship Type="http://schemas.openxmlformats.org/officeDocument/2006/relationships/hyperlink" Target="https://www.tcgplayer.com/product/256137" TargetMode="External" Id="rId2773" /><Relationship Type="http://schemas.openxmlformats.org/officeDocument/2006/relationships/hyperlink" Target="https://www.pricecharting.com/game/pokemon-brilliant-stars/build-&amp;-battle-stadium" TargetMode="External" Id="rId2774" /><Relationship Type="http://schemas.openxmlformats.org/officeDocument/2006/relationships/hyperlink" Target="https://www.tcgplayer.com/product/256139" TargetMode="External" Id="rId2775" /><Relationship Type="http://schemas.openxmlformats.org/officeDocument/2006/relationships/hyperlink" Target="https://www.pricecharting.com/game/pokemon-brilliant-stars/elite-trainer-box" TargetMode="External" Id="rId2776" /><Relationship Type="http://schemas.openxmlformats.org/officeDocument/2006/relationships/hyperlink" Target="https://www.tcgplayer.com/product/256138" TargetMode="External" Id="rId2777" /><Relationship Type="http://schemas.openxmlformats.org/officeDocument/2006/relationships/hyperlink" Target="https://www.tcgplayer.com/product/256140" TargetMode="External" Id="rId2778" /><Relationship Type="http://schemas.openxmlformats.org/officeDocument/2006/relationships/hyperlink" Target="https://www.tcgplayer.com/product/256135" TargetMode="External" Id="rId2779" /><Relationship Type="http://schemas.openxmlformats.org/officeDocument/2006/relationships/hyperlink" Target="https://www.tcgplayer.com/product/256136" TargetMode="External" Id="rId2780" /><Relationship Type="http://schemas.openxmlformats.org/officeDocument/2006/relationships/hyperlink" Target="https://www.tcgplayer.com/product/257375" TargetMode="External" Id="rId2781" /><Relationship Type="http://schemas.openxmlformats.org/officeDocument/2006/relationships/hyperlink" Target="https://www.pricecharting.com/game/pokemon-brilliant-stars/glaceon-vstar-special-collection" TargetMode="External" Id="rId2782" /><Relationship Type="http://schemas.openxmlformats.org/officeDocument/2006/relationships/hyperlink" Target="https://www.tcgplayer.com/product/256146" TargetMode="External" Id="rId2783" /><Relationship Type="http://schemas.openxmlformats.org/officeDocument/2006/relationships/hyperlink" Target="https://www.pricecharting.com/game/pokemon-brilliant-stars/leafeon-vstar-special-collection" TargetMode="External" Id="rId2784" /><Relationship Type="http://schemas.openxmlformats.org/officeDocument/2006/relationships/hyperlink" Target="https://www.tcgplayer.com/product/256147" TargetMode="External" Id="rId2785" /><Relationship Type="http://schemas.openxmlformats.org/officeDocument/2006/relationships/hyperlink" Target="https://www.tcgplayer.com/product/523959" TargetMode="External" Id="rId2786" /><Relationship Type="http://schemas.openxmlformats.org/officeDocument/2006/relationships/hyperlink" Target="https://www.tcgplayer.com/product/265542" TargetMode="External" Id="rId2787" /><Relationship Type="http://schemas.openxmlformats.org/officeDocument/2006/relationships/hyperlink" Target="https://www.pricecharting.com/game/pokemon-astral-radiance/build-&amp;-battle-box" TargetMode="External" Id="rId2788" /><Relationship Type="http://schemas.openxmlformats.org/officeDocument/2006/relationships/hyperlink" Target="https://www.tcgplayer.com/product/265529" TargetMode="External" Id="rId2789" /><Relationship Type="http://schemas.openxmlformats.org/officeDocument/2006/relationships/hyperlink" Target="https://www.pricecharting.com/game/pokemon-astral-radiance/build-&amp;-battle-stadium" TargetMode="External" Id="rId2790" /><Relationship Type="http://schemas.openxmlformats.org/officeDocument/2006/relationships/hyperlink" Target="https://www.tcgplayer.com/product/265515" TargetMode="External" Id="rId2791" /><Relationship Type="http://schemas.openxmlformats.org/officeDocument/2006/relationships/hyperlink" Target="https://www.pricecharting.com/game/pokemon-astral-radiance/elite-trainer-box" TargetMode="External" Id="rId2792" /><Relationship Type="http://schemas.openxmlformats.org/officeDocument/2006/relationships/hyperlink" Target="https://www.tcgplayer.com/product/265527" TargetMode="External" Id="rId2793" /><Relationship Type="http://schemas.openxmlformats.org/officeDocument/2006/relationships/hyperlink" Target="https://www.tcgplayer.com/product/265528" TargetMode="External" Id="rId2794" /><Relationship Type="http://schemas.openxmlformats.org/officeDocument/2006/relationships/hyperlink" Target="https://www.tcgplayer.com/product/265543" TargetMode="External" Id="rId2795" /><Relationship Type="http://schemas.openxmlformats.org/officeDocument/2006/relationships/hyperlink" Target="https://www.tcgplayer.com/product/279598" TargetMode="External" Id="rId2796" /><Relationship Type="http://schemas.openxmlformats.org/officeDocument/2006/relationships/hyperlink" Target="https://www.tcgplayer.com/product/283325" TargetMode="External" Id="rId2797" /><Relationship Type="http://schemas.openxmlformats.org/officeDocument/2006/relationships/hyperlink" Target="https://www.tcgplayer.com/product/285674" TargetMode="External" Id="rId2798" /><Relationship Type="http://schemas.openxmlformats.org/officeDocument/2006/relationships/hyperlink" Target="https://www.tcgplayer.com/product/282402" TargetMode="External" Id="rId2799" /><Relationship Type="http://schemas.openxmlformats.org/officeDocument/2006/relationships/hyperlink" Target="https://www.tcgplayer.com/product/637417" TargetMode="External" Id="rId2800" /><Relationship Type="http://schemas.openxmlformats.org/officeDocument/2006/relationships/hyperlink" Target="https://www.pricecharting.com/game/pokemon-lost-origin/booster-bundle" TargetMode="External" Id="rId2801" /><Relationship Type="http://schemas.openxmlformats.org/officeDocument/2006/relationships/hyperlink" Target="https://www.tcgplayer.com/product/278819" TargetMode="External" Id="rId2802" /><Relationship Type="http://schemas.openxmlformats.org/officeDocument/2006/relationships/hyperlink" Target="https://www.tcgplayer.com/product/278794" TargetMode="External" Id="rId2803" /><Relationship Type="http://schemas.openxmlformats.org/officeDocument/2006/relationships/hyperlink" Target="https://www.pricecharting.com/game/pokemon-lost-origin/build-&amp;-battle-box" TargetMode="External" Id="rId2804" /><Relationship Type="http://schemas.openxmlformats.org/officeDocument/2006/relationships/hyperlink" Target="https://www.tcgplayer.com/product/277345" TargetMode="External" Id="rId2805" /><Relationship Type="http://schemas.openxmlformats.org/officeDocument/2006/relationships/hyperlink" Target="https://www.pricecharting.com/game/pokemon-lost-origin/build-&amp;-battle-stadium" TargetMode="External" Id="rId2806" /><Relationship Type="http://schemas.openxmlformats.org/officeDocument/2006/relationships/hyperlink" Target="https://www.tcgplayer.com/product/277346" TargetMode="External" Id="rId2807" /><Relationship Type="http://schemas.openxmlformats.org/officeDocument/2006/relationships/hyperlink" Target="https://www.pricecharting.com/game/pokemon-lost-origin/elite-trainer-box" TargetMode="External" Id="rId2808" /><Relationship Type="http://schemas.openxmlformats.org/officeDocument/2006/relationships/hyperlink" Target="https://www.tcgplayer.com/product/277335" TargetMode="External" Id="rId2809" /><Relationship Type="http://schemas.openxmlformats.org/officeDocument/2006/relationships/hyperlink" Target="https://www.tcgplayer.com/product/277336" TargetMode="External" Id="rId2810" /><Relationship Type="http://schemas.openxmlformats.org/officeDocument/2006/relationships/hyperlink" Target="https://www.tcgplayer.com/product/278801" TargetMode="External" Id="rId2811" /><Relationship Type="http://schemas.openxmlformats.org/officeDocument/2006/relationships/hyperlink" Target="https://www.tcgplayer.com/product/278804" TargetMode="External" Id="rId2812" /><Relationship Type="http://schemas.openxmlformats.org/officeDocument/2006/relationships/hyperlink" Target="https://www.tcgplayer.com/product/282000" TargetMode="External" Id="rId2813" /><Relationship Type="http://schemas.openxmlformats.org/officeDocument/2006/relationships/hyperlink" Target="https://www.tcgplayer.com/product/282005" TargetMode="External" Id="rId2814" /><Relationship Type="http://schemas.openxmlformats.org/officeDocument/2006/relationships/hyperlink" Target="https://www.tcgplayer.com/product/282405" TargetMode="External" Id="rId2815" /><Relationship Type="http://schemas.openxmlformats.org/officeDocument/2006/relationships/hyperlink" Target="https://www.tcgplayer.com/product/282404" TargetMode="External" Id="rId2816" /><Relationship Type="http://schemas.openxmlformats.org/officeDocument/2006/relationships/hyperlink" Target="https://www.tcgplayer.com/product/282406" TargetMode="External" Id="rId2817" /><Relationship Type="http://schemas.openxmlformats.org/officeDocument/2006/relationships/hyperlink" Target="https://www.tcgplayer.com/product/282401" TargetMode="External" Id="rId2818" /><Relationship Type="http://schemas.openxmlformats.org/officeDocument/2006/relationships/hyperlink" Target="https://www.tcgplayer.com/product/284930" TargetMode="External" Id="rId2819" /><Relationship Type="http://schemas.openxmlformats.org/officeDocument/2006/relationships/hyperlink" Target="https://www.pricecharting.com/game/pokemon-silver-tempest/booster-bundle" TargetMode="External" Id="rId2820" /><Relationship Type="http://schemas.openxmlformats.org/officeDocument/2006/relationships/hyperlink" Target="https://www.tcgplayer.com/product/283396" TargetMode="External" Id="rId2821" /><Relationship Type="http://schemas.openxmlformats.org/officeDocument/2006/relationships/hyperlink" Target="https://www.tcgplayer.com/product/285778" TargetMode="External" Id="rId2822" /><Relationship Type="http://schemas.openxmlformats.org/officeDocument/2006/relationships/hyperlink" Target="https://www.pricecharting.com/game/pokemon-silver-tempest/build-&amp;-battle-box" TargetMode="External" Id="rId2823" /><Relationship Type="http://schemas.openxmlformats.org/officeDocument/2006/relationships/hyperlink" Target="https://www.tcgplayer.com/product/285776" TargetMode="External" Id="rId2824" /><Relationship Type="http://schemas.openxmlformats.org/officeDocument/2006/relationships/hyperlink" Target="https://www.pricecharting.com/game/pokemon-silver-tempest/build-&amp;-battle-stadium" TargetMode="External" Id="rId2825" /><Relationship Type="http://schemas.openxmlformats.org/officeDocument/2006/relationships/hyperlink" Target="https://www.tcgplayer.com/product/285042" TargetMode="External" Id="rId2826" /><Relationship Type="http://schemas.openxmlformats.org/officeDocument/2006/relationships/hyperlink" Target="https://www.pricecharting.com/game/pokemon-silver-tempest/elite-trainer-box" TargetMode="External" Id="rId2827" /><Relationship Type="http://schemas.openxmlformats.org/officeDocument/2006/relationships/hyperlink" Target="https://www.tcgplayer.com/product/283401" TargetMode="External" Id="rId2828" /><Relationship Type="http://schemas.openxmlformats.org/officeDocument/2006/relationships/hyperlink" Target="https://www.tcgplayer.com/product/285860" TargetMode="External" Id="rId2829" /><Relationship Type="http://schemas.openxmlformats.org/officeDocument/2006/relationships/hyperlink" Target="https://www.tcgplayer.com/product/283400" TargetMode="External" Id="rId2830" /><Relationship Type="http://schemas.openxmlformats.org/officeDocument/2006/relationships/hyperlink" Target="https://www.pricecharting.com/game/pokemon-crown-zenith/booster-bundle" TargetMode="External" Id="rId2831" /><Relationship Type="http://schemas.openxmlformats.org/officeDocument/2006/relationships/hyperlink" Target="https://www.tcgplayer.com/product/527562" TargetMode="External" Id="rId2832" /><Relationship Type="http://schemas.openxmlformats.org/officeDocument/2006/relationships/hyperlink" Target="https://www.tcgplayer.com/product/453468" TargetMode="External" Id="rId2833" /><Relationship Type="http://schemas.openxmlformats.org/officeDocument/2006/relationships/hyperlink" Target="https://www.tcgplayer.com/product/453467" TargetMode="External" Id="rId2834" /><Relationship Type="http://schemas.openxmlformats.org/officeDocument/2006/relationships/hyperlink" Target="https://www.tcgplayer.com/product/453474" TargetMode="External" Id="rId2835" /><Relationship Type="http://schemas.openxmlformats.org/officeDocument/2006/relationships/hyperlink" Target="https://www.pricecharting.com/game/pokemon-crown-zenith/elite-trainer-box" TargetMode="External" Id="rId2836" /><Relationship Type="http://schemas.openxmlformats.org/officeDocument/2006/relationships/hyperlink" Target="https://www.tcgplayer.com/product/453470" TargetMode="External" Id="rId2837" /><Relationship Type="http://schemas.openxmlformats.org/officeDocument/2006/relationships/hyperlink" Target="https://www.tcgplayer.com/product/453491" TargetMode="External" Id="rId2838" /><Relationship Type="http://schemas.openxmlformats.org/officeDocument/2006/relationships/hyperlink" Target="https://www.tcgplayer.com/product/453490" TargetMode="External" Id="rId2839" /><Relationship Type="http://schemas.openxmlformats.org/officeDocument/2006/relationships/hyperlink" Target="https://www.tcgplayer.com/product/453489" TargetMode="External" Id="rId2840" /><Relationship Type="http://schemas.openxmlformats.org/officeDocument/2006/relationships/hyperlink" Target="https://www.tcgplayer.com/product/453488" TargetMode="External" Id="rId2841" /><Relationship Type="http://schemas.openxmlformats.org/officeDocument/2006/relationships/hyperlink" Target="https://www.tcgplayer.com/product/453494" TargetMode="External" Id="rId2842" /><Relationship Type="http://schemas.openxmlformats.org/officeDocument/2006/relationships/hyperlink" Target="https://www.pricecharting.com/game/pokemon-crown-zenith/pin-collection-cinderace" TargetMode="External" Id="rId2843" /><Relationship Type="http://schemas.openxmlformats.org/officeDocument/2006/relationships/hyperlink" Target="https://www.tcgplayer.com/product/475617" TargetMode="External" Id="rId2844" /><Relationship Type="http://schemas.openxmlformats.org/officeDocument/2006/relationships/hyperlink" Target="https://www.pricecharting.com/game/pokemon-crown-zenith/pin-collection-inteleon" TargetMode="External" Id="rId2845" /><Relationship Type="http://schemas.openxmlformats.org/officeDocument/2006/relationships/hyperlink" Target="https://www.tcgplayer.com/product/475618" TargetMode="External" Id="rId2846" /><Relationship Type="http://schemas.openxmlformats.org/officeDocument/2006/relationships/hyperlink" Target="https://www.pricecharting.com/game/pokemon-crown-zenith/pin-collection-rillaboom" TargetMode="External" Id="rId2847" /><Relationship Type="http://schemas.openxmlformats.org/officeDocument/2006/relationships/hyperlink" Target="https://www.tcgplayer.com/product/475619" TargetMode="External" Id="rId2848" /><Relationship Type="http://schemas.openxmlformats.org/officeDocument/2006/relationships/hyperlink" Target="https://www.tcgplayer.com/product/475620" TargetMode="External" Id="rId2849" /><Relationship Type="http://schemas.openxmlformats.org/officeDocument/2006/relationships/hyperlink" Target="https://www.tcgplayer.com/product/454246" TargetMode="External" Id="rId2850" /><Relationship Type="http://schemas.openxmlformats.org/officeDocument/2006/relationships/hyperlink" Target="https://www.tcgplayer.com/product/475648" TargetMode="External" Id="rId2851" /><Relationship Type="http://schemas.openxmlformats.org/officeDocument/2006/relationships/hyperlink" Target="https://www.tcgplayer.com/product/475647" TargetMode="External" Id="rId2852" /><Relationship Type="http://schemas.openxmlformats.org/officeDocument/2006/relationships/hyperlink" Target="https://www.tcgplayer.com/product/475646" TargetMode="External" Id="rId2853" /><Relationship Type="http://schemas.openxmlformats.org/officeDocument/2006/relationships/hyperlink" Target="https://www.tcgplayer.com/product/505916" TargetMode="External" Id="rId2854" /><Relationship Type="http://schemas.openxmlformats.org/officeDocument/2006/relationships/hyperlink" Target="https://www.tcgplayer.com/product/475628" TargetMode="External" Id="rId2855" /><Relationship Type="http://schemas.openxmlformats.org/officeDocument/2006/relationships/hyperlink" Target="https://www.tcgplayer.com/product/475631" TargetMode="External" Id="rId2856" /><Relationship Type="http://schemas.openxmlformats.org/officeDocument/2006/relationships/hyperlink" Target="https://www.pricecharting.com/game/pokemon-crown-zenith/crown-zenith-tin-galarian-moltres" TargetMode="External" Id="rId2857" /><Relationship Type="http://schemas.openxmlformats.org/officeDocument/2006/relationships/hyperlink" Target="https://www.tcgplayer.com/product/475629" TargetMode="External" Id="rId2858" /><Relationship Type="http://schemas.openxmlformats.org/officeDocument/2006/relationships/hyperlink" Target="https://www.tcgplayer.com/product/475632" TargetMode="External" Id="rId2859" /><Relationship Type="http://schemas.openxmlformats.org/officeDocument/2006/relationships/hyperlink" Target="https://www.pricecharting.com/game/pokemon-crown-zenith/crown-zenith-tin-galarian-zapdos" TargetMode="External" Id="rId2860" /><Relationship Type="http://schemas.openxmlformats.org/officeDocument/2006/relationships/hyperlink" Target="https://www.tcgplayer.com/product/475630" TargetMode="External" Id="rId2861" /><Relationship Type="http://schemas.openxmlformats.org/officeDocument/2006/relationships/hyperlink" Target="https://www.tcgplayer.com/product/475633" TargetMode="External" Id="rId2862" /><Relationship Type="http://schemas.openxmlformats.org/officeDocument/2006/relationships/hyperlink" Target="https://www.tcgplayer.com/product/475634" TargetMode="External" Id="rId2863" /><Relationship Type="http://schemas.openxmlformats.org/officeDocument/2006/relationships/hyperlink" Target="https://www.tcgplayer.com/product/475635" TargetMode="External" Id="rId2864" /><Relationship Type="http://schemas.openxmlformats.org/officeDocument/2006/relationships/hyperlink" Target="https://www.tcgplayer.com/product/475644" TargetMode="External" Id="rId2865" /><Relationship Type="http://schemas.openxmlformats.org/officeDocument/2006/relationships/hyperlink" Target="https://www.pricecharting.com/game/pokemon-crown-zenith/morpeko-v-union-premium-treasures-collection" TargetMode="External" Id="rId2866" /><Relationship Type="http://schemas.openxmlformats.org/officeDocument/2006/relationships/hyperlink" Target="https://www.tcgplayer.com/product/516939" TargetMode="External" Id="rId2867" /><Relationship Type="http://schemas.openxmlformats.org/officeDocument/2006/relationships/hyperlink" Target="https://www.pricecharting.com/game/pokemon-crown-zenith/pikachu-vmax-premium-collection" TargetMode="External" Id="rId2868" /><Relationship Type="http://schemas.openxmlformats.org/officeDocument/2006/relationships/hyperlink" Target="https://www.tcgplayer.com/product/527796" TargetMode="External" Id="rId2869" /><Relationship Type="http://schemas.openxmlformats.org/officeDocument/2006/relationships/hyperlink" Target="https://www.pricecharting.com/game/pokemon-crown-zenith/pikachu-vmax-special-collection" TargetMode="External" Id="rId2870" /><Relationship Type="http://schemas.openxmlformats.org/officeDocument/2006/relationships/hyperlink" Target="https://www.tcgplayer.com/product/454452" TargetMode="External" Id="rId2871" /><Relationship Type="http://schemas.openxmlformats.org/officeDocument/2006/relationships/hyperlink" Target="https://www.tcgplayer.com/product/563307" TargetMode="External" Id="rId2872" /><Relationship Type="http://schemas.openxmlformats.org/officeDocument/2006/relationships/hyperlink" Target="https://www.pricecharting.com/game/pokemon-team-up/3-pack-blister" TargetMode="External" Id="rId2873" /><Relationship Type="http://schemas.openxmlformats.org/officeDocument/2006/relationships/hyperlink" Target="https://www.pricecharting.com/game/pokemon-team-up/build-and-battle-box" TargetMode="External" Id="rId2874" /><Relationship Type="http://schemas.openxmlformats.org/officeDocument/2006/relationships/hyperlink" Target="https://www.pricecharting.com/game/pokemon-team-up/reshiram-&amp;-charizard-gx-premium-collection-box" TargetMode="External" Id="rId2875" /><Relationship Type="http://schemas.openxmlformats.org/officeDocument/2006/relationships/hyperlink" Target="https://www.pricecharting.com/game/pokemon-temporal-forces/elite-trainer-box-iron-leaves-pokemon-center" TargetMode="External" Id="rId2876" /><Relationship Type="http://schemas.openxmlformats.org/officeDocument/2006/relationships/hyperlink" Target="https://www.pricecharting.com/game/pokemon-temporal-forces/elite-trainer-box-iron-leaves" TargetMode="External" Id="rId2877" /><Relationship Type="http://schemas.openxmlformats.org/officeDocument/2006/relationships/hyperlink" Target="https://www.pricecharting.com/game/pokemon-temporal-forces/elite-trainer-box-walking-wake-pokemon-center" TargetMode="External" Id="rId2878" /><Relationship Type="http://schemas.openxmlformats.org/officeDocument/2006/relationships/hyperlink" Target="https://www.pricecharting.com/game/pokemon-trick-or-trade-2022/booster-bundle" TargetMode="External" Id="rId2879" /><Relationship Type="http://schemas.openxmlformats.org/officeDocument/2006/relationships/hyperlink" Target="https://www.pricecharting.com/game/pokemon-trick-or-trade-2022/booster-bundle-120-pack" TargetMode="External" Id="rId2880" /><Relationship Type="http://schemas.openxmlformats.org/officeDocument/2006/relationships/hyperlink" Target="https://www.pricecharting.com/game/pokemon-trick-or-trade-2023/booster-bundle" TargetMode="External" Id="rId2881" /><Relationship Type="http://schemas.openxmlformats.org/officeDocument/2006/relationships/hyperlink" Target="https://www.pricecharting.com/game/pokemon-trick-or-trade-2023/booster-bundle-120" TargetMode="External" Id="rId2882" /><Relationship Type="http://schemas.openxmlformats.org/officeDocument/2006/relationships/hyperlink" Target="https://www.pricecharting.com/game/pokemon-trick-or-trade-2024/booster-bundle" TargetMode="External" Id="rId2883" /><Relationship Type="http://schemas.openxmlformats.org/officeDocument/2006/relationships/hyperlink" Target="https://www.pricecharting.com/game/pokemon-trick-or-trade-2024/booster-bundle-120" TargetMode="External" Id="rId2884" /><Relationship Type="http://schemas.openxmlformats.org/officeDocument/2006/relationships/hyperlink" Target="https://www.tcgplayer.com/product/659627" TargetMode="External" Id="rId2885" /><Relationship Type="http://schemas.openxmlformats.org/officeDocument/2006/relationships/hyperlink" Target="https://www.tcgplayer.com/product/280302" TargetMode="External" Id="rId2886" /><Relationship Type="http://schemas.openxmlformats.org/officeDocument/2006/relationships/hyperlink" Target="https://www.tcgplayer.com/product/280301" TargetMode="External" Id="rId2887" /><Relationship Type="http://schemas.openxmlformats.org/officeDocument/2006/relationships/hyperlink" Target="https://www.tcgplayer.com/product/505942" TargetMode="External" Id="rId2888" /><Relationship Type="http://schemas.openxmlformats.org/officeDocument/2006/relationships/hyperlink" Target="https://www.tcgplayer.com/product/505945" TargetMode="External" Id="rId2889" /><Relationship Type="http://schemas.openxmlformats.org/officeDocument/2006/relationships/hyperlink" Target="https://www.tcgplayer.com/product/591211" TargetMode="External" Id="rId2890" /><Relationship Type="http://schemas.openxmlformats.org/officeDocument/2006/relationships/hyperlink" Target="https://www.tcgplayer.com/product/558713" TargetMode="External" Id="rId2891" /><Relationship Type="http://schemas.openxmlformats.org/officeDocument/2006/relationships/hyperlink" Target="https://www.tcgplayer.com/product/566954" TargetMode="External" Id="rId2892" /><Relationship Type="http://schemas.openxmlformats.org/officeDocument/2006/relationships/hyperlink" Target="https://www.tcgplayer.com/product/579930" TargetMode="External" Id="rId2893" /><Relationship Type="http://schemas.openxmlformats.org/officeDocument/2006/relationships/hyperlink" Target="https://www.pricecharting.com/game/pokemon-twilight-masquerade/elite-trainer-box-pokemon-center" TargetMode="External" Id="rId2894" /><Relationship Type="http://schemas.openxmlformats.org/officeDocument/2006/relationships/hyperlink" Target="https://www.pricecharting.com/game/pokemon-twilight-masquerade/masks-of-ogerpon-premium-collection" TargetMode="External" Id="rId2895" /><Relationship Type="http://schemas.openxmlformats.org/officeDocument/2006/relationships/hyperlink" Target="https://www.pricecharting.com/game/pokemon-ultra-prism/dusk-mane-necrozma-prism-tin" TargetMode="External" Id="rId2896" /><Relationship Type="http://schemas.openxmlformats.org/officeDocument/2006/relationships/hyperlink" Target="https://www.pricecharting.com/game/pokemon-ultra-prism/necrozma-prism-tin" TargetMode="External" Id="rId2897" /><Relationship Type="http://schemas.openxmlformats.org/officeDocument/2006/relationships/hyperlink" Target="https://www.pricecharting.com/game/pokemon-unbroken-bonds/3-booster-pack-box" TargetMode="External" Id="rId2898" /><Relationship Type="http://schemas.openxmlformats.org/officeDocument/2006/relationships/hyperlink" Target="https://www.pricecharting.com/game/pokemon-unbroken-bonds/blastoise-gx-premium-collection" TargetMode="External" Id="rId2899" /><Relationship Type="http://schemas.openxmlformats.org/officeDocument/2006/relationships/hyperlink" Target="https://www.pricecharting.com/game/pokemon-unbroken-bonds/sceptile-3-pack-blister" TargetMode="External" Id="rId2900" /><Relationship Type="http://schemas.openxmlformats.org/officeDocument/2006/relationships/hyperlink" Target="https://www.pricecharting.com/game/pokemon-unbroken-bonds/typhlosion-3-pack-blister" TargetMode="External" Id="rId2901" /><Relationship Type="http://schemas.openxmlformats.org/officeDocument/2006/relationships/hyperlink" Target="https://www.pricecharting.com/game/pokemon-unified-minds/build-&amp;-battle-box-prerelease-kit" TargetMode="External" Id="rId2902" /><Relationship Type="http://schemas.openxmlformats.org/officeDocument/2006/relationships/hyperlink" Target="https://www.pricecharting.com/game/pokemon-unified-minds/hanger-box" TargetMode="External" Id="rId2903" /><Relationship Type="http://schemas.openxmlformats.org/officeDocument/2006/relationships/hyperlink" Target="https://www.pricecharting.com/game/pokemon-vivid-voltage/3-pack-blister" TargetMode="External" Id="rId2904" /><Relationship Type="http://schemas.openxmlformats.org/officeDocument/2006/relationships/hyperlink" Target="https://www.pricecharting.com/game/pokemon-white-flare/elite-trainer-box-pokemon-center" TargetMode="External" Id="rId2905" /><Relationship Type="http://schemas.openxmlformats.org/officeDocument/2006/relationships/hyperlink" Target="https://www.pricecharting.com/game/pokemon-white-flare/unova-heavy-hitters-premium-collection" TargetMode="External" Id="rId2906" /><Relationship Type="http://schemas.openxmlformats.org/officeDocument/2006/relationships/hyperlink" Target="https://www.pricecharting.com/game/pokemon-xy/3-pack-blister" TargetMode="External" Id="rId2907" /><Relationship Type="http://schemas.openxmlformats.org/officeDocument/2006/relationships/hyperlink" Target="https://www.pricecharting.com/game/pokemon-xy/ash-greninja-ex-collection-box" TargetMode="External" Id="rId2908" /><Relationship Type="http://schemas.openxmlformats.org/officeDocument/2006/relationships/hyperlink" Target="https://www.pricecharting.com/game/pokemon-xy/elite-trainer-box-xerneas" TargetMode="External" Id="rId2909" /><Relationship Type="http://schemas.openxmlformats.org/officeDocument/2006/relationships/hyperlink" Target="https://www.pricecharting.com/game/pokemon-xy/elite-trainer-box-yveltal" TargetMode="External" Id="rId2910" /><Relationship Type="http://schemas.openxmlformats.org/officeDocument/2006/relationships/hyperlink" Target="https://www.pricecharting.com/game/pokemon-xy/gallade-ex-collection-box" TargetMode="External" Id="rId2911" /><Relationship Type="http://schemas.openxmlformats.org/officeDocument/2006/relationships/hyperlink" Target="https://www.pricecharting.com/game/pokemon-xy/mega-lucario-collection-box" TargetMode="External" Id="rId2912" /><Relationship Type="http://schemas.openxmlformats.org/officeDocument/2006/relationships/hyperlink" Target="https://www.pricecharting.com/game/pokemon-xy/premium-trainer's-xy-collection-box" TargetMode="External" Id="rId2913" /><Relationship Type="http://schemas.openxmlformats.org/officeDocument/2006/relationships/hyperlink" Target="https://www.pricecharting.com/game/pokemon-xy/pyroar-box" TargetMode="External" Id="rId2914" /><Relationship Type="http://schemas.openxmlformats.org/officeDocument/2006/relationships/hyperlink" Target="https://www.pricecharting.com/game/pokemon-xy/rayquaza-ex-box" TargetMode="External" Id="rId2915" /><Relationship Type="http://schemas.openxmlformats.org/officeDocument/2006/relationships/hyperlink" Target="https://www.pricecharting.com/game/pokemon-xy/sealed-knockout-collection" TargetMode="External" Id="rId2916" /><Relationship Type="http://schemas.openxmlformats.org/officeDocument/2006/relationships/hyperlink" Target="https://www.pricecharting.com/game/pokemon-xy/shiny-rayquaza-ex-collection-box" TargetMode="External" Id="rId2917" /><Relationship Type="http://schemas.openxmlformats.org/officeDocument/2006/relationships/hyperlink" Target="https://www.pricecharting.com/game/pokemon-xy/sylveon-collection" TargetMode="External" Id="rId2918" /><Relationship Type="http://schemas.openxmlformats.org/officeDocument/2006/relationships/hyperlink" Target="https://www.pricecharting.com/game/pokemon-ancient-origins/elite-trainer-box" TargetMode="External" Id="rId2919" /><Relationship Type="http://schemas.openxmlformats.org/officeDocument/2006/relationships/hyperlink" Target="https://www.tcgplayer.com/product/100495" TargetMode="External" Id="rId2920" /><Relationship Type="http://schemas.openxmlformats.org/officeDocument/2006/relationships/hyperlink" Target="https://www.tcgplayer.com/product/106213" TargetMode="External" Id="rId2921" /><Relationship Type="http://schemas.openxmlformats.org/officeDocument/2006/relationships/hyperlink" Target="https://www.tcgplayer.com/product/106211" TargetMode="External" Id="rId2922" /><Relationship Type="http://schemas.openxmlformats.org/officeDocument/2006/relationships/hyperlink" Target="https://www.tcgplayer.com/product/531444" TargetMode="External" Id="rId2923" /><Relationship Type="http://schemas.openxmlformats.org/officeDocument/2006/relationships/hyperlink" Target="https://www.tcgplayer.com/product/276597" TargetMode="External" Id="rId2924" /><Relationship Type="http://schemas.openxmlformats.org/officeDocument/2006/relationships/hyperlink" Target="https://www.tcgplayer.com/product/117699" TargetMode="External" Id="rId2925" /><Relationship Type="http://schemas.openxmlformats.org/officeDocument/2006/relationships/hyperlink" Target="https://www.tcgplayer.com/product/117698" TargetMode="External" Id="rId2926" /><Relationship Type="http://schemas.openxmlformats.org/officeDocument/2006/relationships/hyperlink" Target="https://www.tcgplayer.com/product/111280" TargetMode="External" Id="rId2927" /><Relationship Type="http://schemas.openxmlformats.org/officeDocument/2006/relationships/hyperlink" Target="https://www.tcgplayer.com/product/117278" TargetMode="External" Id="rId2928" /><Relationship Type="http://schemas.openxmlformats.org/officeDocument/2006/relationships/hyperlink" Target="https://www.tcgplayer.com/product/531445" TargetMode="External" Id="rId2929" /><Relationship Type="http://schemas.openxmlformats.org/officeDocument/2006/relationships/hyperlink" Target="https://www.tcgplayer.com/product/276596" TargetMode="External" Id="rId2930" /><Relationship Type="http://schemas.openxmlformats.org/officeDocument/2006/relationships/hyperlink" Target="https://www.pricecharting.com/game/pokemon-breakthrough/elite-trainer-box-mewtwo-x" TargetMode="External" Id="rId2931" /><Relationship Type="http://schemas.openxmlformats.org/officeDocument/2006/relationships/hyperlink" Target="https://www.tcgplayer.com/product/107106" TargetMode="External" Id="rId2932" /><Relationship Type="http://schemas.openxmlformats.org/officeDocument/2006/relationships/hyperlink" Target="https://www.pricecharting.com/game/pokemon-breakthrough/elite-trainer-box-mewtwo-y" TargetMode="External" Id="rId2933" /><Relationship Type="http://schemas.openxmlformats.org/officeDocument/2006/relationships/hyperlink" Target="https://www.tcgplayer.com/product/107107" TargetMode="External" Id="rId2934" /><Relationship Type="http://schemas.openxmlformats.org/officeDocument/2006/relationships/hyperlink" Target="https://www.tcgplayer.com/product/117277" TargetMode="External" Id="rId2935" /><Relationship Type="http://schemas.openxmlformats.org/officeDocument/2006/relationships/hyperlink" Target="https://www.tcgplayer.com/product/107108" TargetMode="External" Id="rId2936" /><Relationship Type="http://schemas.openxmlformats.org/officeDocument/2006/relationships/hyperlink" Target="https://www.tcgplayer.com/product/107116" TargetMode="External" Id="rId2937" /><Relationship Type="http://schemas.openxmlformats.org/officeDocument/2006/relationships/hyperlink" Target="https://www.tcgplayer.com/product/107118" TargetMode="External" Id="rId2938" /><Relationship Type="http://schemas.openxmlformats.org/officeDocument/2006/relationships/hyperlink" Target="https://www.tcgplayer.com/product/107109" TargetMode="External" Id="rId2939" /><Relationship Type="http://schemas.openxmlformats.org/officeDocument/2006/relationships/hyperlink" Target="https://www.tcgplayer.com/product/125740" TargetMode="External" Id="rId2940" /><Relationship Type="http://schemas.openxmlformats.org/officeDocument/2006/relationships/hyperlink" Target="https://www.tcgplayer.com/product/125739" TargetMode="External" Id="rId2941" /><Relationship Type="http://schemas.openxmlformats.org/officeDocument/2006/relationships/hyperlink" Target="https://www.tcgplayer.com/product/169636" TargetMode="External" Id="rId2942" /><Relationship Type="http://schemas.openxmlformats.org/officeDocument/2006/relationships/hyperlink" Target="https://www.tcgplayer.com/product/126570" TargetMode="External" Id="rId2943" /><Relationship Type="http://schemas.openxmlformats.org/officeDocument/2006/relationships/hyperlink" Target="https://www.tcgplayer.com/product/125731" TargetMode="External" Id="rId2944" /><Relationship Type="http://schemas.openxmlformats.org/officeDocument/2006/relationships/hyperlink" Target="https://www.tcgplayer.com/product/125734" TargetMode="External" Id="rId2945" /><Relationship Type="http://schemas.openxmlformats.org/officeDocument/2006/relationships/hyperlink" Target="https://www.tcgplayer.com/product/272649" TargetMode="External" Id="rId2946" /><Relationship Type="http://schemas.openxmlformats.org/officeDocument/2006/relationships/hyperlink" Target="https://www.tcgplayer.com/product/276600" TargetMode="External" Id="rId2947" /><Relationship Type="http://schemas.openxmlformats.org/officeDocument/2006/relationships/hyperlink" Target="https://www.pricecharting.com/game/pokemon-evolutions/gengar-ex-box" TargetMode="External" Id="rId2948" /><Relationship Type="http://schemas.openxmlformats.org/officeDocument/2006/relationships/hyperlink" Target="https://www.tcgplayer.com/product/125733" TargetMode="External" Id="rId2949" /><Relationship Type="http://schemas.openxmlformats.org/officeDocument/2006/relationships/hyperlink" Target="https://www.tcgplayer.com/product/222989" TargetMode="External" Id="rId2950" /><Relationship Type="http://schemas.openxmlformats.org/officeDocument/2006/relationships/hyperlink" Target="https://www.tcgplayer.com/product/222988" TargetMode="External" Id="rId2951" /><Relationship Type="http://schemas.openxmlformats.org/officeDocument/2006/relationships/hyperlink" Target="https://www.tcgplayer.com/product/125563" TargetMode="External" Id="rId2952" /><Relationship Type="http://schemas.openxmlformats.org/officeDocument/2006/relationships/hyperlink" Target="https://www.tcgplayer.com/product/125738" TargetMode="External" Id="rId2953" /><Relationship Type="http://schemas.openxmlformats.org/officeDocument/2006/relationships/hyperlink" Target="https://www.tcgplayer.com/product/125735" TargetMode="External" Id="rId2954" /><Relationship Type="http://schemas.openxmlformats.org/officeDocument/2006/relationships/hyperlink" Target="https://www.pricecharting.com/game/pokemon-evolutions/mythical-collection-magearna" TargetMode="External" Id="rId2955" /><Relationship Type="http://schemas.openxmlformats.org/officeDocument/2006/relationships/hyperlink" Target="https://www.tcgplayer.com/product/127179" TargetMode="External" Id="rId2956" /><Relationship Type="http://schemas.openxmlformats.org/officeDocument/2006/relationships/hyperlink" Target="https://www.tcgplayer.com/product/127180" TargetMode="External" Id="rId2957" /><Relationship Type="http://schemas.openxmlformats.org/officeDocument/2006/relationships/hyperlink" Target="https://www.tcgplayer.com/product/123448" TargetMode="External" Id="rId2958" /><Relationship Type="http://schemas.openxmlformats.org/officeDocument/2006/relationships/hyperlink" Target="https://www.tcgplayer.com/product/123447" TargetMode="External" Id="rId2959" /><Relationship Type="http://schemas.openxmlformats.org/officeDocument/2006/relationships/hyperlink" Target="https://www.tcgplayer.com/product/125741" TargetMode="External" Id="rId2960" /><Relationship Type="http://schemas.openxmlformats.org/officeDocument/2006/relationships/hyperlink" Target="https://www.tcgplayer.com/product/118336" TargetMode="External" Id="rId2961" /><Relationship Type="http://schemas.openxmlformats.org/officeDocument/2006/relationships/hyperlink" Target="https://www.pricecharting.com/game/pokemon-fates-collide/elite-trainer-box" TargetMode="External" Id="rId2962" /><Relationship Type="http://schemas.openxmlformats.org/officeDocument/2006/relationships/hyperlink" Target="https://www.tcgplayer.com/product/118331" TargetMode="External" Id="rId2963" /><Relationship Type="http://schemas.openxmlformats.org/officeDocument/2006/relationships/hyperlink" Target="https://www.tcgplayer.com/product/118334" TargetMode="External" Id="rId2964" /><Relationship Type="http://schemas.openxmlformats.org/officeDocument/2006/relationships/hyperlink" Target="https://www.tcgplayer.com/product/118335" TargetMode="External" Id="rId2965" /><Relationship Type="http://schemas.openxmlformats.org/officeDocument/2006/relationships/hyperlink" Target="https://www.tcgplayer.com/product/121394" TargetMode="External" Id="rId2966" /><Relationship Type="http://schemas.openxmlformats.org/officeDocument/2006/relationships/hyperlink" Target="https://www.tcgplayer.com/product/121395" TargetMode="External" Id="rId2967" /><Relationship Type="http://schemas.openxmlformats.org/officeDocument/2006/relationships/hyperlink" Target="https://www.tcgplayer.com/product/121396" TargetMode="External" Id="rId2968" /><Relationship Type="http://schemas.openxmlformats.org/officeDocument/2006/relationships/hyperlink" Target="https://www.tcgplayer.com/product/121391" TargetMode="External" Id="rId2969" /><Relationship Type="http://schemas.openxmlformats.org/officeDocument/2006/relationships/hyperlink" Target="https://www.tcgplayer.com/product/91612" TargetMode="External" Id="rId2970" /><Relationship Type="http://schemas.openxmlformats.org/officeDocument/2006/relationships/hyperlink" Target="https://www.tcgplayer.com/product/276590" TargetMode="External" Id="rId2971" /><Relationship Type="http://schemas.openxmlformats.org/officeDocument/2006/relationships/hyperlink" Target="https://www.pricecharting.com/game/pokemon-flashfire/kalos-power-tin-chesnaught-ex" TargetMode="External" Id="rId2972" /><Relationship Type="http://schemas.openxmlformats.org/officeDocument/2006/relationships/hyperlink" Target="https://www.tcgplayer.com/product/91605" TargetMode="External" Id="rId2973" /><Relationship Type="http://schemas.openxmlformats.org/officeDocument/2006/relationships/hyperlink" Target="https://www.pricecharting.com/game/pokemon-flashfire/kalos-power-tin-greninja" TargetMode="External" Id="rId2974" /><Relationship Type="http://schemas.openxmlformats.org/officeDocument/2006/relationships/hyperlink" Target="https://www.tcgplayer.com/product/91607" TargetMode="External" Id="rId2975" /><Relationship Type="http://schemas.openxmlformats.org/officeDocument/2006/relationships/hyperlink" Target="https://www.pricecharting.com/game/pokemon-flashfire/krookodile-ex-box" TargetMode="External" Id="rId2976" /><Relationship Type="http://schemas.openxmlformats.org/officeDocument/2006/relationships/hyperlink" Target="https://www.tcgplayer.com/product/97742" TargetMode="External" Id="rId2977" /><Relationship Type="http://schemas.openxmlformats.org/officeDocument/2006/relationships/hyperlink" Target="https://www.tcgplayer.com/product/249164" TargetMode="External" Id="rId2978" /><Relationship Type="http://schemas.openxmlformats.org/officeDocument/2006/relationships/hyperlink" Target="https://www.pricecharting.com/game/pokemon-furious-fists/ex-power-trio-tin-blastoise-ex" TargetMode="External" Id="rId2979" /><Relationship Type="http://schemas.openxmlformats.org/officeDocument/2006/relationships/hyperlink" Target="https://www.tcgplayer.com/product/97778" TargetMode="External" Id="rId2980" /><Relationship Type="http://schemas.openxmlformats.org/officeDocument/2006/relationships/hyperlink" Target="https://www.tcgplayer.com/product/97776" TargetMode="External" Id="rId2981" /><Relationship Type="http://schemas.openxmlformats.org/officeDocument/2006/relationships/hyperlink" Target="https://www.pricecharting.com/game/pokemon-furious-fists/elite-trainer-box" TargetMode="External" Id="rId2982" /><Relationship Type="http://schemas.openxmlformats.org/officeDocument/2006/relationships/hyperlink" Target="https://www.tcgplayer.com/product/95284" TargetMode="External" Id="rId2983" /><Relationship Type="http://schemas.openxmlformats.org/officeDocument/2006/relationships/hyperlink" Target="https://www.tcgplayer.com/product/276591" TargetMode="External" Id="rId2984" /><Relationship Type="http://schemas.openxmlformats.org/officeDocument/2006/relationships/hyperlink" Target="https://www.tcgplayer.com/product/97766" TargetMode="External" Id="rId2985" /><Relationship Type="http://schemas.openxmlformats.org/officeDocument/2006/relationships/hyperlink" Target="https://www.tcgplayer.com/product/97767" TargetMode="External" Id="rId2986" /><Relationship Type="http://schemas.openxmlformats.org/officeDocument/2006/relationships/hyperlink" Target="https://www.tcgplayer.com/product/97794" TargetMode="External" Id="rId2987" /><Relationship Type="http://schemas.openxmlformats.org/officeDocument/2006/relationships/hyperlink" Target="https://www.tcgplayer.com/product/97793" TargetMode="External" Id="rId2988" /><Relationship Type="http://schemas.openxmlformats.org/officeDocument/2006/relationships/hyperlink" Target="https://www.pricecharting.com/game/pokemon-phantom-forces/elite-trainer-box" TargetMode="External" Id="rId2989" /><Relationship Type="http://schemas.openxmlformats.org/officeDocument/2006/relationships/hyperlink" Target="https://www.tcgplayer.com/product/97786" TargetMode="External" Id="rId2990" /><Relationship Type="http://schemas.openxmlformats.org/officeDocument/2006/relationships/hyperlink" Target="https://www.pricecharting.com/game/pokemon-primal-clash/elite-trainer-box-kyogre" TargetMode="External" Id="rId2991" /><Relationship Type="http://schemas.openxmlformats.org/officeDocument/2006/relationships/hyperlink" Target="https://www.tcgplayer.com/product/97763" TargetMode="External" Id="rId2992" /><Relationship Type="http://schemas.openxmlformats.org/officeDocument/2006/relationships/hyperlink" Target="https://www.tcgplayer.com/product/97820" TargetMode="External" Id="rId2993" /><Relationship Type="http://schemas.openxmlformats.org/officeDocument/2006/relationships/hyperlink" Target="https://www.tcgplayer.com/product/97757" TargetMode="External" Id="rId2994" /><Relationship Type="http://schemas.openxmlformats.org/officeDocument/2006/relationships/hyperlink" Target="https://www.tcgplayer.com/product/97756" TargetMode="External" Id="rId2995" /><Relationship Type="http://schemas.openxmlformats.org/officeDocument/2006/relationships/hyperlink" Target="https://www.tcgplayer.com/product/276593" TargetMode="External" Id="rId2996" /><Relationship Type="http://schemas.openxmlformats.org/officeDocument/2006/relationships/hyperlink" Target="https://www.tcgplayer.com/product/97755" TargetMode="External" Id="rId2997" /><Relationship Type="http://schemas.openxmlformats.org/officeDocument/2006/relationships/hyperlink" Target="https://www.tcgplayer.com/product/100497" TargetMode="External" Id="rId2998" /><Relationship Type="http://schemas.openxmlformats.org/officeDocument/2006/relationships/hyperlink" Target="https://www.tcgplayer.com/product/100496" TargetMode="External" Id="rId2999" /><Relationship Type="http://schemas.openxmlformats.org/officeDocument/2006/relationships/hyperlink" Target="https://www.tcgplayer.com/product/100502" TargetMode="External" Id="rId3000" /><Relationship Type="http://schemas.openxmlformats.org/officeDocument/2006/relationships/hyperlink" Target="https://www.tcgplayer.com/product/276594" TargetMode="External" Id="rId3001" /><Relationship Type="http://schemas.openxmlformats.org/officeDocument/2006/relationships/hyperlink" Target="https://www.tcgplayer.com/product/123440" TargetMode="External" Id="rId3002" /><Relationship Type="http://schemas.openxmlformats.org/officeDocument/2006/relationships/hyperlink" Target="https://www.tcgplayer.com/product/123441" TargetMode="External" Id="rId3003" /><Relationship Type="http://schemas.openxmlformats.org/officeDocument/2006/relationships/hyperlink" Target="https://www.tcgplayer.com/product/123442" TargetMode="External" Id="rId3004" /><Relationship Type="http://schemas.openxmlformats.org/officeDocument/2006/relationships/hyperlink" Target="https://www.tcgplayer.com/product/693146" TargetMode="External" Id="rId3005" /><Relationship Type="http://schemas.openxmlformats.org/officeDocument/2006/relationships/hyperlink" Target="https://www.tcgplayer.com/product/177529" TargetMode="External" Id="rId3006" /><Relationship Type="http://schemas.openxmlformats.org/officeDocument/2006/relationships/hyperlink" Target="https://www.tcgplayer.com/product/120697" TargetMode="External" Id="rId3007" /><Relationship Type="http://schemas.openxmlformats.org/officeDocument/2006/relationships/hyperlink" Target="https://www.tcgplayer.com/product/276599" TargetMode="External" Id="rId3008" /><Relationship Type="http://schemas.openxmlformats.org/officeDocument/2006/relationships/hyperlink" Target="https://www.tcgplayer.com/product/97729" TargetMode="External" Id="rId3009" /><Relationship Type="http://schemas.openxmlformats.org/officeDocument/2006/relationships/hyperlink" Target="https://www.tcgplayer.com/product/97727" TargetMode="External" Id="rId3010" /><Relationship Type="http://schemas.openxmlformats.org/officeDocument/2006/relationships/hyperlink" Target="https://www.tcgplayer.com/product/91598" TargetMode="External" Id="rId3011" /><Relationship Type="http://schemas.openxmlformats.org/officeDocument/2006/relationships/hyperlink" Target="https://www.tcgplayer.com/product/276589" TargetMode="External" Id="rId3012" /><Relationship Type="http://schemas.openxmlformats.org/officeDocument/2006/relationships/hyperlink" Target="https://www.pricecharting.com/game/pokemon-1999-topps-movie/first-movie-booster-pack" TargetMode="External" Id="rId3013" /><Relationship Type="http://schemas.openxmlformats.org/officeDocument/2006/relationships/hyperlink" Target="https://www.pricecharting.com/game/pokemon-1999-topps-tv/booster-pack-series-2" TargetMode="External" Id="rId3014" /><Relationship Type="http://schemas.openxmlformats.org/officeDocument/2006/relationships/hyperlink" Target="https://www.pricecharting.com/game/pokemon-1999-topps-tv/booster-pack-series-1-blue-logo" TargetMode="External" Id="rId3015" /><Relationship Type="http://schemas.openxmlformats.org/officeDocument/2006/relationships/hyperlink" Target="https://www.pricecharting.com/game/pokemon-2000-topps-chrome/booster-pack" TargetMode="External" Id="rId3016" /><Relationship Type="http://schemas.openxmlformats.org/officeDocument/2006/relationships/hyperlink" Target="https://www.pricecharting.com/game/pokemon-2000-topps-chrome/booster-pack-series-2" TargetMode="External" Id="rId3017" /><Relationship Type="http://schemas.openxmlformats.org/officeDocument/2006/relationships/hyperlink" Target="https://www.pricecharting.com/game/pokemon-2000-topps-tv/booster-pack-series-3" TargetMode="External" Id="rId3018" /><Relationship Type="http://schemas.openxmlformats.org/officeDocument/2006/relationships/hyperlink" Target="https://www.pricecharting.com/game/pokemon-ancient-origins/booster-pack" TargetMode="External" Id="rId3019" /><Relationship Type="http://schemas.openxmlformats.org/officeDocument/2006/relationships/hyperlink" Target="https://www.pricecharting.com/game/pokemon-ancient-origins/mini-booster-pack" TargetMode="External" Id="rId3020" /><Relationship Type="http://schemas.openxmlformats.org/officeDocument/2006/relationships/hyperlink" Target="https://www.pricecharting.com/game/pokemon-aquapolis/blister-pack" TargetMode="External" Id="rId3021" /><Relationship Type="http://schemas.openxmlformats.org/officeDocument/2006/relationships/hyperlink" Target="https://www.pricecharting.com/game/pokemon-aquapolis/booster-pack" TargetMode="External" Id="rId3022" /><Relationship Type="http://schemas.openxmlformats.org/officeDocument/2006/relationships/hyperlink" Target="https://www.tcgplayer.com/product/138152" TargetMode="External" Id="rId3023" /><Relationship Type="http://schemas.openxmlformats.org/officeDocument/2006/relationships/hyperlink" Target="https://www.pricecharting.com/game/pokemon-arceus/blister-pack" TargetMode="External" Id="rId3024" /><Relationship Type="http://schemas.openxmlformats.org/officeDocument/2006/relationships/hyperlink" Target="https://www.tcgplayer.com/product/617025" TargetMode="External" Id="rId3025" /><Relationship Type="http://schemas.openxmlformats.org/officeDocument/2006/relationships/hyperlink" Target="https://www.pricecharting.com/game/pokemon-arceus/booster-pack" TargetMode="External" Id="rId3026" /><Relationship Type="http://schemas.openxmlformats.org/officeDocument/2006/relationships/hyperlink" Target="https://www.tcgplayer.com/product/98594" TargetMode="External" Id="rId3027" /><Relationship Type="http://schemas.openxmlformats.org/officeDocument/2006/relationships/hyperlink" Target="https://www.pricecharting.com/game/pokemon-astral-radiance/feraligatr-premium-checklane-blister" TargetMode="External" Id="rId3028" /><Relationship Type="http://schemas.openxmlformats.org/officeDocument/2006/relationships/hyperlink" Target="https://www.pricecharting.com/game/pokemon-astral-radiance/swampert-premium-checklane-blister" TargetMode="External" Id="rId3029" /><Relationship Type="http://schemas.openxmlformats.org/officeDocument/2006/relationships/hyperlink" Target="https://www.pricecharting.com/game/pokemon-base-set/blister-pack" TargetMode="External" Id="rId3030" /><Relationship Type="http://schemas.openxmlformats.org/officeDocument/2006/relationships/hyperlink" Target="https://www.pricecharting.com/game/pokemon-base-set/blister-pack-1st-edition" TargetMode="External" Id="rId3031" /><Relationship Type="http://schemas.openxmlformats.org/officeDocument/2006/relationships/hyperlink" Target="https://www.pricecharting.com/game/pokemon-base-set/blister-pack-shadowless" TargetMode="External" Id="rId3032" /><Relationship Type="http://schemas.openxmlformats.org/officeDocument/2006/relationships/hyperlink" Target="https://www.pricecharting.com/game/pokemon-base-set/booster-pack" TargetMode="External" Id="rId3033" /><Relationship Type="http://schemas.openxmlformats.org/officeDocument/2006/relationships/hyperlink" Target="https://www.pricecharting.com/game/pokemon-base-set/booster-pack-1st-edition" TargetMode="External" Id="rId3034" /><Relationship Type="http://schemas.openxmlformats.org/officeDocument/2006/relationships/hyperlink" Target="https://www.tcgplayer.com/product/138130" TargetMode="External" Id="rId3035" /><Relationship Type="http://schemas.openxmlformats.org/officeDocument/2006/relationships/hyperlink" Target="https://www.pricecharting.com/game/pokemon-base-set/booster-pack-shadowless" TargetMode="External" Id="rId3036" /><Relationship Type="http://schemas.openxmlformats.org/officeDocument/2006/relationships/hyperlink" Target="https://www.pricecharting.com/game/pokemon-base-set/booster-pack-triangle-error" TargetMode="External" Id="rId3037" /><Relationship Type="http://schemas.openxmlformats.org/officeDocument/2006/relationships/hyperlink" Target="https://www.pricecharting.com/game/pokemon-base-set/plastic-pack-demo-game" TargetMode="External" Id="rId3038" /><Relationship Type="http://schemas.openxmlformats.org/officeDocument/2006/relationships/hyperlink" Target="https://www.tcgplayer.com/product/138132" TargetMode="External" Id="rId3039" /><Relationship Type="http://schemas.openxmlformats.org/officeDocument/2006/relationships/hyperlink" Target="https://www.tcgplayer.com/product/138131" TargetMode="External" Id="rId3040" /><Relationship Type="http://schemas.openxmlformats.org/officeDocument/2006/relationships/hyperlink" Target="https://www.pricecharting.com/game/pokemon-base-set-2/booster-pack" TargetMode="External" Id="rId3041" /><Relationship Type="http://schemas.openxmlformats.org/officeDocument/2006/relationships/hyperlink" Target="https://www.tcgplayer.com/product/138149" TargetMode="External" Id="rId3042" /><Relationship Type="http://schemas.openxmlformats.org/officeDocument/2006/relationships/hyperlink" Target="https://www.pricecharting.com/game/pokemon-battle-styles/blister-pack" TargetMode="External" Id="rId3043" /><Relationship Type="http://schemas.openxmlformats.org/officeDocument/2006/relationships/hyperlink" Target="https://www.tcgplayer.com/product/98553" TargetMode="External" Id="rId3044" /><Relationship Type="http://schemas.openxmlformats.org/officeDocument/2006/relationships/hyperlink" Target="https://www.tcgplayer.com/product/647775" TargetMode="External" Id="rId3045" /><Relationship Type="http://schemas.openxmlformats.org/officeDocument/2006/relationships/hyperlink" Target="https://www.pricecharting.com/game/pokemon-boundaries-crossed/blister-pack" TargetMode="External" Id="rId3046" /><Relationship Type="http://schemas.openxmlformats.org/officeDocument/2006/relationships/hyperlink" Target="https://www.pricecharting.com/game/pokemon-boundaries-crossed/booster-pack" TargetMode="External" Id="rId3047" /><Relationship Type="http://schemas.openxmlformats.org/officeDocument/2006/relationships/hyperlink" Target="https://www.pricecharting.com/game/pokemon-breakpoint/3-card-pack" TargetMode="External" Id="rId3048" /><Relationship Type="http://schemas.openxmlformats.org/officeDocument/2006/relationships/hyperlink" Target="https://www.pricecharting.com/game/pokemon-breakpoint/blister-pack-pikachu" TargetMode="External" Id="rId3049" /><Relationship Type="http://schemas.openxmlformats.org/officeDocument/2006/relationships/hyperlink" Target="https://www.pricecharting.com/game/pokemon-breakpoint/booster-pack" TargetMode="External" Id="rId3050" /><Relationship Type="http://schemas.openxmlformats.org/officeDocument/2006/relationships/hyperlink" Target="https://www.pricecharting.com/game/pokemon-breakpoint/sleeved-booster-pack" TargetMode="External" Id="rId3051" /><Relationship Type="http://schemas.openxmlformats.org/officeDocument/2006/relationships/hyperlink" Target="https://www.pricecharting.com/game/pokemon-breakthrough/sealed-booster-pack" TargetMode="External" Id="rId3052" /><Relationship Type="http://schemas.openxmlformats.org/officeDocument/2006/relationships/hyperlink" Target="https://www.pricecharting.com/game/pokemon-brilliant-stars/salamence-premium-checklane-blister" TargetMode="External" Id="rId3053" /><Relationship Type="http://schemas.openxmlformats.org/officeDocument/2006/relationships/hyperlink" Target="https://www.pricecharting.com/game/pokemon-burning-shadows/blister-pack" TargetMode="External" Id="rId3054" /><Relationship Type="http://schemas.openxmlformats.org/officeDocument/2006/relationships/hyperlink" Target="https://www.pricecharting.com/game/pokemon-call-of-legends/blister-pack" TargetMode="External" Id="rId3055" /><Relationship Type="http://schemas.openxmlformats.org/officeDocument/2006/relationships/hyperlink" Target="https://www.pricecharting.com/game/pokemon-call-of-legends/booster-pack" TargetMode="External" Id="rId3056" /><Relationship Type="http://schemas.openxmlformats.org/officeDocument/2006/relationships/hyperlink" Target="https://www.tcgplayer.com/product/98515" TargetMode="External" Id="rId3057" /><Relationship Type="http://schemas.openxmlformats.org/officeDocument/2006/relationships/hyperlink" Target="https://www.pricecharting.com/game/pokemon-celebrations/booster-pack" TargetMode="External" Id="rId3058" /><Relationship Type="http://schemas.openxmlformats.org/officeDocument/2006/relationships/hyperlink" Target="https://www.tcgplayer.com/product/248577" TargetMode="External" Id="rId3059" /><Relationship Type="http://schemas.openxmlformats.org/officeDocument/2006/relationships/hyperlink" Target="https://www.pricecharting.com/game/pokemon-celebrations/booster-pack-general-mills" TargetMode="External" Id="rId3060" /><Relationship Type="http://schemas.openxmlformats.org/officeDocument/2006/relationships/hyperlink" Target="https://www.pricecharting.com/game/pokemon-celebrations/first-partner-pack-alola" TargetMode="External" Id="rId3061" /><Relationship Type="http://schemas.openxmlformats.org/officeDocument/2006/relationships/hyperlink" Target="https://www.pricecharting.com/game/pokemon-celebrations/first-partner-pack-galar" TargetMode="External" Id="rId3062" /><Relationship Type="http://schemas.openxmlformats.org/officeDocument/2006/relationships/hyperlink" Target="https://www.pricecharting.com/game/pokemon-celebrations/first-partner-pack-hoenn" TargetMode="External" Id="rId3063" /><Relationship Type="http://schemas.openxmlformats.org/officeDocument/2006/relationships/hyperlink" Target="https://www.pricecharting.com/game/pokemon-celebrations/first-partner-pack-johto" TargetMode="External" Id="rId3064" /><Relationship Type="http://schemas.openxmlformats.org/officeDocument/2006/relationships/hyperlink" Target="https://www.pricecharting.com/game/pokemon-celebrations/first-partner-pack-kalos" TargetMode="External" Id="rId3065" /><Relationship Type="http://schemas.openxmlformats.org/officeDocument/2006/relationships/hyperlink" Target="https://www.pricecharting.com/game/pokemon-celebrations/first-partner-pack-kanto" TargetMode="External" Id="rId3066" /><Relationship Type="http://schemas.openxmlformats.org/officeDocument/2006/relationships/hyperlink" Target="https://www.pricecharting.com/game/pokemon-celebrations/first-partner-pack-sinnoh" TargetMode="External" Id="rId3067" /><Relationship Type="http://schemas.openxmlformats.org/officeDocument/2006/relationships/hyperlink" Target="https://www.pricecharting.com/game/pokemon-celebrations/first-partner-pack-unova" TargetMode="External" Id="rId3068" /><Relationship Type="http://schemas.openxmlformats.org/officeDocument/2006/relationships/hyperlink" Target="https://www.pricecharting.com/game/pokemon-celestial-storm/mini-booster-pack" TargetMode="External" Id="rId3069" /><Relationship Type="http://schemas.openxmlformats.org/officeDocument/2006/relationships/hyperlink" Target="https://www.tcgplayer.com/product/218789" TargetMode="External" Id="rId3070" /><Relationship Type="http://schemas.openxmlformats.org/officeDocument/2006/relationships/hyperlink" Target="https://www.pricecharting.com/game/pokemon-chaos-rising/3-pack-blister-charmeleon" TargetMode="External" Id="rId3071" /><Relationship Type="http://schemas.openxmlformats.org/officeDocument/2006/relationships/hyperlink" Target="https://www.pricecharting.com/game/pokemon-chaos-rising/booster-pack" TargetMode="External" Id="rId3072" /><Relationship Type="http://schemas.openxmlformats.org/officeDocument/2006/relationships/hyperlink" Target="https://www.pricecharting.com/game/pokemon-chaos-rising/checklane-blister-reshiram" TargetMode="External" Id="rId3073" /><Relationship Type="http://schemas.openxmlformats.org/officeDocument/2006/relationships/hyperlink" Target="https://www.pricecharting.com/game/pokemon-chaos-rising/checklane-blister-zacian" TargetMode="External" Id="rId3074" /><Relationship Type="http://schemas.openxmlformats.org/officeDocument/2006/relationships/hyperlink" Target="https://www.pricecharting.com/game/pokemon-chaos-rising/premium-checklane-blister-flygon" TargetMode="External" Id="rId3075" /><Relationship Type="http://schemas.openxmlformats.org/officeDocument/2006/relationships/hyperlink" Target="https://www.pricecharting.com/game/pokemon-chaos-rising/premium-checklane-blister-pawmot" TargetMode="External" Id="rId3076" /><Relationship Type="http://schemas.openxmlformats.org/officeDocument/2006/relationships/hyperlink" Target="https://www.pricecharting.com/game/pokemon-chaos-rising/single-pack-blister-toxel" TargetMode="External" Id="rId3077" /><Relationship Type="http://schemas.openxmlformats.org/officeDocument/2006/relationships/hyperlink" Target="https://www.pricecharting.com/game/pokemon-chaos-rising/sleeved-booster-pack" TargetMode="External" Id="rId3078" /><Relationship Type="http://schemas.openxmlformats.org/officeDocument/2006/relationships/hyperlink" Target="https://www.pricecharting.com/game/pokemon-chilling-reign/2-pack-blister" TargetMode="External" Id="rId3079" /><Relationship Type="http://schemas.openxmlformats.org/officeDocument/2006/relationships/hyperlink" Target="https://www.pricecharting.com/game/pokemon-chilling-reign/3-pack-blister-eevee" TargetMode="External" Id="rId3080" /><Relationship Type="http://schemas.openxmlformats.org/officeDocument/2006/relationships/hyperlink" Target="https://www.pricecharting.com/game/pokemon-chinese-151-collect/booster-pack" TargetMode="External" Id="rId3081" /><Relationship Type="http://schemas.openxmlformats.org/officeDocument/2006/relationships/hyperlink" Target="https://www.pricecharting.com/game/pokemon-chinese-151-collect/booster-pack-surprise" TargetMode="External" Id="rId3082" /><Relationship Type="http://schemas.openxmlformats.org/officeDocument/2006/relationships/hyperlink" Target="https://www.pricecharting.com/game/pokemon-chinese-csv4c/booster-pack-slim" TargetMode="External" Id="rId3083" /><Relationship Type="http://schemas.openxmlformats.org/officeDocument/2006/relationships/hyperlink" Target="https://www.pricecharting.com/game/pokemon-chinese-csv5c/booster-pack" TargetMode="External" Id="rId3084" /><Relationship Type="http://schemas.openxmlformats.org/officeDocument/2006/relationships/hyperlink" Target="https://www.pricecharting.com/game/pokemon-chinese-csv6c/booster-pack" TargetMode="External" Id="rId3085" /><Relationship Type="http://schemas.openxmlformats.org/officeDocument/2006/relationships/hyperlink" Target="https://www.pricecharting.com/game/pokemon-chinese-csv8c/booster-pack" TargetMode="External" Id="rId3086" /><Relationship Type="http://schemas.openxmlformats.org/officeDocument/2006/relationships/hyperlink" Target="https://www.pricecharting.com/game/pokemon-chinese-csv9c/booster-pack" TargetMode="External" Id="rId3087" /><Relationship Type="http://schemas.openxmlformats.org/officeDocument/2006/relationships/hyperlink" Target="https://www.pricecharting.com/game/pokemon-chinese-gem-pack/sealed-booster-pack" TargetMode="External" Id="rId3088" /><Relationship Type="http://schemas.openxmlformats.org/officeDocument/2006/relationships/hyperlink" Target="https://www.pricecharting.com/game/pokemon-chinese-gem-pack-2/booster-pack" TargetMode="External" Id="rId3089" /><Relationship Type="http://schemas.openxmlformats.org/officeDocument/2006/relationships/hyperlink" Target="https://www.pricecharting.com/game/pokemon-chinese-gem-pack-3/booster-pack" TargetMode="External" Id="rId3090" /><Relationship Type="http://schemas.openxmlformats.org/officeDocument/2006/relationships/hyperlink" Target="https://www.pricecharting.com/game/pokemon-chinese-gem-pack-4/booster-pack" TargetMode="External" Id="rId3091" /><Relationship Type="http://schemas.openxmlformats.org/officeDocument/2006/relationships/hyperlink" Target="https://www.pricecharting.com/game/pokemon-chinese-gem-pack-5/booster-pack" TargetMode="External" Id="rId3092" /><Relationship Type="http://schemas.openxmlformats.org/officeDocument/2006/relationships/hyperlink" Target="https://www.pricecharting.com/game/pokemon-chinese-gem-pack-6/booster-pack" TargetMode="External" Id="rId3093" /><Relationship Type="http://schemas.openxmlformats.org/officeDocument/2006/relationships/hyperlink" Target="https://www.pricecharting.com/game/pokemon-chinese-promo/2024-lunar-new-year-red-pack" TargetMode="External" Id="rId3094" /><Relationship Type="http://schemas.openxmlformats.org/officeDocument/2006/relationships/hyperlink" Target="https://www.pricecharting.com/game/pokemon-chinese-promo/pizza-hut-promo-pack" TargetMode="External" Id="rId3095" /><Relationship Type="http://schemas.openxmlformats.org/officeDocument/2006/relationships/hyperlink" Target="https://www.pricecharting.com/game/pokemon-chinese-promo/pokemon-center-taipei-foil-pack" TargetMode="External" Id="rId3096" /><Relationship Type="http://schemas.openxmlformats.org/officeDocument/2006/relationships/hyperlink" Target="https://www.pricecharting.com/game/pokemon-chinese-promo/pokemon-taiwan-familymart-promo-pack" TargetMode="External" Id="rId3097" /><Relationship Type="http://schemas.openxmlformats.org/officeDocument/2006/relationships/hyperlink" Target="https://www.pricecharting.com/game/pokemon-cosmic-eclipse/blister-pack" TargetMode="External" Id="rId3098" /><Relationship Type="http://schemas.openxmlformats.org/officeDocument/2006/relationships/hyperlink" Target="https://www.pricecharting.com/game/pokemon-cosmic-eclipse/mini-booster-pack" TargetMode="External" Id="rId3099" /><Relationship Type="http://schemas.openxmlformats.org/officeDocument/2006/relationships/hyperlink" Target="https://www.pricecharting.com/game/pokemon-cosmic-eclipse/sleeved-booster-pack" TargetMode="External" Id="rId3100" /><Relationship Type="http://schemas.openxmlformats.org/officeDocument/2006/relationships/hyperlink" Target="https://www.pricecharting.com/game/pokemon-crystal-guardians/blister-pack" TargetMode="External" Id="rId3101" /><Relationship Type="http://schemas.openxmlformats.org/officeDocument/2006/relationships/hyperlink" Target="https://www.pricecharting.com/game/pokemon-dark-explorers/blister-pack" TargetMode="External" Id="rId3102" /><Relationship Type="http://schemas.openxmlformats.org/officeDocument/2006/relationships/hyperlink" Target="https://www.pricecharting.com/game/pokemon-dark-explorers/booster-pack" TargetMode="External" Id="rId3103" /><Relationship Type="http://schemas.openxmlformats.org/officeDocument/2006/relationships/hyperlink" Target="https://www.tcgplayer.com/product/98521" TargetMode="External" Id="rId3104" /><Relationship Type="http://schemas.openxmlformats.org/officeDocument/2006/relationships/hyperlink" Target="https://www.pricecharting.com/game/pokemon-dark-explorers/sampling-pack" TargetMode="External" Id="rId3105" /><Relationship Type="http://schemas.openxmlformats.org/officeDocument/2006/relationships/hyperlink" Target="https://www.tcgplayer.com/product/647766" TargetMode="External" Id="rId3106" /><Relationship Type="http://schemas.openxmlformats.org/officeDocument/2006/relationships/hyperlink" Target="https://www.pricecharting.com/game/pokemon-darkness-ablaze/2-pack-blister" TargetMode="External" Id="rId3107" /><Relationship Type="http://schemas.openxmlformats.org/officeDocument/2006/relationships/hyperlink" Target="https://www.pricecharting.com/game/pokemon-darkness-ablaze/checklane-blister-pikachu" TargetMode="External" Id="rId3108" /><Relationship Type="http://schemas.openxmlformats.org/officeDocument/2006/relationships/hyperlink" Target="https://www.pricecharting.com/game/pokemon-delta-species/blister-pack" TargetMode="External" Id="rId3109" /><Relationship Type="http://schemas.openxmlformats.org/officeDocument/2006/relationships/hyperlink" Target="https://www.pricecharting.com/game/pokemon-deoxys/booster-pack" TargetMode="External" Id="rId3110" /><Relationship Type="http://schemas.openxmlformats.org/officeDocument/2006/relationships/hyperlink" Target="https://www.pricecharting.com/game/pokemon-destined-rivals/blister-pack-eevee" TargetMode="External" Id="rId3111" /><Relationship Type="http://schemas.openxmlformats.org/officeDocument/2006/relationships/hyperlink" Target="https://www.pricecharting.com/game/pokemon-destined-rivals/blister-pack-zarude" TargetMode="External" Id="rId3112" /><Relationship Type="http://schemas.openxmlformats.org/officeDocument/2006/relationships/hyperlink" Target="https://www.pricecharting.com/game/pokemon-detective-pikachu/booster-pack" TargetMode="External" Id="rId3113" /><Relationship Type="http://schemas.openxmlformats.org/officeDocument/2006/relationships/hyperlink" Target="https://www.tcgplayer.com/product/187239" TargetMode="External" Id="rId3114" /><Relationship Type="http://schemas.openxmlformats.org/officeDocument/2006/relationships/hyperlink" Target="https://www.pricecharting.com/game/pokemon-detective-pikachu/booster-pack-2-card" TargetMode="External" Id="rId3115" /><Relationship Type="http://schemas.openxmlformats.org/officeDocument/2006/relationships/hyperlink" Target="https://www.tcgplayer.com/product/189810" TargetMode="External" Id="rId3116" /><Relationship Type="http://schemas.openxmlformats.org/officeDocument/2006/relationships/hyperlink" Target="https://www.tcgplayer.com/product/264258" TargetMode="External" Id="rId3117" /><Relationship Type="http://schemas.openxmlformats.org/officeDocument/2006/relationships/hyperlink" Target="https://www.tcgplayer.com/product/98525" TargetMode="External" Id="rId3118" /><Relationship Type="http://schemas.openxmlformats.org/officeDocument/2006/relationships/hyperlink" Target="https://www.pricecharting.com/game/pokemon-double-crisis/booster-pack" TargetMode="External" Id="rId3119" /><Relationship Type="http://schemas.openxmlformats.org/officeDocument/2006/relationships/hyperlink" Target="https://www.tcgplayer.com/product/229226" TargetMode="External" Id="rId3120" /><Relationship Type="http://schemas.openxmlformats.org/officeDocument/2006/relationships/hyperlink" Target="https://www.tcgplayer.com/product/97765" TargetMode="External" Id="rId3121" /><Relationship Type="http://schemas.openxmlformats.org/officeDocument/2006/relationships/hyperlink" Target="https://www.tcgplayer.com/product/97764" TargetMode="External" Id="rId3122" /><Relationship Type="http://schemas.openxmlformats.org/officeDocument/2006/relationships/hyperlink" Target="https://www.pricecharting.com/game/pokemon-dragon/blister-pack" TargetMode="External" Id="rId3123" /><Relationship Type="http://schemas.openxmlformats.org/officeDocument/2006/relationships/hyperlink" Target="https://www.pricecharting.com/game/pokemon-dragon/booster-pack" TargetMode="External" Id="rId3124" /><Relationship Type="http://schemas.openxmlformats.org/officeDocument/2006/relationships/hyperlink" Target="https://www.pricecharting.com/game/pokemon-dragon-frontiers/blister-pack" TargetMode="External" Id="rId3125" /><Relationship Type="http://schemas.openxmlformats.org/officeDocument/2006/relationships/hyperlink" Target="https://www.pricecharting.com/game/pokemon-dragon-frontiers/booster-pack" TargetMode="External" Id="rId3126" /><Relationship Type="http://schemas.openxmlformats.org/officeDocument/2006/relationships/hyperlink" Target="https://www.pricecharting.com/game/pokemon-dragon-majesty/booster-pack" TargetMode="External" Id="rId3127" /><Relationship Type="http://schemas.openxmlformats.org/officeDocument/2006/relationships/hyperlink" Target="https://www.pricecharting.com/game/pokemon-dragon-vault/booster-pack" TargetMode="External" Id="rId3128" /><Relationship Type="http://schemas.openxmlformats.org/officeDocument/2006/relationships/hyperlink" Target="https://www.tcgplayer.com/product/98948" TargetMode="External" Id="rId3129" /><Relationship Type="http://schemas.openxmlformats.org/officeDocument/2006/relationships/hyperlink" Target="https://www.pricecharting.com/game/pokemon-dragons-exalted/booster-pack" TargetMode="External" Id="rId3130" /><Relationship Type="http://schemas.openxmlformats.org/officeDocument/2006/relationships/hyperlink" Target="https://www.tcgplayer.com/product/98541" TargetMode="External" Id="rId3131" /><Relationship Type="http://schemas.openxmlformats.org/officeDocument/2006/relationships/hyperlink" Target="https://www.pricecharting.com/game/pokemon-emerald/blister-pack" TargetMode="External" Id="rId3132" /><Relationship Type="http://schemas.openxmlformats.org/officeDocument/2006/relationships/hyperlink" Target="https://www.tcgplayer.com/product/98549" TargetMode="External" Id="rId3133" /><Relationship Type="http://schemas.openxmlformats.org/officeDocument/2006/relationships/hyperlink" Target="https://www.pricecharting.com/game/pokemon-evolutions/3-card-booster-pack" TargetMode="External" Id="rId3134" /><Relationship Type="http://schemas.openxmlformats.org/officeDocument/2006/relationships/hyperlink" Target="https://www.pricecharting.com/game/pokemon-evolutions/3-pack-blister-black-kyurem" TargetMode="External" Id="rId3135" /><Relationship Type="http://schemas.openxmlformats.org/officeDocument/2006/relationships/hyperlink" Target="https://www.pricecharting.com/game/pokemon-evolutions/3-pack-blister-braixen" TargetMode="External" Id="rId3136" /><Relationship Type="http://schemas.openxmlformats.org/officeDocument/2006/relationships/hyperlink" Target="https://www.pricecharting.com/game/pokemon-evolutions/mini-booster-pack" TargetMode="External" Id="rId3137" /><Relationship Type="http://schemas.openxmlformats.org/officeDocument/2006/relationships/hyperlink" Target="https://www.pricecharting.com/game/pokemon-evolutions/sampling-pack" TargetMode="External" Id="rId3138" /><Relationship Type="http://schemas.openxmlformats.org/officeDocument/2006/relationships/hyperlink" Target="https://www.pricecharting.com/game/pokemon-evolutions/single-pack-blister" TargetMode="External" Id="rId3139" /><Relationship Type="http://schemas.openxmlformats.org/officeDocument/2006/relationships/hyperlink" Target="https://www.pricecharting.com/game/pokemon-evolving-skies/blister-pack-octillery" TargetMode="External" Id="rId3140" /><Relationship Type="http://schemas.openxmlformats.org/officeDocument/2006/relationships/hyperlink" Target="https://www.pricecharting.com/game/pokemon-evolving-skies/booster-pack-heavy" TargetMode="External" Id="rId3141" /><Relationship Type="http://schemas.openxmlformats.org/officeDocument/2006/relationships/hyperlink" Target="https://www.pricecharting.com/game/pokemon-evolving-skies/checklane-blister-eevee" TargetMode="External" Id="rId3142" /><Relationship Type="http://schemas.openxmlformats.org/officeDocument/2006/relationships/hyperlink" Target="https://www.pricecharting.com/game/pokemon-evolving-skies/checklane-blister-galarian-slowpoke" TargetMode="External" Id="rId3143" /><Relationship Type="http://schemas.openxmlformats.org/officeDocument/2006/relationships/hyperlink" Target="https://www.pricecharting.com/game/pokemon-crystal-guardians/booster-pack" TargetMode="External" Id="rId3144" /><Relationship Type="http://schemas.openxmlformats.org/officeDocument/2006/relationships/hyperlink" Target="https://www.tcgplayer.com/product/98566" TargetMode="External" Id="rId3145" /><Relationship Type="http://schemas.openxmlformats.org/officeDocument/2006/relationships/hyperlink" Target="https://www.pricecharting.com/game/pokemon-delta-species/booster-pack" TargetMode="External" Id="rId3146" /><Relationship Type="http://schemas.openxmlformats.org/officeDocument/2006/relationships/hyperlink" Target="https://www.tcgplayer.com/product/98944" TargetMode="External" Id="rId3147" /><Relationship Type="http://schemas.openxmlformats.org/officeDocument/2006/relationships/hyperlink" Target="https://www.pricecharting.com/game/pokemon-emerald/booster-pack" TargetMode="External" Id="rId3148" /><Relationship Type="http://schemas.openxmlformats.org/officeDocument/2006/relationships/hyperlink" Target="https://www.tcgplayer.com/product/98546" TargetMode="External" Id="rId3149" /><Relationship Type="http://schemas.openxmlformats.org/officeDocument/2006/relationships/hyperlink" Target="https://www.pricecharting.com/game/pokemon-hidden-legends/booster-pack" TargetMode="External" Id="rId3150" /><Relationship Type="http://schemas.openxmlformats.org/officeDocument/2006/relationships/hyperlink" Target="https://www.tcgplayer.com/product/98595" TargetMode="External" Id="rId3151" /><Relationship Type="http://schemas.openxmlformats.org/officeDocument/2006/relationships/hyperlink" Target="https://www.pricecharting.com/game/pokemon-legend-maker/booster-pack" TargetMode="External" Id="rId3152" /><Relationship Type="http://schemas.openxmlformats.org/officeDocument/2006/relationships/hyperlink" Target="https://www.tcgplayer.com/product/98557" TargetMode="External" Id="rId3153" /><Relationship Type="http://schemas.openxmlformats.org/officeDocument/2006/relationships/hyperlink" Target="https://www.pricecharting.com/game/pokemon-power-keepers/booster-pack" TargetMode="External" Id="rId3154" /><Relationship Type="http://schemas.openxmlformats.org/officeDocument/2006/relationships/hyperlink" Target="https://www.tcgplayer.com/product/98529" TargetMode="External" Id="rId3155" /><Relationship Type="http://schemas.openxmlformats.org/officeDocument/2006/relationships/hyperlink" Target="https://www.tcgplayer.com/product/98558" TargetMode="External" Id="rId3156" /><Relationship Type="http://schemas.openxmlformats.org/officeDocument/2006/relationships/hyperlink" Target="https://www.pricecharting.com/game/pokemon-sandstorm/booster-pack" TargetMode="External" Id="rId3157" /><Relationship Type="http://schemas.openxmlformats.org/officeDocument/2006/relationships/hyperlink" Target="https://www.tcgplayer.com/product/98565" TargetMode="External" Id="rId3158" /><Relationship Type="http://schemas.openxmlformats.org/officeDocument/2006/relationships/hyperlink" Target="https://www.tcgplayer.com/product/98550" TargetMode="External" Id="rId3159" /><Relationship Type="http://schemas.openxmlformats.org/officeDocument/2006/relationships/hyperlink" Target="https://www.pricecharting.com/game/pokemon-team-rocket-returns/booster-pack" TargetMode="External" Id="rId3160" /><Relationship Type="http://schemas.openxmlformats.org/officeDocument/2006/relationships/hyperlink" Target="https://www.tcgplayer.com/product/98578" TargetMode="External" Id="rId3161" /><Relationship Type="http://schemas.openxmlformats.org/officeDocument/2006/relationships/hyperlink" Target="https://www.pricecharting.com/game/pokemon-unseen-forces/booster-pack" TargetMode="External" Id="rId3162" /><Relationship Type="http://schemas.openxmlformats.org/officeDocument/2006/relationships/hyperlink" Target="https://www.tcgplayer.com/product/98577" TargetMode="External" Id="rId3163" /><Relationship Type="http://schemas.openxmlformats.org/officeDocument/2006/relationships/hyperlink" Target="https://www.pricecharting.com/game/pokemon-expedition/blister-pack" TargetMode="External" Id="rId3164" /><Relationship Type="http://schemas.openxmlformats.org/officeDocument/2006/relationships/hyperlink" Target="https://www.pricecharting.com/game/pokemon-expedition/booster-pack" TargetMode="External" Id="rId3165" /><Relationship Type="http://schemas.openxmlformats.org/officeDocument/2006/relationships/hyperlink" Target="https://www.tcgplayer.com/product/138151" TargetMode="External" Id="rId3166" /><Relationship Type="http://schemas.openxmlformats.org/officeDocument/2006/relationships/hyperlink" Target="https://www.pricecharting.com/game/pokemon-fates-collide/blister-pack" TargetMode="External" Id="rId3167" /><Relationship Type="http://schemas.openxmlformats.org/officeDocument/2006/relationships/hyperlink" Target="https://www.pricecharting.com/game/pokemon-fates-collide/booster-pack" TargetMode="External" Id="rId3168" /><Relationship Type="http://schemas.openxmlformats.org/officeDocument/2006/relationships/hyperlink" Target="https://www.pricecharting.com/game/pokemon-fates-collide/mini-booster-pack" TargetMode="External" Id="rId3169" /><Relationship Type="http://schemas.openxmlformats.org/officeDocument/2006/relationships/hyperlink" Target="https://www.pricecharting.com/game/pokemon-fates-collide/sleeved-booster-pack" TargetMode="External" Id="rId3170" /><Relationship Type="http://schemas.openxmlformats.org/officeDocument/2006/relationships/hyperlink" Target="https://www.tcgplayer.com/product/231300" TargetMode="External" Id="rId3171" /><Relationship Type="http://schemas.openxmlformats.org/officeDocument/2006/relationships/hyperlink" Target="https://www.tcgplayer.com/product/231299" TargetMode="External" Id="rId3172" /><Relationship Type="http://schemas.openxmlformats.org/officeDocument/2006/relationships/hyperlink" Target="https://www.tcgplayer.com/product/231304" TargetMode="External" Id="rId3173" /><Relationship Type="http://schemas.openxmlformats.org/officeDocument/2006/relationships/hyperlink" Target="https://www.tcgplayer.com/product/231305" TargetMode="External" Id="rId3174" /><Relationship Type="http://schemas.openxmlformats.org/officeDocument/2006/relationships/hyperlink" Target="https://www.tcgplayer.com/product/231301" TargetMode="External" Id="rId3175" /><Relationship Type="http://schemas.openxmlformats.org/officeDocument/2006/relationships/hyperlink" Target="https://www.tcgplayer.com/product/231306" TargetMode="External" Id="rId3176" /><Relationship Type="http://schemas.openxmlformats.org/officeDocument/2006/relationships/hyperlink" Target="https://www.tcgplayer.com/product/231303" TargetMode="External" Id="rId3177" /><Relationship Type="http://schemas.openxmlformats.org/officeDocument/2006/relationships/hyperlink" Target="https://www.tcgplayer.com/product/231302" TargetMode="External" Id="rId3178" /><Relationship Type="http://schemas.openxmlformats.org/officeDocument/2006/relationships/hyperlink" Target="https://www.pricecharting.com/game/pokemon-flashfire/blister-pack" TargetMode="External" Id="rId3179" /><Relationship Type="http://schemas.openxmlformats.org/officeDocument/2006/relationships/hyperlink" Target="https://www.pricecharting.com/game/pokemon-flashfire/mini-booster-pack" TargetMode="External" Id="rId3180" /><Relationship Type="http://schemas.openxmlformats.org/officeDocument/2006/relationships/hyperlink" Target="https://www.pricecharting.com/game/pokemon-forbidden-light/blister-pack" TargetMode="External" Id="rId3181" /><Relationship Type="http://schemas.openxmlformats.org/officeDocument/2006/relationships/hyperlink" Target="https://www.pricecharting.com/game/pokemon-forbidden-light/mini-booster-pack" TargetMode="External" Id="rId3182" /><Relationship Type="http://schemas.openxmlformats.org/officeDocument/2006/relationships/hyperlink" Target="https://www.pricecharting.com/game/pokemon-forbidden-light/mini-portfolio-double-pack" TargetMode="External" Id="rId3183" /><Relationship Type="http://schemas.openxmlformats.org/officeDocument/2006/relationships/hyperlink" Target="https://www.pricecharting.com/game/pokemon-forbidden-light/sampling-pack" TargetMode="External" Id="rId3184" /><Relationship Type="http://schemas.openxmlformats.org/officeDocument/2006/relationships/hyperlink" Target="https://www.pricecharting.com/game/pokemon-fossil/blister-pack" TargetMode="External" Id="rId3185" /><Relationship Type="http://schemas.openxmlformats.org/officeDocument/2006/relationships/hyperlink" Target="https://www.tcgplayer.com/product/692399" TargetMode="External" Id="rId3186" /><Relationship Type="http://schemas.openxmlformats.org/officeDocument/2006/relationships/hyperlink" Target="https://www.pricecharting.com/game/pokemon-fossil/booster-pack" TargetMode="External" Id="rId3187" /><Relationship Type="http://schemas.openxmlformats.org/officeDocument/2006/relationships/hyperlink" Target="https://www.pricecharting.com/game/pokemon-fossil/booster-pack-1st-edition" TargetMode="External" Id="rId3188" /><Relationship Type="http://schemas.openxmlformats.org/officeDocument/2006/relationships/hyperlink" Target="https://www.tcgplayer.com/product/138133" TargetMode="External" Id="rId3189" /><Relationship Type="http://schemas.openxmlformats.org/officeDocument/2006/relationships/hyperlink" Target="https://www.tcgplayer.com/product/138134" TargetMode="External" Id="rId3190" /><Relationship Type="http://schemas.openxmlformats.org/officeDocument/2006/relationships/hyperlink" Target="https://www.pricecharting.com/game/pokemon-furious-fists/blister-pack-zoroark" TargetMode="External" Id="rId3191" /><Relationship Type="http://schemas.openxmlformats.org/officeDocument/2006/relationships/hyperlink" Target="https://www.pricecharting.com/game/pokemon-furious-fists/mini-booster-pack" TargetMode="External" Id="rId3192" /><Relationship Type="http://schemas.openxmlformats.org/officeDocument/2006/relationships/hyperlink" Target="https://www.pricecharting.com/game/pokemon-fusion-strike/checklane-blister-2-pack" TargetMode="External" Id="rId3193" /><Relationship Type="http://schemas.openxmlformats.org/officeDocument/2006/relationships/hyperlink" Target="https://www.pricecharting.com/game/pokemon-generations/booster-pack" TargetMode="External" Id="rId3194" /><Relationship Type="http://schemas.openxmlformats.org/officeDocument/2006/relationships/hyperlink" Target="https://www.tcgplayer.com/product/187238" TargetMode="External" Id="rId3195" /><Relationship Type="http://schemas.openxmlformats.org/officeDocument/2006/relationships/hyperlink" Target="https://www.pricecharting.com/game/pokemon-go/booster-pack" TargetMode="External" Id="rId3196" /><Relationship Type="http://schemas.openxmlformats.org/officeDocument/2006/relationships/hyperlink" Target="https://www.pricecharting.com/game/pokemon-great-encounters/blister-pack" TargetMode="External" Id="rId3197" /><Relationship Type="http://schemas.openxmlformats.org/officeDocument/2006/relationships/hyperlink" Target="https://www.pricecharting.com/game/pokemon-great-encounters/booster-pack" TargetMode="External" Id="rId3198" /><Relationship Type="http://schemas.openxmlformats.org/officeDocument/2006/relationships/hyperlink" Target="https://www.tcgplayer.com/product/98545" TargetMode="External" Id="rId3199" /><Relationship Type="http://schemas.openxmlformats.org/officeDocument/2006/relationships/hyperlink" Target="https://www.pricecharting.com/game/pokemon-guardians-rising/blister-pack-tsareena" TargetMode="External" Id="rId3200" /><Relationship Type="http://schemas.openxmlformats.org/officeDocument/2006/relationships/hyperlink" Target="https://www.pricecharting.com/game/pokemon-guardians-rising/mini-booster-pack" TargetMode="External" Id="rId3201" /><Relationship Type="http://schemas.openxmlformats.org/officeDocument/2006/relationships/hyperlink" Target="https://www.pricecharting.com/game/pokemon-gym-challenge/booster-pack" TargetMode="External" Id="rId3202" /><Relationship Type="http://schemas.openxmlformats.org/officeDocument/2006/relationships/hyperlink" Target="https://www.pricecharting.com/game/pokemon-gym-challenge/booster-pack-1st-edition" TargetMode="External" Id="rId3203" /><Relationship Type="http://schemas.openxmlformats.org/officeDocument/2006/relationships/hyperlink" Target="https://www.tcgplayer.com/product/138140" TargetMode="External" Id="rId3204" /><Relationship Type="http://schemas.openxmlformats.org/officeDocument/2006/relationships/hyperlink" Target="https://www.tcgplayer.com/product/138139" TargetMode="External" Id="rId3205" /><Relationship Type="http://schemas.openxmlformats.org/officeDocument/2006/relationships/hyperlink" Target="https://www.pricecharting.com/game/pokemon-gym-heroes/booster-pack" TargetMode="External" Id="rId3206" /><Relationship Type="http://schemas.openxmlformats.org/officeDocument/2006/relationships/hyperlink" Target="https://www.pricecharting.com/game/pokemon-gym-heroes/booster-pack-1st-edition" TargetMode="External" Id="rId3207" /><Relationship Type="http://schemas.openxmlformats.org/officeDocument/2006/relationships/hyperlink" Target="https://www.tcgplayer.com/product/138138" TargetMode="External" Id="rId3208" /><Relationship Type="http://schemas.openxmlformats.org/officeDocument/2006/relationships/hyperlink" Target="https://www.tcgplayer.com/product/98530" TargetMode="External" Id="rId3209" /><Relationship Type="http://schemas.openxmlformats.org/officeDocument/2006/relationships/hyperlink" Target="https://www.pricecharting.com/game/pokemon-hidden-fates/booster-pack" TargetMode="External" Id="rId3210" /><Relationship Type="http://schemas.openxmlformats.org/officeDocument/2006/relationships/hyperlink" Target="https://www.tcgplayer.com/product/198634" TargetMode="External" Id="rId3211" /><Relationship Type="http://schemas.openxmlformats.org/officeDocument/2006/relationships/hyperlink" Target="https://www.pricecharting.com/game/pokemon-hidden-legends/blister-pack" TargetMode="External" Id="rId3212" /><Relationship Type="http://schemas.openxmlformats.org/officeDocument/2006/relationships/hyperlink" Target="https://www.pricecharting.com/game/pokemon-holon-phantoms/blister-pack" TargetMode="External" Id="rId3213" /><Relationship Type="http://schemas.openxmlformats.org/officeDocument/2006/relationships/hyperlink" Target="https://www.pricecharting.com/game/pokemon-holon-phantoms/booster-pack" TargetMode="External" Id="rId3214" /><Relationship Type="http://schemas.openxmlformats.org/officeDocument/2006/relationships/hyperlink" Target="https://www.pricecharting.com/game/pokemon-japanese-20th-anniversary/booster-pack" TargetMode="External" Id="rId3215" /><Relationship Type="http://schemas.openxmlformats.org/officeDocument/2006/relationships/hyperlink" Target="https://www.pricecharting.com/game/pokemon-japanese-25th-anniversary-collection/booster-pack" TargetMode="External" Id="rId3216" /><Relationship Type="http://schemas.openxmlformats.org/officeDocument/2006/relationships/hyperlink" Target="https://www.pricecharting.com/game/pokemon-japanese-25th-anniversary-promo/booster-pack" TargetMode="External" Id="rId3217" /><Relationship Type="http://schemas.openxmlformats.org/officeDocument/2006/relationships/hyperlink" Target="https://www.pricecharting.com/game/pokemon-japanese-30th-celebration/booster-pack" TargetMode="External" Id="rId3218" /><Relationship Type="http://schemas.openxmlformats.org/officeDocument/2006/relationships/hyperlink" Target="https://www.pricecharting.com/game/pokemon-japanese-abyss-eye/booster-pack" TargetMode="External" Id="rId3219" /><Relationship Type="http://schemas.openxmlformats.org/officeDocument/2006/relationships/hyperlink" Target="https://www.pricecharting.com/game/pokemon-japanese-advent-of-arceus/booster-pack" TargetMode="External" Id="rId3220" /><Relationship Type="http://schemas.openxmlformats.org/officeDocument/2006/relationships/hyperlink" Target="https://www.pricecharting.com/game/pokemon-japanese-alolan-moonlight/booster-pack" TargetMode="External" Id="rId3221" /><Relationship Type="http://schemas.openxmlformats.org/officeDocument/2006/relationships/hyperlink" Target="https://www.pricecharting.com/game/pokemon-japanese-alter-genesis/booster-pack" TargetMode="External" Id="rId3222" /><Relationship Type="http://schemas.openxmlformats.org/officeDocument/2006/relationships/hyperlink" Target="https://www.pricecharting.com/game/pokemon-japanese-amazing-volt-tackle/booster-pack" TargetMode="External" Id="rId3223" /><Relationship Type="http://schemas.openxmlformats.org/officeDocument/2006/relationships/hyperlink" Target="https://www.pricecharting.com/game/pokemon-japanese-ancient-roar/booster-pack" TargetMode="External" Id="rId3224" /><Relationship Type="http://schemas.openxmlformats.org/officeDocument/2006/relationships/hyperlink" Target="https://www.pricecharting.com/game/pokemon-japanese-awakening-legends/booster-pack" TargetMode="External" Id="rId3225" /><Relationship Type="http://schemas.openxmlformats.org/officeDocument/2006/relationships/hyperlink" Target="https://www.pricecharting.com/game/pokemon-japanese-bandit-ring/booster-pack" TargetMode="External" Id="rId3226" /><Relationship Type="http://schemas.openxmlformats.org/officeDocument/2006/relationships/hyperlink" Target="https://www.pricecharting.com/game/pokemon-japanese-battle-partners/booster-pack" TargetMode="External" Id="rId3227" /><Relationship Type="http://schemas.openxmlformats.org/officeDocument/2006/relationships/hyperlink" Target="https://www.pricecharting.com/game/pokemon-japanese-battle-region/booster-pack" TargetMode="External" Id="rId3228" /><Relationship Type="http://schemas.openxmlformats.org/officeDocument/2006/relationships/hyperlink" Target="https://www.pricecharting.com/game/pokemon-japanese-beat-of-the-frontier/booster-pack" TargetMode="External" Id="rId3229" /><Relationship Type="http://schemas.openxmlformats.org/officeDocument/2006/relationships/hyperlink" Target="https://www.pricecharting.com/game/pokemon-japanese-best-of-xy/booster-pack" TargetMode="External" Id="rId3230" /><Relationship Type="http://schemas.openxmlformats.org/officeDocument/2006/relationships/hyperlink" Target="https://www.pricecharting.com/game/pokemon-japanese-black-bolt/booster-pack" TargetMode="External" Id="rId3231" /><Relationship Type="http://schemas.openxmlformats.org/officeDocument/2006/relationships/hyperlink" Target="https://www.pricecharting.com/game/pokemon-japanese-black-bolt/deluxe-booster-pack" TargetMode="External" Id="rId3232" /><Relationship Type="http://schemas.openxmlformats.org/officeDocument/2006/relationships/hyperlink" Target="https://www.pricecharting.com/game/pokemon-japanese-blue-sky-stream/booster-pack" TargetMode="External" Id="rId3233" /><Relationship Type="http://schemas.openxmlformats.org/officeDocument/2006/relationships/hyperlink" Target="https://www.pricecharting.com/game/pokemon-japanese-challenge-from-the-darkness/booster-pack" TargetMode="External" Id="rId3234" /><Relationship Type="http://schemas.openxmlformats.org/officeDocument/2006/relationships/hyperlink" Target="https://www.pricecharting.com/game/pokemon-japanese-clay-burst/booster-pack" TargetMode="External" Id="rId3235" /><Relationship Type="http://schemas.openxmlformats.org/officeDocument/2006/relationships/hyperlink" Target="https://www.pricecharting.com/game/pokemon-japanese-crimson-haze/booster-pack" TargetMode="External" Id="rId3236" /><Relationship Type="http://schemas.openxmlformats.org/officeDocument/2006/relationships/hyperlink" Target="https://www.pricecharting.com/game/pokemon-japanese-crossing-the-ruins/booster-pack" TargetMode="External" Id="rId3237" /><Relationship Type="http://schemas.openxmlformats.org/officeDocument/2006/relationships/hyperlink" Target="https://www.pricecharting.com/game/pokemon-japanese-cyber-judge/booster-pack" TargetMode="External" Id="rId3238" /><Relationship Type="http://schemas.openxmlformats.org/officeDocument/2006/relationships/hyperlink" Target="https://www.pricecharting.com/game/pokemon-japanese-dark-phantasma/booster-pack" TargetMode="External" Id="rId3239" /><Relationship Type="http://schemas.openxmlformats.org/officeDocument/2006/relationships/hyperlink" Target="https://www.pricecharting.com/game/pokemon-japanese-darkness-and-to-light/booster-pack" TargetMode="External" Id="rId3240" /><Relationship Type="http://schemas.openxmlformats.org/officeDocument/2006/relationships/hyperlink" Target="https://www.pricecharting.com/game/pokemon-japanese-double-blaze/booster-pack" TargetMode="External" Id="rId3241" /><Relationship Type="http://schemas.openxmlformats.org/officeDocument/2006/relationships/hyperlink" Target="https://www.pricecharting.com/game/pokemon-japanese-dream-league/booster-pack" TargetMode="External" Id="rId3242" /><Relationship Type="http://schemas.openxmlformats.org/officeDocument/2006/relationships/hyperlink" Target="https://www.pricecharting.com/game/pokemon-japanese-dream-shine-collection/booster-pack" TargetMode="External" Id="rId3243" /><Relationship Type="http://schemas.openxmlformats.org/officeDocument/2006/relationships/hyperlink" Target="https://www.pricecharting.com/game/pokemon-japanese-eevee-heroes/booster-pack" TargetMode="External" Id="rId3244" /><Relationship Type="http://schemas.openxmlformats.org/officeDocument/2006/relationships/hyperlink" Target="https://www.pricecharting.com/game/pokemon-japanese-expansion-pack/booster-pack" TargetMode="External" Id="rId3245" /><Relationship Type="http://schemas.openxmlformats.org/officeDocument/2006/relationships/hyperlink" Target="https://www.pricecharting.com/game/pokemon-japanese-expansion-pack/booster-pack-short" TargetMode="External" Id="rId3246" /><Relationship Type="http://schemas.openxmlformats.org/officeDocument/2006/relationships/hyperlink" Target="https://www.pricecharting.com/game/pokemon-japanese-fusion-arts/booster-pack" TargetMode="External" Id="rId3247" /><Relationship Type="http://schemas.openxmlformats.org/officeDocument/2006/relationships/hyperlink" Target="https://www.pricecharting.com/game/pokemon-japanese-future-flash/booster-pack" TargetMode="External" Id="rId3248" /><Relationship Type="http://schemas.openxmlformats.org/officeDocument/2006/relationships/hyperlink" Target="https://www.pricecharting.com/game/pokemon-japanese-glory-of-team-rocket/booster-pack" TargetMode="External" Id="rId3249" /><Relationship Type="http://schemas.openxmlformats.org/officeDocument/2006/relationships/hyperlink" Target="https://www.pricecharting.com/game/pokemon-japanese-go/booster-pack" TargetMode="External" Id="rId3250" /><Relationship Type="http://schemas.openxmlformats.org/officeDocument/2006/relationships/hyperlink" Target="https://www.pricecharting.com/game/pokemon-japanese-go/sealed-1-card-pack" TargetMode="External" Id="rId3251" /><Relationship Type="http://schemas.openxmlformats.org/officeDocument/2006/relationships/hyperlink" Target="https://www.pricecharting.com/game/pokemon-japanese-gold-silver-new-world/booster-pack" TargetMode="External" Id="rId3252" /><Relationship Type="http://schemas.openxmlformats.org/officeDocument/2006/relationships/hyperlink" Target="https://www.pricecharting.com/game/pokemon-japanese-gx-battle-boost/booster-pack" TargetMode="External" Id="rId3253" /><Relationship Type="http://schemas.openxmlformats.org/officeDocument/2006/relationships/hyperlink" Target="https://www.pricecharting.com/game/pokemon-japanese-gx-ultra-shiny/booster-pack" TargetMode="External" Id="rId3254" /><Relationship Type="http://schemas.openxmlformats.org/officeDocument/2006/relationships/hyperlink" Target="https://www.pricecharting.com/game/pokemon-japanese-heat-wave-arena/booster-pack" TargetMode="External" Id="rId3255" /><Relationship Type="http://schemas.openxmlformats.org/officeDocument/2006/relationships/hyperlink" Target="https://www.pricecharting.com/game/pokemon-japanese-incandescent-arcana/booster-pack" TargetMode="External" Id="rId3256" /><Relationship Type="http://schemas.openxmlformats.org/officeDocument/2006/relationships/hyperlink" Target="https://www.pricecharting.com/game/pokemon-japanese-inferno-x/booster-pack" TargetMode="External" Id="rId3257" /><Relationship Type="http://schemas.openxmlformats.org/officeDocument/2006/relationships/hyperlink" Target="https://www.pricecharting.com/game/pokemon-japanese-jungle/booster-pack" TargetMode="External" Id="rId3258" /><Relationship Type="http://schemas.openxmlformats.org/officeDocument/2006/relationships/hyperlink" Target="https://www.pricecharting.com/game/pokemon-japanese-legendary-shine-collection/booster-pack" TargetMode="External" Id="rId3259" /><Relationship Type="http://schemas.openxmlformats.org/officeDocument/2006/relationships/hyperlink" Target="https://www.pricecharting.com/game/pokemon-japanese-lost-abyss/booster-pack" TargetMode="External" Id="rId3260" /><Relationship Type="http://schemas.openxmlformats.org/officeDocument/2006/relationships/hyperlink" Target="https://www.pricecharting.com/game/pokemon-japanese-mask-of-change/booster-pack" TargetMode="External" Id="rId3261" /><Relationship Type="http://schemas.openxmlformats.org/officeDocument/2006/relationships/hyperlink" Target="https://www.pricecharting.com/game/pokemon-japanese-mega-brave/booster-pack" TargetMode="External" Id="rId3262" /><Relationship Type="http://schemas.openxmlformats.org/officeDocument/2006/relationships/hyperlink" Target="https://www.pricecharting.com/game/pokemon-japanese-mega-dream-ex/booster-pack" TargetMode="External" Id="rId3263" /><Relationship Type="http://schemas.openxmlformats.org/officeDocument/2006/relationships/hyperlink" Target="https://www.pricecharting.com/game/pokemon-japanese-mega-symphonia/booster-pack" TargetMode="External" Id="rId3264" /><Relationship Type="http://schemas.openxmlformats.org/officeDocument/2006/relationships/hyperlink" Target="https://www.pricecharting.com/game/pokemon-japanese-miracle-twins/booster-pack" TargetMode="External" Id="rId3265" /><Relationship Type="http://schemas.openxmlformats.org/officeDocument/2006/relationships/hyperlink" Target="https://www.pricecharting.com/game/pokemon-japanese-mysterious-mountains/booster-pack" TargetMode="External" Id="rId3266" /><Relationship Type="http://schemas.openxmlformats.org/officeDocument/2006/relationships/hyperlink" Target="https://www.pricecharting.com/game/pokemon-japanese-mystery-of-the-fossils/booster-pack" TargetMode="External" Id="rId3267" /><Relationship Type="http://schemas.openxmlformats.org/officeDocument/2006/relationships/hyperlink" Target="https://www.pricecharting.com/game/pokemon-japanese-night-wanderer/booster-pack" TargetMode="External" Id="rId3268" /><Relationship Type="http://schemas.openxmlformats.org/officeDocument/2006/relationships/hyperlink" Target="https://www.pricecharting.com/game/pokemon-japanese-nihil-zero/booster-pack" TargetMode="External" Id="rId3269" /><Relationship Type="http://schemas.openxmlformats.org/officeDocument/2006/relationships/hyperlink" Target="https://www.pricecharting.com/game/pokemon-japanese-ninja-spinner/booster-pack" TargetMode="External" Id="rId3270" /><Relationship Type="http://schemas.openxmlformats.org/officeDocument/2006/relationships/hyperlink" Target="https://www.pricecharting.com/game/pokemon-japanese-paradigm-trigger/booster-pack" TargetMode="External" Id="rId3271" /><Relationship Type="http://schemas.openxmlformats.org/officeDocument/2006/relationships/hyperlink" Target="https://www.pricecharting.com/game/pokemon-japanese-paradise-dragona/booster-pack" TargetMode="External" Id="rId3272" /><Relationship Type="http://schemas.openxmlformats.org/officeDocument/2006/relationships/hyperlink" Target="https://www.pricecharting.com/game/pokemon-japanese-pokekyun-collection/booster-pack" TargetMode="External" Id="rId3273" /><Relationship Type="http://schemas.openxmlformats.org/officeDocument/2006/relationships/hyperlink" Target="https://www.pricecharting.com/game/pokemon-japanese-promo/2024-summer-promo-pack" TargetMode="External" Id="rId3274" /><Relationship Type="http://schemas.openxmlformats.org/officeDocument/2006/relationships/hyperlink" Target="https://www.pricecharting.com/game/pokemon-japanese-promo/booster-pack-2016-staff-event-organizer" TargetMode="External" Id="rId3275" /><Relationship Type="http://schemas.openxmlformats.org/officeDocument/2006/relationships/hyperlink" Target="https://www.pricecharting.com/game/pokemon-japanese-promo/booster-pack-2017-staff-event-organizer" TargetMode="External" Id="rId3276" /><Relationship Type="http://schemas.openxmlformats.org/officeDocument/2006/relationships/hyperlink" Target="https://www.pricecharting.com/game/pokemon-japanese-promo/booster-pack-2025-staff-event-organizer" TargetMode="External" Id="rId3277" /><Relationship Type="http://schemas.openxmlformats.org/officeDocument/2006/relationships/hyperlink" Target="https://www.pricecharting.com/game/pokemon-japanese-promo/booster-pack-dragon-pokemon-v-get-challenge" TargetMode="External" Id="rId3278" /><Relationship Type="http://schemas.openxmlformats.org/officeDocument/2006/relationships/hyperlink" Target="https://www.pricecharting.com/game/pokemon-japanese-promo/illustration-contest-2024-sealed-pack" TargetMode="External" Id="rId3279" /><Relationship Type="http://schemas.openxmlformats.org/officeDocument/2006/relationships/hyperlink" Target="https://www.pricecharting.com/game/pokemon-japanese-promo/masked-pikachu-special-pack" TargetMode="External" Id="rId3280" /><Relationship Type="http://schemas.openxmlformats.org/officeDocument/2006/relationships/hyperlink" Target="https://www.pricecharting.com/game/pokemon-japanese-promo/mcdonald's-promo-pack" TargetMode="External" Id="rId3281" /><Relationship Type="http://schemas.openxmlformats.org/officeDocument/2006/relationships/hyperlink" Target="https://www.pricecharting.com/game/pokemon-japanese-promo/movie-commemoration-special-pack" TargetMode="External" Id="rId3282" /><Relationship Type="http://schemas.openxmlformats.org/officeDocument/2006/relationships/hyperlink" Target="https://www.pricecharting.com/game/pokemon-japanese-promo/nagaba-promo-pack" TargetMode="External" Id="rId3283" /><Relationship Type="http://schemas.openxmlformats.org/officeDocument/2006/relationships/hyperlink" Target="https://www.pricecharting.com/game/pokemon-japanese-promo/scarlet-&amp;-violet-gym-promo-pack-vol1" TargetMode="External" Id="rId3284" /><Relationship Type="http://schemas.openxmlformats.org/officeDocument/2006/relationships/hyperlink" Target="https://www.pricecharting.com/game/pokemon-japanese-promo/scarlet-&amp;-violet-gym-promo-pack-vol2" TargetMode="External" Id="rId3285" /><Relationship Type="http://schemas.openxmlformats.org/officeDocument/2006/relationships/hyperlink" Target="https://www.pricecharting.com/game/pokemon-japanese-promo/scarlet-&amp;-violet-gym-promo-pack-vol3" TargetMode="External" Id="rId3286" /><Relationship Type="http://schemas.openxmlformats.org/officeDocument/2006/relationships/hyperlink" Target="https://www.pricecharting.com/game/pokemon-japanese-promo/scarlet-&amp;-violet-gym-promo-pack-vol4" TargetMode="External" Id="rId3287" /><Relationship Type="http://schemas.openxmlformats.org/officeDocument/2006/relationships/hyperlink" Target="https://www.pricecharting.com/game/pokemon-japanese-promo/scarlet-&amp;-violet-gym-promo-pack-vol5" TargetMode="External" Id="rId3288" /><Relationship Type="http://schemas.openxmlformats.org/officeDocument/2006/relationships/hyperlink" Target="https://www.pricecharting.com/game/pokemon-japanese-promo/scarlet-&amp;-violet-gym-promo-pack-vol6" TargetMode="External" Id="rId3289" /><Relationship Type="http://schemas.openxmlformats.org/officeDocument/2006/relationships/hyperlink" Target="https://www.pricecharting.com/game/pokemon-japanese-promo/scarlet-&amp;-violet-gym-promo-pack-vol7" TargetMode="External" Id="rId3290" /><Relationship Type="http://schemas.openxmlformats.org/officeDocument/2006/relationships/hyperlink" Target="https://www.pricecharting.com/game/pokemon-japanese-promo/scarlet-&amp;-violet-gym-promo-pack-vol8" TargetMode="External" Id="rId3291" /><Relationship Type="http://schemas.openxmlformats.org/officeDocument/2006/relationships/hyperlink" Target="https://www.pricecharting.com/game/pokemon-japanese-promo/scarlet-&amp;-violet-gym-promo-pack-vol9" TargetMode="External" Id="rId3292" /><Relationship Type="http://schemas.openxmlformats.org/officeDocument/2006/relationships/hyperlink" Target="https://www.pricecharting.com/game/pokemon-japanese-promo/sealed-pack-2020-staff-event-organizer" TargetMode="External" Id="rId3293" /><Relationship Type="http://schemas.openxmlformats.org/officeDocument/2006/relationships/hyperlink" Target="https://www.pricecharting.com/game/pokemon-japanese-promo/sword-&amp;-shield-gym-promo-pack-vol2" TargetMode="External" Id="rId3294" /><Relationship Type="http://schemas.openxmlformats.org/officeDocument/2006/relationships/hyperlink" Target="https://www.pricecharting.com/game/pokemon-japanese-raging-surf/booster-pack" TargetMode="External" Id="rId3295" /><Relationship Type="http://schemas.openxmlformats.org/officeDocument/2006/relationships/hyperlink" Target="https://www.pricecharting.com/game/pokemon-japanese-remix-bout/booster-pack" TargetMode="External" Id="rId3296" /><Relationship Type="http://schemas.openxmlformats.org/officeDocument/2006/relationships/hyperlink" Target="https://www.pricecharting.com/game/pokemon-japanese-rocket-gang/booster-pack" TargetMode="External" Id="rId3297" /><Relationship Type="http://schemas.openxmlformats.org/officeDocument/2006/relationships/hyperlink" Target="https://www.pricecharting.com/game/pokemon-japanese-rocket-gang/gift-pack" TargetMode="External" Id="rId3298" /><Relationship Type="http://schemas.openxmlformats.org/officeDocument/2006/relationships/hyperlink" Target="https://www.pricecharting.com/game/pokemon-japanese-rocket-gang-strikes-back/booster-pack" TargetMode="External" Id="rId3299" /><Relationship Type="http://schemas.openxmlformats.org/officeDocument/2006/relationships/hyperlink" Target="https://www.pricecharting.com/game/pokemon-japanese-ruler-of-the-black-flame/booster-pack" TargetMode="External" Id="rId3300" /><Relationship Type="http://schemas.openxmlformats.org/officeDocument/2006/relationships/hyperlink" Target="https://www.pricecharting.com/game/pokemon-japanese-scarlet-ex/booster-pack" TargetMode="External" Id="rId3301" /><Relationship Type="http://schemas.openxmlformats.org/officeDocument/2006/relationships/hyperlink" Target="https://www.pricecharting.com/game/pokemon-japanese-shining-legends/booster-pack" TargetMode="External" Id="rId3302" /><Relationship Type="http://schemas.openxmlformats.org/officeDocument/2006/relationships/hyperlink" Target="https://www.pricecharting.com/game/pokemon-japanese-shiny-collection/booster-pack" TargetMode="External" Id="rId3303" /><Relationship Type="http://schemas.openxmlformats.org/officeDocument/2006/relationships/hyperlink" Target="https://www.pricecharting.com/game/pokemon-japanese-shiny-star-v/booster-pack" TargetMode="External" Id="rId3304" /><Relationship Type="http://schemas.openxmlformats.org/officeDocument/2006/relationships/hyperlink" Target="https://www.pricecharting.com/game/pokemon-japanese-shiny-treasure-ex/booster-pack" TargetMode="External" Id="rId3305" /><Relationship Type="http://schemas.openxmlformats.org/officeDocument/2006/relationships/hyperlink" Target="https://www.pricecharting.com/game/pokemon-japanese-snow-hazard/booster-pack" TargetMode="External" Id="rId3306" /><Relationship Type="http://schemas.openxmlformats.org/officeDocument/2006/relationships/hyperlink" Target="https://www.pricecharting.com/game/pokemon-japanese-split-earth/booster-pack" TargetMode="External" Id="rId3307" /><Relationship Type="http://schemas.openxmlformats.org/officeDocument/2006/relationships/hyperlink" Target="https://www.pricecharting.com/game/pokemon-japanese-split-earth/booster-pack-1st-edition" TargetMode="External" Id="rId3308" /><Relationship Type="http://schemas.openxmlformats.org/officeDocument/2006/relationships/hyperlink" Target="https://www.pricecharting.com/game/pokemon-japanese-star-birth/booster-pack" TargetMode="External" Id="rId3309" /><Relationship Type="http://schemas.openxmlformats.org/officeDocument/2006/relationships/hyperlink" Target="https://www.pricecharting.com/game/pokemon-japanese-stellar-miracle/booster-pack" TargetMode="External" Id="rId3310" /><Relationship Type="http://schemas.openxmlformats.org/officeDocument/2006/relationships/hyperlink" Target="https://www.pricecharting.com/game/pokemon-japanese-storm-emeralda/booster-pack" TargetMode="External" Id="rId3311" /><Relationship Type="http://schemas.openxmlformats.org/officeDocument/2006/relationships/hyperlink" Target="https://www.pricecharting.com/game/pokemon-japanese-super-electric-breaker/booster-pack" TargetMode="External" Id="rId3312" /><Relationship Type="http://schemas.openxmlformats.org/officeDocument/2006/relationships/hyperlink" Target="https://www.pricecharting.com/game/pokemon-japanese-tag-all-stars/booster-pack" TargetMode="External" Id="rId3313" /><Relationship Type="http://schemas.openxmlformats.org/officeDocument/2006/relationships/hyperlink" Target="https://www.pricecharting.com/game/pokemon-japanese-tag-bolt/booster-pack" TargetMode="External" Id="rId3314" /><Relationship Type="http://schemas.openxmlformats.org/officeDocument/2006/relationships/hyperlink" Target="https://www.pricecharting.com/game/pokemon-japanese-terastal-festival/booster-pack" TargetMode="External" Id="rId3315" /><Relationship Type="http://schemas.openxmlformats.org/officeDocument/2006/relationships/hyperlink" Target="https://www.pricecharting.com/game/pokemon-japanese-the-town-on-no-map/booster-pack" TargetMode="External" Id="rId3316" /><Relationship Type="http://schemas.openxmlformats.org/officeDocument/2006/relationships/hyperlink" Target="https://www.pricecharting.com/game/pokemon-japanese-topsun/booster-pack" TargetMode="External" Id="rId3317" /><Relationship Type="http://schemas.openxmlformats.org/officeDocument/2006/relationships/hyperlink" Target="https://www.pricecharting.com/game/pokemon-japanese-triplet-beat/booster-pack" TargetMode="External" Id="rId3318" /><Relationship Type="http://schemas.openxmlformats.org/officeDocument/2006/relationships/hyperlink" Target="https://www.pricecharting.com/game/pokemon-japanese-violet-ex/booster-pack" TargetMode="External" Id="rId3319" /><Relationship Type="http://schemas.openxmlformats.org/officeDocument/2006/relationships/hyperlink" Target="https://www.pricecharting.com/game/pokemon-japanese-vmax-climax/booster-pack" TargetMode="External" Id="rId3320" /><Relationship Type="http://schemas.openxmlformats.org/officeDocument/2006/relationships/hyperlink" Target="https://www.pricecharting.com/game/pokemon-japanese-vs/booster-pack-fightingpsychic" TargetMode="External" Id="rId3321" /><Relationship Type="http://schemas.openxmlformats.org/officeDocument/2006/relationships/hyperlink" Target="https://www.pricecharting.com/game/pokemon-japanese-vs/booster-pack-grasslightning" TargetMode="External" Id="rId3322" /><Relationship Type="http://schemas.openxmlformats.org/officeDocument/2006/relationships/hyperlink" Target="https://www.pricecharting.com/game/pokemon-japanese-vs/booster-pack-waterfire" TargetMode="External" Id="rId3323" /><Relationship Type="http://schemas.openxmlformats.org/officeDocument/2006/relationships/hyperlink" Target="https://www.pricecharting.com/game/pokemon-japanese-vstar-universe/booster-pack" TargetMode="External" Id="rId3324" /><Relationship Type="http://schemas.openxmlformats.org/officeDocument/2006/relationships/hyperlink" Target="https://www.pricecharting.com/game/pokemon-japanese-white-flare/booster-pack" TargetMode="External" Id="rId3325" /><Relationship Type="http://schemas.openxmlformats.org/officeDocument/2006/relationships/hyperlink" Target="https://www.pricecharting.com/game/pokemon-japanese-white-flare/deluxe-booster-pack" TargetMode="External" Id="rId3326" /><Relationship Type="http://schemas.openxmlformats.org/officeDocument/2006/relationships/hyperlink" Target="https://www.pricecharting.com/game/pokemon-japanese-wild-force/booster-pack" TargetMode="External" Id="rId3327" /><Relationship Type="http://schemas.openxmlformats.org/officeDocument/2006/relationships/hyperlink" Target="https://www.pricecharting.com/game/pokemon-japanese-wind-from-the-sea/booster-pack" TargetMode="External" Id="rId3328" /><Relationship Type="http://schemas.openxmlformats.org/officeDocument/2006/relationships/hyperlink" Target="https://www.pricecharting.com/game/pokemon-journey-together/blister-pack-archaludon" TargetMode="External" Id="rId3329" /><Relationship Type="http://schemas.openxmlformats.org/officeDocument/2006/relationships/hyperlink" Target="https://www.pricecharting.com/game/pokemon-journey-together/blister-pack-melmetal" TargetMode="External" Id="rId3330" /><Relationship Type="http://schemas.openxmlformats.org/officeDocument/2006/relationships/hyperlink" Target="https://www.pricecharting.com/game/pokemon-journey-together/blister-pack-scraggy" TargetMode="External" Id="rId3331" /><Relationship Type="http://schemas.openxmlformats.org/officeDocument/2006/relationships/hyperlink" Target="https://www.pricecharting.com/game/pokemon-journey-together/blister-pack-yanma" TargetMode="External" Id="rId3332" /><Relationship Type="http://schemas.openxmlformats.org/officeDocument/2006/relationships/hyperlink" Target="https://www.pricecharting.com/game/pokemon-journey-together/checklane-blister-klinklang" TargetMode="External" Id="rId3333" /><Relationship Type="http://schemas.openxmlformats.org/officeDocument/2006/relationships/hyperlink" Target="https://www.pricecharting.com/game/pokemon-journey-together/checklane-blister-yanma" TargetMode="External" Id="rId3334" /><Relationship Type="http://schemas.openxmlformats.org/officeDocument/2006/relationships/hyperlink" Target="https://www.pricecharting.com/game/pokemon-journey-together/sealed-fun-pack" TargetMode="External" Id="rId3335" /><Relationship Type="http://schemas.openxmlformats.org/officeDocument/2006/relationships/hyperlink" Target="https://www.pricecharting.com/game/pokemon-jungle/blister-pack" TargetMode="External" Id="rId3336" /><Relationship Type="http://schemas.openxmlformats.org/officeDocument/2006/relationships/hyperlink" Target="https://www.pricecharting.com/game/pokemon-jungle/booster-pack" TargetMode="External" Id="rId3337" /><Relationship Type="http://schemas.openxmlformats.org/officeDocument/2006/relationships/hyperlink" Target="https://www.pricecharting.com/game/pokemon-jungle/booster-pack-1st-edition" TargetMode="External" Id="rId3338" /><Relationship Type="http://schemas.openxmlformats.org/officeDocument/2006/relationships/hyperlink" Target="https://www.tcgplayer.com/product/138128" TargetMode="External" Id="rId3339" /><Relationship Type="http://schemas.openxmlformats.org/officeDocument/2006/relationships/hyperlink" Target="https://www.tcgplayer.com/product/138129" TargetMode="External" Id="rId3340" /><Relationship Type="http://schemas.openxmlformats.org/officeDocument/2006/relationships/hyperlink" Target="https://www.pricecharting.com/game/pokemon-korean-terastal-festival-ex/booster-pack" TargetMode="External" Id="rId3341" /><Relationship Type="http://schemas.openxmlformats.org/officeDocument/2006/relationships/hyperlink" Target="https://www.pricecharting.com/game/pokemon-legendary-collection/blister-pack" TargetMode="External" Id="rId3342" /><Relationship Type="http://schemas.openxmlformats.org/officeDocument/2006/relationships/hyperlink" Target="https://www.pricecharting.com/game/pokemon-legendary-collection/booster-pack" TargetMode="External" Id="rId3343" /><Relationship Type="http://schemas.openxmlformats.org/officeDocument/2006/relationships/hyperlink" Target="https://www.tcgplayer.com/product/138150" TargetMode="External" Id="rId3344" /><Relationship Type="http://schemas.openxmlformats.org/officeDocument/2006/relationships/hyperlink" Target="https://www.pricecharting.com/game/pokemon-legendary-treasures/booster-pack" TargetMode="External" Id="rId3345" /><Relationship Type="http://schemas.openxmlformats.org/officeDocument/2006/relationships/hyperlink" Target="https://www.tcgplayer.com/product/98581" TargetMode="External" Id="rId3346" /><Relationship Type="http://schemas.openxmlformats.org/officeDocument/2006/relationships/hyperlink" Target="https://www.pricecharting.com/game/pokemon-legends-awakened/booster-pack" TargetMode="External" Id="rId3347" /><Relationship Type="http://schemas.openxmlformats.org/officeDocument/2006/relationships/hyperlink" Target="https://www.tcgplayer.com/product/98537" TargetMode="External" Id="rId3348" /><Relationship Type="http://schemas.openxmlformats.org/officeDocument/2006/relationships/hyperlink" Target="https://www.pricecharting.com/game/pokemon-legends-awakened/mothim-blister-pack" TargetMode="External" Id="rId3349" /><Relationship Type="http://schemas.openxmlformats.org/officeDocument/2006/relationships/hyperlink" Target="https://www.pricecharting.com/game/pokemon-lost-origin/arceus-&amp;-darkrai-pin-blister-pack" TargetMode="External" Id="rId3350" /><Relationship Type="http://schemas.openxmlformats.org/officeDocument/2006/relationships/hyperlink" Target="https://www.pricecharting.com/game/pokemon-lost-origin/booster-pack-heavy" TargetMode="External" Id="rId3351" /><Relationship Type="http://schemas.openxmlformats.org/officeDocument/2006/relationships/hyperlink" Target="https://www.pricecharting.com/game/pokemon-lost-origin/fun-pack" TargetMode="External" Id="rId3352" /><Relationship Type="http://schemas.openxmlformats.org/officeDocument/2006/relationships/hyperlink" Target="https://www.pricecharting.com/game/pokemon-lost-origin/infernape-premium-checklane-blister" TargetMode="External" Id="rId3353" /><Relationship Type="http://schemas.openxmlformats.org/officeDocument/2006/relationships/hyperlink" Target="https://www.pricecharting.com/game/pokemon-lost-origin/scorbunny-checklane-blister" TargetMode="External" Id="rId3354" /><Relationship Type="http://schemas.openxmlformats.org/officeDocument/2006/relationships/hyperlink" Target="https://www.pricecharting.com/game/pokemon-lost-origin/torterra-premium-checklane-blister" TargetMode="External" Id="rId3355" /><Relationship Type="http://schemas.openxmlformats.org/officeDocument/2006/relationships/hyperlink" Target="https://www.pricecharting.com/game/pokemon-lost-thunder/mini-booster-pack" TargetMode="External" Id="rId3356" /><Relationship Type="http://schemas.openxmlformats.org/officeDocument/2006/relationships/hyperlink" Target="https://www.tcgplayer.com/product/647498" TargetMode="External" Id="rId3357" /><Relationship Type="http://schemas.openxmlformats.org/officeDocument/2006/relationships/hyperlink" Target="https://www.tcgplayer.com/product/647499" TargetMode="External" Id="rId3358" /><Relationship Type="http://schemas.openxmlformats.org/officeDocument/2006/relationships/hyperlink" Target="https://www.tcgplayer.com/product/655970" TargetMode="External" Id="rId3359" /><Relationship Type="http://schemas.openxmlformats.org/officeDocument/2006/relationships/hyperlink" Target="https://www.tcgplayer.com/product/666255" TargetMode="External" Id="rId3360" /><Relationship Type="http://schemas.openxmlformats.org/officeDocument/2006/relationships/hyperlink" Target="https://www.tcgplayer.com/product/674454" TargetMode="External" Id="rId3361" /><Relationship Type="http://schemas.openxmlformats.org/officeDocument/2006/relationships/hyperlink" Target="https://www.tcgplayer.com/product/683776" TargetMode="External" Id="rId3362" /><Relationship Type="http://schemas.openxmlformats.org/officeDocument/2006/relationships/hyperlink" Target="https://www.tcgplayer.com/product/695111" TargetMode="External" Id="rId3363" /><Relationship Type="http://schemas.openxmlformats.org/officeDocument/2006/relationships/hyperlink" Target="https://www.tcgplayer.com/product/709111" TargetMode="External" Id="rId3364" /><Relationship Type="http://schemas.openxmlformats.org/officeDocument/2006/relationships/hyperlink" Target="https://www.tcgplayer.com/product/718621" TargetMode="External" Id="rId3365" /><Relationship Type="http://schemas.openxmlformats.org/officeDocument/2006/relationships/hyperlink" Target="https://www.pricecharting.com/game/pokemon-majestic-dawn/blister-pack" TargetMode="External" Id="rId3366" /><Relationship Type="http://schemas.openxmlformats.org/officeDocument/2006/relationships/hyperlink" Target="https://www.pricecharting.com/game/pokemon-majestic-dawn/booster-pack" TargetMode="External" Id="rId3367" /><Relationship Type="http://schemas.openxmlformats.org/officeDocument/2006/relationships/hyperlink" Target="https://www.tcgplayer.com/product/98585" TargetMode="External" Id="rId3368" /><Relationship Type="http://schemas.openxmlformats.org/officeDocument/2006/relationships/hyperlink" Target="https://www.tcgplayer.com/product/232748" TargetMode="External" Id="rId3369" /><Relationship Type="http://schemas.openxmlformats.org/officeDocument/2006/relationships/hyperlink" Target="https://www.tcgplayer.com/product/282530" TargetMode="External" Id="rId3370" /><Relationship Type="http://schemas.openxmlformats.org/officeDocument/2006/relationships/hyperlink" Target="https://www.tcgplayer.com/product/516527" TargetMode="External" Id="rId3371" /><Relationship Type="http://schemas.openxmlformats.org/officeDocument/2006/relationships/hyperlink" Target="https://www.tcgplayer.com/product/615609" TargetMode="External" Id="rId3372" /><Relationship Type="http://schemas.openxmlformats.org/officeDocument/2006/relationships/hyperlink" Target="https://www.pricecharting.com/game/pokemon-mcdonalds-2021/booster-pack" TargetMode="External" Id="rId3373" /><Relationship Type="http://schemas.openxmlformats.org/officeDocument/2006/relationships/hyperlink" Target="https://www.pricecharting.com/game/pokemon-mcdonalds-2022/booster-pack" TargetMode="External" Id="rId3374" /><Relationship Type="http://schemas.openxmlformats.org/officeDocument/2006/relationships/hyperlink" Target="https://www.pricecharting.com/game/pokemon-mcdonalds-2022/match-battle-pack" TargetMode="External" Id="rId3375" /><Relationship Type="http://schemas.openxmlformats.org/officeDocument/2006/relationships/hyperlink" Target="https://www.pricecharting.com/game/pokemon-mcdonalds-2023/match-battle-pack" TargetMode="External" Id="rId3376" /><Relationship Type="http://schemas.openxmlformats.org/officeDocument/2006/relationships/hyperlink" Target="https://www.pricecharting.com/game/pokemon-mcdonalds-2024/booster-pack" TargetMode="External" Id="rId3377" /><Relationship Type="http://schemas.openxmlformats.org/officeDocument/2006/relationships/hyperlink" Target="https://www.tcgplayer.com/product/644356" TargetMode="External" Id="rId3378" /><Relationship Type="http://schemas.openxmlformats.org/officeDocument/2006/relationships/hyperlink" Target="https://www.tcgplayer.com/product/644357" TargetMode="External" Id="rId3379" /><Relationship Type="http://schemas.openxmlformats.org/officeDocument/2006/relationships/hyperlink" Target="https://www.tcgplayer.com/product/644352" TargetMode="External" Id="rId3380" /><Relationship Type="http://schemas.openxmlformats.org/officeDocument/2006/relationships/hyperlink" Target="https://www.tcgplayer.com/product/644360" TargetMode="External" Id="rId3381" /><Relationship Type="http://schemas.openxmlformats.org/officeDocument/2006/relationships/hyperlink" Target="https://www.tcgplayer.com/product/644359" TargetMode="External" Id="rId3382" /><Relationship Type="http://schemas.openxmlformats.org/officeDocument/2006/relationships/hyperlink" Target="https://www.tcgplayer.com/product/644358" TargetMode="External" Id="rId3383" /><Relationship Type="http://schemas.openxmlformats.org/officeDocument/2006/relationships/hyperlink" Target="https://www.tcgplayer.com/product/657490" TargetMode="External" Id="rId3384" /><Relationship Type="http://schemas.openxmlformats.org/officeDocument/2006/relationships/hyperlink" Target="https://www.tcgplayer.com/product/657489" TargetMode="External" Id="rId3385" /><Relationship Type="http://schemas.openxmlformats.org/officeDocument/2006/relationships/hyperlink" Target="https://www.tcgplayer.com/product/644354" TargetMode="External" Id="rId3386" /><Relationship Type="http://schemas.openxmlformats.org/officeDocument/2006/relationships/hyperlink" Target="https://www.tcgplayer.com/product/654154" TargetMode="External" Id="rId3387" /><Relationship Type="http://schemas.openxmlformats.org/officeDocument/2006/relationships/hyperlink" Target="https://www.tcgplayer.com/product/654156" TargetMode="External" Id="rId3388" /><Relationship Type="http://schemas.openxmlformats.org/officeDocument/2006/relationships/hyperlink" Target="https://www.tcgplayer.com/product/654144" TargetMode="External" Id="rId3389" /><Relationship Type="http://schemas.openxmlformats.org/officeDocument/2006/relationships/hyperlink" Target="https://www.tcgplayer.com/product/672588" TargetMode="External" Id="rId3390" /><Relationship Type="http://schemas.openxmlformats.org/officeDocument/2006/relationships/hyperlink" Target="https://www.tcgplayer.com/product/654146" TargetMode="External" Id="rId3391" /><Relationship Type="http://schemas.openxmlformats.org/officeDocument/2006/relationships/hyperlink" Target="https://www.tcgplayer.com/product/654151" TargetMode="External" Id="rId3392" /><Relationship Type="http://schemas.openxmlformats.org/officeDocument/2006/relationships/hyperlink" Target="https://www.tcgplayer.com/product/654150" TargetMode="External" Id="rId3393" /><Relationship Type="http://schemas.openxmlformats.org/officeDocument/2006/relationships/hyperlink" Target="https://www.tcgplayer.com/product/654145" TargetMode="External" Id="rId3394" /><Relationship Type="http://schemas.openxmlformats.org/officeDocument/2006/relationships/hyperlink" Target="https://www.tcgplayer.com/product/672393" TargetMode="External" Id="rId3395" /><Relationship Type="http://schemas.openxmlformats.org/officeDocument/2006/relationships/hyperlink" Target="https://www.tcgplayer.com/product/672398" TargetMode="External" Id="rId3396" /><Relationship Type="http://schemas.openxmlformats.org/officeDocument/2006/relationships/hyperlink" Target="https://www.tcgplayer.com/product/715707" TargetMode="External" Id="rId3397" /><Relationship Type="http://schemas.openxmlformats.org/officeDocument/2006/relationships/hyperlink" Target="https://www.tcgplayer.com/product/672407" TargetMode="External" Id="rId3398" /><Relationship Type="http://schemas.openxmlformats.org/officeDocument/2006/relationships/hyperlink" Target="https://www.tcgplayer.com/product/672409" TargetMode="External" Id="rId3399" /><Relationship Type="http://schemas.openxmlformats.org/officeDocument/2006/relationships/hyperlink" Target="https://www.tcgplayer.com/product/672406" TargetMode="External" Id="rId3400" /><Relationship Type="http://schemas.openxmlformats.org/officeDocument/2006/relationships/hyperlink" Target="https://www.tcgplayer.com/product/672408" TargetMode="External" Id="rId3401" /><Relationship Type="http://schemas.openxmlformats.org/officeDocument/2006/relationships/hyperlink" Target="https://www.tcgplayer.com/product/672410" TargetMode="External" Id="rId3402" /><Relationship Type="http://schemas.openxmlformats.org/officeDocument/2006/relationships/hyperlink" Target="https://www.tcgplayer.com/product/672412" TargetMode="External" Id="rId3403" /><Relationship Type="http://schemas.openxmlformats.org/officeDocument/2006/relationships/hyperlink" Target="https://www.tcgplayer.com/product/684446" TargetMode="External" Id="rId3404" /><Relationship Type="http://schemas.openxmlformats.org/officeDocument/2006/relationships/hyperlink" Target="https://www.tcgplayer.com/product/684460" TargetMode="External" Id="rId3405" /><Relationship Type="http://schemas.openxmlformats.org/officeDocument/2006/relationships/hyperlink" Target="https://www.tcgplayer.com/product/684459" TargetMode="External" Id="rId3406" /><Relationship Type="http://schemas.openxmlformats.org/officeDocument/2006/relationships/hyperlink" Target="https://www.tcgplayer.com/product/696150" TargetMode="External" Id="rId3407" /><Relationship Type="http://schemas.openxmlformats.org/officeDocument/2006/relationships/hyperlink" Target="https://www.tcgplayer.com/product/684457" TargetMode="External" Id="rId3408" /><Relationship Type="http://schemas.openxmlformats.org/officeDocument/2006/relationships/hyperlink" Target="https://www.tcgplayer.com/product/696144" TargetMode="External" Id="rId3409" /><Relationship Type="http://schemas.openxmlformats.org/officeDocument/2006/relationships/hyperlink" Target="https://www.tcgplayer.com/product/684448" TargetMode="External" Id="rId3410" /><Relationship Type="http://schemas.openxmlformats.org/officeDocument/2006/relationships/hyperlink" Target="https://www.tcgplayer.com/product/692944" TargetMode="External" Id="rId3411" /><Relationship Type="http://schemas.openxmlformats.org/officeDocument/2006/relationships/hyperlink" Target="https://www.tcgplayer.com/product/692954" TargetMode="External" Id="rId3412" /><Relationship Type="http://schemas.openxmlformats.org/officeDocument/2006/relationships/hyperlink" Target="https://www.tcgplayer.com/product/692951" TargetMode="External" Id="rId3413" /><Relationship Type="http://schemas.openxmlformats.org/officeDocument/2006/relationships/hyperlink" Target="https://www.tcgplayer.com/product/692952" TargetMode="External" Id="rId3414" /><Relationship Type="http://schemas.openxmlformats.org/officeDocument/2006/relationships/hyperlink" Target="https://www.tcgplayer.com/product/692953" TargetMode="External" Id="rId3415" /><Relationship Type="http://schemas.openxmlformats.org/officeDocument/2006/relationships/hyperlink" Target="https://www.tcgplayer.com/product/692955" TargetMode="External" Id="rId3416" /><Relationship Type="http://schemas.openxmlformats.org/officeDocument/2006/relationships/hyperlink" Target="https://www.tcgplayer.com/product/692957" TargetMode="External" Id="rId3417" /><Relationship Type="http://schemas.openxmlformats.org/officeDocument/2006/relationships/hyperlink" Target="https://www.tcgplayer.com/product/712093" TargetMode="External" Id="rId3418" /><Relationship Type="http://schemas.openxmlformats.org/officeDocument/2006/relationships/hyperlink" Target="https://www.tcgplayer.com/product/712099" TargetMode="External" Id="rId3419" /><Relationship Type="http://schemas.openxmlformats.org/officeDocument/2006/relationships/hyperlink" Target="https://www.tcgplayer.com/product/712108" TargetMode="External" Id="rId3420" /><Relationship Type="http://schemas.openxmlformats.org/officeDocument/2006/relationships/hyperlink" Target="https://www.tcgplayer.com/product/712112" TargetMode="External" Id="rId3421" /><Relationship Type="http://schemas.openxmlformats.org/officeDocument/2006/relationships/hyperlink" Target="https://www.pricecharting.com/game/pokemon-30th-celebration/booster-pack" TargetMode="External" Id="rId3422" /><Relationship Type="http://schemas.openxmlformats.org/officeDocument/2006/relationships/hyperlink" Target="https://www.tcgplayer.com/product/696613" TargetMode="External" Id="rId3423" /><Relationship Type="http://schemas.openxmlformats.org/officeDocument/2006/relationships/hyperlink" Target="https://www.pricecharting.com/game/pokemon-ascended-heroes/booster-pack" TargetMode="External" Id="rId3424" /><Relationship Type="http://schemas.openxmlformats.org/officeDocument/2006/relationships/hyperlink" Target="https://www.tcgplayer.com/product/672434" TargetMode="External" Id="rId3425" /><Relationship Type="http://schemas.openxmlformats.org/officeDocument/2006/relationships/hyperlink" Target="https://www.pricecharting.com/game/pokemon-mega-evolution/3-pack-blister-golduck" TargetMode="External" Id="rId3426" /><Relationship Type="http://schemas.openxmlformats.org/officeDocument/2006/relationships/hyperlink" Target="https://www.pricecharting.com/game/pokemon-mega-evolution/3-pack-blister-psyduck" TargetMode="External" Id="rId3427" /><Relationship Type="http://schemas.openxmlformats.org/officeDocument/2006/relationships/hyperlink" Target="https://www.pricecharting.com/game/pokemon-mega-evolution/booster-pack" TargetMode="External" Id="rId3428" /><Relationship Type="http://schemas.openxmlformats.org/officeDocument/2006/relationships/hyperlink" Target="https://www.pricecharting.com/game/pokemon-mega-evolution/checklane-blister-lycanroc" TargetMode="External" Id="rId3429" /><Relationship Type="http://schemas.openxmlformats.org/officeDocument/2006/relationships/hyperlink" Target="https://www.pricecharting.com/game/pokemon-mega-evolution/checklane-blister-wailord" TargetMode="External" Id="rId3430" /><Relationship Type="http://schemas.openxmlformats.org/officeDocument/2006/relationships/hyperlink" Target="https://www.pricecharting.com/game/pokemon-mega-evolution/premium-checklane-blister-meowscarada" TargetMode="External" Id="rId3431" /><Relationship Type="http://schemas.openxmlformats.org/officeDocument/2006/relationships/hyperlink" Target="https://www.pricecharting.com/game/pokemon-mega-evolution/premium-checklane-blister-tyranitar" TargetMode="External" Id="rId3432" /><Relationship Type="http://schemas.openxmlformats.org/officeDocument/2006/relationships/hyperlink" Target="https://www.pricecharting.com/game/pokemon-mega-evolution/single-pack-blister-drifblim" TargetMode="External" Id="rId3433" /><Relationship Type="http://schemas.openxmlformats.org/officeDocument/2006/relationships/hyperlink" Target="https://www.pricecharting.com/game/pokemon-mega-evolution/single-pack-blister-drifloon" TargetMode="External" Id="rId3434" /><Relationship Type="http://schemas.openxmlformats.org/officeDocument/2006/relationships/hyperlink" Target="https://www.pricecharting.com/game/pokemon-mega-evolution/sleeved-booster-pack" TargetMode="External" Id="rId3435" /><Relationship Type="http://schemas.openxmlformats.org/officeDocument/2006/relationships/hyperlink" Target="https://www.tcgplayer.com/product/248714" TargetMode="External" Id="rId3436" /><Relationship Type="http://schemas.openxmlformats.org/officeDocument/2006/relationships/hyperlink" Target="https://www.tcgplayer.com/product/634329" TargetMode="External" Id="rId3437" /><Relationship Type="http://schemas.openxmlformats.org/officeDocument/2006/relationships/hyperlink" Target="https://www.tcgplayer.com/product/237106" TargetMode="External" Id="rId3438" /><Relationship Type="http://schemas.openxmlformats.org/officeDocument/2006/relationships/hyperlink" Target="https://www.tcgplayer.com/product/235709" TargetMode="External" Id="rId3439" /><Relationship Type="http://schemas.openxmlformats.org/officeDocument/2006/relationships/hyperlink" Target="https://www.tcgplayer.com/product/503300" TargetMode="External" Id="rId3440" /><Relationship Type="http://schemas.openxmlformats.org/officeDocument/2006/relationships/hyperlink" Target="https://www.tcgplayer.com/product/230086" TargetMode="External" Id="rId3441" /><Relationship Type="http://schemas.openxmlformats.org/officeDocument/2006/relationships/hyperlink" Target="https://www.tcgplayer.com/product/232770" TargetMode="External" Id="rId3442" /><Relationship Type="http://schemas.openxmlformats.org/officeDocument/2006/relationships/hyperlink" Target="https://www.tcgplayer.com/product/190360" TargetMode="External" Id="rId3443" /><Relationship Type="http://schemas.openxmlformats.org/officeDocument/2006/relationships/hyperlink" Target="https://www.tcgplayer.com/product/265945" TargetMode="External" Id="rId3444" /><Relationship Type="http://schemas.openxmlformats.org/officeDocument/2006/relationships/hyperlink" Target="https://www.tcgplayer.com/product/265943" TargetMode="External" Id="rId3445" /><Relationship Type="http://schemas.openxmlformats.org/officeDocument/2006/relationships/hyperlink" Target="https://www.tcgplayer.com/product/265946" TargetMode="External" Id="rId3446" /><Relationship Type="http://schemas.openxmlformats.org/officeDocument/2006/relationships/hyperlink" Target="https://www.tcgplayer.com/product/497966" TargetMode="External" Id="rId3447" /><Relationship Type="http://schemas.openxmlformats.org/officeDocument/2006/relationships/hyperlink" Target="https://www.tcgplayer.com/product/549452" TargetMode="External" Id="rId3448" /><Relationship Type="http://schemas.openxmlformats.org/officeDocument/2006/relationships/hyperlink" Target="https://www.tcgplayer.com/product/273609" TargetMode="External" Id="rId3449" /><Relationship Type="http://schemas.openxmlformats.org/officeDocument/2006/relationships/hyperlink" Target="https://www.tcgplayer.com/product/497853" TargetMode="External" Id="rId3450" /><Relationship Type="http://schemas.openxmlformats.org/officeDocument/2006/relationships/hyperlink" Target="https://www.tcgplayer.com/product/273608" TargetMode="External" Id="rId3451" /><Relationship Type="http://schemas.openxmlformats.org/officeDocument/2006/relationships/hyperlink" Target="https://www.tcgplayer.com/product/273610" TargetMode="External" Id="rId3452" /><Relationship Type="http://schemas.openxmlformats.org/officeDocument/2006/relationships/hyperlink" Target="https://www.tcgplayer.com/product/497856" TargetMode="External" Id="rId3453" /><Relationship Type="http://schemas.openxmlformats.org/officeDocument/2006/relationships/hyperlink" Target="https://www.tcgplayer.com/product/200568" TargetMode="External" Id="rId3454" /><Relationship Type="http://schemas.openxmlformats.org/officeDocument/2006/relationships/hyperlink" Target="https://www.tcgplayer.com/product/276609" TargetMode="External" Id="rId3455" /><Relationship Type="http://schemas.openxmlformats.org/officeDocument/2006/relationships/hyperlink" Target="https://www.tcgplayer.com/product/530756" TargetMode="External" Id="rId3456" /><Relationship Type="http://schemas.openxmlformats.org/officeDocument/2006/relationships/hyperlink" Target="https://www.pricecharting.com/game/pokemon-mysterious-treasures/blister-pack" TargetMode="External" Id="rId3457" /><Relationship Type="http://schemas.openxmlformats.org/officeDocument/2006/relationships/hyperlink" Target="https://www.pricecharting.com/game/pokemon-mysterious-treasures/booster-pack" TargetMode="External" Id="rId3458" /><Relationship Type="http://schemas.openxmlformats.org/officeDocument/2006/relationships/hyperlink" Target="https://www.tcgplayer.com/product/98561" TargetMode="External" Id="rId3459" /><Relationship Type="http://schemas.openxmlformats.org/officeDocument/2006/relationships/hyperlink" Target="https://www.pricecharting.com/game/pokemon-neo-destiny/blister-pack" TargetMode="External" Id="rId3460" /><Relationship Type="http://schemas.openxmlformats.org/officeDocument/2006/relationships/hyperlink" Target="https://www.pricecharting.com/game/pokemon-neo-destiny/booster-pack" TargetMode="External" Id="rId3461" /><Relationship Type="http://schemas.openxmlformats.org/officeDocument/2006/relationships/hyperlink" Target="https://www.pricecharting.com/game/pokemon-neo-destiny/booster-pack-1st-edition" TargetMode="External" Id="rId3462" /><Relationship Type="http://schemas.openxmlformats.org/officeDocument/2006/relationships/hyperlink" Target="https://www.tcgplayer.com/product/138148" TargetMode="External" Id="rId3463" /><Relationship Type="http://schemas.openxmlformats.org/officeDocument/2006/relationships/hyperlink" Target="https://www.pricecharting.com/game/pokemon-neo-discovery/blister-pack" TargetMode="External" Id="rId3464" /><Relationship Type="http://schemas.openxmlformats.org/officeDocument/2006/relationships/hyperlink" Target="https://www.pricecharting.com/game/pokemon-neo-discovery/booster-pack" TargetMode="External" Id="rId3465" /><Relationship Type="http://schemas.openxmlformats.org/officeDocument/2006/relationships/hyperlink" Target="https://www.pricecharting.com/game/pokemon-neo-discovery/booster-pack-1st-edition" TargetMode="External" Id="rId3466" /><Relationship Type="http://schemas.openxmlformats.org/officeDocument/2006/relationships/hyperlink" Target="https://www.tcgplayer.com/product/138144" TargetMode="External" Id="rId3467" /><Relationship Type="http://schemas.openxmlformats.org/officeDocument/2006/relationships/hyperlink" Target="https://www.tcgplayer.com/product/138143" TargetMode="External" Id="rId3468" /><Relationship Type="http://schemas.openxmlformats.org/officeDocument/2006/relationships/hyperlink" Target="https://www.pricecharting.com/game/pokemon-neo-genesis/booster-pack" TargetMode="External" Id="rId3469" /><Relationship Type="http://schemas.openxmlformats.org/officeDocument/2006/relationships/hyperlink" Target="https://www.pricecharting.com/game/pokemon-neo-genesis/booster-pack-1st-edition" TargetMode="External" Id="rId3470" /><Relationship Type="http://schemas.openxmlformats.org/officeDocument/2006/relationships/hyperlink" Target="https://www.tcgplayer.com/product/138141" TargetMode="External" Id="rId3471" /><Relationship Type="http://schemas.openxmlformats.org/officeDocument/2006/relationships/hyperlink" Target="https://www.tcgplayer.com/product/138142" TargetMode="External" Id="rId3472" /><Relationship Type="http://schemas.openxmlformats.org/officeDocument/2006/relationships/hyperlink" Target="https://www.pricecharting.com/game/pokemon-neo-revelation/blister-pack" TargetMode="External" Id="rId3473" /><Relationship Type="http://schemas.openxmlformats.org/officeDocument/2006/relationships/hyperlink" Target="https://www.pricecharting.com/game/pokemon-neo-revelation/booster-pack" TargetMode="External" Id="rId3474" /><Relationship Type="http://schemas.openxmlformats.org/officeDocument/2006/relationships/hyperlink" Target="https://www.pricecharting.com/game/pokemon-neo-revelation/booster-pack-1st-edition" TargetMode="External" Id="rId3475" /><Relationship Type="http://schemas.openxmlformats.org/officeDocument/2006/relationships/hyperlink" Target="https://www.tcgplayer.com/product/138145" TargetMode="External" Id="rId3476" /><Relationship Type="http://schemas.openxmlformats.org/officeDocument/2006/relationships/hyperlink" Target="https://www.tcgplayer.com/product/138146" TargetMode="External" Id="rId3477" /><Relationship Type="http://schemas.openxmlformats.org/officeDocument/2006/relationships/hyperlink" Target="https://www.pricecharting.com/game/pokemon-next-destinies/blister-pack" TargetMode="External" Id="rId3478" /><Relationship Type="http://schemas.openxmlformats.org/officeDocument/2006/relationships/hyperlink" Target="https://www.pricecharting.com/game/pokemon-next-destinies/booster-pack" TargetMode="External" Id="rId3479" /><Relationship Type="http://schemas.openxmlformats.org/officeDocument/2006/relationships/hyperlink" Target="https://www.tcgplayer.com/product/98538" TargetMode="External" Id="rId3480" /><Relationship Type="http://schemas.openxmlformats.org/officeDocument/2006/relationships/hyperlink" Target="https://www.pricecharting.com/game/pokemon-next-destinies/sleeved-booster-pack" TargetMode="External" Id="rId3481" /><Relationship Type="http://schemas.openxmlformats.org/officeDocument/2006/relationships/hyperlink" Target="https://www.pricecharting.com/game/pokemon-noble-victories/booster-pack" TargetMode="External" Id="rId3482" /><Relationship Type="http://schemas.openxmlformats.org/officeDocument/2006/relationships/hyperlink" Target="https://www.tcgplayer.com/product/98570" TargetMode="External" Id="rId3483" /><Relationship Type="http://schemas.openxmlformats.org/officeDocument/2006/relationships/hyperlink" Target="https://www.pricecharting.com/game/pokemon-obsidian-flames/houndstone-3-pack-blister" TargetMode="External" Id="rId3484" /><Relationship Type="http://schemas.openxmlformats.org/officeDocument/2006/relationships/hyperlink" Target="https://www.pricecharting.com/game/pokemon-obsidian-flames/pawmi-checklane-blister-pack" TargetMode="External" Id="rId3485" /><Relationship Type="http://schemas.openxmlformats.org/officeDocument/2006/relationships/hyperlink" Target="https://www.pricecharting.com/game/pokemon-obsidian-flames/wooper-checklane-blister-pack" TargetMode="External" Id="rId3486" /><Relationship Type="http://schemas.openxmlformats.org/officeDocument/2006/relationships/hyperlink" Target="https://www.pricecharting.com/game/pokemon-paldea-evolved/checklane-blister-3-pack" TargetMode="External" Id="rId3487" /><Relationship Type="http://schemas.openxmlformats.org/officeDocument/2006/relationships/hyperlink" Target="https://www.pricecharting.com/game/pokemon-paldea-evolved/growlithe-checklane-blister-pack" TargetMode="External" Id="rId3488" /><Relationship Type="http://schemas.openxmlformats.org/officeDocument/2006/relationships/hyperlink" Target="https://www.pricecharting.com/game/pokemon-paldea-evolved/sealed-staff-pack" TargetMode="External" Id="rId3489" /><Relationship Type="http://schemas.openxmlformats.org/officeDocument/2006/relationships/hyperlink" Target="https://www.pricecharting.com/game/pokemon-paldea-evolved/smoliv-checklane-blister-pack" TargetMode="External" Id="rId3490" /><Relationship Type="http://schemas.openxmlformats.org/officeDocument/2006/relationships/hyperlink" Target="https://www.pricecharting.com/game/pokemon-paradox-rift/3-pack-blister" TargetMode="External" Id="rId3491" /><Relationship Type="http://schemas.openxmlformats.org/officeDocument/2006/relationships/hyperlink" Target="https://www.pricecharting.com/game/pokemon-paradox-rift/blister-pack-pineco" TargetMode="External" Id="rId3492" /><Relationship Type="http://schemas.openxmlformats.org/officeDocument/2006/relationships/hyperlink" Target="https://www.pricecharting.com/game/pokemon-paradox-rift/blister-pack-sinistea" TargetMode="External" Id="rId3493" /><Relationship Type="http://schemas.openxmlformats.org/officeDocument/2006/relationships/hyperlink" Target="https://www.pricecharting.com/game/pokemon-perfect-order/3-pack-blister-chikorita" TargetMode="External" Id="rId3494" /><Relationship Type="http://schemas.openxmlformats.org/officeDocument/2006/relationships/hyperlink" Target="https://www.pricecharting.com/game/pokemon-perfect-order/booster-pack" TargetMode="External" Id="rId3495" /><Relationship Type="http://schemas.openxmlformats.org/officeDocument/2006/relationships/hyperlink" Target="https://www.pricecharting.com/game/pokemon-perfect-order/premium-checklane-blister-cinderace" TargetMode="External" Id="rId3496" /><Relationship Type="http://schemas.openxmlformats.org/officeDocument/2006/relationships/hyperlink" Target="https://www.pricecharting.com/game/pokemon-perfect-order/premium-checklane-blister-clawitzer" TargetMode="External" Id="rId3497" /><Relationship Type="http://schemas.openxmlformats.org/officeDocument/2006/relationships/hyperlink" Target="https://www.pricecharting.com/game/pokemon-perfect-order/premium-checklane-blister-meganium" TargetMode="External" Id="rId3498" /><Relationship Type="http://schemas.openxmlformats.org/officeDocument/2006/relationships/hyperlink" Target="https://www.pricecharting.com/game/pokemon-perfect-order/premium-checklane-blister-steelix" TargetMode="External" Id="rId3499" /><Relationship Type="http://schemas.openxmlformats.org/officeDocument/2006/relationships/hyperlink" Target="https://www.pricecharting.com/game/pokemon-perfect-order/single-pack-blister-makuhita" TargetMode="External" Id="rId3500" /><Relationship Type="http://schemas.openxmlformats.org/officeDocument/2006/relationships/hyperlink" Target="https://www.pricecharting.com/game/pokemon-perfect-order/sleeved-booster-pack" TargetMode="External" Id="rId3501" /><Relationship Type="http://schemas.openxmlformats.org/officeDocument/2006/relationships/hyperlink" Target="https://www.pricecharting.com/game/pokemon-phantasmal-flames/3-pack-blister-sneasel" TargetMode="External" Id="rId3502" /><Relationship Type="http://schemas.openxmlformats.org/officeDocument/2006/relationships/hyperlink" Target="https://www.pricecharting.com/game/pokemon-phantasmal-flames/3-pack-blister-weavile" TargetMode="External" Id="rId3503" /><Relationship Type="http://schemas.openxmlformats.org/officeDocument/2006/relationships/hyperlink" Target="https://www.pricecharting.com/game/pokemon-phantasmal-flames/booster-pack" TargetMode="External" Id="rId3504" /><Relationship Type="http://schemas.openxmlformats.org/officeDocument/2006/relationships/hyperlink" Target="https://www.pricecharting.com/game/pokemon-phantasmal-flames/enhanced-2-pack-blister" TargetMode="External" Id="rId3505" /><Relationship Type="http://schemas.openxmlformats.org/officeDocument/2006/relationships/hyperlink" Target="https://www.pricecharting.com/game/pokemon-phantasmal-flames/premium-checklane-blister-arven's-greedent" TargetMode="External" Id="rId3506" /><Relationship Type="http://schemas.openxmlformats.org/officeDocument/2006/relationships/hyperlink" Target="https://www.pricecharting.com/game/pokemon-phantasmal-flames/premium-checklane-blister-blaziken" TargetMode="External" Id="rId3507" /><Relationship Type="http://schemas.openxmlformats.org/officeDocument/2006/relationships/hyperlink" Target="https://www.pricecharting.com/game/pokemon-phantasmal-flames/premium-checklane-blister-ethan's-magcargo" TargetMode="External" Id="rId3508" /><Relationship Type="http://schemas.openxmlformats.org/officeDocument/2006/relationships/hyperlink" Target="https://www.pricecharting.com/game/pokemon-phantasmal-flames/premium-checklane-blister-hydrapple" TargetMode="External" Id="rId3509" /><Relationship Type="http://schemas.openxmlformats.org/officeDocument/2006/relationships/hyperlink" Target="https://www.pricecharting.com/game/pokemon-phantasmal-flames/single-pack-blister-cottonee" TargetMode="External" Id="rId3510" /><Relationship Type="http://schemas.openxmlformats.org/officeDocument/2006/relationships/hyperlink" Target="https://www.pricecharting.com/game/pokemon-phantasmal-flames/single-pack-blister-whimsicott" TargetMode="External" Id="rId3511" /><Relationship Type="http://schemas.openxmlformats.org/officeDocument/2006/relationships/hyperlink" Target="https://www.pricecharting.com/game/pokemon-phantasmal-flames/sleeved-booster-pack" TargetMode="External" Id="rId3512" /><Relationship Type="http://schemas.openxmlformats.org/officeDocument/2006/relationships/hyperlink" Target="https://www.pricecharting.com/game/pokemon-phantom-forces/blister-pack" TargetMode="External" Id="rId3513" /><Relationship Type="http://schemas.openxmlformats.org/officeDocument/2006/relationships/hyperlink" Target="https://www.pricecharting.com/game/pokemon-phantom-forces/booster-pack" TargetMode="External" Id="rId3514" /><Relationship Type="http://schemas.openxmlformats.org/officeDocument/2006/relationships/hyperlink" Target="https://www.pricecharting.com/game/pokemon-pitch-black/booster-pack" TargetMode="External" Id="rId3515" /><Relationship Type="http://schemas.openxmlformats.org/officeDocument/2006/relationships/hyperlink" Target="https://www.pricecharting.com/game/pokemon-pitch-black/premium-checklane-blister-aurorus" TargetMode="External" Id="rId3516" /><Relationship Type="http://schemas.openxmlformats.org/officeDocument/2006/relationships/hyperlink" Target="https://www.pricecharting.com/game/pokemon-pitch-black/premium-checklane-blister-gengar" TargetMode="External" Id="rId3517" /><Relationship Type="http://schemas.openxmlformats.org/officeDocument/2006/relationships/hyperlink" Target="https://www.pricecharting.com/game/pokemon-pitch-black/premium-checklane-blister-luxray" TargetMode="External" Id="rId3518" /><Relationship Type="http://schemas.openxmlformats.org/officeDocument/2006/relationships/hyperlink" Target="https://www.pricecharting.com/game/pokemon-pitch-black/premium-checklane-blister-tyrantrum" TargetMode="External" Id="rId3519" /><Relationship Type="http://schemas.openxmlformats.org/officeDocument/2006/relationships/hyperlink" Target="https://www.pricecharting.com/game/pokemon-pitch-black/single-pack-blister" TargetMode="External" Id="rId3520" /><Relationship Type="http://schemas.openxmlformats.org/officeDocument/2006/relationships/hyperlink" Target="https://www.pricecharting.com/game/pokemon-pitch-black/sleeved-booster-pack" TargetMode="External" Id="rId3521" /><Relationship Type="http://schemas.openxmlformats.org/officeDocument/2006/relationships/hyperlink" Target="https://www.pricecharting.com/game/pokemon-plasma-blast/booster-pack" TargetMode="External" Id="rId3522" /><Relationship Type="http://schemas.openxmlformats.org/officeDocument/2006/relationships/hyperlink" Target="https://www.tcgplayer.com/product/98573" TargetMode="External" Id="rId3523" /><Relationship Type="http://schemas.openxmlformats.org/officeDocument/2006/relationships/hyperlink" Target="https://www.pricecharting.com/game/pokemon-plasma-freeze/booster-pack" TargetMode="External" Id="rId3524" /><Relationship Type="http://schemas.openxmlformats.org/officeDocument/2006/relationships/hyperlink" Target="https://www.tcgplayer.com/product/98517" TargetMode="External" Id="rId3525" /><Relationship Type="http://schemas.openxmlformats.org/officeDocument/2006/relationships/hyperlink" Target="https://www.pricecharting.com/game/pokemon-plasma-storm/booster-pack" TargetMode="External" Id="rId3526" /><Relationship Type="http://schemas.openxmlformats.org/officeDocument/2006/relationships/hyperlink" Target="https://www.tcgplayer.com/product/98526" TargetMode="External" Id="rId3527" /><Relationship Type="http://schemas.openxmlformats.org/officeDocument/2006/relationships/hyperlink" Target="https://www.pricecharting.com/game/pokemon-platinum/blister-pack" TargetMode="External" Id="rId3528" /><Relationship Type="http://schemas.openxmlformats.org/officeDocument/2006/relationships/hyperlink" Target="https://www.pricecharting.com/game/pokemon-platinum/booster-pack" TargetMode="External" Id="rId3529" /><Relationship Type="http://schemas.openxmlformats.org/officeDocument/2006/relationships/hyperlink" Target="https://www.tcgplayer.com/product/98591" TargetMode="External" Id="rId3530" /><Relationship Type="http://schemas.openxmlformats.org/officeDocument/2006/relationships/hyperlink" Target="https://www.pricecharting.com/game/pokemon-platinum/heatran-checklane-blister-pack" TargetMode="External" Id="rId3531" /><Relationship Type="http://schemas.openxmlformats.org/officeDocument/2006/relationships/hyperlink" Target="https://www.tcgplayer.com/product/274421" TargetMode="External" Id="rId3532" /><Relationship Type="http://schemas.openxmlformats.org/officeDocument/2006/relationships/hyperlink" Target="https://www.tcgplayer.com/product/677751" TargetMode="External" Id="rId3533" /><Relationship Type="http://schemas.openxmlformats.org/officeDocument/2006/relationships/hyperlink" Target="https://www.pricecharting.com/game/pokemon-pop-series-1/booster-pack" TargetMode="External" Id="rId3534" /><Relationship Type="http://schemas.openxmlformats.org/officeDocument/2006/relationships/hyperlink" Target="https://www.tcgplayer.com/product/141227" TargetMode="External" Id="rId3535" /><Relationship Type="http://schemas.openxmlformats.org/officeDocument/2006/relationships/hyperlink" Target="https://www.pricecharting.com/game/pokemon-pop-series-2/booster-pack" TargetMode="External" Id="rId3536" /><Relationship Type="http://schemas.openxmlformats.org/officeDocument/2006/relationships/hyperlink" Target="https://www.tcgplayer.com/product/141228" TargetMode="External" Id="rId3537" /><Relationship Type="http://schemas.openxmlformats.org/officeDocument/2006/relationships/hyperlink" Target="https://www.pricecharting.com/game/pokemon-pop-series-3/booster-pack" TargetMode="External" Id="rId3538" /><Relationship Type="http://schemas.openxmlformats.org/officeDocument/2006/relationships/hyperlink" Target="https://www.tcgplayer.com/product/190532" TargetMode="External" Id="rId3539" /><Relationship Type="http://schemas.openxmlformats.org/officeDocument/2006/relationships/hyperlink" Target="https://www.pricecharting.com/game/pokemon-pop-series-4/booster-pack" TargetMode="External" Id="rId3540" /><Relationship Type="http://schemas.openxmlformats.org/officeDocument/2006/relationships/hyperlink" Target="https://www.tcgplayer.com/product/190533" TargetMode="External" Id="rId3541" /><Relationship Type="http://schemas.openxmlformats.org/officeDocument/2006/relationships/hyperlink" Target="https://www.pricecharting.com/game/pokemon-pop-series-5/booster-pack" TargetMode="External" Id="rId3542" /><Relationship Type="http://schemas.openxmlformats.org/officeDocument/2006/relationships/hyperlink" Target="https://www.tcgplayer.com/product/190534" TargetMode="External" Id="rId3543" /><Relationship Type="http://schemas.openxmlformats.org/officeDocument/2006/relationships/hyperlink" Target="https://www.tcgplayer.com/product/141229" TargetMode="External" Id="rId3544" /><Relationship Type="http://schemas.openxmlformats.org/officeDocument/2006/relationships/hyperlink" Target="https://www.tcgplayer.com/product/190535" TargetMode="External" Id="rId3545" /><Relationship Type="http://schemas.openxmlformats.org/officeDocument/2006/relationships/hyperlink" Target="https://www.tcgplayer.com/product/190536" TargetMode="External" Id="rId3546" /><Relationship Type="http://schemas.openxmlformats.org/officeDocument/2006/relationships/hyperlink" Target="https://www.tcgplayer.com/product/190537" TargetMode="External" Id="rId3547" /><Relationship Type="http://schemas.openxmlformats.org/officeDocument/2006/relationships/hyperlink" Target="https://www.pricecharting.com/game/pokemon-power-keepers/blister-pack" TargetMode="External" Id="rId3548" /><Relationship Type="http://schemas.openxmlformats.org/officeDocument/2006/relationships/hyperlink" Target="https://www.pricecharting.com/game/pokemon-primal-clash/blister-pack" TargetMode="External" Id="rId3549" /><Relationship Type="http://schemas.openxmlformats.org/officeDocument/2006/relationships/hyperlink" Target="https://www.pricecharting.com/game/pokemon-primal-clash/booster-pack" TargetMode="External" Id="rId3550" /><Relationship Type="http://schemas.openxmlformats.org/officeDocument/2006/relationships/hyperlink" Target="https://www.pricecharting.com/game/pokemon-primal-clash/sleeved-booster-pack" TargetMode="External" Id="rId3551" /><Relationship Type="http://schemas.openxmlformats.org/officeDocument/2006/relationships/hyperlink" Target="https://www.pricecharting.com/game/pokemon-prismatic-evolutions/2-pack-blister" TargetMode="External" Id="rId3552" /><Relationship Type="http://schemas.openxmlformats.org/officeDocument/2006/relationships/hyperlink" Target="https://www.tcgplayer.com/product/670914" TargetMode="External" Id="rId3553" /><Relationship Type="http://schemas.openxmlformats.org/officeDocument/2006/relationships/hyperlink" Target="https://www.tcgplayer.com/product/577596" TargetMode="External" Id="rId3554" /><Relationship Type="http://schemas.openxmlformats.org/officeDocument/2006/relationships/hyperlink" Target="https://www.tcgplayer.com/product/551628" TargetMode="External" Id="rId3555" /><Relationship Type="http://schemas.openxmlformats.org/officeDocument/2006/relationships/hyperlink" Target="https://www.tcgplayer.com/product/704373" TargetMode="External" Id="rId3556" /><Relationship Type="http://schemas.openxmlformats.org/officeDocument/2006/relationships/hyperlink" Target="https://www.tcgplayer.com/product/482138" TargetMode="External" Id="rId3557" /><Relationship Type="http://schemas.openxmlformats.org/officeDocument/2006/relationships/hyperlink" Target="https://www.tcgplayer.com/product/649191" TargetMode="External" Id="rId3558" /><Relationship Type="http://schemas.openxmlformats.org/officeDocument/2006/relationships/hyperlink" Target="https://www.tcgplayer.com/product/639713" TargetMode="External" Id="rId3559" /><Relationship Type="http://schemas.openxmlformats.org/officeDocument/2006/relationships/hyperlink" Target="https://www.tcgplayer.com/product/517551" TargetMode="External" Id="rId3560" /><Relationship Type="http://schemas.openxmlformats.org/officeDocument/2006/relationships/hyperlink" Target="https://www.tcgplayer.com/product/488324" TargetMode="External" Id="rId3561" /><Relationship Type="http://schemas.openxmlformats.org/officeDocument/2006/relationships/hyperlink" Target="https://www.pricecharting.com/game/pokemon-promo/2-pack-blister-tornadus-thundurus-&amp;-landorus" TargetMode="External" Id="rId3562" /><Relationship Type="http://schemas.openxmlformats.org/officeDocument/2006/relationships/hyperlink" Target="https://www.pricecharting.com/game/pokemon-promo/back-to-school-eraser-blister-bellibolt" TargetMode="External" Id="rId3563" /><Relationship Type="http://schemas.openxmlformats.org/officeDocument/2006/relationships/hyperlink" Target="https://www.pricecharting.com/game/pokemon-promo/back-to-school-eraser-blister-gengar" TargetMode="External" Id="rId3564" /><Relationship Type="http://schemas.openxmlformats.org/officeDocument/2006/relationships/hyperlink" Target="https://www.pricecharting.com/game/pokemon-promo/checklane-2-mini-pack-blister-dragonite" TargetMode="External" Id="rId3565" /><Relationship Type="http://schemas.openxmlformats.org/officeDocument/2006/relationships/hyperlink" Target="https://www.pricecharting.com/game/pokemon-promo/checklane-2-mini-pack-blister-machamp" TargetMode="External" Id="rId3566" /><Relationship Type="http://schemas.openxmlformats.org/officeDocument/2006/relationships/hyperlink" Target="https://www.pricecharting.com/game/pokemon-promo/checklane-blister-2-pack-pawmot" TargetMode="External" Id="rId3567" /><Relationship Type="http://schemas.openxmlformats.org/officeDocument/2006/relationships/hyperlink" Target="https://www.pricecharting.com/game/pokemon-promo/first-partner-illustration-pack-series-1" TargetMode="External" Id="rId3568" /><Relationship Type="http://schemas.openxmlformats.org/officeDocument/2006/relationships/hyperlink" Target="https://www.pricecharting.com/game/pokemon-promo/legendary-beasts-collector-pin-3-pack-blister-entei" TargetMode="External" Id="rId3569" /><Relationship Type="http://schemas.openxmlformats.org/officeDocument/2006/relationships/hyperlink" Target="https://www.pricecharting.com/game/pokemon-promo/legendary-beasts-collector-pin-3-pack-blister-raikou" TargetMode="External" Id="rId3570" /><Relationship Type="http://schemas.openxmlformats.org/officeDocument/2006/relationships/hyperlink" Target="https://www.pricecharting.com/game/pokemon-promo/legendary-beasts-collector-pin-3-pack-blister-suicune" TargetMode="External" Id="rId3571" /><Relationship Type="http://schemas.openxmlformats.org/officeDocument/2006/relationships/hyperlink" Target="https://www.pricecharting.com/game/pokemon-promo/palafin-garganacl-&amp;-baxcalibur-blister-pack" TargetMode="External" Id="rId3572" /><Relationship Type="http://schemas.openxmlformats.org/officeDocument/2006/relationships/hyperlink" Target="https://www.pricecharting.com/game/pokemon-promo/play-prize-pack-series-1" TargetMode="External" Id="rId3573" /><Relationship Type="http://schemas.openxmlformats.org/officeDocument/2006/relationships/hyperlink" Target="https://www.pricecharting.com/game/pokemon-promo/play-prize-pack-series-2" TargetMode="External" Id="rId3574" /><Relationship Type="http://schemas.openxmlformats.org/officeDocument/2006/relationships/hyperlink" Target="https://www.pricecharting.com/game/pokemon-promo/play-prize-pack-series-3" TargetMode="External" Id="rId3575" /><Relationship Type="http://schemas.openxmlformats.org/officeDocument/2006/relationships/hyperlink" Target="https://www.pricecharting.com/game/pokemon-promo/play-prize-pack-series-7" TargetMode="External" Id="rId3576" /><Relationship Type="http://schemas.openxmlformats.org/officeDocument/2006/relationships/hyperlink" Target="https://www.pricecharting.com/game/pokemon-promo/play-prize-pack-series-9" TargetMode="External" Id="rId3577" /><Relationship Type="http://schemas.openxmlformats.org/officeDocument/2006/relationships/hyperlink" Target="https://www.pricecharting.com/game/pokemon-rising-rivals/blister-pack" TargetMode="External" Id="rId3578" /><Relationship Type="http://schemas.openxmlformats.org/officeDocument/2006/relationships/hyperlink" Target="https://www.pricecharting.com/game/pokemon-rising-rivals/booster-pack" TargetMode="External" Id="rId3579" /><Relationship Type="http://schemas.openxmlformats.org/officeDocument/2006/relationships/hyperlink" Target="https://www.tcgplayer.com/product/98542" TargetMode="External" Id="rId3580" /><Relationship Type="http://schemas.openxmlformats.org/officeDocument/2006/relationships/hyperlink" Target="https://www.pricecharting.com/game/pokemon-roaring-skies/blister-pack" TargetMode="External" Id="rId3581" /><Relationship Type="http://schemas.openxmlformats.org/officeDocument/2006/relationships/hyperlink" Target="https://www.tcgplayer.com/product/575041" TargetMode="External" Id="rId3582" /><Relationship Type="http://schemas.openxmlformats.org/officeDocument/2006/relationships/hyperlink" Target="https://www.tcgplayer.com/product/575039" TargetMode="External" Id="rId3583" /><Relationship Type="http://schemas.openxmlformats.org/officeDocument/2006/relationships/hyperlink" Target="https://www.tcgplayer.com/product/571833" TargetMode="External" Id="rId3584" /><Relationship Type="http://schemas.openxmlformats.org/officeDocument/2006/relationships/hyperlink" Target="https://www.tcgplayer.com/product/575035" TargetMode="External" Id="rId3585" /><Relationship Type="http://schemas.openxmlformats.org/officeDocument/2006/relationships/hyperlink" Target="https://www.tcgplayer.com/product/574878" TargetMode="External" Id="rId3586" /><Relationship Type="http://schemas.openxmlformats.org/officeDocument/2006/relationships/hyperlink" Target="https://www.tcgplayer.com/product/574875" TargetMode="External" Id="rId3587" /><Relationship Type="http://schemas.openxmlformats.org/officeDocument/2006/relationships/hyperlink" Target="https://www.tcgplayer.com/product/565251" TargetMode="External" Id="rId3588" /><Relationship Type="http://schemas.openxmlformats.org/officeDocument/2006/relationships/hyperlink" Target="https://www.tcgplayer.com/product/565253" TargetMode="External" Id="rId3589" /><Relationship Type="http://schemas.openxmlformats.org/officeDocument/2006/relationships/hyperlink" Target="https://www.tcgplayer.com/product/574872" TargetMode="External" Id="rId3590" /><Relationship Type="http://schemas.openxmlformats.org/officeDocument/2006/relationships/hyperlink" Target="https://www.tcgplayer.com/product/574870" TargetMode="External" Id="rId3591" /><Relationship Type="http://schemas.openxmlformats.org/officeDocument/2006/relationships/hyperlink" Target="https://www.tcgplayer.com/product/574619" TargetMode="External" Id="rId3592" /><Relationship Type="http://schemas.openxmlformats.org/officeDocument/2006/relationships/hyperlink" Target="https://www.tcgplayer.com/product/574176" TargetMode="External" Id="rId3593" /><Relationship Type="http://schemas.openxmlformats.org/officeDocument/2006/relationships/hyperlink" Target="https://www.tcgplayer.com/product/571839" TargetMode="External" Id="rId3594" /><Relationship Type="http://schemas.openxmlformats.org/officeDocument/2006/relationships/hyperlink" Target="https://www.tcgplayer.com/product/571837" TargetMode="External" Id="rId3595" /><Relationship Type="http://schemas.openxmlformats.org/officeDocument/2006/relationships/hyperlink" Target="https://www.tcgplayer.com/product/571834" TargetMode="External" Id="rId3596" /><Relationship Type="http://schemas.openxmlformats.org/officeDocument/2006/relationships/hyperlink" Target="https://www.tcgplayer.com/product/565374" TargetMode="External" Id="rId3597" /><Relationship Type="http://schemas.openxmlformats.org/officeDocument/2006/relationships/hyperlink" Target="https://www.tcgplayer.com/product/565366" TargetMode="External" Id="rId3598" /><Relationship Type="http://schemas.openxmlformats.org/officeDocument/2006/relationships/hyperlink" Target="https://www.tcgplayer.com/product/565363" TargetMode="External" Id="rId3599" /><Relationship Type="http://schemas.openxmlformats.org/officeDocument/2006/relationships/hyperlink" Target="https://www.tcgplayer.com/product/565360" TargetMode="External" Id="rId3600" /><Relationship Type="http://schemas.openxmlformats.org/officeDocument/2006/relationships/hyperlink" Target="https://www.tcgplayer.com/product/565359" TargetMode="External" Id="rId3601" /><Relationship Type="http://schemas.openxmlformats.org/officeDocument/2006/relationships/hyperlink" Target="https://www.tcgplayer.com/product/565350" TargetMode="External" Id="rId3602" /><Relationship Type="http://schemas.openxmlformats.org/officeDocument/2006/relationships/hyperlink" Target="https://www.tcgplayer.com/product/565349" TargetMode="External" Id="rId3603" /><Relationship Type="http://schemas.openxmlformats.org/officeDocument/2006/relationships/hyperlink" Target="https://www.tcgplayer.com/product/565346" TargetMode="External" Id="rId3604" /><Relationship Type="http://schemas.openxmlformats.org/officeDocument/2006/relationships/hyperlink" Target="https://www.tcgplayer.com/product/565345" TargetMode="External" Id="rId3605" /><Relationship Type="http://schemas.openxmlformats.org/officeDocument/2006/relationships/hyperlink" Target="https://www.tcgplayer.com/product/565342" TargetMode="External" Id="rId3606" /><Relationship Type="http://schemas.openxmlformats.org/officeDocument/2006/relationships/hyperlink" Target="https://www.tcgplayer.com/product/565263" TargetMode="External" Id="rId3607" /><Relationship Type="http://schemas.openxmlformats.org/officeDocument/2006/relationships/hyperlink" Target="https://www.tcgplayer.com/product/565258" TargetMode="External" Id="rId3608" /><Relationship Type="http://schemas.openxmlformats.org/officeDocument/2006/relationships/hyperlink" Target="https://www.tcgplayer.com/product/565257" TargetMode="External" Id="rId3609" /><Relationship Type="http://schemas.openxmlformats.org/officeDocument/2006/relationships/hyperlink" Target="https://www.tcgplayer.com/product/565254" TargetMode="External" Id="rId3610" /><Relationship Type="http://schemas.openxmlformats.org/officeDocument/2006/relationships/hyperlink" Target="https://www.pricecharting.com/game/pokemon-sandstorm/blister-pack" TargetMode="External" Id="rId3611" /><Relationship Type="http://schemas.openxmlformats.org/officeDocument/2006/relationships/hyperlink" Target="https://www.pricecharting.com/game/pokemon-secret-wonders/blister-pack" TargetMode="External" Id="rId3612" /><Relationship Type="http://schemas.openxmlformats.org/officeDocument/2006/relationships/hyperlink" Target="https://www.pricecharting.com/game/pokemon-secret-wonders/booster-pack" TargetMode="External" Id="rId3613" /><Relationship Type="http://schemas.openxmlformats.org/officeDocument/2006/relationships/hyperlink" Target="https://www.tcgplayer.com/product/98569" TargetMode="External" Id="rId3614" /><Relationship Type="http://schemas.openxmlformats.org/officeDocument/2006/relationships/hyperlink" Target="https://www.pricecharting.com/game/pokemon-shining-fates/booster-pack" TargetMode="External" Id="rId3615" /><Relationship Type="http://schemas.openxmlformats.org/officeDocument/2006/relationships/hyperlink" Target="https://www.tcgplayer.com/product/232636" TargetMode="External" Id="rId3616" /><Relationship Type="http://schemas.openxmlformats.org/officeDocument/2006/relationships/hyperlink" Target="https://www.pricecharting.com/game/pokemon-shining-legends/booster-pack" TargetMode="External" Id="rId3617" /><Relationship Type="http://schemas.openxmlformats.org/officeDocument/2006/relationships/hyperlink" Target="https://www.tcgplayer.com/product/155880" TargetMode="External" Id="rId3618" /><Relationship Type="http://schemas.openxmlformats.org/officeDocument/2006/relationships/hyperlink" Target="https://www.pricecharting.com/game/pokemon-shrouded-fable/3-pack-blister" TargetMode="External" Id="rId3619" /><Relationship Type="http://schemas.openxmlformats.org/officeDocument/2006/relationships/hyperlink" Target="https://www.pricecharting.com/game/pokemon-silver-tempest/basculin-checklane-blister" TargetMode="External" Id="rId3620" /><Relationship Type="http://schemas.openxmlformats.org/officeDocument/2006/relationships/hyperlink" Target="https://www.pricecharting.com/game/pokemon-silver-tempest/cranidos-checklane-blister" TargetMode="External" Id="rId3621" /><Relationship Type="http://schemas.openxmlformats.org/officeDocument/2006/relationships/hyperlink" Target="https://www.pricecharting.com/game/pokemon-skyridge/blister-pack" TargetMode="External" Id="rId3622" /><Relationship Type="http://schemas.openxmlformats.org/officeDocument/2006/relationships/hyperlink" Target="https://www.pricecharting.com/game/pokemon-skyridge/booster-pack" TargetMode="External" Id="rId3623" /><Relationship Type="http://schemas.openxmlformats.org/officeDocument/2006/relationships/hyperlink" Target="https://www.tcgplayer.com/product/138153" TargetMode="External" Id="rId3624" /><Relationship Type="http://schemas.openxmlformats.org/officeDocument/2006/relationships/hyperlink" Target="https://www.tcgplayer.com/product/136600" TargetMode="External" Id="rId3625" /><Relationship Type="http://schemas.openxmlformats.org/officeDocument/2006/relationships/hyperlink" Target="https://www.pricecharting.com/game/pokemon-burning-shadows/booster-pack" TargetMode="External" Id="rId3626" /><Relationship Type="http://schemas.openxmlformats.org/officeDocument/2006/relationships/hyperlink" Target="https://www.tcgplayer.com/product/133774" TargetMode="External" Id="rId3627" /><Relationship Type="http://schemas.openxmlformats.org/officeDocument/2006/relationships/hyperlink" Target="https://www.tcgplayer.com/product/136597" TargetMode="External" Id="rId3628" /><Relationship Type="http://schemas.openxmlformats.org/officeDocument/2006/relationships/hyperlink" Target="https://www.tcgplayer.com/product/136598" TargetMode="External" Id="rId3629" /><Relationship Type="http://schemas.openxmlformats.org/officeDocument/2006/relationships/hyperlink" Target="https://www.pricecharting.com/game/pokemon-burning-shadows/sleeved-booster-pack" TargetMode="External" Id="rId3630" /><Relationship Type="http://schemas.openxmlformats.org/officeDocument/2006/relationships/hyperlink" Target="https://www.tcgplayer.com/product/550677" TargetMode="External" Id="rId3631" /><Relationship Type="http://schemas.openxmlformats.org/officeDocument/2006/relationships/hyperlink" Target="https://www.tcgplayer.com/product/170276" TargetMode="External" Id="rId3632" /><Relationship Type="http://schemas.openxmlformats.org/officeDocument/2006/relationships/hyperlink" Target="https://www.pricecharting.com/game/pokemon-celestial-storm/booster-pack" TargetMode="External" Id="rId3633" /><Relationship Type="http://schemas.openxmlformats.org/officeDocument/2006/relationships/hyperlink" Target="https://www.tcgplayer.com/product/170274" TargetMode="External" Id="rId3634" /><Relationship Type="http://schemas.openxmlformats.org/officeDocument/2006/relationships/hyperlink" Target="https://www.tcgplayer.com/product/177898" TargetMode="External" Id="rId3635" /><Relationship Type="http://schemas.openxmlformats.org/officeDocument/2006/relationships/hyperlink" Target="https://www.tcgplayer.com/product/177899" TargetMode="External" Id="rId3636" /><Relationship Type="http://schemas.openxmlformats.org/officeDocument/2006/relationships/hyperlink" Target="https://www.pricecharting.com/game/pokemon-cosmic-eclipse/booster-pack" TargetMode="External" Id="rId3637" /><Relationship Type="http://schemas.openxmlformats.org/officeDocument/2006/relationships/hyperlink" Target="https://www.tcgplayer.com/product/199263" TargetMode="External" Id="rId3638" /><Relationship Type="http://schemas.openxmlformats.org/officeDocument/2006/relationships/hyperlink" Target="https://www.tcgplayer.com/product/199768" TargetMode="External" Id="rId3639" /><Relationship Type="http://schemas.openxmlformats.org/officeDocument/2006/relationships/hyperlink" Target="https://www.tcgplayer.com/product/199769" TargetMode="External" Id="rId3640" /><Relationship Type="http://schemas.openxmlformats.org/officeDocument/2006/relationships/hyperlink" Target="https://www.tcgplayer.com/product/546609" TargetMode="External" Id="rId3641" /><Relationship Type="http://schemas.openxmlformats.org/officeDocument/2006/relationships/hyperlink" Target="https://www.tcgplayer.com/product/177872" TargetMode="External" Id="rId3642" /><Relationship Type="http://schemas.openxmlformats.org/officeDocument/2006/relationships/hyperlink" Target="https://www.tcgplayer.com/product/177873" TargetMode="External" Id="rId3643" /><Relationship Type="http://schemas.openxmlformats.org/officeDocument/2006/relationships/hyperlink" Target="https://www.pricecharting.com/game/pokemon-crimson-invasion/booster-pack" TargetMode="External" Id="rId3644" /><Relationship Type="http://schemas.openxmlformats.org/officeDocument/2006/relationships/hyperlink" Target="https://www.tcgplayer.com/product/146996" TargetMode="External" Id="rId3645" /><Relationship Type="http://schemas.openxmlformats.org/officeDocument/2006/relationships/hyperlink" Target="https://www.tcgplayer.com/product/177875" TargetMode="External" Id="rId3646" /><Relationship Type="http://schemas.openxmlformats.org/officeDocument/2006/relationships/hyperlink" Target="https://www.tcgplayer.com/product/164299" TargetMode="External" Id="rId3647" /><Relationship Type="http://schemas.openxmlformats.org/officeDocument/2006/relationships/hyperlink" Target="https://www.pricecharting.com/game/pokemon-forbidden-light/booster-pack" TargetMode="External" Id="rId3648" /><Relationship Type="http://schemas.openxmlformats.org/officeDocument/2006/relationships/hyperlink" Target="https://www.tcgplayer.com/product/164297" TargetMode="External" Id="rId3649" /><Relationship Type="http://schemas.openxmlformats.org/officeDocument/2006/relationships/hyperlink" Target="https://www.tcgplayer.com/product/164302" TargetMode="External" Id="rId3650" /><Relationship Type="http://schemas.openxmlformats.org/officeDocument/2006/relationships/hyperlink" Target="https://www.tcgplayer.com/product/184339" TargetMode="External" Id="rId3651" /><Relationship Type="http://schemas.openxmlformats.org/officeDocument/2006/relationships/hyperlink" Target="https://www.pricecharting.com/game/pokemon-guardians-rising/booster-pack" TargetMode="External" Id="rId3652" /><Relationship Type="http://schemas.openxmlformats.org/officeDocument/2006/relationships/hyperlink" Target="https://www.tcgplayer.com/product/129889" TargetMode="External" Id="rId3653" /><Relationship Type="http://schemas.openxmlformats.org/officeDocument/2006/relationships/hyperlink" Target="https://www.tcgplayer.com/product/242964" TargetMode="External" Id="rId3654" /><Relationship Type="http://schemas.openxmlformats.org/officeDocument/2006/relationships/hyperlink" Target="https://www.tcgplayer.com/product/184341" TargetMode="External" Id="rId3655" /><Relationship Type="http://schemas.openxmlformats.org/officeDocument/2006/relationships/hyperlink" Target="https://www.pricecharting.com/game/pokemon-guardians-rising/sleeved-booster-pack" TargetMode="External" Id="rId3656" /><Relationship Type="http://schemas.openxmlformats.org/officeDocument/2006/relationships/hyperlink" Target="https://www.tcgplayer.com/product/616825" TargetMode="External" Id="rId3657" /><Relationship Type="http://schemas.openxmlformats.org/officeDocument/2006/relationships/hyperlink" Target="https://www.tcgplayer.com/product/177904" TargetMode="External" Id="rId3658" /><Relationship Type="http://schemas.openxmlformats.org/officeDocument/2006/relationships/hyperlink" Target="https://www.pricecharting.com/game/pokemon-lost-thunder/booster-pack" TargetMode="External" Id="rId3659" /><Relationship Type="http://schemas.openxmlformats.org/officeDocument/2006/relationships/hyperlink" Target="https://www.tcgplayer.com/product/175510" TargetMode="External" Id="rId3660" /><Relationship Type="http://schemas.openxmlformats.org/officeDocument/2006/relationships/hyperlink" Target="https://www.tcgplayer.com/product/177907" TargetMode="External" Id="rId3661" /><Relationship Type="http://schemas.openxmlformats.org/officeDocument/2006/relationships/hyperlink" Target="https://www.tcgplayer.com/product/177906" TargetMode="External" Id="rId3662" /><Relationship Type="http://schemas.openxmlformats.org/officeDocument/2006/relationships/hyperlink" Target="https://www.pricecharting.com/game/pokemon-team-up/mini-booster-pack" TargetMode="External" Id="rId3663" /><Relationship Type="http://schemas.openxmlformats.org/officeDocument/2006/relationships/hyperlink" Target="https://www.tcgplayer.com/product/690691" TargetMode="External" Id="rId3664" /><Relationship Type="http://schemas.openxmlformats.org/officeDocument/2006/relationships/hyperlink" Target="https://www.pricecharting.com/game/pokemon-team-up/booster-pack" TargetMode="External" Id="rId3665" /><Relationship Type="http://schemas.openxmlformats.org/officeDocument/2006/relationships/hyperlink" Target="https://www.tcgplayer.com/product/181699" TargetMode="External" Id="rId3666" /><Relationship Type="http://schemas.openxmlformats.org/officeDocument/2006/relationships/hyperlink" Target="https://www.tcgplayer.com/product/624521" TargetMode="External" Id="rId3667" /><Relationship Type="http://schemas.openxmlformats.org/officeDocument/2006/relationships/hyperlink" Target="https://www.tcgplayer.com/product/624522" TargetMode="External" Id="rId3668" /><Relationship Type="http://schemas.openxmlformats.org/officeDocument/2006/relationships/hyperlink" Target="https://www.tcgplayer.com/product/181702" TargetMode="External" Id="rId3669" /><Relationship Type="http://schemas.openxmlformats.org/officeDocument/2006/relationships/hyperlink" Target="https://www.pricecharting.com/game/pokemon-team-up/sleeved-booster-pack" TargetMode="External" Id="rId3670" /><Relationship Type="http://schemas.openxmlformats.org/officeDocument/2006/relationships/hyperlink" Target="https://www.tcgplayer.com/product/524330" TargetMode="External" Id="rId3671" /><Relationship Type="http://schemas.openxmlformats.org/officeDocument/2006/relationships/hyperlink" Target="https://www.tcgplayer.com/product/162037" TargetMode="External" Id="rId3672" /><Relationship Type="http://schemas.openxmlformats.org/officeDocument/2006/relationships/hyperlink" Target="https://www.tcgplayer.com/product/162038" TargetMode="External" Id="rId3673" /><Relationship Type="http://schemas.openxmlformats.org/officeDocument/2006/relationships/hyperlink" Target="https://www.pricecharting.com/game/pokemon-ultra-prism/booster-pack" TargetMode="External" Id="rId3674" /><Relationship Type="http://schemas.openxmlformats.org/officeDocument/2006/relationships/hyperlink" Target="https://www.tcgplayer.com/product/155662" TargetMode="External" Id="rId3675" /><Relationship Type="http://schemas.openxmlformats.org/officeDocument/2006/relationships/hyperlink" Target="https://www.tcgplayer.com/product/162039" TargetMode="External" Id="rId3676" /><Relationship Type="http://schemas.openxmlformats.org/officeDocument/2006/relationships/hyperlink" Target="https://www.tcgplayer.com/product/188410" TargetMode="External" Id="rId3677" /><Relationship Type="http://schemas.openxmlformats.org/officeDocument/2006/relationships/hyperlink" Target="https://www.tcgplayer.com/product/188411" TargetMode="External" Id="rId3678" /><Relationship Type="http://schemas.openxmlformats.org/officeDocument/2006/relationships/hyperlink" Target="https://www.pricecharting.com/game/pokemon-unbroken-bonds/booster-pack" TargetMode="External" Id="rId3679" /><Relationship Type="http://schemas.openxmlformats.org/officeDocument/2006/relationships/hyperlink" Target="https://www.tcgplayer.com/product/185718" TargetMode="External" Id="rId3680" /><Relationship Type="http://schemas.openxmlformats.org/officeDocument/2006/relationships/hyperlink" Target="https://www.tcgplayer.com/product/188412" TargetMode="External" Id="rId3681" /><Relationship Type="http://schemas.openxmlformats.org/officeDocument/2006/relationships/hyperlink" Target="https://www.tcgplayer.com/product/188413" TargetMode="External" Id="rId3682" /><Relationship Type="http://schemas.openxmlformats.org/officeDocument/2006/relationships/hyperlink" Target="https://www.tcgplayer.com/product/240188" TargetMode="External" Id="rId3683" /><Relationship Type="http://schemas.openxmlformats.org/officeDocument/2006/relationships/hyperlink" Target="https://www.tcgplayer.com/product/240189" TargetMode="External" Id="rId3684" /><Relationship Type="http://schemas.openxmlformats.org/officeDocument/2006/relationships/hyperlink" Target="https://www.pricecharting.com/game/pokemon-unbroken-bonds/sleeved-booster-pack" TargetMode="External" Id="rId3685" /><Relationship Type="http://schemas.openxmlformats.org/officeDocument/2006/relationships/hyperlink" Target="https://www.tcgplayer.com/product/524331" TargetMode="External" Id="rId3686" /><Relationship Type="http://schemas.openxmlformats.org/officeDocument/2006/relationships/hyperlink" Target="https://www.tcgplayer.com/product/191884" TargetMode="External" Id="rId3687" /><Relationship Type="http://schemas.openxmlformats.org/officeDocument/2006/relationships/hyperlink" Target="https://www.tcgplayer.com/product/191885" TargetMode="External" Id="rId3688" /><Relationship Type="http://schemas.openxmlformats.org/officeDocument/2006/relationships/hyperlink" Target="https://www.pricecharting.com/game/pokemon-unified-minds/booster-pack" TargetMode="External" Id="rId3689" /><Relationship Type="http://schemas.openxmlformats.org/officeDocument/2006/relationships/hyperlink" Target="https://www.tcgplayer.com/product/191883" TargetMode="External" Id="rId3690" /><Relationship Type="http://schemas.openxmlformats.org/officeDocument/2006/relationships/hyperlink" Target="https://www.tcgplayer.com/product/686509" TargetMode="External" Id="rId3691" /><Relationship Type="http://schemas.openxmlformats.org/officeDocument/2006/relationships/hyperlink" Target="https://www.tcgplayer.com/product/229579" TargetMode="External" Id="rId3692" /><Relationship Type="http://schemas.openxmlformats.org/officeDocument/2006/relationships/hyperlink" Target="https://www.tcgplayer.com/product/191886" TargetMode="External" Id="rId3693" /><Relationship Type="http://schemas.openxmlformats.org/officeDocument/2006/relationships/hyperlink" Target="https://www.tcgplayer.com/product/191887" TargetMode="External" Id="rId3694" /><Relationship Type="http://schemas.openxmlformats.org/officeDocument/2006/relationships/hyperlink" Target="https://www.tcgplayer.com/product/126054" TargetMode="External" Id="rId3695" /><Relationship Type="http://schemas.openxmlformats.org/officeDocument/2006/relationships/hyperlink" Target="https://www.tcgplayer.com/product/129385" TargetMode="External" Id="rId3696" /><Relationship Type="http://schemas.openxmlformats.org/officeDocument/2006/relationships/hyperlink" Target="https://www.tcgplayer.com/product/231690" TargetMode="External" Id="rId3697" /><Relationship Type="http://schemas.openxmlformats.org/officeDocument/2006/relationships/hyperlink" Target="https://www.tcgplayer.com/product/576913" TargetMode="External" Id="rId3698" /><Relationship Type="http://schemas.openxmlformats.org/officeDocument/2006/relationships/hyperlink" Target="https://www.tcgplayer.com/product/576950" TargetMode="External" Id="rId3699" /><Relationship Type="http://schemas.openxmlformats.org/officeDocument/2006/relationships/hyperlink" Target="https://www.tcgplayer.com/product/576952" TargetMode="External" Id="rId3700" /><Relationship Type="http://schemas.openxmlformats.org/officeDocument/2006/relationships/hyperlink" Target="https://www.tcgplayer.com/product/576916" TargetMode="External" Id="rId3701" /><Relationship Type="http://schemas.openxmlformats.org/officeDocument/2006/relationships/hyperlink" Target="https://www.tcgplayer.com/product/576954" TargetMode="External" Id="rId3702" /><Relationship Type="http://schemas.openxmlformats.org/officeDocument/2006/relationships/hyperlink" Target="https://www.tcgplayer.com/product/576956" TargetMode="External" Id="rId3703" /><Relationship Type="http://schemas.openxmlformats.org/officeDocument/2006/relationships/hyperlink" Target="https://www.tcgplayer.com/product/576918" TargetMode="External" Id="rId3704" /><Relationship Type="http://schemas.openxmlformats.org/officeDocument/2006/relationships/hyperlink" Target="https://www.tcgplayer.com/product/576963" TargetMode="External" Id="rId3705" /><Relationship Type="http://schemas.openxmlformats.org/officeDocument/2006/relationships/hyperlink" Target="https://www.tcgplayer.com/product/576924" TargetMode="External" Id="rId3706" /><Relationship Type="http://schemas.openxmlformats.org/officeDocument/2006/relationships/hyperlink" Target="https://www.tcgplayer.com/product/576868" TargetMode="External" Id="rId3707" /><Relationship Type="http://schemas.openxmlformats.org/officeDocument/2006/relationships/hyperlink" Target="https://www.tcgplayer.com/product/576926" TargetMode="External" Id="rId3708" /><Relationship Type="http://schemas.openxmlformats.org/officeDocument/2006/relationships/hyperlink" Target="https://www.tcgplayer.com/product/576903" TargetMode="External" Id="rId3709" /><Relationship Type="http://schemas.openxmlformats.org/officeDocument/2006/relationships/hyperlink" Target="https://www.tcgplayer.com/product/576901" TargetMode="External" Id="rId3710" /><Relationship Type="http://schemas.openxmlformats.org/officeDocument/2006/relationships/hyperlink" Target="https://www.tcgplayer.com/product/576905" TargetMode="External" Id="rId3711" /><Relationship Type="http://schemas.openxmlformats.org/officeDocument/2006/relationships/hyperlink" Target="https://www.tcgplayer.com/product/576928" TargetMode="External" Id="rId3712" /><Relationship Type="http://schemas.openxmlformats.org/officeDocument/2006/relationships/hyperlink" Target="https://www.tcgplayer.com/product/576930" TargetMode="External" Id="rId3713" /><Relationship Type="http://schemas.openxmlformats.org/officeDocument/2006/relationships/hyperlink" Target="https://www.tcgplayer.com/product/576932" TargetMode="External" Id="rId3714" /><Relationship Type="http://schemas.openxmlformats.org/officeDocument/2006/relationships/hyperlink" Target="https://www.tcgplayer.com/product/576941" TargetMode="External" Id="rId3715" /><Relationship Type="http://schemas.openxmlformats.org/officeDocument/2006/relationships/hyperlink" Target="https://www.tcgplayer.com/product/576909" TargetMode="External" Id="rId3716" /><Relationship Type="http://schemas.openxmlformats.org/officeDocument/2006/relationships/hyperlink" Target="https://www.tcgplayer.com/product/576943" TargetMode="External" Id="rId3717" /><Relationship Type="http://schemas.openxmlformats.org/officeDocument/2006/relationships/hyperlink" Target="https://www.tcgplayer.com/product/576960" TargetMode="External" Id="rId3718" /><Relationship Type="http://schemas.openxmlformats.org/officeDocument/2006/relationships/hyperlink" Target="https://www.tcgplayer.com/product/576911" TargetMode="External" Id="rId3719" /><Relationship Type="http://schemas.openxmlformats.org/officeDocument/2006/relationships/hyperlink" Target="https://www.tcgplayer.com/product/576945" TargetMode="External" Id="rId3720" /><Relationship Type="http://schemas.openxmlformats.org/officeDocument/2006/relationships/hyperlink" Target="https://www.tcgplayer.com/product/576947" TargetMode="External" Id="rId3721" /><Relationship Type="http://schemas.openxmlformats.org/officeDocument/2006/relationships/hyperlink" Target="https://www.tcgplayer.com/product/656885" TargetMode="External" Id="rId3722" /><Relationship Type="http://schemas.openxmlformats.org/officeDocument/2006/relationships/hyperlink" Target="https://www.pricecharting.com/game/pokemon-steam-siege/blister-pack-floette" TargetMode="External" Id="rId3723" /><Relationship Type="http://schemas.openxmlformats.org/officeDocument/2006/relationships/hyperlink" Target="https://www.pricecharting.com/game/pokemon-steam-siege/blister-pack-lucario" TargetMode="External" Id="rId3724" /><Relationship Type="http://schemas.openxmlformats.org/officeDocument/2006/relationships/hyperlink" Target="https://www.pricecharting.com/game/pokemon-steam-siege/booster-pack" TargetMode="External" Id="rId3725" /><Relationship Type="http://schemas.openxmlformats.org/officeDocument/2006/relationships/hyperlink" Target="https://www.pricecharting.com/game/pokemon-steam-siege/sleeved-booster-pack" TargetMode="External" Id="rId3726" /><Relationship Type="http://schemas.openxmlformats.org/officeDocument/2006/relationships/hyperlink" Target="https://www.pricecharting.com/game/pokemon-stellar-crown/booster-pack" TargetMode="External" Id="rId3727" /><Relationship Type="http://schemas.openxmlformats.org/officeDocument/2006/relationships/hyperlink" Target="https://www.pricecharting.com/game/pokemon-stellar-crown/horsea-blister-pack" TargetMode="External" Id="rId3728" /><Relationship Type="http://schemas.openxmlformats.org/officeDocument/2006/relationships/hyperlink" Target="https://www.pricecharting.com/game/pokemon-stellar-crown/iron-thorns-blister-pack" TargetMode="External" Id="rId3729" /><Relationship Type="http://schemas.openxmlformats.org/officeDocument/2006/relationships/hyperlink" Target="https://www.pricecharting.com/game/pokemon-stellar-crown/latias-3-pack-blister" TargetMode="External" Id="rId3730" /><Relationship Type="http://schemas.openxmlformats.org/officeDocument/2006/relationships/hyperlink" Target="https://www.pricecharting.com/game/pokemon-stellar-crown/porygon2-blister-pack" TargetMode="External" Id="rId3731" /><Relationship Type="http://schemas.openxmlformats.org/officeDocument/2006/relationships/hyperlink" Target="https://www.pricecharting.com/game/pokemon-stellar-crown/roaring-moon-blister-pack" TargetMode="External" Id="rId3732" /><Relationship Type="http://schemas.openxmlformats.org/officeDocument/2006/relationships/hyperlink" Target="https://www.pricecharting.com/game/pokemon-stellar-crown/sleeved-booster-pack" TargetMode="External" Id="rId3733" /><Relationship Type="http://schemas.openxmlformats.org/officeDocument/2006/relationships/hyperlink" Target="https://www.pricecharting.com/game/pokemon-stormfront/blister-pack" TargetMode="External" Id="rId3734" /><Relationship Type="http://schemas.openxmlformats.org/officeDocument/2006/relationships/hyperlink" Target="https://www.pricecharting.com/game/pokemon-stormfront/booster-pack" TargetMode="External" Id="rId3735" /><Relationship Type="http://schemas.openxmlformats.org/officeDocument/2006/relationships/hyperlink" Target="https://www.tcgplayer.com/product/98589" TargetMode="External" Id="rId3736" /><Relationship Type="http://schemas.openxmlformats.org/officeDocument/2006/relationships/hyperlink" Target="https://www.pricecharting.com/game/pokemon-supreme-victors/blister-pack" TargetMode="External" Id="rId3737" /><Relationship Type="http://schemas.openxmlformats.org/officeDocument/2006/relationships/hyperlink" Target="https://www.pricecharting.com/game/pokemon-supreme-victors/booster-pack" TargetMode="External" Id="rId3738" /><Relationship Type="http://schemas.openxmlformats.org/officeDocument/2006/relationships/hyperlink" Target="https://www.tcgplayer.com/product/98574" TargetMode="External" Id="rId3739" /><Relationship Type="http://schemas.openxmlformats.org/officeDocument/2006/relationships/hyperlink" Target="https://www.pricecharting.com/game/pokemon-surging-sparks/abra-checklane-blister" TargetMode="External" Id="rId3740" /><Relationship Type="http://schemas.openxmlformats.org/officeDocument/2006/relationships/hyperlink" Target="https://www.pricecharting.com/game/pokemon-surging-sparks/arcanine-checklane-blister" TargetMode="External" Id="rId3741" /><Relationship Type="http://schemas.openxmlformats.org/officeDocument/2006/relationships/hyperlink" Target="https://www.pricecharting.com/game/pokemon-surging-sparks/litwick-checklane-blister" TargetMode="External" Id="rId3742" /><Relationship Type="http://schemas.openxmlformats.org/officeDocument/2006/relationships/hyperlink" Target="https://www.pricecharting.com/game/pokemon-surging-sparks/parchirisu-blister-pack" TargetMode="External" Id="rId3743" /><Relationship Type="http://schemas.openxmlformats.org/officeDocument/2006/relationships/hyperlink" Target="https://www.pricecharting.com/game/pokemon-surging-sparks/premium-checklane-blister-sinistcha" TargetMode="External" Id="rId3744" /><Relationship Type="http://schemas.openxmlformats.org/officeDocument/2006/relationships/hyperlink" Target="https://www.pricecharting.com/game/pokemon-surging-sparks/quagsire-3-pack-blisters" TargetMode="External" Id="rId3745" /><Relationship Type="http://schemas.openxmlformats.org/officeDocument/2006/relationships/hyperlink" Target="https://www.pricecharting.com/game/pokemon-surging-sparks/sealed-fun-pack" TargetMode="External" Id="rId3746" /><Relationship Type="http://schemas.openxmlformats.org/officeDocument/2006/relationships/hyperlink" Target="https://www.pricecharting.com/game/pokemon-surging-sparks/wooper-blister-pack" TargetMode="External" Id="rId3747" /><Relationship Type="http://schemas.openxmlformats.org/officeDocument/2006/relationships/hyperlink" Target="https://www.pricecharting.com/game/pokemon-surging-sparks/zapdos-3-pack-blisters" TargetMode="External" Id="rId3748" /><Relationship Type="http://schemas.openxmlformats.org/officeDocument/2006/relationships/hyperlink" Target="https://www.tcgplayer.com/product/628278" TargetMode="External" Id="rId3749" /><Relationship Type="http://schemas.openxmlformats.org/officeDocument/2006/relationships/hyperlink" Target="https://www.tcgplayer.com/product/478761" TargetMode="External" Id="rId3750" /><Relationship Type="http://schemas.openxmlformats.org/officeDocument/2006/relationships/hyperlink" Target="https://www.tcgplayer.com/product/478762" TargetMode="External" Id="rId3751" /><Relationship Type="http://schemas.openxmlformats.org/officeDocument/2006/relationships/hyperlink" Target="https://www.tcgplayer.com/product/478763" TargetMode="External" Id="rId3752" /><Relationship Type="http://schemas.openxmlformats.org/officeDocument/2006/relationships/hyperlink" Target="https://www.tcgplayer.com/product/476451" TargetMode="External" Id="rId3753" /><Relationship Type="http://schemas.openxmlformats.org/officeDocument/2006/relationships/hyperlink" Target="https://www.tcgplayer.com/product/530121" TargetMode="External" Id="rId3754" /><Relationship Type="http://schemas.openxmlformats.org/officeDocument/2006/relationships/hyperlink" Target="https://www.tcgplayer.com/product/479328" TargetMode="External" Id="rId3755" /><Relationship Type="http://schemas.openxmlformats.org/officeDocument/2006/relationships/hyperlink" Target="https://www.tcgplayer.com/product/497167" TargetMode="External" Id="rId3756" /><Relationship Type="http://schemas.openxmlformats.org/officeDocument/2006/relationships/hyperlink" Target="https://www.tcgplayer.com/product/479330" TargetMode="External" Id="rId3757" /><Relationship Type="http://schemas.openxmlformats.org/officeDocument/2006/relationships/hyperlink" Target="https://www.tcgplayer.com/product/478766" TargetMode="External" Id="rId3758" /><Relationship Type="http://schemas.openxmlformats.org/officeDocument/2006/relationships/hyperlink" Target="https://www.tcgplayer.com/product/478767" TargetMode="External" Id="rId3759" /><Relationship Type="http://schemas.openxmlformats.org/officeDocument/2006/relationships/hyperlink" Target="https://www.tcgplayer.com/product/478765" TargetMode="External" Id="rId3760" /><Relationship Type="http://schemas.openxmlformats.org/officeDocument/2006/relationships/hyperlink" Target="https://www.tcgplayer.com/product/478273" TargetMode="External" Id="rId3761" /><Relationship Type="http://schemas.openxmlformats.org/officeDocument/2006/relationships/hyperlink" Target="https://www.tcgplayer.com/product/493997" TargetMode="External" Id="rId3762" /><Relationship Type="http://schemas.openxmlformats.org/officeDocument/2006/relationships/hyperlink" Target="https://www.tcgplayer.com/product/493998" TargetMode="External" Id="rId3763" /><Relationship Type="http://schemas.openxmlformats.org/officeDocument/2006/relationships/hyperlink" Target="https://www.pricecharting.com/game/pokemon-paldea-evolved/booster-pack" TargetMode="External" Id="rId3764" /><Relationship Type="http://schemas.openxmlformats.org/officeDocument/2006/relationships/hyperlink" Target="https://www.tcgplayer.com/product/493976" TargetMode="External" Id="rId3765" /><Relationship Type="http://schemas.openxmlformats.org/officeDocument/2006/relationships/hyperlink" Target="https://www.tcgplayer.com/product/530106" TargetMode="External" Id="rId3766" /><Relationship Type="http://schemas.openxmlformats.org/officeDocument/2006/relationships/hyperlink" Target="https://www.tcgplayer.com/product/622968" TargetMode="External" Id="rId3767" /><Relationship Type="http://schemas.openxmlformats.org/officeDocument/2006/relationships/hyperlink" Target="https://www.tcgplayer.com/product/622967" TargetMode="External" Id="rId3768" /><Relationship Type="http://schemas.openxmlformats.org/officeDocument/2006/relationships/hyperlink" Target="https://www.tcgplayer.com/product/618829" TargetMode="External" Id="rId3769" /><Relationship Type="http://schemas.openxmlformats.org/officeDocument/2006/relationships/hyperlink" Target="https://www.tcgplayer.com/product/617015" TargetMode="External" Id="rId3770" /><Relationship Type="http://schemas.openxmlformats.org/officeDocument/2006/relationships/hyperlink" Target="https://www.tcgplayer.com/product/494001" TargetMode="External" Id="rId3771" /><Relationship Type="http://schemas.openxmlformats.org/officeDocument/2006/relationships/hyperlink" Target="https://www.pricecharting.com/game/pokemon-paldea-evolved/sleeved-booster-pack" TargetMode="External" Id="rId3772" /><Relationship Type="http://schemas.openxmlformats.org/officeDocument/2006/relationships/hyperlink" Target="https://www.tcgplayer.com/product/496927" TargetMode="External" Id="rId3773" /><Relationship Type="http://schemas.openxmlformats.org/officeDocument/2006/relationships/hyperlink" Target="https://www.tcgplayer.com/product/501259" TargetMode="External" Id="rId3774" /><Relationship Type="http://schemas.openxmlformats.org/officeDocument/2006/relationships/hyperlink" Target="https://www.tcgplayer.com/product/501260" TargetMode="External" Id="rId3775" /><Relationship Type="http://schemas.openxmlformats.org/officeDocument/2006/relationships/hyperlink" Target="https://www.tcgplayer.com/product/501261" TargetMode="External" Id="rId3776" /><Relationship Type="http://schemas.openxmlformats.org/officeDocument/2006/relationships/hyperlink" Target="https://www.pricecharting.com/game/pokemon-obsidian-flames/booster-pack" TargetMode="External" Id="rId3777" /><Relationship Type="http://schemas.openxmlformats.org/officeDocument/2006/relationships/hyperlink" Target="https://www.tcgplayer.com/product/501256" TargetMode="External" Id="rId3778" /><Relationship Type="http://schemas.openxmlformats.org/officeDocument/2006/relationships/hyperlink" Target="https://www.tcgplayer.com/product/557084" TargetMode="External" Id="rId3779" /><Relationship Type="http://schemas.openxmlformats.org/officeDocument/2006/relationships/hyperlink" Target="https://www.tcgplayer.com/product/557086" TargetMode="External" Id="rId3780" /><Relationship Type="http://schemas.openxmlformats.org/officeDocument/2006/relationships/hyperlink" Target="https://www.tcgplayer.com/product/557085" TargetMode="External" Id="rId3781" /><Relationship Type="http://schemas.openxmlformats.org/officeDocument/2006/relationships/hyperlink" Target="https://www.tcgplayer.com/product/557087" TargetMode="External" Id="rId3782" /><Relationship Type="http://schemas.openxmlformats.org/officeDocument/2006/relationships/hyperlink" Target="https://www.tcgplayer.com/product/512047" TargetMode="External" Id="rId3783" /><Relationship Type="http://schemas.openxmlformats.org/officeDocument/2006/relationships/hyperlink" Target="https://www.tcgplayer.com/product/501262" TargetMode="External" Id="rId3784" /><Relationship Type="http://schemas.openxmlformats.org/officeDocument/2006/relationships/hyperlink" Target="https://www.pricecharting.com/game/pokemon-obsidian-flames/sleeved-booster-pack" TargetMode="External" Id="rId3785" /><Relationship Type="http://schemas.openxmlformats.org/officeDocument/2006/relationships/hyperlink" Target="https://www.tcgplayer.com/product/534087" TargetMode="External" Id="rId3786" /><Relationship Type="http://schemas.openxmlformats.org/officeDocument/2006/relationships/hyperlink" Target="https://www.tcgplayer.com/product/513433" TargetMode="External" Id="rId3787" /><Relationship Type="http://schemas.openxmlformats.org/officeDocument/2006/relationships/hyperlink" Target="https://www.tcgplayer.com/product/513437" TargetMode="External" Id="rId3788" /><Relationship Type="http://schemas.openxmlformats.org/officeDocument/2006/relationships/hyperlink" Target="https://www.pricecharting.com/game/pokemon-paradox-rift/booster-pack" TargetMode="External" Id="rId3789" /><Relationship Type="http://schemas.openxmlformats.org/officeDocument/2006/relationships/hyperlink" Target="https://www.tcgplayer.com/product/512822" TargetMode="External" Id="rId3790" /><Relationship Type="http://schemas.openxmlformats.org/officeDocument/2006/relationships/hyperlink" Target="https://www.tcgplayer.com/product/607504" TargetMode="External" Id="rId3791" /><Relationship Type="http://schemas.openxmlformats.org/officeDocument/2006/relationships/hyperlink" Target="https://www.tcgplayer.com/product/546605" TargetMode="External" Id="rId3792" /><Relationship Type="http://schemas.openxmlformats.org/officeDocument/2006/relationships/hyperlink" Target="https://www.tcgplayer.com/product/546606" TargetMode="External" Id="rId3793" /><Relationship Type="http://schemas.openxmlformats.org/officeDocument/2006/relationships/hyperlink" Target="https://www.tcgplayer.com/product/625582" TargetMode="External" Id="rId3794" /><Relationship Type="http://schemas.openxmlformats.org/officeDocument/2006/relationships/hyperlink" Target="https://www.tcgplayer.com/product/625581" TargetMode="External" Id="rId3795" /><Relationship Type="http://schemas.openxmlformats.org/officeDocument/2006/relationships/hyperlink" Target="https://www.tcgplayer.com/product/514224" TargetMode="External" Id="rId3796" /><Relationship Type="http://schemas.openxmlformats.org/officeDocument/2006/relationships/hyperlink" Target="https://www.tcgplayer.com/product/514223" TargetMode="External" Id="rId3797" /><Relationship Type="http://schemas.openxmlformats.org/officeDocument/2006/relationships/hyperlink" Target="https://www.pricecharting.com/game/pokemon-paradox-rift/sleeved-booster-pack" TargetMode="External" Id="rId3798" /><Relationship Type="http://schemas.openxmlformats.org/officeDocument/2006/relationships/hyperlink" Target="https://www.tcgplayer.com/product/517210" TargetMode="External" Id="rId3799" /><Relationship Type="http://schemas.openxmlformats.org/officeDocument/2006/relationships/hyperlink" Target="https://www.tcgplayer.com/product/536229" TargetMode="External" Id="rId3800" /><Relationship Type="http://schemas.openxmlformats.org/officeDocument/2006/relationships/hyperlink" Target="https://www.pricecharting.com/game/pokemon-temporal-forces/3-pack-blister-cyclizar" TargetMode="External" Id="rId3801" /><Relationship Type="http://schemas.openxmlformats.org/officeDocument/2006/relationships/hyperlink" Target="https://www.tcgplayer.com/product/536227" TargetMode="External" Id="rId3802" /><Relationship Type="http://schemas.openxmlformats.org/officeDocument/2006/relationships/hyperlink" Target="https://www.pricecharting.com/game/pokemon-temporal-forces/booster-pack" TargetMode="External" Id="rId3803" /><Relationship Type="http://schemas.openxmlformats.org/officeDocument/2006/relationships/hyperlink" Target="https://www.tcgplayer.com/product/532841" TargetMode="External" Id="rId3804" /><Relationship Type="http://schemas.openxmlformats.org/officeDocument/2006/relationships/hyperlink" Target="https://www.tcgplayer.com/product/607502" TargetMode="External" Id="rId3805" /><Relationship Type="http://schemas.openxmlformats.org/officeDocument/2006/relationships/hyperlink" Target="https://www.tcgplayer.com/product/544679" TargetMode="External" Id="rId3806" /><Relationship Type="http://schemas.openxmlformats.org/officeDocument/2006/relationships/hyperlink" Target="https://www.tcgplayer.com/product/544687" TargetMode="External" Id="rId3807" /><Relationship Type="http://schemas.openxmlformats.org/officeDocument/2006/relationships/hyperlink" Target="https://www.tcgplayer.com/product/536594" TargetMode="External" Id="rId3808" /><Relationship Type="http://schemas.openxmlformats.org/officeDocument/2006/relationships/hyperlink" Target="https://www.tcgplayer.com/product/536284" TargetMode="External" Id="rId3809" /><Relationship Type="http://schemas.openxmlformats.org/officeDocument/2006/relationships/hyperlink" Target="https://www.tcgplayer.com/product/617011" TargetMode="External" Id="rId3810" /><Relationship Type="http://schemas.openxmlformats.org/officeDocument/2006/relationships/hyperlink" Target="https://www.pricecharting.com/game/pokemon-temporal-forces/sleeved-booster-pack" TargetMode="External" Id="rId3811" /><Relationship Type="http://schemas.openxmlformats.org/officeDocument/2006/relationships/hyperlink" Target="https://www.tcgplayer.com/product/538787" TargetMode="External" Id="rId3812" /><Relationship Type="http://schemas.openxmlformats.org/officeDocument/2006/relationships/hyperlink" Target="https://www.pricecharting.com/game/pokemon-twilight-masquerade/3-pack-blister-revavroom" TargetMode="External" Id="rId3813" /><Relationship Type="http://schemas.openxmlformats.org/officeDocument/2006/relationships/hyperlink" Target="https://www.tcgplayer.com/product/544172" TargetMode="External" Id="rId3814" /><Relationship Type="http://schemas.openxmlformats.org/officeDocument/2006/relationships/hyperlink" Target="https://www.pricecharting.com/game/pokemon-twilight-masquerade/3-pack-blister-snorlax" TargetMode="External" Id="rId3815" /><Relationship Type="http://schemas.openxmlformats.org/officeDocument/2006/relationships/hyperlink" Target="https://www.tcgplayer.com/product/544171" TargetMode="External" Id="rId3816" /><Relationship Type="http://schemas.openxmlformats.org/officeDocument/2006/relationships/hyperlink" Target="https://www.pricecharting.com/game/pokemon-twilight-masquerade/booster-pack" TargetMode="External" Id="rId3817" /><Relationship Type="http://schemas.openxmlformats.org/officeDocument/2006/relationships/hyperlink" Target="https://www.tcgplayer.com/product/543843" TargetMode="External" Id="rId3818" /><Relationship Type="http://schemas.openxmlformats.org/officeDocument/2006/relationships/hyperlink" Target="https://www.tcgplayer.com/product/607501" TargetMode="External" Id="rId3819" /><Relationship Type="http://schemas.openxmlformats.org/officeDocument/2006/relationships/hyperlink" Target="https://www.pricecharting.com/game/pokemon-twilight-masquerade/premium-checklane-blister-horsea" TargetMode="External" Id="rId3820" /><Relationship Type="http://schemas.openxmlformats.org/officeDocument/2006/relationships/hyperlink" Target="https://www.tcgplayer.com/product/544182" TargetMode="External" Id="rId3821" /><Relationship Type="http://schemas.openxmlformats.org/officeDocument/2006/relationships/hyperlink" Target="https://www.tcgplayer.com/product/617190" TargetMode="External" Id="rId3822" /><Relationship Type="http://schemas.openxmlformats.org/officeDocument/2006/relationships/hyperlink" Target="https://www.pricecharting.com/game/pokemon-twilight-masquerade/premium-checklane-blister-porygon" TargetMode="External" Id="rId3823" /><Relationship Type="http://schemas.openxmlformats.org/officeDocument/2006/relationships/hyperlink" Target="https://www.tcgplayer.com/product/544180" TargetMode="External" Id="rId3824" /><Relationship Type="http://schemas.openxmlformats.org/officeDocument/2006/relationships/hyperlink" Target="https://www.tcgplayer.com/product/617189" TargetMode="External" Id="rId3825" /><Relationship Type="http://schemas.openxmlformats.org/officeDocument/2006/relationships/hyperlink" Target="https://www.tcgplayer.com/product/544179" TargetMode="External" Id="rId3826" /><Relationship Type="http://schemas.openxmlformats.org/officeDocument/2006/relationships/hyperlink" Target="https://www.pricecharting.com/game/pokemon-twilight-masquerade/sleeved-booster-pack" TargetMode="External" Id="rId3827" /><Relationship Type="http://schemas.openxmlformats.org/officeDocument/2006/relationships/hyperlink" Target="https://www.tcgplayer.com/product/544170" TargetMode="External" Id="rId3828" /><Relationship Type="http://schemas.openxmlformats.org/officeDocument/2006/relationships/hyperlink" Target="https://www.tcgplayer.com/product/557334" TargetMode="External" Id="rId3829" /><Relationship Type="http://schemas.openxmlformats.org/officeDocument/2006/relationships/hyperlink" Target="https://www.tcgplayer.com/product/557337" TargetMode="External" Id="rId3830" /><Relationship Type="http://schemas.openxmlformats.org/officeDocument/2006/relationships/hyperlink" Target="https://www.tcgplayer.com/product/557331" TargetMode="External" Id="rId3831" /><Relationship Type="http://schemas.openxmlformats.org/officeDocument/2006/relationships/hyperlink" Target="https://www.tcgplayer.com/product/616948" TargetMode="External" Id="rId3832" /><Relationship Type="http://schemas.openxmlformats.org/officeDocument/2006/relationships/hyperlink" Target="https://www.tcgplayer.com/product/616947" TargetMode="External" Id="rId3833" /><Relationship Type="http://schemas.openxmlformats.org/officeDocument/2006/relationships/hyperlink" Target="https://www.tcgplayer.com/product/599942" TargetMode="External" Id="rId3834" /><Relationship Type="http://schemas.openxmlformats.org/officeDocument/2006/relationships/hyperlink" Target="https://www.tcgplayer.com/product/557338" TargetMode="External" Id="rId3835" /><Relationship Type="http://schemas.openxmlformats.org/officeDocument/2006/relationships/hyperlink" Target="https://www.tcgplayer.com/product/557341" TargetMode="External" Id="rId3836" /><Relationship Type="http://schemas.openxmlformats.org/officeDocument/2006/relationships/hyperlink" Target="https://www.tcgplayer.com/product/557352" TargetMode="External" Id="rId3837" /><Relationship Type="http://schemas.openxmlformats.org/officeDocument/2006/relationships/hyperlink" Target="https://www.tcgplayer.com/product/565635" TargetMode="External" Id="rId3838" /><Relationship Type="http://schemas.openxmlformats.org/officeDocument/2006/relationships/hyperlink" Target="https://www.tcgplayer.com/product/565634" TargetMode="External" Id="rId3839" /><Relationship Type="http://schemas.openxmlformats.org/officeDocument/2006/relationships/hyperlink" Target="https://www.pricecharting.com/game/pokemon-surging-sparks/booster-pack" TargetMode="External" Id="rId3840" /><Relationship Type="http://schemas.openxmlformats.org/officeDocument/2006/relationships/hyperlink" Target="https://www.tcgplayer.com/product/565604" TargetMode="External" Id="rId3841" /><Relationship Type="http://schemas.openxmlformats.org/officeDocument/2006/relationships/hyperlink" Target="https://www.tcgplayer.com/product/565638" TargetMode="External" Id="rId3842" /><Relationship Type="http://schemas.openxmlformats.org/officeDocument/2006/relationships/hyperlink" Target="https://www.tcgplayer.com/product/565639" TargetMode="External" Id="rId3843" /><Relationship Type="http://schemas.openxmlformats.org/officeDocument/2006/relationships/hyperlink" Target="https://www.tcgplayer.com/product/606613" TargetMode="External" Id="rId3844" /><Relationship Type="http://schemas.openxmlformats.org/officeDocument/2006/relationships/hyperlink" Target="https://www.tcgplayer.com/product/565637" TargetMode="External" Id="rId3845" /><Relationship Type="http://schemas.openxmlformats.org/officeDocument/2006/relationships/hyperlink" Target="https://www.tcgplayer.com/product/606614" TargetMode="External" Id="rId3846" /><Relationship Type="http://schemas.openxmlformats.org/officeDocument/2006/relationships/hyperlink" Target="https://www.tcgplayer.com/product/565636" TargetMode="External" Id="rId3847" /><Relationship Type="http://schemas.openxmlformats.org/officeDocument/2006/relationships/hyperlink" Target="https://www.pricecharting.com/game/pokemon-surging-sparks/sleeved-booster-pack" TargetMode="External" Id="rId3848" /><Relationship Type="http://schemas.openxmlformats.org/officeDocument/2006/relationships/hyperlink" Target="https://www.tcgplayer.com/product/565602" TargetMode="External" Id="rId3849" /><Relationship Type="http://schemas.openxmlformats.org/officeDocument/2006/relationships/hyperlink" Target="https://www.pricecharting.com/game/pokemon-journey-together/3-pack-blister-scrafty" TargetMode="External" Id="rId3850" /><Relationship Type="http://schemas.openxmlformats.org/officeDocument/2006/relationships/hyperlink" Target="https://www.tcgplayer.com/product/610948" TargetMode="External" Id="rId3851" /><Relationship Type="http://schemas.openxmlformats.org/officeDocument/2006/relationships/hyperlink" Target="https://www.tcgplayer.com/product/631972" TargetMode="External" Id="rId3852" /><Relationship Type="http://schemas.openxmlformats.org/officeDocument/2006/relationships/hyperlink" Target="https://www.pricecharting.com/game/pokemon-journey-together/3-pack-blister-yanmega" TargetMode="External" Id="rId3853" /><Relationship Type="http://schemas.openxmlformats.org/officeDocument/2006/relationships/hyperlink" Target="https://www.tcgplayer.com/product/610940" TargetMode="External" Id="rId3854" /><Relationship Type="http://schemas.openxmlformats.org/officeDocument/2006/relationships/hyperlink" Target="https://www.pricecharting.com/game/pokemon-journey-together/booster-pack" TargetMode="External" Id="rId3855" /><Relationship Type="http://schemas.openxmlformats.org/officeDocument/2006/relationships/hyperlink" Target="https://www.tcgplayer.com/product/610935" TargetMode="External" Id="rId3856" /><Relationship Type="http://schemas.openxmlformats.org/officeDocument/2006/relationships/hyperlink" Target="https://www.tcgplayer.com/product/647762" TargetMode="External" Id="rId3857" /><Relationship Type="http://schemas.openxmlformats.org/officeDocument/2006/relationships/hyperlink" Target="https://www.tcgplayer.com/product/610952" TargetMode="External" Id="rId3858" /><Relationship Type="http://schemas.openxmlformats.org/officeDocument/2006/relationships/hyperlink" Target="https://www.tcgplayer.com/product/610951" TargetMode="External" Id="rId3859" /><Relationship Type="http://schemas.openxmlformats.org/officeDocument/2006/relationships/hyperlink" Target="https://www.tcgplayer.com/product/626562" TargetMode="External" Id="rId3860" /><Relationship Type="http://schemas.openxmlformats.org/officeDocument/2006/relationships/hyperlink" Target="https://www.tcgplayer.com/product/626630" TargetMode="External" Id="rId3861" /><Relationship Type="http://schemas.openxmlformats.org/officeDocument/2006/relationships/hyperlink" Target="https://www.tcgplayer.com/product/610949" TargetMode="External" Id="rId3862" /><Relationship Type="http://schemas.openxmlformats.org/officeDocument/2006/relationships/hyperlink" Target="https://www.tcgplayer.com/product/610950" TargetMode="External" Id="rId3863" /><Relationship Type="http://schemas.openxmlformats.org/officeDocument/2006/relationships/hyperlink" Target="https://www.pricecharting.com/game/pokemon-journey-together/sleeved-booster-pack" TargetMode="External" Id="rId3864" /><Relationship Type="http://schemas.openxmlformats.org/officeDocument/2006/relationships/hyperlink" Target="https://www.tcgplayer.com/product/610934" TargetMode="External" Id="rId3865" /><Relationship Type="http://schemas.openxmlformats.org/officeDocument/2006/relationships/hyperlink" Target="https://www.pricecharting.com/game/pokemon-destined-rivals/3-pack-blister-kangaskhan" TargetMode="External" Id="rId3866" /><Relationship Type="http://schemas.openxmlformats.org/officeDocument/2006/relationships/hyperlink" Target="https://www.tcgplayer.com/product/625683" TargetMode="External" Id="rId3867" /><Relationship Type="http://schemas.openxmlformats.org/officeDocument/2006/relationships/hyperlink" Target="https://www.pricecharting.com/game/pokemon-destined-rivals/3-pack-blister-zebstrika" TargetMode="External" Id="rId3868" /><Relationship Type="http://schemas.openxmlformats.org/officeDocument/2006/relationships/hyperlink" Target="https://www.tcgplayer.com/product/625684" TargetMode="External" Id="rId3869" /><Relationship Type="http://schemas.openxmlformats.org/officeDocument/2006/relationships/hyperlink" Target="https://www.pricecharting.com/game/pokemon-destined-rivals/booster-pack" TargetMode="External" Id="rId3870" /><Relationship Type="http://schemas.openxmlformats.org/officeDocument/2006/relationships/hyperlink" Target="https://www.tcgplayer.com/product/624683" TargetMode="External" Id="rId3871" /><Relationship Type="http://schemas.openxmlformats.org/officeDocument/2006/relationships/hyperlink" Target="https://www.pricecharting.com/game/pokemon-destined-rivals/fun-pack" TargetMode="External" Id="rId3872" /><Relationship Type="http://schemas.openxmlformats.org/officeDocument/2006/relationships/hyperlink" Target="https://www.tcgplayer.com/product/650765" TargetMode="External" Id="rId3873" /><Relationship Type="http://schemas.openxmlformats.org/officeDocument/2006/relationships/hyperlink" Target="https://www.pricecharting.com/game/pokemon-destined-rivals/premium-checklane-blister-skeledirge" TargetMode="External" Id="rId3874" /><Relationship Type="http://schemas.openxmlformats.org/officeDocument/2006/relationships/hyperlink" Target="https://www.tcgplayer.com/product/625687" TargetMode="External" Id="rId3875" /><Relationship Type="http://schemas.openxmlformats.org/officeDocument/2006/relationships/hyperlink" Target="https://www.pricecharting.com/game/pokemon-destined-rivals/premium-checklane-blister-togekiss" TargetMode="External" Id="rId3876" /><Relationship Type="http://schemas.openxmlformats.org/officeDocument/2006/relationships/hyperlink" Target="https://www.tcgplayer.com/product/625688" TargetMode="External" Id="rId3877" /><Relationship Type="http://schemas.openxmlformats.org/officeDocument/2006/relationships/hyperlink" Target="https://www.pricecharting.com/game/pokemon-destined-rivals/sleeved-booster-pack" TargetMode="External" Id="rId3878" /><Relationship Type="http://schemas.openxmlformats.org/officeDocument/2006/relationships/hyperlink" Target="https://www.tcgplayer.com/product/624684" TargetMode="External" Id="rId3879" /><Relationship Type="http://schemas.openxmlformats.org/officeDocument/2006/relationships/hyperlink" Target="https://www.tcgplayer.com/product/629198" TargetMode="External" Id="rId3880" /><Relationship Type="http://schemas.openxmlformats.org/officeDocument/2006/relationships/hyperlink" Target="https://www.tcgplayer.com/product/636736" TargetMode="External" Id="rId3881" /><Relationship Type="http://schemas.openxmlformats.org/officeDocument/2006/relationships/hyperlink" Target="https://www.tcgplayer.com/product/636739" TargetMode="External" Id="rId3882" /><Relationship Type="http://schemas.openxmlformats.org/officeDocument/2006/relationships/hyperlink" Target="https://www.tcgplayer.com/product/636737" TargetMode="External" Id="rId3883" /><Relationship Type="http://schemas.openxmlformats.org/officeDocument/2006/relationships/hyperlink" Target="https://www.tcgplayer.com/product/636738" TargetMode="External" Id="rId3884" /><Relationship Type="http://schemas.openxmlformats.org/officeDocument/2006/relationships/hyperlink" Target="https://www.tcgplayer.com/product/565249" TargetMode="External" Id="rId3885" /><Relationship Type="http://schemas.openxmlformats.org/officeDocument/2006/relationships/hyperlink" Target="https://www.tcgplayer.com/product/565246" TargetMode="External" Id="rId3886" /><Relationship Type="http://schemas.openxmlformats.org/officeDocument/2006/relationships/hyperlink" Target="https://www.tcgplayer.com/product/565245" TargetMode="External" Id="rId3887" /><Relationship Type="http://schemas.openxmlformats.org/officeDocument/2006/relationships/hyperlink" Target="https://www.tcgplayer.com/product/565242" TargetMode="External" Id="rId3888" /><Relationship Type="http://schemas.openxmlformats.org/officeDocument/2006/relationships/hyperlink" Target="https://www.tcgplayer.com/product/565241" TargetMode="External" Id="rId3889" /><Relationship Type="http://schemas.openxmlformats.org/officeDocument/2006/relationships/hyperlink" Target="https://www.tcgplayer.com/product/565238" TargetMode="External" Id="rId3890" /><Relationship Type="http://schemas.openxmlformats.org/officeDocument/2006/relationships/hyperlink" Target="https://www.tcgplayer.com/product/565237" TargetMode="External" Id="rId3891" /><Relationship Type="http://schemas.openxmlformats.org/officeDocument/2006/relationships/hyperlink" Target="https://www.tcgplayer.com/product/565234" TargetMode="External" Id="rId3892" /><Relationship Type="http://schemas.openxmlformats.org/officeDocument/2006/relationships/hyperlink" Target="https://www.tcgplayer.com/product/565233" TargetMode="External" Id="rId3893" /><Relationship Type="http://schemas.openxmlformats.org/officeDocument/2006/relationships/hyperlink" Target="https://www.tcgplayer.com/product/565230" TargetMode="External" Id="rId3894" /><Relationship Type="http://schemas.openxmlformats.org/officeDocument/2006/relationships/hyperlink" Target="https://www.tcgplayer.com/product/565229" TargetMode="External" Id="rId3895" /><Relationship Type="http://schemas.openxmlformats.org/officeDocument/2006/relationships/hyperlink" Target="https://www.tcgplayer.com/product/565227" TargetMode="External" Id="rId3896" /><Relationship Type="http://schemas.openxmlformats.org/officeDocument/2006/relationships/hyperlink" Target="https://www.tcgplayer.com/product/565224" TargetMode="External" Id="rId3897" /><Relationship Type="http://schemas.openxmlformats.org/officeDocument/2006/relationships/hyperlink" Target="https://www.tcgplayer.com/product/565223" TargetMode="External" Id="rId3898" /><Relationship Type="http://schemas.openxmlformats.org/officeDocument/2006/relationships/hyperlink" Target="https://www.tcgplayer.com/product/565220" TargetMode="External" Id="rId3899" /><Relationship Type="http://schemas.openxmlformats.org/officeDocument/2006/relationships/hyperlink" Target="https://www.tcgplayer.com/product/565219" TargetMode="External" Id="rId3900" /><Relationship Type="http://schemas.openxmlformats.org/officeDocument/2006/relationships/hyperlink" Target="https://www.tcgplayer.com/product/565216" TargetMode="External" Id="rId3901" /><Relationship Type="http://schemas.openxmlformats.org/officeDocument/2006/relationships/hyperlink" Target="https://www.tcgplayer.com/product/580710" TargetMode="External" Id="rId3902" /><Relationship Type="http://schemas.openxmlformats.org/officeDocument/2006/relationships/hyperlink" Target="https://www.tcgplayer.com/product/587727" TargetMode="External" Id="rId3903" /><Relationship Type="http://schemas.openxmlformats.org/officeDocument/2006/relationships/hyperlink" Target="https://www.tcgplayer.com/product/603429" TargetMode="External" Id="rId3904" /><Relationship Type="http://schemas.openxmlformats.org/officeDocument/2006/relationships/hyperlink" Target="https://www.tcgplayer.com/product/614703" TargetMode="External" Id="rId3905" /><Relationship Type="http://schemas.openxmlformats.org/officeDocument/2006/relationships/hyperlink" Target="https://www.tcgplayer.com/product/623311" TargetMode="External" Id="rId3906" /><Relationship Type="http://schemas.openxmlformats.org/officeDocument/2006/relationships/hyperlink" Target="https://www.pricecharting.com/game/pokemon-black-bolt/booster-pack" TargetMode="External" Id="rId3907" /><Relationship Type="http://schemas.openxmlformats.org/officeDocument/2006/relationships/hyperlink" Target="https://www.tcgplayer.com/product/630434" TargetMode="External" Id="rId3908" /><Relationship Type="http://schemas.openxmlformats.org/officeDocument/2006/relationships/hyperlink" Target="https://www.pricecharting.com/game/pokemon-paldean-fates/booster-pack" TargetMode="External" Id="rId3909" /><Relationship Type="http://schemas.openxmlformats.org/officeDocument/2006/relationships/hyperlink" Target="https://www.tcgplayer.com/product/528038" TargetMode="External" Id="rId3910" /><Relationship Type="http://schemas.openxmlformats.org/officeDocument/2006/relationships/hyperlink" Target="https://www.pricecharting.com/game/pokemon-prismatic-evolutions/booster-pack" TargetMode="External" Id="rId3911" /><Relationship Type="http://schemas.openxmlformats.org/officeDocument/2006/relationships/hyperlink" Target="https://www.tcgplayer.com/product/593294" TargetMode="External" Id="rId3912" /><Relationship Type="http://schemas.openxmlformats.org/officeDocument/2006/relationships/hyperlink" Target="https://www.tcgplayer.com/product/504467" TargetMode="External" Id="rId3913" /><Relationship Type="http://schemas.openxmlformats.org/officeDocument/2006/relationships/hyperlink" Target="https://www.tcgplayer.com/product/553007" TargetMode="External" Id="rId3914" /><Relationship Type="http://schemas.openxmlformats.org/officeDocument/2006/relationships/hyperlink" Target="https://www.pricecharting.com/game/pokemon-shrouded-fable/booster-pack" TargetMode="External" Id="rId3915" /><Relationship Type="http://schemas.openxmlformats.org/officeDocument/2006/relationships/hyperlink" Target="https://www.tcgplayer.com/product/552997" TargetMode="External" Id="rId3916" /><Relationship Type="http://schemas.openxmlformats.org/officeDocument/2006/relationships/hyperlink" Target="https://www.pricecharting.com/game/pokemon-white-flare/booster-pack" TargetMode="External" Id="rId3917" /><Relationship Type="http://schemas.openxmlformats.org/officeDocument/2006/relationships/hyperlink" Target="https://www.tcgplayer.com/product/630699" TargetMode="External" Id="rId3918" /><Relationship Type="http://schemas.openxmlformats.org/officeDocument/2006/relationships/hyperlink" Target="https://www.tcgplayer.com/product/206030" TargetMode="External" Id="rId3919" /><Relationship Type="http://schemas.openxmlformats.org/officeDocument/2006/relationships/hyperlink" Target="https://www.tcgplayer.com/product/206029" TargetMode="External" Id="rId3920" /><Relationship Type="http://schemas.openxmlformats.org/officeDocument/2006/relationships/hyperlink" Target="https://www.tcgplayer.com/product/206028" TargetMode="External" Id="rId3921" /><Relationship Type="http://schemas.openxmlformats.org/officeDocument/2006/relationships/hyperlink" Target="https://www.tcgplayer.com/product/206032" TargetMode="External" Id="rId3922" /><Relationship Type="http://schemas.openxmlformats.org/officeDocument/2006/relationships/hyperlink" Target="https://www.tcgplayer.com/product/206031" TargetMode="External" Id="rId3923" /><Relationship Type="http://schemas.openxmlformats.org/officeDocument/2006/relationships/hyperlink" Target="https://www.tcgplayer.com/product/263544" TargetMode="External" Id="rId3924" /><Relationship Type="http://schemas.openxmlformats.org/officeDocument/2006/relationships/hyperlink" Target="https://www.pricecharting.com/game/pokemon-rebel-clash/3-pack-blister-duraludon" TargetMode="External" Id="rId3925" /><Relationship Type="http://schemas.openxmlformats.org/officeDocument/2006/relationships/hyperlink" Target="https://www.tcgplayer.com/product/210567" TargetMode="External" Id="rId3926" /><Relationship Type="http://schemas.openxmlformats.org/officeDocument/2006/relationships/hyperlink" Target="https://www.pricecharting.com/game/pokemon-rebel-clash/3-pack-blister-rayquaza" TargetMode="External" Id="rId3927" /><Relationship Type="http://schemas.openxmlformats.org/officeDocument/2006/relationships/hyperlink" Target="https://www.tcgplayer.com/product/210568" TargetMode="External" Id="rId3928" /><Relationship Type="http://schemas.openxmlformats.org/officeDocument/2006/relationships/hyperlink" Target="https://www.pricecharting.com/game/pokemon-rebel-clash/booster-pack" TargetMode="External" Id="rId3929" /><Relationship Type="http://schemas.openxmlformats.org/officeDocument/2006/relationships/hyperlink" Target="https://www.tcgplayer.com/product/210562" TargetMode="External" Id="rId3930" /><Relationship Type="http://schemas.openxmlformats.org/officeDocument/2006/relationships/hyperlink" Target="https://www.tcgplayer.com/product/276575" TargetMode="External" Id="rId3931" /><Relationship Type="http://schemas.openxmlformats.org/officeDocument/2006/relationships/hyperlink" Target="https://www.tcgplayer.com/product/210564" TargetMode="External" Id="rId3932" /><Relationship Type="http://schemas.openxmlformats.org/officeDocument/2006/relationships/hyperlink" Target="https://www.tcgplayer.com/product/210565" TargetMode="External" Id="rId3933" /><Relationship Type="http://schemas.openxmlformats.org/officeDocument/2006/relationships/hyperlink" Target="https://www.pricecharting.com/game/pokemon-rebel-clash/sleeved-booster-pack" TargetMode="External" Id="rId3934" /><Relationship Type="http://schemas.openxmlformats.org/officeDocument/2006/relationships/hyperlink" Target="https://www.tcgplayer.com/product/264421" TargetMode="External" Id="rId3935" /><Relationship Type="http://schemas.openxmlformats.org/officeDocument/2006/relationships/hyperlink" Target="https://www.tcgplayer.com/product/668520" TargetMode="External" Id="rId3936" /><Relationship Type="http://schemas.openxmlformats.org/officeDocument/2006/relationships/hyperlink" Target="https://www.pricecharting.com/game/pokemon-darkness-ablaze/booster-pack" TargetMode="External" Id="rId3937" /><Relationship Type="http://schemas.openxmlformats.org/officeDocument/2006/relationships/hyperlink" Target="https://www.tcgplayer.com/product/216852" TargetMode="External" Id="rId3938" /><Relationship Type="http://schemas.openxmlformats.org/officeDocument/2006/relationships/hyperlink" Target="https://www.pricecharting.com/game/pokemon-darkness-ablaze/fun-pack" TargetMode="External" Id="rId3939" /><Relationship Type="http://schemas.openxmlformats.org/officeDocument/2006/relationships/hyperlink" Target="https://www.tcgplayer.com/product/653206" TargetMode="External" Id="rId3940" /><Relationship Type="http://schemas.openxmlformats.org/officeDocument/2006/relationships/hyperlink" Target="https://www.tcgplayer.com/product/216863" TargetMode="External" Id="rId3941" /><Relationship Type="http://schemas.openxmlformats.org/officeDocument/2006/relationships/hyperlink" Target="https://www.tcgplayer.com/product/220108" TargetMode="External" Id="rId3942" /><Relationship Type="http://schemas.openxmlformats.org/officeDocument/2006/relationships/hyperlink" Target="https://www.tcgplayer.com/product/220109" TargetMode="External" Id="rId3943" /><Relationship Type="http://schemas.openxmlformats.org/officeDocument/2006/relationships/hyperlink" Target="https://www.tcgplayer.com/product/216859" TargetMode="External" Id="rId3944" /><Relationship Type="http://schemas.openxmlformats.org/officeDocument/2006/relationships/hyperlink" Target="https://www.pricecharting.com/game/pokemon-darkness-ablaze/sleeved-booster-pack" TargetMode="External" Id="rId3945" /><Relationship Type="http://schemas.openxmlformats.org/officeDocument/2006/relationships/hyperlink" Target="https://www.tcgplayer.com/product/257320" TargetMode="External" Id="rId3946" /><Relationship Type="http://schemas.openxmlformats.org/officeDocument/2006/relationships/hyperlink" Target="https://www.tcgplayer.com/product/668526" TargetMode="External" Id="rId3947" /><Relationship Type="http://schemas.openxmlformats.org/officeDocument/2006/relationships/hyperlink" Target="https://www.tcgplayer.com/product/221745" TargetMode="External" Id="rId3948" /><Relationship Type="http://schemas.openxmlformats.org/officeDocument/2006/relationships/hyperlink" Target="https://www.pricecharting.com/game/pokemon-vivid-voltage/booster-pack" TargetMode="External" Id="rId3949" /><Relationship Type="http://schemas.openxmlformats.org/officeDocument/2006/relationships/hyperlink" Target="https://www.tcgplayer.com/product/221312" TargetMode="External" Id="rId3950" /><Relationship Type="http://schemas.openxmlformats.org/officeDocument/2006/relationships/hyperlink" Target="https://www.tcgplayer.com/product/230087" TargetMode="External" Id="rId3951" /><Relationship Type="http://schemas.openxmlformats.org/officeDocument/2006/relationships/hyperlink" Target="https://www.tcgplayer.com/product/221746" TargetMode="External" Id="rId3952" /><Relationship Type="http://schemas.openxmlformats.org/officeDocument/2006/relationships/hyperlink" Target="https://www.pricecharting.com/game/pokemon-vivid-voltage/single-pack-blister-scorbunny" TargetMode="External" Id="rId3953" /><Relationship Type="http://schemas.openxmlformats.org/officeDocument/2006/relationships/hyperlink" Target="https://www.tcgplayer.com/product/221747" TargetMode="External" Id="rId3954" /><Relationship Type="http://schemas.openxmlformats.org/officeDocument/2006/relationships/hyperlink" Target="https://www.pricecharting.com/game/pokemon-vivid-voltage/sleeved-booster-pack" TargetMode="External" Id="rId3955" /><Relationship Type="http://schemas.openxmlformats.org/officeDocument/2006/relationships/hyperlink" Target="https://www.tcgplayer.com/product/245143" TargetMode="External" Id="rId3956" /><Relationship Type="http://schemas.openxmlformats.org/officeDocument/2006/relationships/hyperlink" Target="https://www.tcgplayer.com/product/229283" TargetMode="External" Id="rId3957" /><Relationship Type="http://schemas.openxmlformats.org/officeDocument/2006/relationships/hyperlink" Target="https://www.pricecharting.com/game/pokemon-battle-styles/booster-pack" TargetMode="External" Id="rId3958" /><Relationship Type="http://schemas.openxmlformats.org/officeDocument/2006/relationships/hyperlink" Target="https://www.tcgplayer.com/product/229276" TargetMode="External" Id="rId3959" /><Relationship Type="http://schemas.openxmlformats.org/officeDocument/2006/relationships/hyperlink" Target="https://www.tcgplayer.com/product/236457" TargetMode="External" Id="rId3960" /><Relationship Type="http://schemas.openxmlformats.org/officeDocument/2006/relationships/hyperlink" Target="https://www.tcgplayer.com/product/236458" TargetMode="External" Id="rId3961" /><Relationship Type="http://schemas.openxmlformats.org/officeDocument/2006/relationships/hyperlink" Target="https://www.tcgplayer.com/product/229281" TargetMode="External" Id="rId3962" /><Relationship Type="http://schemas.openxmlformats.org/officeDocument/2006/relationships/hyperlink" Target="https://www.tcgplayer.com/product/229280" TargetMode="External" Id="rId3963" /><Relationship Type="http://schemas.openxmlformats.org/officeDocument/2006/relationships/hyperlink" Target="https://www.pricecharting.com/game/pokemon-battle-styles/sleeved-booster-pack" TargetMode="External" Id="rId3964" /><Relationship Type="http://schemas.openxmlformats.org/officeDocument/2006/relationships/hyperlink" Target="https://www.tcgplayer.com/product/251879" TargetMode="External" Id="rId3965" /><Relationship Type="http://schemas.openxmlformats.org/officeDocument/2006/relationships/hyperlink" Target="https://www.tcgplayer.com/product/245856" TargetMode="External" Id="rId3966" /><Relationship Type="http://schemas.openxmlformats.org/officeDocument/2006/relationships/hyperlink" Target="https://www.tcgplayer.com/product/236269" TargetMode="External" Id="rId3967" /><Relationship Type="http://schemas.openxmlformats.org/officeDocument/2006/relationships/hyperlink" Target="https://www.pricecharting.com/game/pokemon-chilling-reign/booster-pack" TargetMode="External" Id="rId3968" /><Relationship Type="http://schemas.openxmlformats.org/officeDocument/2006/relationships/hyperlink" Target="https://www.tcgplayer.com/product/236257" TargetMode="External" Id="rId3969" /><Relationship Type="http://schemas.openxmlformats.org/officeDocument/2006/relationships/hyperlink" Target="https://www.tcgplayer.com/product/702296" TargetMode="External" Id="rId3970" /><Relationship Type="http://schemas.openxmlformats.org/officeDocument/2006/relationships/hyperlink" Target="https://www.tcgplayer.com/product/236276" TargetMode="External" Id="rId3971" /><Relationship Type="http://schemas.openxmlformats.org/officeDocument/2006/relationships/hyperlink" Target="https://www.tcgplayer.com/product/236273" TargetMode="External" Id="rId3972" /><Relationship Type="http://schemas.openxmlformats.org/officeDocument/2006/relationships/hyperlink" Target="https://www.tcgplayer.com/product/236272" TargetMode="External" Id="rId3973" /><Relationship Type="http://schemas.openxmlformats.org/officeDocument/2006/relationships/hyperlink" Target="https://www.pricecharting.com/game/pokemon-chilling-reign/sleeved-booster-pack" TargetMode="External" Id="rId3974" /><Relationship Type="http://schemas.openxmlformats.org/officeDocument/2006/relationships/hyperlink" Target="https://www.tcgplayer.com/product/242013" TargetMode="External" Id="rId3975" /><Relationship Type="http://schemas.openxmlformats.org/officeDocument/2006/relationships/hyperlink" Target="https://www.pricecharting.com/game/pokemon-evolving-skies/3-pack-blister-eiscue" TargetMode="External" Id="rId3976" /><Relationship Type="http://schemas.openxmlformats.org/officeDocument/2006/relationships/hyperlink" Target="https://www.tcgplayer.com/product/242435" TargetMode="External" Id="rId3977" /><Relationship Type="http://schemas.openxmlformats.org/officeDocument/2006/relationships/hyperlink" Target="https://www.pricecharting.com/game/pokemon-evolving-skies/3-pack-blister-umbreon" TargetMode="External" Id="rId3978" /><Relationship Type="http://schemas.openxmlformats.org/officeDocument/2006/relationships/hyperlink" Target="https://www.tcgplayer.com/product/242444" TargetMode="External" Id="rId3979" /><Relationship Type="http://schemas.openxmlformats.org/officeDocument/2006/relationships/hyperlink" Target="https://www.pricecharting.com/game/pokemon-evolving-skies/booster-pack" TargetMode="External" Id="rId3980" /><Relationship Type="http://schemas.openxmlformats.org/officeDocument/2006/relationships/hyperlink" Target="https://www.tcgplayer.com/product/244337" TargetMode="External" Id="rId3981" /><Relationship Type="http://schemas.openxmlformats.org/officeDocument/2006/relationships/hyperlink" Target="https://www.pricecharting.com/game/pokemon-evolving-skies/fun-pack" TargetMode="External" Id="rId3982" /><Relationship Type="http://schemas.openxmlformats.org/officeDocument/2006/relationships/hyperlink" Target="https://www.tcgplayer.com/product/662620" TargetMode="External" Id="rId3983" /><Relationship Type="http://schemas.openxmlformats.org/officeDocument/2006/relationships/hyperlink" Target="https://www.tcgplayer.com/product/247603" TargetMode="External" Id="rId3984" /><Relationship Type="http://schemas.openxmlformats.org/officeDocument/2006/relationships/hyperlink" Target="https://www.tcgplayer.com/product/242437" TargetMode="External" Id="rId3985" /><Relationship Type="http://schemas.openxmlformats.org/officeDocument/2006/relationships/hyperlink" Target="https://www.tcgplayer.com/product/242447" TargetMode="External" Id="rId3986" /><Relationship Type="http://schemas.openxmlformats.org/officeDocument/2006/relationships/hyperlink" Target="https://www.tcgplayer.com/product/247604" TargetMode="External" Id="rId3987" /><Relationship Type="http://schemas.openxmlformats.org/officeDocument/2006/relationships/hyperlink" Target="https://www.pricecharting.com/game/pokemon-evolving-skies/sleeved-booster-pack" TargetMode="External" Id="rId3988" /><Relationship Type="http://schemas.openxmlformats.org/officeDocument/2006/relationships/hyperlink" Target="https://www.tcgplayer.com/product/242438" TargetMode="External" Id="rId3989" /><Relationship Type="http://schemas.openxmlformats.org/officeDocument/2006/relationships/hyperlink" Target="https://www.tcgplayer.com/product/247668" TargetMode="External" Id="rId3990" /><Relationship Type="http://schemas.openxmlformats.org/officeDocument/2006/relationships/hyperlink" Target="https://www.pricecharting.com/game/pokemon-fusion-strike/booster-pack" TargetMode="External" Id="rId3991" /><Relationship Type="http://schemas.openxmlformats.org/officeDocument/2006/relationships/hyperlink" Target="https://www.tcgplayer.com/product/247646" TargetMode="External" Id="rId3992" /><Relationship Type="http://schemas.openxmlformats.org/officeDocument/2006/relationships/hyperlink" Target="https://www.pricecharting.com/game/pokemon-fusion-strike/fun-pack" TargetMode="External" Id="rId3993" /><Relationship Type="http://schemas.openxmlformats.org/officeDocument/2006/relationships/hyperlink" Target="https://www.tcgplayer.com/product/509886" TargetMode="External" Id="rId3994" /><Relationship Type="http://schemas.openxmlformats.org/officeDocument/2006/relationships/hyperlink" Target="https://www.tcgplayer.com/product/247675" TargetMode="External" Id="rId3995" /><Relationship Type="http://schemas.openxmlformats.org/officeDocument/2006/relationships/hyperlink" Target="https://www.tcgplayer.com/product/247670" TargetMode="External" Id="rId3996" /><Relationship Type="http://schemas.openxmlformats.org/officeDocument/2006/relationships/hyperlink" Target="https://www.tcgplayer.com/product/247669" TargetMode="External" Id="rId3997" /><Relationship Type="http://schemas.openxmlformats.org/officeDocument/2006/relationships/hyperlink" Target="https://www.pricecharting.com/game/pokemon-fusion-strike/sleeved-booster-pack" TargetMode="External" Id="rId3998" /><Relationship Type="http://schemas.openxmlformats.org/officeDocument/2006/relationships/hyperlink" Target="https://www.tcgplayer.com/product/247656" TargetMode="External" Id="rId3999" /><Relationship Type="http://schemas.openxmlformats.org/officeDocument/2006/relationships/hyperlink" Target="https://www.tcgplayer.com/product/263545" TargetMode="External" Id="rId4000" /><Relationship Type="http://schemas.openxmlformats.org/officeDocument/2006/relationships/hyperlink" Target="https://www.tcgplayer.com/product/256132" TargetMode="External" Id="rId4001" /><Relationship Type="http://schemas.openxmlformats.org/officeDocument/2006/relationships/hyperlink" Target="https://www.pricecharting.com/game/pokemon-brilliant-stars/booster-pack" TargetMode="External" Id="rId4002" /><Relationship Type="http://schemas.openxmlformats.org/officeDocument/2006/relationships/hyperlink" Target="https://www.tcgplayer.com/product/256124" TargetMode="External" Id="rId4003" /><Relationship Type="http://schemas.openxmlformats.org/officeDocument/2006/relationships/hyperlink" Target="https://www.tcgplayer.com/product/509881" TargetMode="External" Id="rId4004" /><Relationship Type="http://schemas.openxmlformats.org/officeDocument/2006/relationships/hyperlink" Target="https://www.tcgplayer.com/product/684658" TargetMode="External" Id="rId4005" /><Relationship Type="http://schemas.openxmlformats.org/officeDocument/2006/relationships/hyperlink" Target="https://www.tcgplayer.com/product/256128" TargetMode="External" Id="rId4006" /><Relationship Type="http://schemas.openxmlformats.org/officeDocument/2006/relationships/hyperlink" Target="https://www.pricecharting.com/game/pokemon-brilliant-stars/sleeved-booster-pack" TargetMode="External" Id="rId4007" /><Relationship Type="http://schemas.openxmlformats.org/officeDocument/2006/relationships/hyperlink" Target="https://www.tcgplayer.com/product/256125" TargetMode="External" Id="rId4008" /><Relationship Type="http://schemas.openxmlformats.org/officeDocument/2006/relationships/hyperlink" Target="https://www.tcgplayer.com/product/265524" TargetMode="External" Id="rId4009" /><Relationship Type="http://schemas.openxmlformats.org/officeDocument/2006/relationships/hyperlink" Target="https://www.tcgplayer.com/product/265525" TargetMode="External" Id="rId4010" /><Relationship Type="http://schemas.openxmlformats.org/officeDocument/2006/relationships/hyperlink" Target="https://www.pricecharting.com/game/pokemon-astral-radiance/booster-pack" TargetMode="External" Id="rId4011" /><Relationship Type="http://schemas.openxmlformats.org/officeDocument/2006/relationships/hyperlink" Target="https://www.tcgplayer.com/product/265521" TargetMode="External" Id="rId4012" /><Relationship Type="http://schemas.openxmlformats.org/officeDocument/2006/relationships/hyperlink" Target="https://www.tcgplayer.com/product/509895" TargetMode="External" Id="rId4013" /><Relationship Type="http://schemas.openxmlformats.org/officeDocument/2006/relationships/hyperlink" Target="https://www.tcgplayer.com/product/489340" TargetMode="External" Id="rId4014" /><Relationship Type="http://schemas.openxmlformats.org/officeDocument/2006/relationships/hyperlink" Target="https://www.tcgplayer.com/product/489342" TargetMode="External" Id="rId4015" /><Relationship Type="http://schemas.openxmlformats.org/officeDocument/2006/relationships/hyperlink" Target="https://www.tcgplayer.com/product/489341" TargetMode="External" Id="rId4016" /><Relationship Type="http://schemas.openxmlformats.org/officeDocument/2006/relationships/hyperlink" Target="https://www.tcgplayer.com/product/489339" TargetMode="External" Id="rId4017" /><Relationship Type="http://schemas.openxmlformats.org/officeDocument/2006/relationships/hyperlink" Target="https://www.tcgplayer.com/product/265523" TargetMode="External" Id="rId4018" /><Relationship Type="http://schemas.openxmlformats.org/officeDocument/2006/relationships/hyperlink" Target="https://www.tcgplayer.com/product/265558" TargetMode="External" Id="rId4019" /><Relationship Type="http://schemas.openxmlformats.org/officeDocument/2006/relationships/hyperlink" Target="https://www.tcgplayer.com/product/265522" TargetMode="External" Id="rId4020" /><Relationship Type="http://schemas.openxmlformats.org/officeDocument/2006/relationships/hyperlink" Target="https://www.pricecharting.com/game/pokemon-astral-radiance/sleeved-booster-pack" TargetMode="External" Id="rId4021" /><Relationship Type="http://schemas.openxmlformats.org/officeDocument/2006/relationships/hyperlink" Target="https://www.tcgplayer.com/product/265526" TargetMode="External" Id="rId4022" /><Relationship Type="http://schemas.openxmlformats.org/officeDocument/2006/relationships/hyperlink" Target="https://www.tcgplayer.com/product/277329" TargetMode="External" Id="rId4023" /><Relationship Type="http://schemas.openxmlformats.org/officeDocument/2006/relationships/hyperlink" Target="https://www.tcgplayer.com/product/278792" TargetMode="External" Id="rId4024" /><Relationship Type="http://schemas.openxmlformats.org/officeDocument/2006/relationships/hyperlink" Target="https://www.tcgplayer.com/product/277330" TargetMode="External" Id="rId4025" /><Relationship Type="http://schemas.openxmlformats.org/officeDocument/2006/relationships/hyperlink" Target="https://www.pricecharting.com/game/pokemon-lost-origin/booster-pack" TargetMode="External" Id="rId4026" /><Relationship Type="http://schemas.openxmlformats.org/officeDocument/2006/relationships/hyperlink" Target="https://www.tcgplayer.com/product/277325" TargetMode="External" Id="rId4027" /><Relationship Type="http://schemas.openxmlformats.org/officeDocument/2006/relationships/hyperlink" Target="https://www.tcgplayer.com/product/277331" TargetMode="External" Id="rId4028" /><Relationship Type="http://schemas.openxmlformats.org/officeDocument/2006/relationships/hyperlink" Target="https://www.tcgplayer.com/product/277334" TargetMode="External" Id="rId4029" /><Relationship Type="http://schemas.openxmlformats.org/officeDocument/2006/relationships/hyperlink" Target="https://www.tcgplayer.com/product/277327" TargetMode="External" Id="rId4030" /><Relationship Type="http://schemas.openxmlformats.org/officeDocument/2006/relationships/hyperlink" Target="https://www.tcgplayer.com/product/277328" TargetMode="External" Id="rId4031" /><Relationship Type="http://schemas.openxmlformats.org/officeDocument/2006/relationships/hyperlink" Target="https://www.tcgplayer.com/product/278797" TargetMode="External" Id="rId4032" /><Relationship Type="http://schemas.openxmlformats.org/officeDocument/2006/relationships/hyperlink" Target="https://www.pricecharting.com/game/pokemon-lost-origin/sleeved-booster-pack" TargetMode="External" Id="rId4033" /><Relationship Type="http://schemas.openxmlformats.org/officeDocument/2006/relationships/hyperlink" Target="https://www.tcgplayer.com/product/277326" TargetMode="External" Id="rId4034" /><Relationship Type="http://schemas.openxmlformats.org/officeDocument/2006/relationships/hyperlink" Target="https://www.tcgplayer.com/product/283394" TargetMode="External" Id="rId4035" /><Relationship Type="http://schemas.openxmlformats.org/officeDocument/2006/relationships/hyperlink" Target="https://www.tcgplayer.com/product/285779" TargetMode="External" Id="rId4036" /><Relationship Type="http://schemas.openxmlformats.org/officeDocument/2006/relationships/hyperlink" Target="https://www.pricecharting.com/game/pokemon-silver-tempest/3-pack-blister-togetic" TargetMode="External" Id="rId4037" /><Relationship Type="http://schemas.openxmlformats.org/officeDocument/2006/relationships/hyperlink" Target="https://www.tcgplayer.com/product/283393" TargetMode="External" Id="rId4038" /><Relationship Type="http://schemas.openxmlformats.org/officeDocument/2006/relationships/hyperlink" Target="https://www.pricecharting.com/game/pokemon-silver-tempest/booster-pack" TargetMode="External" Id="rId4039" /><Relationship Type="http://schemas.openxmlformats.org/officeDocument/2006/relationships/hyperlink" Target="https://www.tcgplayer.com/product/283388" TargetMode="External" Id="rId4040" /><Relationship Type="http://schemas.openxmlformats.org/officeDocument/2006/relationships/hyperlink" Target="https://www.tcgplayer.com/product/285784" TargetMode="External" Id="rId4041" /><Relationship Type="http://schemas.openxmlformats.org/officeDocument/2006/relationships/hyperlink" Target="https://www.tcgplayer.com/product/285783" TargetMode="External" Id="rId4042" /><Relationship Type="http://schemas.openxmlformats.org/officeDocument/2006/relationships/hyperlink" Target="https://www.tcgplayer.com/product/285780" TargetMode="External" Id="rId4043" /><Relationship Type="http://schemas.openxmlformats.org/officeDocument/2006/relationships/hyperlink" Target="https://www.tcgplayer.com/product/285782" TargetMode="External" Id="rId4044" /><Relationship Type="http://schemas.openxmlformats.org/officeDocument/2006/relationships/hyperlink" Target="https://www.pricecharting.com/game/pokemon-silver-tempest/sleeved-booster-pack" TargetMode="External" Id="rId4045" /><Relationship Type="http://schemas.openxmlformats.org/officeDocument/2006/relationships/hyperlink" Target="https://www.tcgplayer.com/product/283397" TargetMode="External" Id="rId4046" /><Relationship Type="http://schemas.openxmlformats.org/officeDocument/2006/relationships/hyperlink" Target="https://www.pricecharting.com/game/pokemon-crown-zenith/booster-pack" TargetMode="External" Id="rId4047" /><Relationship Type="http://schemas.openxmlformats.org/officeDocument/2006/relationships/hyperlink" Target="https://www.tcgplayer.com/product/453466" TargetMode="External" Id="rId4048" /><Relationship Type="http://schemas.openxmlformats.org/officeDocument/2006/relationships/hyperlink" Target="https://www.pricecharting.com/game/pokemon-team-rocket/booster-pack" TargetMode="External" Id="rId4049" /><Relationship Type="http://schemas.openxmlformats.org/officeDocument/2006/relationships/hyperlink" Target="https://www.pricecharting.com/game/pokemon-team-rocket/booster-pack-1st-edition" TargetMode="External" Id="rId4050" /><Relationship Type="http://schemas.openxmlformats.org/officeDocument/2006/relationships/hyperlink" Target="https://www.tcgplayer.com/product/138136" TargetMode="External" Id="rId4051" /><Relationship Type="http://schemas.openxmlformats.org/officeDocument/2006/relationships/hyperlink" Target="https://www.tcgplayer.com/product/138135" TargetMode="External" Id="rId4052" /><Relationship Type="http://schemas.openxmlformats.org/officeDocument/2006/relationships/hyperlink" Target="https://www.pricecharting.com/game/pokemon-team-rocket-returns/blister-pack" TargetMode="External" Id="rId4053" /><Relationship Type="http://schemas.openxmlformats.org/officeDocument/2006/relationships/hyperlink" Target="https://www.pricecharting.com/game/pokemon-team-up/blister-pack" TargetMode="External" Id="rId4054" /><Relationship Type="http://schemas.openxmlformats.org/officeDocument/2006/relationships/hyperlink" Target="https://www.pricecharting.com/game/pokemon-team-up/sampling-pack" TargetMode="External" Id="rId4055" /><Relationship Type="http://schemas.openxmlformats.org/officeDocument/2006/relationships/hyperlink" Target="https://www.pricecharting.com/game/pokemon-temporal-forces/single-blister-pack-bellibolt" TargetMode="External" Id="rId4056" /><Relationship Type="http://schemas.openxmlformats.org/officeDocument/2006/relationships/hyperlink" Target="https://www.pricecharting.com/game/pokemon-temporal-forces/single-blister-pack-carvanha" TargetMode="External" Id="rId4057" /><Relationship Type="http://schemas.openxmlformats.org/officeDocument/2006/relationships/hyperlink" Target="https://www.pricecharting.com/game/pokemon-trick-or-trade-2022/booster-pack" TargetMode="External" Id="rId4058" /><Relationship Type="http://schemas.openxmlformats.org/officeDocument/2006/relationships/hyperlink" Target="https://www.pricecharting.com/game/pokemon-trick-or-trade-2023/booster-pack" TargetMode="External" Id="rId4059" /><Relationship Type="http://schemas.openxmlformats.org/officeDocument/2006/relationships/hyperlink" Target="https://www.pricecharting.com/game/pokemon-trick-or-trade-2024/booster-pack" TargetMode="External" Id="rId4060" /><Relationship Type="http://schemas.openxmlformats.org/officeDocument/2006/relationships/hyperlink" Target="https://www.pricecharting.com/game/pokemon-triumphant/blister-pack" TargetMode="External" Id="rId4061" /><Relationship Type="http://schemas.openxmlformats.org/officeDocument/2006/relationships/hyperlink" Target="https://www.pricecharting.com/game/pokemon-triumphant/booster-pack" TargetMode="External" Id="rId4062" /><Relationship Type="http://schemas.openxmlformats.org/officeDocument/2006/relationships/hyperlink" Target="https://www.tcgplayer.com/product/98534" TargetMode="External" Id="rId4063" /><Relationship Type="http://schemas.openxmlformats.org/officeDocument/2006/relationships/hyperlink" Target="https://www.pricecharting.com/game/pokemon-twilight-masquerade/blister-pack-pupitar" TargetMode="External" Id="rId4064" /><Relationship Type="http://schemas.openxmlformats.org/officeDocument/2006/relationships/hyperlink" Target="https://www.pricecharting.com/game/pokemon-twilight-masquerade/blister-pack-toxel" TargetMode="External" Id="rId4065" /><Relationship Type="http://schemas.openxmlformats.org/officeDocument/2006/relationships/hyperlink" Target="https://www.pricecharting.com/game/pokemon-unbroken-bonds/blister-pack" TargetMode="External" Id="rId4066" /><Relationship Type="http://schemas.openxmlformats.org/officeDocument/2006/relationships/hyperlink" Target="https://www.pricecharting.com/game/pokemon-unbroken-bonds/blister-pack-pikachu" TargetMode="External" Id="rId4067" /><Relationship Type="http://schemas.openxmlformats.org/officeDocument/2006/relationships/hyperlink" Target="https://www.pricecharting.com/game/pokemon-unbroken-bonds/mini-booster-pack" TargetMode="External" Id="rId4068" /><Relationship Type="http://schemas.openxmlformats.org/officeDocument/2006/relationships/hyperlink" Target="https://www.pricecharting.com/game/pokemon-undaunted/blister-pack" TargetMode="External" Id="rId4069" /><Relationship Type="http://schemas.openxmlformats.org/officeDocument/2006/relationships/hyperlink" Target="https://www.pricecharting.com/game/pokemon-undaunted/booster-pack" TargetMode="External" Id="rId4070" /><Relationship Type="http://schemas.openxmlformats.org/officeDocument/2006/relationships/hyperlink" Target="https://www.tcgplayer.com/product/98586" TargetMode="External" Id="rId4071" /><Relationship Type="http://schemas.openxmlformats.org/officeDocument/2006/relationships/hyperlink" Target="https://www.pricecharting.com/game/pokemon-unified-minds/mini-booster-pack" TargetMode="External" Id="rId4072" /><Relationship Type="http://schemas.openxmlformats.org/officeDocument/2006/relationships/hyperlink" Target="https://www.pricecharting.com/game/pokemon-unified-minds/pikachu-blister-pack" TargetMode="External" Id="rId4073" /><Relationship Type="http://schemas.openxmlformats.org/officeDocument/2006/relationships/hyperlink" Target="https://www.pricecharting.com/game/pokemon-unified-minds/triple-blister-pack" TargetMode="External" Id="rId4074" /><Relationship Type="http://schemas.openxmlformats.org/officeDocument/2006/relationships/hyperlink" Target="https://www.pricecharting.com/game/pokemon-unleashed/blister-pack" TargetMode="External" Id="rId4075" /><Relationship Type="http://schemas.openxmlformats.org/officeDocument/2006/relationships/hyperlink" Target="https://www.pricecharting.com/game/pokemon-unleashed/booster-pack" TargetMode="External" Id="rId4076" /><Relationship Type="http://schemas.openxmlformats.org/officeDocument/2006/relationships/hyperlink" Target="https://www.tcgplayer.com/product/98582" TargetMode="External" Id="rId4077" /><Relationship Type="http://schemas.openxmlformats.org/officeDocument/2006/relationships/hyperlink" Target="https://www.pricecharting.com/game/pokemon-xy/booster-pack" TargetMode="External" Id="rId4078" /><Relationship Type="http://schemas.openxmlformats.org/officeDocument/2006/relationships/hyperlink" Target="https://www.pricecharting.com/game/pokemon-xy/mini-booster-pack" TargetMode="External" Id="rId4079" /><Relationship Type="http://schemas.openxmlformats.org/officeDocument/2006/relationships/hyperlink" Target="https://www.pricecharting.com/game/pokemon-xy/sleeved-booster-pack" TargetMode="External" Id="rId4080" /><Relationship Type="http://schemas.openxmlformats.org/officeDocument/2006/relationships/hyperlink" Target="https://www.tcgplayer.com/product/100493" TargetMode="External" Id="rId4081" /><Relationship Type="http://schemas.openxmlformats.org/officeDocument/2006/relationships/hyperlink" Target="https://www.pricecharting.com/game/pokemon-ancient-origins/3-pack-blister-salamence" TargetMode="External" Id="rId4082" /><Relationship Type="http://schemas.openxmlformats.org/officeDocument/2006/relationships/hyperlink" Target="https://www.tcgplayer.com/product/100494" TargetMode="External" Id="rId4083" /><Relationship Type="http://schemas.openxmlformats.org/officeDocument/2006/relationships/hyperlink" Target="https://www.tcgplayer.com/product/100490" TargetMode="External" Id="rId4084" /><Relationship Type="http://schemas.openxmlformats.org/officeDocument/2006/relationships/hyperlink" Target="https://www.tcgplayer.com/product/117272" TargetMode="External" Id="rId4085" /><Relationship Type="http://schemas.openxmlformats.org/officeDocument/2006/relationships/hyperlink" Target="https://www.tcgplayer.com/product/117270" TargetMode="External" Id="rId4086" /><Relationship Type="http://schemas.openxmlformats.org/officeDocument/2006/relationships/hyperlink" Target="https://www.tcgplayer.com/product/117271" TargetMode="External" Id="rId4087" /><Relationship Type="http://schemas.openxmlformats.org/officeDocument/2006/relationships/hyperlink" Target="https://www.tcgplayer.com/product/542096" TargetMode="External" Id="rId4088" /><Relationship Type="http://schemas.openxmlformats.org/officeDocument/2006/relationships/hyperlink" Target="https://www.tcgplayer.com/product/111279" TargetMode="External" Id="rId4089" /><Relationship Type="http://schemas.openxmlformats.org/officeDocument/2006/relationships/hyperlink" Target="https://www.tcgplayer.com/product/117275" TargetMode="External" Id="rId4090" /><Relationship Type="http://schemas.openxmlformats.org/officeDocument/2006/relationships/hyperlink" Target="https://www.tcgplayer.com/product/108638" TargetMode="External" Id="rId4091" /><Relationship Type="http://schemas.openxmlformats.org/officeDocument/2006/relationships/hyperlink" Target="https://www.tcgplayer.com/product/108637" TargetMode="External" Id="rId4092" /><Relationship Type="http://schemas.openxmlformats.org/officeDocument/2006/relationships/hyperlink" Target="https://www.pricecharting.com/game/pokemon-breakthrough/sleeved-booster-pack" TargetMode="External" Id="rId4093" /><Relationship Type="http://schemas.openxmlformats.org/officeDocument/2006/relationships/hyperlink" Target="https://www.tcgplayer.com/product/550675" TargetMode="External" Id="rId4094" /><Relationship Type="http://schemas.openxmlformats.org/officeDocument/2006/relationships/hyperlink" Target="https://www.tcgplayer.com/product/107666" TargetMode="External" Id="rId4095" /><Relationship Type="http://schemas.openxmlformats.org/officeDocument/2006/relationships/hyperlink" Target="https://www.pricecharting.com/game/pokemon-evolutions/booster-pack" TargetMode="External" Id="rId4096" /><Relationship Type="http://schemas.openxmlformats.org/officeDocument/2006/relationships/hyperlink" Target="https://www.tcgplayer.com/product/129907" TargetMode="External" Id="rId4097" /><Relationship Type="http://schemas.openxmlformats.org/officeDocument/2006/relationships/hyperlink" Target="https://www.tcgplayer.com/product/686507" TargetMode="External" Id="rId4098" /><Relationship Type="http://schemas.openxmlformats.org/officeDocument/2006/relationships/hyperlink" Target="https://www.tcgplayer.com/product/272648" TargetMode="External" Id="rId4099" /><Relationship Type="http://schemas.openxmlformats.org/officeDocument/2006/relationships/hyperlink" Target="https://www.tcgplayer.com/product/118338" TargetMode="External" Id="rId4100" /><Relationship Type="http://schemas.openxmlformats.org/officeDocument/2006/relationships/hyperlink" Target="https://www.tcgplayer.com/product/118337" TargetMode="External" Id="rId4101" /><Relationship Type="http://schemas.openxmlformats.org/officeDocument/2006/relationships/hyperlink" Target="https://www.tcgplayer.com/product/118340" TargetMode="External" Id="rId4102" /><Relationship Type="http://schemas.openxmlformats.org/officeDocument/2006/relationships/hyperlink" Target="https://www.tcgplayer.com/product/504698" TargetMode="External" Id="rId4103" /><Relationship Type="http://schemas.openxmlformats.org/officeDocument/2006/relationships/hyperlink" Target="https://www.tcgplayer.com/product/504699" TargetMode="External" Id="rId4104" /><Relationship Type="http://schemas.openxmlformats.org/officeDocument/2006/relationships/hyperlink" Target="https://www.tcgplayer.com/product/504700" TargetMode="External" Id="rId4105" /><Relationship Type="http://schemas.openxmlformats.org/officeDocument/2006/relationships/hyperlink" Target="https://www.tcgplayer.com/product/168114" TargetMode="External" Id="rId4106" /><Relationship Type="http://schemas.openxmlformats.org/officeDocument/2006/relationships/hyperlink" Target="https://www.pricecharting.com/game/pokemon-flashfire/booster-pack" TargetMode="External" Id="rId4107" /><Relationship Type="http://schemas.openxmlformats.org/officeDocument/2006/relationships/hyperlink" Target="https://www.tcgplayer.com/product/91595" TargetMode="External" Id="rId4108" /><Relationship Type="http://schemas.openxmlformats.org/officeDocument/2006/relationships/hyperlink" Target="https://www.tcgplayer.com/product/524332" TargetMode="External" Id="rId4109" /><Relationship Type="http://schemas.openxmlformats.org/officeDocument/2006/relationships/hyperlink" Target="https://www.tcgplayer.com/product/97773" TargetMode="External" Id="rId4110" /><Relationship Type="http://schemas.openxmlformats.org/officeDocument/2006/relationships/hyperlink" Target="https://www.tcgplayer.com/product/97772" TargetMode="External" Id="rId4111" /><Relationship Type="http://schemas.openxmlformats.org/officeDocument/2006/relationships/hyperlink" Target="https://www.tcgplayer.com/product/97768" TargetMode="External" Id="rId4112" /><Relationship Type="http://schemas.openxmlformats.org/officeDocument/2006/relationships/hyperlink" Target="https://www.pricecharting.com/game/pokemon-furious-fists/booster-pack" TargetMode="External" Id="rId4113" /><Relationship Type="http://schemas.openxmlformats.org/officeDocument/2006/relationships/hyperlink" Target="https://www.tcgplayer.com/product/92169" TargetMode="External" Id="rId4114" /><Relationship Type="http://schemas.openxmlformats.org/officeDocument/2006/relationships/hyperlink" Target="https://www.tcgplayer.com/product/97770" TargetMode="External" Id="rId4115" /><Relationship Type="http://schemas.openxmlformats.org/officeDocument/2006/relationships/hyperlink" Target="https://www.tcgplayer.com/product/97771" TargetMode="External" Id="rId4116" /><Relationship Type="http://schemas.openxmlformats.org/officeDocument/2006/relationships/hyperlink" Target="https://www.tcgplayer.com/product/550673" TargetMode="External" Id="rId4117" /><Relationship Type="http://schemas.openxmlformats.org/officeDocument/2006/relationships/hyperlink" Target="https://www.pricecharting.com/game/pokemon-phantom-forces/sleeved-booster-pack" TargetMode="External" Id="rId4118" /><Relationship Type="http://schemas.openxmlformats.org/officeDocument/2006/relationships/hyperlink" Target="https://www.tcgplayer.com/product/550676" TargetMode="External" Id="rId4119" /><Relationship Type="http://schemas.openxmlformats.org/officeDocument/2006/relationships/hyperlink" Target="https://www.tcgplayer.com/product/94622" TargetMode="External" Id="rId4120" /><Relationship Type="http://schemas.openxmlformats.org/officeDocument/2006/relationships/hyperlink" Target="https://www.tcgplayer.com/product/97758" TargetMode="External" Id="rId4121" /><Relationship Type="http://schemas.openxmlformats.org/officeDocument/2006/relationships/hyperlink" Target="https://www.tcgplayer.com/product/546608" TargetMode="External" Id="rId4122" /><Relationship Type="http://schemas.openxmlformats.org/officeDocument/2006/relationships/hyperlink" Target="https://www.tcgplayer.com/product/97751" TargetMode="External" Id="rId4123" /><Relationship Type="http://schemas.openxmlformats.org/officeDocument/2006/relationships/hyperlink" Target="https://www.tcgplayer.com/product/100501" TargetMode="External" Id="rId4124" /><Relationship Type="http://schemas.openxmlformats.org/officeDocument/2006/relationships/hyperlink" Target="https://www.pricecharting.com/game/pokemon-roaring-skies/booster-pack" TargetMode="External" Id="rId4125" /><Relationship Type="http://schemas.openxmlformats.org/officeDocument/2006/relationships/hyperlink" Target="https://www.tcgplayer.com/product/129906" TargetMode="External" Id="rId4126" /><Relationship Type="http://schemas.openxmlformats.org/officeDocument/2006/relationships/hyperlink" Target="https://www.pricecharting.com/game/pokemon-roaring-skies/sleeved-booster-pack" TargetMode="External" Id="rId4127" /><Relationship Type="http://schemas.openxmlformats.org/officeDocument/2006/relationships/hyperlink" Target="https://www.tcgplayer.com/product/697502" TargetMode="External" Id="rId4128" /><Relationship Type="http://schemas.openxmlformats.org/officeDocument/2006/relationships/hyperlink" Target="https://www.tcgplayer.com/product/120704" TargetMode="External" Id="rId4129" /><Relationship Type="http://schemas.openxmlformats.org/officeDocument/2006/relationships/hyperlink" Target="https://www.tcgplayer.com/product/120705" TargetMode="External" Id="rId4130" /><Relationship Type="http://schemas.openxmlformats.org/officeDocument/2006/relationships/hyperlink" Target="https://www.tcgplayer.com/product/130013" TargetMode="External" Id="rId4131" /><Relationship Type="http://schemas.openxmlformats.org/officeDocument/2006/relationships/hyperlink" Target="https://www.tcgplayer.com/product/120702" TargetMode="External" Id="rId4132" /><Relationship Type="http://schemas.openxmlformats.org/officeDocument/2006/relationships/hyperlink" Target="https://www.tcgplayer.com/product/268448" TargetMode="External" Id="rId4133" /><Relationship Type="http://schemas.openxmlformats.org/officeDocument/2006/relationships/hyperlink" Target="https://www.tcgplayer.com/product/562107" TargetMode="External" Id="rId4134" /><Relationship Type="http://schemas.openxmlformats.org/officeDocument/2006/relationships/hyperlink" Target="https://www.tcgplayer.com/product/91602" TargetMode="External" Id="rId4135" /><Relationship Type="http://schemas.openxmlformats.org/officeDocument/2006/relationships/hyperlink" Target="https://www.tcgplayer.com/product/97733" TargetMode="External" Id="rId413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ricecharting.com/game/one-piece-japanese-premium-booster/sealed-storage-box-set" TargetMode="External" Id="rId1" /><Relationship Type="http://schemas.openxmlformats.org/officeDocument/2006/relationships/hyperlink" Target="https://www.tcgplayer.com/product/717458" TargetMode="External" Id="rId2" /><Relationship Type="http://schemas.openxmlformats.org/officeDocument/2006/relationships/hyperlink" Target="https://www.tcgplayer.com/product/700808" TargetMode="External" Id="rId3" /><Relationship Type="http://schemas.openxmlformats.org/officeDocument/2006/relationships/hyperlink" Target="https://www.pricecharting.com/game/one-piece-promo/sealed-anniversary-storage-box" TargetMode="External" Id="rId4" /><Relationship Type="http://schemas.openxmlformats.org/officeDocument/2006/relationships/hyperlink" Target="https://www.pricecharting.com/game/one-piece-seven-warlords-of-the-sea-binder-set/sealed-binder-set" TargetMode="External" Id="rId5" /><Relationship Type="http://schemas.openxmlformats.org/officeDocument/2006/relationships/hyperlink" Target="https://www.tcgplayer.com/product/532107" TargetMode="External" Id="rId6" /><Relationship Type="http://schemas.openxmlformats.org/officeDocument/2006/relationships/hyperlink" Target="https://www.tcgplayer.com/product/549495" TargetMode="External" Id="rId7" /><Relationship Type="http://schemas.openxmlformats.org/officeDocument/2006/relationships/hyperlink" Target="https://www.tcgplayer.com/product/620181" TargetMode="External" Id="rId8" /><Relationship Type="http://schemas.openxmlformats.org/officeDocument/2006/relationships/hyperlink" Target="https://www.tcgplayer.com/product/606562" TargetMode="External" Id="rId9" /><Relationship Type="http://schemas.openxmlformats.org/officeDocument/2006/relationships/hyperlink" Target="https://www.tcgplayer.com/product/682058" TargetMode="External" Id="rId10" /><Relationship Type="http://schemas.openxmlformats.org/officeDocument/2006/relationships/hyperlink" Target="https://www.tcgplayer.com/product/682790" TargetMode="External" Id="rId11" /><Relationship Type="http://schemas.openxmlformats.org/officeDocument/2006/relationships/hyperlink" Target="https://www.tcgplayer.com/product/498735" TargetMode="External" Id="rId12" /><Relationship Type="http://schemas.openxmlformats.org/officeDocument/2006/relationships/hyperlink" Target="https://www.tcgplayer.com/product/527062" TargetMode="External" Id="rId13" /><Relationship Type="http://schemas.openxmlformats.org/officeDocument/2006/relationships/hyperlink" Target="https://www.tcgplayer.com/product/527063" TargetMode="External" Id="rId14" /><Relationship Type="http://schemas.openxmlformats.org/officeDocument/2006/relationships/hyperlink" Target="https://www.tcgplayer.com/product/628353" TargetMode="External" Id="rId15" /><Relationship Type="http://schemas.openxmlformats.org/officeDocument/2006/relationships/hyperlink" Target="https://www.tcgplayer.com/product/563843" TargetMode="External" Id="rId16" /><Relationship Type="http://schemas.openxmlformats.org/officeDocument/2006/relationships/hyperlink" Target="https://www.tcgplayer.com/product/563835" TargetMode="External" Id="rId17" /><Relationship Type="http://schemas.openxmlformats.org/officeDocument/2006/relationships/hyperlink" Target="https://www.tcgplayer.com/product/594070" TargetMode="External" Id="rId18" /><Relationship Type="http://schemas.openxmlformats.org/officeDocument/2006/relationships/hyperlink" Target="https://www.tcgplayer.com/product/521162" TargetMode="External" Id="rId19" /><Relationship Type="http://schemas.openxmlformats.org/officeDocument/2006/relationships/hyperlink" Target="https://www.tcgplayer.com/product/666892" TargetMode="External" Id="rId20" /><Relationship Type="http://schemas.openxmlformats.org/officeDocument/2006/relationships/hyperlink" Target="https://www.tcgplayer.com/product/711386" TargetMode="External" Id="rId21" /><Relationship Type="http://schemas.openxmlformats.org/officeDocument/2006/relationships/hyperlink" Target="https://www.tcgplayer.com/product/514029" TargetMode="External" Id="rId22" /><Relationship Type="http://schemas.openxmlformats.org/officeDocument/2006/relationships/hyperlink" Target="https://www.tcgplayer.com/product/485834" TargetMode="External" Id="rId23" /><Relationship Type="http://schemas.openxmlformats.org/officeDocument/2006/relationships/hyperlink" Target="https://www.tcgplayer.com/product/628479" TargetMode="External" Id="rId24" /><Relationship Type="http://schemas.openxmlformats.org/officeDocument/2006/relationships/hyperlink" Target="https://www.tcgplayer.com/product/628349" TargetMode="External" Id="rId25" /><Relationship Type="http://schemas.openxmlformats.org/officeDocument/2006/relationships/hyperlink" Target="https://www.tcgplayer.com/product/628347" TargetMode="External" Id="rId26" /><Relationship Type="http://schemas.openxmlformats.org/officeDocument/2006/relationships/hyperlink" Target="https://www.tcgplayer.com/product/593447" TargetMode="External" Id="rId27" /><Relationship Type="http://schemas.openxmlformats.org/officeDocument/2006/relationships/hyperlink" Target="https://www.tcgplayer.com/product/493744" TargetMode="External" Id="rId28" /><Relationship Type="http://schemas.openxmlformats.org/officeDocument/2006/relationships/hyperlink" Target="https://www.tcgplayer.com/product/672601" TargetMode="External" Id="rId29" /><Relationship Type="http://schemas.openxmlformats.org/officeDocument/2006/relationships/hyperlink" Target="https://www.tcgplayer.com/product/672604" TargetMode="External" Id="rId30" /><Relationship Type="http://schemas.openxmlformats.org/officeDocument/2006/relationships/hyperlink" Target="https://www.tcgplayer.com/product/711511" TargetMode="External" Id="rId31" /><Relationship Type="http://schemas.openxmlformats.org/officeDocument/2006/relationships/hyperlink" Target="https://www.tcgplayer.com/product/711512" TargetMode="External" Id="rId32" /><Relationship Type="http://schemas.openxmlformats.org/officeDocument/2006/relationships/hyperlink" Target="https://www.tcgplayer.com/product/620280" TargetMode="External" Id="rId33" /><Relationship Type="http://schemas.openxmlformats.org/officeDocument/2006/relationships/hyperlink" Target="https://www.tcgplayer.com/product/620281" TargetMode="External" Id="rId34" /><Relationship Type="http://schemas.openxmlformats.org/officeDocument/2006/relationships/hyperlink" Target="https://www.tcgplayer.com/product/657218" TargetMode="External" Id="rId35" /><Relationship Type="http://schemas.openxmlformats.org/officeDocument/2006/relationships/hyperlink" Target="https://www.tcgplayer.com/product/657219" TargetMode="External" Id="rId36" /><Relationship Type="http://schemas.openxmlformats.org/officeDocument/2006/relationships/hyperlink" Target="https://www.tcgplayer.com/product/646249" TargetMode="External" Id="rId37" /><Relationship Type="http://schemas.openxmlformats.org/officeDocument/2006/relationships/hyperlink" Target="https://www.tcgplayer.com/product/455867" TargetMode="External" Id="rId38" /><Relationship Type="http://schemas.openxmlformats.org/officeDocument/2006/relationships/hyperlink" Target="https://www.tcgplayer.com/product/477177" TargetMode="External" Id="rId39" /><Relationship Type="http://schemas.openxmlformats.org/officeDocument/2006/relationships/hyperlink" Target="https://www.pricecharting.com/game/one-piece-premium-booster/premium-booster-display-prb01" TargetMode="External" Id="rId40" /><Relationship Type="http://schemas.openxmlformats.org/officeDocument/2006/relationships/hyperlink" Target="https://www.tcgplayer.com/product/545400" TargetMode="External" Id="rId41" /><Relationship Type="http://schemas.openxmlformats.org/officeDocument/2006/relationships/hyperlink" Target="https://www.tcgplayer.com/product/628453" TargetMode="External" Id="rId42" /><Relationship Type="http://schemas.openxmlformats.org/officeDocument/2006/relationships/hyperlink" Target="https://www.tcgplayer.com/product/650853" TargetMode="External" Id="rId43" /><Relationship Type="http://schemas.openxmlformats.org/officeDocument/2006/relationships/hyperlink" Target="https://www.tcgplayer.com/product/450087" TargetMode="External" Id="rId44" /><Relationship Type="http://schemas.openxmlformats.org/officeDocument/2006/relationships/hyperlink" Target="https://www.tcgplayer.com/product/586673" TargetMode="External" Id="rId45" /><Relationship Type="http://schemas.openxmlformats.org/officeDocument/2006/relationships/hyperlink" Target="https://www.tcgplayer.com/product/694894" TargetMode="External" Id="rId46" /><Relationship Type="http://schemas.openxmlformats.org/officeDocument/2006/relationships/hyperlink" Target="https://www.tcgplayer.com/product/288222" TargetMode="External" Id="rId47" /><Relationship Type="http://schemas.openxmlformats.org/officeDocument/2006/relationships/hyperlink" Target="https://www.tcgplayer.com/product/288231" TargetMode="External" Id="rId48" /><Relationship Type="http://schemas.openxmlformats.org/officeDocument/2006/relationships/hyperlink" Target="https://www.tcgplayer.com/product/288223" TargetMode="External" Id="rId49" /><Relationship Type="http://schemas.openxmlformats.org/officeDocument/2006/relationships/hyperlink" Target="https://www.tcgplayer.com/product/455860" TargetMode="External" Id="rId50" /><Relationship Type="http://schemas.openxmlformats.org/officeDocument/2006/relationships/hyperlink" Target="https://www.tcgplayer.com/product/455869" TargetMode="External" Id="rId51" /><Relationship Type="http://schemas.openxmlformats.org/officeDocument/2006/relationships/hyperlink" Target="https://www.tcgplayer.com/product/480240" TargetMode="External" Id="rId52" /><Relationship Type="http://schemas.openxmlformats.org/officeDocument/2006/relationships/hyperlink" Target="https://www.tcgplayer.com/product/502976" TargetMode="External" Id="rId53" /><Relationship Type="http://schemas.openxmlformats.org/officeDocument/2006/relationships/hyperlink" Target="https://www.tcgplayer.com/product/502979" TargetMode="External" Id="rId54" /><Relationship Type="http://schemas.openxmlformats.org/officeDocument/2006/relationships/hyperlink" Target="https://www.tcgplayer.com/product/502980" TargetMode="External" Id="rId55" /><Relationship Type="http://schemas.openxmlformats.org/officeDocument/2006/relationships/hyperlink" Target="https://www.tcgplayer.com/product/502983" TargetMode="External" Id="rId56" /><Relationship Type="http://schemas.openxmlformats.org/officeDocument/2006/relationships/hyperlink" Target="https://www.tcgplayer.com/product/515296" TargetMode="External" Id="rId57" /><Relationship Type="http://schemas.openxmlformats.org/officeDocument/2006/relationships/hyperlink" Target="https://www.tcgplayer.com/product/536586" TargetMode="External" Id="rId58" /><Relationship Type="http://schemas.openxmlformats.org/officeDocument/2006/relationships/hyperlink" Target="https://www.tcgplayer.com/product/543596" TargetMode="External" Id="rId59" /><Relationship Type="http://schemas.openxmlformats.org/officeDocument/2006/relationships/hyperlink" Target="https://www.tcgplayer.com/product/545028" TargetMode="External" Id="rId60" /><Relationship Type="http://schemas.openxmlformats.org/officeDocument/2006/relationships/hyperlink" Target="https://www.tcgplayer.com/product/545034" TargetMode="External" Id="rId61" /><Relationship Type="http://schemas.openxmlformats.org/officeDocument/2006/relationships/hyperlink" Target="https://www.tcgplayer.com/product/545037" TargetMode="External" Id="rId62" /><Relationship Type="http://schemas.openxmlformats.org/officeDocument/2006/relationships/hyperlink" Target="https://www.tcgplayer.com/product/545040" TargetMode="External" Id="rId63" /><Relationship Type="http://schemas.openxmlformats.org/officeDocument/2006/relationships/hyperlink" Target="https://www.tcgplayer.com/product/545043" TargetMode="External" Id="rId64" /><Relationship Type="http://schemas.openxmlformats.org/officeDocument/2006/relationships/hyperlink" Target="https://www.tcgplayer.com/product/545046" TargetMode="External" Id="rId65" /><Relationship Type="http://schemas.openxmlformats.org/officeDocument/2006/relationships/hyperlink" Target="https://www.tcgplayer.com/product/606576" TargetMode="External" Id="rId66" /><Relationship Type="http://schemas.openxmlformats.org/officeDocument/2006/relationships/hyperlink" Target="https://www.tcgplayer.com/product/628449" TargetMode="External" Id="rId67" /><Relationship Type="http://schemas.openxmlformats.org/officeDocument/2006/relationships/hyperlink" Target="https://www.tcgplayer.com/product/627670" TargetMode="External" Id="rId68" /><Relationship Type="http://schemas.openxmlformats.org/officeDocument/2006/relationships/hyperlink" Target="https://www.tcgplayer.com/product/627671" TargetMode="External" Id="rId69" /><Relationship Type="http://schemas.openxmlformats.org/officeDocument/2006/relationships/hyperlink" Target="https://www.tcgplayer.com/product/627675" TargetMode="External" Id="rId70" /><Relationship Type="http://schemas.openxmlformats.org/officeDocument/2006/relationships/hyperlink" Target="https://www.tcgplayer.com/product/627676" TargetMode="External" Id="rId71" /><Relationship Type="http://schemas.openxmlformats.org/officeDocument/2006/relationships/hyperlink" Target="https://www.tcgplayer.com/product/627679" TargetMode="External" Id="rId72" /><Relationship Type="http://schemas.openxmlformats.org/officeDocument/2006/relationships/hyperlink" Target="https://www.tcgplayer.com/product/627680" TargetMode="External" Id="rId73" /><Relationship Type="http://schemas.openxmlformats.org/officeDocument/2006/relationships/hyperlink" Target="https://www.tcgplayer.com/product/671480" TargetMode="External" Id="rId74" /><Relationship Type="http://schemas.openxmlformats.org/officeDocument/2006/relationships/hyperlink" Target="https://www.tcgplayer.com/product/692139" TargetMode="External" Id="rId75" /><Relationship Type="http://schemas.openxmlformats.org/officeDocument/2006/relationships/hyperlink" Target="https://www.tcgplayer.com/product/704886" TargetMode="External" Id="rId76" /><Relationship Type="http://schemas.openxmlformats.org/officeDocument/2006/relationships/hyperlink" Target="https://www.tcgplayer.com/product/704888" TargetMode="External" Id="rId77" /><Relationship Type="http://schemas.openxmlformats.org/officeDocument/2006/relationships/hyperlink" Target="https://www.tcgplayer.com/product/704891" TargetMode="External" Id="rId78" /><Relationship Type="http://schemas.openxmlformats.org/officeDocument/2006/relationships/hyperlink" Target="https://www.tcgplayer.com/product/704892" TargetMode="External" Id="rId79" /><Relationship Type="http://schemas.openxmlformats.org/officeDocument/2006/relationships/hyperlink" Target="https://www.tcgplayer.com/product/704895" TargetMode="External" Id="rId80" /><Relationship Type="http://schemas.openxmlformats.org/officeDocument/2006/relationships/hyperlink" Target="https://www.tcgplayer.com/product/704896" TargetMode="External" Id="rId81" /><Relationship Type="http://schemas.openxmlformats.org/officeDocument/2006/relationships/hyperlink" Target="https://www.tcgplayer.com/product/666579" TargetMode="External" Id="rId82" /><Relationship Type="http://schemas.openxmlformats.org/officeDocument/2006/relationships/hyperlink" Target="https://www.tcgplayer.com/product/665599" TargetMode="External" Id="rId83" /><Relationship Type="http://schemas.openxmlformats.org/officeDocument/2006/relationships/hyperlink" Target="https://www.tcgplayer.com/product/712909" TargetMode="External" Id="rId84" /><Relationship Type="http://schemas.openxmlformats.org/officeDocument/2006/relationships/hyperlink" Target="https://www.tcgplayer.com/product/712902" TargetMode="External" Id="rId85" /><Relationship Type="http://schemas.openxmlformats.org/officeDocument/2006/relationships/hyperlink" Target="https://www.tcgplayer.com/product/693365" TargetMode="External" Id="rId86" /><Relationship Type="http://schemas.openxmlformats.org/officeDocument/2006/relationships/hyperlink" Target="https://www.tcgplayer.com/product/689338" TargetMode="External" Id="rId87" /><Relationship Type="http://schemas.openxmlformats.org/officeDocument/2006/relationships/hyperlink" Target="https://www.tcgplayer.com/product/704878" TargetMode="External" Id="rId88" /><Relationship Type="http://schemas.openxmlformats.org/officeDocument/2006/relationships/hyperlink" Target="https://www.tcgplayer.com/product/704754" TargetMode="External" Id="rId89" /><Relationship Type="http://schemas.openxmlformats.org/officeDocument/2006/relationships/hyperlink" Target="https://www.tcgplayer.com/product/561690" TargetMode="External" Id="rId90" /><Relationship Type="http://schemas.openxmlformats.org/officeDocument/2006/relationships/hyperlink" Target="https://www.tcgplayer.com/product/542505" TargetMode="External" Id="rId91" /><Relationship Type="http://schemas.openxmlformats.org/officeDocument/2006/relationships/hyperlink" Target="https://www.tcgplayer.com/product/541543" TargetMode="External" Id="rId92" /><Relationship Type="http://schemas.openxmlformats.org/officeDocument/2006/relationships/hyperlink" Target="https://www.tcgplayer.com/product/541544" TargetMode="External" Id="rId93" /><Relationship Type="http://schemas.openxmlformats.org/officeDocument/2006/relationships/hyperlink" Target="https://www.tcgplayer.com/product/515081" TargetMode="External" Id="rId94" /><Relationship Type="http://schemas.openxmlformats.org/officeDocument/2006/relationships/hyperlink" Target="https://www.pricecharting.com/game/one-piece-japanese-promo/family-deck-set" TargetMode="External" Id="rId95" /><Relationship Type="http://schemas.openxmlformats.org/officeDocument/2006/relationships/hyperlink" Target="https://www.pricecharting.com/game/one-piece-japanese-starter-deck-1-straw-hat-crew/sealed-deck" TargetMode="External" Id="rId96" /><Relationship Type="http://schemas.openxmlformats.org/officeDocument/2006/relationships/hyperlink" Target="https://www.pricecharting.com/game/one-piece-japanese-starter-deck-11-uta/sealed-deck" TargetMode="External" Id="rId97" /><Relationship Type="http://schemas.openxmlformats.org/officeDocument/2006/relationships/hyperlink" Target="https://www.pricecharting.com/game/one-piece-japanese-starter-deck-12/sealed-deck" TargetMode="External" Id="rId98" /><Relationship Type="http://schemas.openxmlformats.org/officeDocument/2006/relationships/hyperlink" Target="https://www.pricecharting.com/game/one-piece-japanese-starter-deck-14-3d2y/sealed-deck" TargetMode="External" Id="rId99" /><Relationship Type="http://schemas.openxmlformats.org/officeDocument/2006/relationships/hyperlink" Target="https://www.pricecharting.com/game/one-piece-japanese-starter-deck-15-edward-newgate/sealed-deck" TargetMode="External" Id="rId100" /><Relationship Type="http://schemas.openxmlformats.org/officeDocument/2006/relationships/hyperlink" Target="https://www.pricecharting.com/game/one-piece-japanese-starter-deck-18-monkeydluffy/sealed-deck" TargetMode="External" Id="rId101" /><Relationship Type="http://schemas.openxmlformats.org/officeDocument/2006/relationships/hyperlink" Target="https://www.pricecharting.com/game/one-piece-japanese-starter-deck-2-worst-generation/sealed-deck" TargetMode="External" Id="rId102" /><Relationship Type="http://schemas.openxmlformats.org/officeDocument/2006/relationships/hyperlink" Target="https://www.pricecharting.com/game/one-piece-japanese-starter-deck-25-blue-buggy/sealed-deck" TargetMode="External" Id="rId103" /><Relationship Type="http://schemas.openxmlformats.org/officeDocument/2006/relationships/hyperlink" Target="https://www.pricecharting.com/game/one-piece-japanese-starter-deck-28-yellow-yamato/sealed-deck" TargetMode="External" Id="rId104" /><Relationship Type="http://schemas.openxmlformats.org/officeDocument/2006/relationships/hyperlink" Target="https://www.pricecharting.com/game/one-piece-japanese-starter-deck-29-egghead-arc/sealed-deck" TargetMode="External" Id="rId105" /><Relationship Type="http://schemas.openxmlformats.org/officeDocument/2006/relationships/hyperlink" Target="https://www.pricecharting.com/game/one-piece-japanese-starter-deck-3-the-seven-warlords-of-the-sea/sealed-deck" TargetMode="External" Id="rId106" /><Relationship Type="http://schemas.openxmlformats.org/officeDocument/2006/relationships/hyperlink" Target="https://www.pricecharting.com/game/one-piece-japanese-starter-deck-6-absolute-justice/sealed-deck" TargetMode="External" Id="rId107" /><Relationship Type="http://schemas.openxmlformats.org/officeDocument/2006/relationships/hyperlink" Target="https://www.pricecharting.com/game/one-piece-japanese-starter-deck-7-big-mom-pirates/sealed-deck" TargetMode="External" Id="rId108" /><Relationship Type="http://schemas.openxmlformats.org/officeDocument/2006/relationships/hyperlink" Target="https://www.pricecharting.com/game/one-piece-japanese-starter-deck-8-monkeydluffy/sealed-deck" TargetMode="External" Id="rId109" /><Relationship Type="http://schemas.openxmlformats.org/officeDocument/2006/relationships/hyperlink" Target="https://www.pricecharting.com/game/one-piece-japanese-starter-deck-9-yamato/sealed-deck" TargetMode="External" Id="rId110" /><Relationship Type="http://schemas.openxmlformats.org/officeDocument/2006/relationships/hyperlink" Target="https://www.pricecharting.com/game/one-piece-japanese-ultra-deck-the-three-brothers/sealed-deck" TargetMode="External" Id="rId111" /><Relationship Type="http://schemas.openxmlformats.org/officeDocument/2006/relationships/hyperlink" Target="https://www.pricecharting.com/game/one-piece-japanese-ultra-deck-the-three-captains/sealed-deck" TargetMode="External" Id="rId112" /><Relationship Type="http://schemas.openxmlformats.org/officeDocument/2006/relationships/hyperlink" Target="https://www.tcgplayer.com/product/628478" TargetMode="External" Id="rId113" /><Relationship Type="http://schemas.openxmlformats.org/officeDocument/2006/relationships/hyperlink" Target="https://www.pricecharting.com/game/one-piece-learn-together-deck-set/sealed-learn-together-deck-set" TargetMode="External" Id="rId114" /><Relationship Type="http://schemas.openxmlformats.org/officeDocument/2006/relationships/hyperlink" Target="https://www.tcgplayer.com/product/636531" TargetMode="External" Id="rId115" /><Relationship Type="http://schemas.openxmlformats.org/officeDocument/2006/relationships/hyperlink" Target="https://www.tcgplayer.com/product/636532" TargetMode="External" Id="rId116" /><Relationship Type="http://schemas.openxmlformats.org/officeDocument/2006/relationships/hyperlink" Target="https://www.tcgplayer.com/product/722701" TargetMode="External" Id="rId117" /><Relationship Type="http://schemas.openxmlformats.org/officeDocument/2006/relationships/hyperlink" Target="https://www.tcgplayer.com/product/722702" TargetMode="External" Id="rId118" /><Relationship Type="http://schemas.openxmlformats.org/officeDocument/2006/relationships/hyperlink" Target="https://www.tcgplayer.com/product/546889" TargetMode="External" Id="rId119" /><Relationship Type="http://schemas.openxmlformats.org/officeDocument/2006/relationships/hyperlink" Target="https://www.tcgplayer.com/product/694893" TargetMode="External" Id="rId120" /><Relationship Type="http://schemas.openxmlformats.org/officeDocument/2006/relationships/hyperlink" Target="https://www.tcgplayer.com/product/288221" TargetMode="External" Id="rId121" /><Relationship Type="http://schemas.openxmlformats.org/officeDocument/2006/relationships/hyperlink" Target="https://www.tcgplayer.com/product/288225" TargetMode="External" Id="rId122" /><Relationship Type="http://schemas.openxmlformats.org/officeDocument/2006/relationships/hyperlink" Target="https://www.tcgplayer.com/product/409506" TargetMode="External" Id="rId123" /><Relationship Type="http://schemas.openxmlformats.org/officeDocument/2006/relationships/hyperlink" Target="https://www.tcgplayer.com/product/411372" TargetMode="External" Id="rId124" /><Relationship Type="http://schemas.openxmlformats.org/officeDocument/2006/relationships/hyperlink" Target="https://www.tcgplayer.com/product/288226" TargetMode="External" Id="rId125" /><Relationship Type="http://schemas.openxmlformats.org/officeDocument/2006/relationships/hyperlink" Target="https://www.tcgplayer.com/product/408197" TargetMode="External" Id="rId126" /><Relationship Type="http://schemas.openxmlformats.org/officeDocument/2006/relationships/hyperlink" Target="https://www.tcgplayer.com/product/288227" TargetMode="External" Id="rId127" /><Relationship Type="http://schemas.openxmlformats.org/officeDocument/2006/relationships/hyperlink" Target="https://www.tcgplayer.com/product/411279" TargetMode="External" Id="rId128" /><Relationship Type="http://schemas.openxmlformats.org/officeDocument/2006/relationships/hyperlink" Target="https://www.tcgplayer.com/product/288224" TargetMode="External" Id="rId129" /><Relationship Type="http://schemas.openxmlformats.org/officeDocument/2006/relationships/hyperlink" Target="https://www.tcgplayer.com/product/422137" TargetMode="External" Id="rId130" /><Relationship Type="http://schemas.openxmlformats.org/officeDocument/2006/relationships/hyperlink" Target="https://www.tcgplayer.com/product/455859" TargetMode="External" Id="rId131" /><Relationship Type="http://schemas.openxmlformats.org/officeDocument/2006/relationships/hyperlink" Target="https://www.tcgplayer.com/product/455868" TargetMode="External" Id="rId132" /><Relationship Type="http://schemas.openxmlformats.org/officeDocument/2006/relationships/hyperlink" Target="https://www.tcgplayer.com/product/480236" TargetMode="External" Id="rId133" /><Relationship Type="http://schemas.openxmlformats.org/officeDocument/2006/relationships/hyperlink" Target="https://www.tcgplayer.com/product/502975" TargetMode="External" Id="rId134" /><Relationship Type="http://schemas.openxmlformats.org/officeDocument/2006/relationships/hyperlink" Target="https://www.tcgplayer.com/product/502978" TargetMode="External" Id="rId135" /><Relationship Type="http://schemas.openxmlformats.org/officeDocument/2006/relationships/hyperlink" Target="https://www.tcgplayer.com/product/502982" TargetMode="External" Id="rId136" /><Relationship Type="http://schemas.openxmlformats.org/officeDocument/2006/relationships/hyperlink" Target="https://www.tcgplayer.com/product/515294" TargetMode="External" Id="rId137" /><Relationship Type="http://schemas.openxmlformats.org/officeDocument/2006/relationships/hyperlink" Target="https://www.tcgplayer.com/product/536585" TargetMode="External" Id="rId138" /><Relationship Type="http://schemas.openxmlformats.org/officeDocument/2006/relationships/hyperlink" Target="https://www.tcgplayer.com/product/543595" TargetMode="External" Id="rId139" /><Relationship Type="http://schemas.openxmlformats.org/officeDocument/2006/relationships/hyperlink" Target="https://www.tcgplayer.com/product/545026" TargetMode="External" Id="rId140" /><Relationship Type="http://schemas.openxmlformats.org/officeDocument/2006/relationships/hyperlink" Target="https://www.tcgplayer.com/product/545033" TargetMode="External" Id="rId141" /><Relationship Type="http://schemas.openxmlformats.org/officeDocument/2006/relationships/hyperlink" Target="https://www.tcgplayer.com/product/594381" TargetMode="External" Id="rId142" /><Relationship Type="http://schemas.openxmlformats.org/officeDocument/2006/relationships/hyperlink" Target="https://www.tcgplayer.com/product/545036" TargetMode="External" Id="rId143" /><Relationship Type="http://schemas.openxmlformats.org/officeDocument/2006/relationships/hyperlink" Target="https://www.tcgplayer.com/product/545039" TargetMode="External" Id="rId144" /><Relationship Type="http://schemas.openxmlformats.org/officeDocument/2006/relationships/hyperlink" Target="https://www.tcgplayer.com/product/545042" TargetMode="External" Id="rId145" /><Relationship Type="http://schemas.openxmlformats.org/officeDocument/2006/relationships/hyperlink" Target="https://www.tcgplayer.com/product/545045" TargetMode="External" Id="rId146" /><Relationship Type="http://schemas.openxmlformats.org/officeDocument/2006/relationships/hyperlink" Target="https://www.tcgplayer.com/product/545048" TargetMode="External" Id="rId147" /><Relationship Type="http://schemas.openxmlformats.org/officeDocument/2006/relationships/hyperlink" Target="https://www.tcgplayer.com/product/606575" TargetMode="External" Id="rId148" /><Relationship Type="http://schemas.openxmlformats.org/officeDocument/2006/relationships/hyperlink" Target="https://www.tcgplayer.com/product/628485" TargetMode="External" Id="rId149" /><Relationship Type="http://schemas.openxmlformats.org/officeDocument/2006/relationships/hyperlink" Target="https://www.tcgplayer.com/product/628448" TargetMode="External" Id="rId150" /><Relationship Type="http://schemas.openxmlformats.org/officeDocument/2006/relationships/hyperlink" Target="https://www.tcgplayer.com/product/627669" TargetMode="External" Id="rId151" /><Relationship Type="http://schemas.openxmlformats.org/officeDocument/2006/relationships/hyperlink" Target="https://www.tcgplayer.com/product/659940" TargetMode="External" Id="rId152" /><Relationship Type="http://schemas.openxmlformats.org/officeDocument/2006/relationships/hyperlink" Target="https://www.tcgplayer.com/product/627672" TargetMode="External" Id="rId153" /><Relationship Type="http://schemas.openxmlformats.org/officeDocument/2006/relationships/hyperlink" Target="https://www.tcgplayer.com/product/627674" TargetMode="External" Id="rId154" /><Relationship Type="http://schemas.openxmlformats.org/officeDocument/2006/relationships/hyperlink" Target="https://www.tcgplayer.com/product/627677" TargetMode="External" Id="rId155" /><Relationship Type="http://schemas.openxmlformats.org/officeDocument/2006/relationships/hyperlink" Target="https://www.tcgplayer.com/product/627678" TargetMode="External" Id="rId156" /><Relationship Type="http://schemas.openxmlformats.org/officeDocument/2006/relationships/hyperlink" Target="https://www.tcgplayer.com/product/627681" TargetMode="External" Id="rId157" /><Relationship Type="http://schemas.openxmlformats.org/officeDocument/2006/relationships/hyperlink" Target="https://www.tcgplayer.com/product/671479" TargetMode="External" Id="rId158" /><Relationship Type="http://schemas.openxmlformats.org/officeDocument/2006/relationships/hyperlink" Target="https://www.tcgplayer.com/product/672894" TargetMode="External" Id="rId159" /><Relationship Type="http://schemas.openxmlformats.org/officeDocument/2006/relationships/hyperlink" Target="https://www.tcgplayer.com/product/692138" TargetMode="External" Id="rId160" /><Relationship Type="http://schemas.openxmlformats.org/officeDocument/2006/relationships/hyperlink" Target="https://www.tcgplayer.com/product/692140" TargetMode="External" Id="rId161" /><Relationship Type="http://schemas.openxmlformats.org/officeDocument/2006/relationships/hyperlink" Target="https://www.tcgplayer.com/product/704885" TargetMode="External" Id="rId162" /><Relationship Type="http://schemas.openxmlformats.org/officeDocument/2006/relationships/hyperlink" Target="https://www.tcgplayer.com/product/712853" TargetMode="External" Id="rId163" /><Relationship Type="http://schemas.openxmlformats.org/officeDocument/2006/relationships/hyperlink" Target="https://www.tcgplayer.com/product/704889" TargetMode="External" Id="rId164" /><Relationship Type="http://schemas.openxmlformats.org/officeDocument/2006/relationships/hyperlink" Target="https://www.tcgplayer.com/product/704890" TargetMode="External" Id="rId165" /><Relationship Type="http://schemas.openxmlformats.org/officeDocument/2006/relationships/hyperlink" Target="https://www.tcgplayer.com/product/704893" TargetMode="External" Id="rId166" /><Relationship Type="http://schemas.openxmlformats.org/officeDocument/2006/relationships/hyperlink" Target="https://www.tcgplayer.com/product/704894" TargetMode="External" Id="rId167" /><Relationship Type="http://schemas.openxmlformats.org/officeDocument/2006/relationships/hyperlink" Target="https://www.tcgplayer.com/product/704897" TargetMode="External" Id="rId168" /><Relationship Type="http://schemas.openxmlformats.org/officeDocument/2006/relationships/hyperlink" Target="https://www.pricecharting.com/game/one-piece-starter-deck-1-straw-hat-crew/sealed-deck" TargetMode="External" Id="rId169" /><Relationship Type="http://schemas.openxmlformats.org/officeDocument/2006/relationships/hyperlink" Target="https://www.pricecharting.com/game/one-piece-starter-deck-1-straw-hat-crew/super-pre-release-starter-deck-1" TargetMode="External" Id="rId170" /><Relationship Type="http://schemas.openxmlformats.org/officeDocument/2006/relationships/hyperlink" Target="https://www.pricecharting.com/game/one-piece-starter-deck-11-uta/sealed-deck" TargetMode="External" Id="rId171" /><Relationship Type="http://schemas.openxmlformats.org/officeDocument/2006/relationships/hyperlink" Target="https://www.pricecharting.com/game/one-piece-starter-deck-12/sealed-deck" TargetMode="External" Id="rId172" /><Relationship Type="http://schemas.openxmlformats.org/officeDocument/2006/relationships/hyperlink" Target="https://www.pricecharting.com/game/one-piece-starter-deck-14-3d2y/sealed-deck" TargetMode="External" Id="rId173" /><Relationship Type="http://schemas.openxmlformats.org/officeDocument/2006/relationships/hyperlink" Target="https://www.pricecharting.com/game/one-piece-starter-deck-15-edward-newgate/sealed-deck" TargetMode="External" Id="rId174" /><Relationship Type="http://schemas.openxmlformats.org/officeDocument/2006/relationships/hyperlink" Target="https://www.pricecharting.com/game/one-piece-starter-deck-16-uta/sealed-deck" TargetMode="External" Id="rId175" /><Relationship Type="http://schemas.openxmlformats.org/officeDocument/2006/relationships/hyperlink" Target="https://www.pricecharting.com/game/one-piece-starter-deck-17-donquixote-donflamingo/sealed-deck" TargetMode="External" Id="rId176" /><Relationship Type="http://schemas.openxmlformats.org/officeDocument/2006/relationships/hyperlink" Target="https://www.pricecharting.com/game/one-piece-starter-deck-18-monkeydluffy/sealed-deck" TargetMode="External" Id="rId177" /><Relationship Type="http://schemas.openxmlformats.org/officeDocument/2006/relationships/hyperlink" Target="https://www.pricecharting.com/game/one-piece-starter-deck-19-smoker/sealed-deck" TargetMode="External" Id="rId178" /><Relationship Type="http://schemas.openxmlformats.org/officeDocument/2006/relationships/hyperlink" Target="https://www.pricecharting.com/game/one-piece-starter-deck-2-worst-generation/sealed-deck" TargetMode="External" Id="rId179" /><Relationship Type="http://schemas.openxmlformats.org/officeDocument/2006/relationships/hyperlink" Target="https://www.pricecharting.com/game/one-piece-starter-deck-2-worst-generation/super-pre-release-starter-deck-2" TargetMode="External" Id="rId180" /><Relationship Type="http://schemas.openxmlformats.org/officeDocument/2006/relationships/hyperlink" Target="https://www.pricecharting.com/game/one-piece-starter-deck-20-charlotte-katakuri/sealed-deck" TargetMode="External" Id="rId181" /><Relationship Type="http://schemas.openxmlformats.org/officeDocument/2006/relationships/hyperlink" Target="https://www.pricecharting.com/game/one-piece-starter-deck-21-gear5/sealed-deck" TargetMode="External" Id="rId182" /><Relationship Type="http://schemas.openxmlformats.org/officeDocument/2006/relationships/hyperlink" Target="https://www.pricecharting.com/game/one-piece-starter-deck-23-red-shanks/sealed-deck" TargetMode="External" Id="rId183" /><Relationship Type="http://schemas.openxmlformats.org/officeDocument/2006/relationships/hyperlink" Target="https://www.pricecharting.com/game/one-piece-starter-deck-24-green-jewelry-bonney/sealed-starter-deck" TargetMode="External" Id="rId184" /><Relationship Type="http://schemas.openxmlformats.org/officeDocument/2006/relationships/hyperlink" Target="https://www.pricecharting.com/game/one-piece-starter-deck-25-blue-buggy/sealed-starter-deck" TargetMode="External" Id="rId185" /><Relationship Type="http://schemas.openxmlformats.org/officeDocument/2006/relationships/hyperlink" Target="https://www.pricecharting.com/game/one-piece-starter-deck-26-purple-monkeydluffy/sealed-starter-deck" TargetMode="External" Id="rId186" /><Relationship Type="http://schemas.openxmlformats.org/officeDocument/2006/relationships/hyperlink" Target="https://www.pricecharting.com/game/one-piece-starter-deck-27-black-marshalldteach/sealed-starter-deck" TargetMode="External" Id="rId187" /><Relationship Type="http://schemas.openxmlformats.org/officeDocument/2006/relationships/hyperlink" Target="https://www.pricecharting.com/game/one-piece-starter-deck-28-yellow-yamato/sealed-starter-deck" TargetMode="External" Id="rId188" /><Relationship Type="http://schemas.openxmlformats.org/officeDocument/2006/relationships/hyperlink" Target="https://www.pricecharting.com/game/one-piece-starter-deck-29-egghead/sealed-deck" TargetMode="External" Id="rId189" /><Relationship Type="http://schemas.openxmlformats.org/officeDocument/2006/relationships/hyperlink" Target="https://www.pricecharting.com/game/one-piece-starter-deck-3-the-seven-warlords-of-the-sea/sealed-deck" TargetMode="External" Id="rId190" /><Relationship Type="http://schemas.openxmlformats.org/officeDocument/2006/relationships/hyperlink" Target="https://www.pricecharting.com/game/one-piece-starter-deck-3-the-seven-warlords-of-the-sea/super-pre-release-starter-deck-3" TargetMode="External" Id="rId191" /><Relationship Type="http://schemas.openxmlformats.org/officeDocument/2006/relationships/hyperlink" Target="https://www.pricecharting.com/game/one-piece-starter-deck-31-red-monkeydluffy/sealed-deck" TargetMode="External" Id="rId192" /><Relationship Type="http://schemas.openxmlformats.org/officeDocument/2006/relationships/hyperlink" Target="https://www.pricecharting.com/game/one-piece-starter-deck-4-animal-kingdom-pirates/sealed-deck" TargetMode="External" Id="rId193" /><Relationship Type="http://schemas.openxmlformats.org/officeDocument/2006/relationships/hyperlink" Target="https://www.pricecharting.com/game/one-piece-starter-deck-4-animal-kingdom-pirates/super-pre-release-starter-deck-4" TargetMode="External" Id="rId194" /><Relationship Type="http://schemas.openxmlformats.org/officeDocument/2006/relationships/hyperlink" Target="https://www.pricecharting.com/game/one-piece-starter-deck-5-film-edition/sealed-deck" TargetMode="External" Id="rId195" /><Relationship Type="http://schemas.openxmlformats.org/officeDocument/2006/relationships/hyperlink" Target="https://www.pricecharting.com/game/one-piece-starter-deck-6-absolute-justice/sealed-deck" TargetMode="External" Id="rId196" /><Relationship Type="http://schemas.openxmlformats.org/officeDocument/2006/relationships/hyperlink" Target="https://www.pricecharting.com/game/one-piece-starter-deck-6-absolute-justice/starter-deck-6-absolute-justice" TargetMode="External" Id="rId197" /><Relationship Type="http://schemas.openxmlformats.org/officeDocument/2006/relationships/hyperlink" Target="https://www.pricecharting.com/game/one-piece-starter-deck-7-big-mom-pirates/sealed-deck" TargetMode="External" Id="rId198" /><Relationship Type="http://schemas.openxmlformats.org/officeDocument/2006/relationships/hyperlink" Target="https://www.pricecharting.com/game/one-piece-starter-deck-8-monkeydluffy/sealed-deck" TargetMode="External" Id="rId199" /><Relationship Type="http://schemas.openxmlformats.org/officeDocument/2006/relationships/hyperlink" Target="https://www.pricecharting.com/game/one-piece-starter-deck-9-yamato/sealed-deck" TargetMode="External" Id="rId200" /><Relationship Type="http://schemas.openxmlformats.org/officeDocument/2006/relationships/hyperlink" Target="https://www.pricecharting.com/game/one-piece-starter-starter-deck-32-green-roronoa-zoro/sealed-deck" TargetMode="External" Id="rId201" /><Relationship Type="http://schemas.openxmlformats.org/officeDocument/2006/relationships/hyperlink" Target="https://www.pricecharting.com/game/one-piece-starter-starter-deck-33-blue-kuzan/sealed-deck" TargetMode="External" Id="rId202" /><Relationship Type="http://schemas.openxmlformats.org/officeDocument/2006/relationships/hyperlink" Target="https://www.pricecharting.com/game/one-piece-starter-starter-deck-34-purple-charlotte-katakuri/sealed-deck" TargetMode="External" Id="rId203" /><Relationship Type="http://schemas.openxmlformats.org/officeDocument/2006/relationships/hyperlink" Target="https://www.pricecharting.com/game/one-piece-starter-starter-deck-35-red-black-sabo/sealed-deck" TargetMode="External" Id="rId204" /><Relationship Type="http://schemas.openxmlformats.org/officeDocument/2006/relationships/hyperlink" Target="https://www.pricecharting.com/game/one-piece-starter-starter-deck-36-yellow-eustass-captain-kid/sealed-deck" TargetMode="External" Id="rId205" /><Relationship Type="http://schemas.openxmlformats.org/officeDocument/2006/relationships/hyperlink" Target="https://www.pricecharting.com/game/one-piece-ultra-deck-the-three-brothers/sealed-deck" TargetMode="External" Id="rId206" /><Relationship Type="http://schemas.openxmlformats.org/officeDocument/2006/relationships/hyperlink" Target="https://www.pricecharting.com/game/one-piece-ultra-deck-the-three-captains/sealed-deck" TargetMode="External" Id="rId207" /><Relationship Type="http://schemas.openxmlformats.org/officeDocument/2006/relationships/hyperlink" Target="https://www.pricecharting.com/game/pokemon-japanese-promo/bea-rubber-playmat-set" TargetMode="External" Id="rId208" /><Relationship Type="http://schemas.openxmlformats.org/officeDocument/2006/relationships/hyperlink" Target="https://www.pricecharting.com/game/pokemon-japanese-vmax-climax/victor-&amp;-gloria-rubber-playmat-set" TargetMode="External" Id="rId209" /><Relationship Type="http://schemas.openxmlformats.org/officeDocument/2006/relationships/hyperlink" Target="https://www.pricecharting.com/game/pokemon-promo/elite-trainer-deck-shield-dawn-wings-necrozma" TargetMode="External" Id="rId210" /><Relationship Type="http://schemas.openxmlformats.org/officeDocument/2006/relationships/hyperlink" Target="https://www.pricecharting.com/game/pokemon-steam-siege/volcanion-elite-trainer-deck-shield" TargetMode="External" Id="rId211" /><Relationship Type="http://schemas.openxmlformats.org/officeDocument/2006/relationships/hyperlink" Target="https://www.pricecharting.com/game/pokemon-steam-siege/zygarde-elite-trainer-deck-shield" TargetMode="External" Id="rId212" /><Relationship Type="http://schemas.openxmlformats.org/officeDocument/2006/relationships/hyperlink" Target="https://www.tcgplayer.com/product/688727" TargetMode="External" Id="rId213" /><Relationship Type="http://schemas.openxmlformats.org/officeDocument/2006/relationships/hyperlink" Target="https://www.tcgplayer.com/product/455796" TargetMode="External" Id="rId214" /><Relationship Type="http://schemas.openxmlformats.org/officeDocument/2006/relationships/hyperlink" Target="https://www.tcgplayer.com/product/251880" TargetMode="External" Id="rId215" /><Relationship Type="http://schemas.openxmlformats.org/officeDocument/2006/relationships/hyperlink" Target="https://www.tcgplayer.com/product/256970" TargetMode="External" Id="rId216" /><Relationship Type="http://schemas.openxmlformats.org/officeDocument/2006/relationships/hyperlink" Target="https://www.tcgplayer.com/product/251895" TargetMode="External" Id="rId217" /><Relationship Type="http://schemas.openxmlformats.org/officeDocument/2006/relationships/hyperlink" Target="https://www.pricecharting.com/game/pokemon-celebrations/mini-tin-display" TargetMode="External" Id="rId218" /><Relationship Type="http://schemas.openxmlformats.org/officeDocument/2006/relationships/hyperlink" Target="https://www.tcgplayer.com/product/518638" TargetMode="External" Id="rId219" /><Relationship Type="http://schemas.openxmlformats.org/officeDocument/2006/relationships/hyperlink" Target="https://www.tcgplayer.com/product/247385" TargetMode="External" Id="rId220" /><Relationship Type="http://schemas.openxmlformats.org/officeDocument/2006/relationships/hyperlink" Target="https://www.tcgplayer.com/product/218792" TargetMode="External" Id="rId221" /><Relationship Type="http://schemas.openxmlformats.org/officeDocument/2006/relationships/hyperlink" Target="https://www.pricecharting.com/game/pokemon-chaos-rising/build-&amp;-battle-display" TargetMode="External" Id="rId222" /><Relationship Type="http://schemas.openxmlformats.org/officeDocument/2006/relationships/hyperlink" Target="https://www.pricecharting.com/game/pokemon-chinese-promo/charizard-card-display-frame-gift-box" TargetMode="External" Id="rId223" /><Relationship Type="http://schemas.openxmlformats.org/officeDocument/2006/relationships/hyperlink" Target="https://www.pricecharting.com/game/pokemon-chinese-promo/eevee-card-display-frame-gift-box" TargetMode="External" Id="rId224" /><Relationship Type="http://schemas.openxmlformats.org/officeDocument/2006/relationships/hyperlink" Target="https://www.pricecharting.com/game/pokemon-crown-zenith/sealed-tin-display" TargetMode="External" Id="rId225" /><Relationship Type="http://schemas.openxmlformats.org/officeDocument/2006/relationships/hyperlink" Target="https://www.pricecharting.com/game/pokemon-detective-pikachu/detective-pikachu-case-file" TargetMode="External" Id="rId226" /><Relationship Type="http://schemas.openxmlformats.org/officeDocument/2006/relationships/hyperlink" Target="https://www.tcgplayer.com/product/185245" TargetMode="External" Id="rId227" /><Relationship Type="http://schemas.openxmlformats.org/officeDocument/2006/relationships/hyperlink" Target="https://www.pricecharting.com/game/pokemon-detective-pikachu/detective-pikachu-case-file-display" TargetMode="External" Id="rId228" /><Relationship Type="http://schemas.openxmlformats.org/officeDocument/2006/relationships/hyperlink" Target="https://www.pricecharting.com/game/pokemon-detective-pikachu/detective-pikachu-on-the-case-figure-collection" TargetMode="External" Id="rId229" /><Relationship Type="http://schemas.openxmlformats.org/officeDocument/2006/relationships/hyperlink" Target="https://www.tcgplayer.com/product/197563" TargetMode="External" Id="rId230" /><Relationship Type="http://schemas.openxmlformats.org/officeDocument/2006/relationships/hyperlink" Target="https://www.pricecharting.com/game/pokemon-detective-pikachu/charizard-gx-case-file" TargetMode="External" Id="rId231" /><Relationship Type="http://schemas.openxmlformats.org/officeDocument/2006/relationships/hyperlink" Target="https://www.tcgplayer.com/product/185242" TargetMode="External" Id="rId232" /><Relationship Type="http://schemas.openxmlformats.org/officeDocument/2006/relationships/hyperlink" Target="https://www.pricecharting.com/game/pokemon-detective-pikachu/charizard-gx-special-case-file" TargetMode="External" Id="rId233" /><Relationship Type="http://schemas.openxmlformats.org/officeDocument/2006/relationships/hyperlink" Target="https://www.tcgplayer.com/product/237678" TargetMode="External" Id="rId234" /><Relationship Type="http://schemas.openxmlformats.org/officeDocument/2006/relationships/hyperlink" Target="https://www.pricecharting.com/game/pokemon-detective-pikachu/greninja-gx-case-file" TargetMode="External" Id="rId235" /><Relationship Type="http://schemas.openxmlformats.org/officeDocument/2006/relationships/hyperlink" Target="https://www.tcgplayer.com/product/185243" TargetMode="External" Id="rId236" /><Relationship Type="http://schemas.openxmlformats.org/officeDocument/2006/relationships/hyperlink" Target="https://www.tcgplayer.com/product/190324" TargetMode="External" Id="rId237" /><Relationship Type="http://schemas.openxmlformats.org/officeDocument/2006/relationships/hyperlink" Target="https://www.tcgplayer.com/product/673439" TargetMode="External" Id="rId238" /><Relationship Type="http://schemas.openxmlformats.org/officeDocument/2006/relationships/hyperlink" Target="https://www.tcgplayer.com/product/688716" TargetMode="External" Id="rId239" /><Relationship Type="http://schemas.openxmlformats.org/officeDocument/2006/relationships/hyperlink" Target="https://www.tcgplayer.com/product/695402" TargetMode="External" Id="rId240" /><Relationship Type="http://schemas.openxmlformats.org/officeDocument/2006/relationships/hyperlink" Target="https://www.tcgplayer.com/product/648466" TargetMode="External" Id="rId241" /><Relationship Type="http://schemas.openxmlformats.org/officeDocument/2006/relationships/hyperlink" Target="https://www.pricecharting.com/game/pokemon-japanese-glory-of-team-rocket/attache-case-set" TargetMode="External" Id="rId242" /><Relationship Type="http://schemas.openxmlformats.org/officeDocument/2006/relationships/hyperlink" Target="https://www.tcgplayer.com/product/644731" TargetMode="External" Id="rId243" /><Relationship Type="http://schemas.openxmlformats.org/officeDocument/2006/relationships/hyperlink" Target="https://www.tcgplayer.com/product/644730" TargetMode="External" Id="rId244" /><Relationship Type="http://schemas.openxmlformats.org/officeDocument/2006/relationships/hyperlink" Target="https://www.tcgplayer.com/product/644733" TargetMode="External" Id="rId245" /><Relationship Type="http://schemas.openxmlformats.org/officeDocument/2006/relationships/hyperlink" Target="https://www.tcgplayer.com/product/644727" TargetMode="External" Id="rId246" /><Relationship Type="http://schemas.openxmlformats.org/officeDocument/2006/relationships/hyperlink" Target="https://www.tcgplayer.com/product/646173" TargetMode="External" Id="rId247" /><Relationship Type="http://schemas.openxmlformats.org/officeDocument/2006/relationships/hyperlink" Target="https://www.tcgplayer.com/product/649392" TargetMode="External" Id="rId248" /><Relationship Type="http://schemas.openxmlformats.org/officeDocument/2006/relationships/hyperlink" Target="https://www.tcgplayer.com/product/685215" TargetMode="External" Id="rId249" /><Relationship Type="http://schemas.openxmlformats.org/officeDocument/2006/relationships/hyperlink" Target="https://www.tcgplayer.com/product/655281" TargetMode="External" Id="rId250" /><Relationship Type="http://schemas.openxmlformats.org/officeDocument/2006/relationships/hyperlink" Target="https://www.tcgplayer.com/product/654162" TargetMode="External" Id="rId251" /><Relationship Type="http://schemas.openxmlformats.org/officeDocument/2006/relationships/hyperlink" Target="https://www.tcgplayer.com/product/654170" TargetMode="External" Id="rId252" /><Relationship Type="http://schemas.openxmlformats.org/officeDocument/2006/relationships/hyperlink" Target="https://www.tcgplayer.com/product/655282" TargetMode="External" Id="rId253" /><Relationship Type="http://schemas.openxmlformats.org/officeDocument/2006/relationships/hyperlink" Target="https://www.tcgplayer.com/product/706309" TargetMode="External" Id="rId254" /><Relationship Type="http://schemas.openxmlformats.org/officeDocument/2006/relationships/hyperlink" Target="https://www.tcgplayer.com/product/672395" TargetMode="External" Id="rId255" /><Relationship Type="http://schemas.openxmlformats.org/officeDocument/2006/relationships/hyperlink" Target="https://www.tcgplayer.com/product/672397" TargetMode="External" Id="rId256" /><Relationship Type="http://schemas.openxmlformats.org/officeDocument/2006/relationships/hyperlink" Target="https://www.tcgplayer.com/product/690172" TargetMode="External" Id="rId257" /><Relationship Type="http://schemas.openxmlformats.org/officeDocument/2006/relationships/hyperlink" Target="https://www.tcgplayer.com/product/672402" TargetMode="External" Id="rId258" /><Relationship Type="http://schemas.openxmlformats.org/officeDocument/2006/relationships/hyperlink" Target="https://www.tcgplayer.com/product/672411" TargetMode="External" Id="rId259" /><Relationship Type="http://schemas.openxmlformats.org/officeDocument/2006/relationships/hyperlink" Target="https://www.tcgplayer.com/product/695118" TargetMode="External" Id="rId260" /><Relationship Type="http://schemas.openxmlformats.org/officeDocument/2006/relationships/hyperlink" Target="https://www.tcgplayer.com/product/684445" TargetMode="External" Id="rId261" /><Relationship Type="http://schemas.openxmlformats.org/officeDocument/2006/relationships/hyperlink" Target="https://www.tcgplayer.com/product/688949" TargetMode="External" Id="rId262" /><Relationship Type="http://schemas.openxmlformats.org/officeDocument/2006/relationships/hyperlink" Target="https://www.tcgplayer.com/product/684451" TargetMode="External" Id="rId263" /><Relationship Type="http://schemas.openxmlformats.org/officeDocument/2006/relationships/hyperlink" Target="https://www.tcgplayer.com/product/690684" TargetMode="External" Id="rId264" /><Relationship Type="http://schemas.openxmlformats.org/officeDocument/2006/relationships/hyperlink" Target="https://www.tcgplayer.com/product/693589" TargetMode="External" Id="rId265" /><Relationship Type="http://schemas.openxmlformats.org/officeDocument/2006/relationships/hyperlink" Target="https://www.tcgplayer.com/product/692941" TargetMode="External" Id="rId266" /><Relationship Type="http://schemas.openxmlformats.org/officeDocument/2006/relationships/hyperlink" Target="https://www.tcgplayer.com/product/693586" TargetMode="External" Id="rId267" /><Relationship Type="http://schemas.openxmlformats.org/officeDocument/2006/relationships/hyperlink" Target="https://www.tcgplayer.com/product/692948" TargetMode="External" Id="rId268" /><Relationship Type="http://schemas.openxmlformats.org/officeDocument/2006/relationships/hyperlink" Target="https://www.tcgplayer.com/product/692950" TargetMode="External" Id="rId269" /><Relationship Type="http://schemas.openxmlformats.org/officeDocument/2006/relationships/hyperlink" Target="https://www.tcgplayer.com/product/692956" TargetMode="External" Id="rId270" /><Relationship Type="http://schemas.openxmlformats.org/officeDocument/2006/relationships/hyperlink" Target="https://www.tcgplayer.com/product/712096" TargetMode="External" Id="rId271" /><Relationship Type="http://schemas.openxmlformats.org/officeDocument/2006/relationships/hyperlink" Target="https://www.tcgplayer.com/product/712098" TargetMode="External" Id="rId272" /><Relationship Type="http://schemas.openxmlformats.org/officeDocument/2006/relationships/hyperlink" Target="https://www.tcgplayer.com/product/712103" TargetMode="External" Id="rId273" /><Relationship Type="http://schemas.openxmlformats.org/officeDocument/2006/relationships/hyperlink" Target="https://www.tcgplayer.com/product/712111" TargetMode="External" Id="rId274" /><Relationship Type="http://schemas.openxmlformats.org/officeDocument/2006/relationships/hyperlink" Target="https://www.tcgplayer.com/product/709016" TargetMode="External" Id="rId275" /><Relationship Type="http://schemas.openxmlformats.org/officeDocument/2006/relationships/hyperlink" Target="https://www.tcgplayer.com/product/709032" TargetMode="External" Id="rId276" /><Relationship Type="http://schemas.openxmlformats.org/officeDocument/2006/relationships/hyperlink" Target="https://www.tcgplayer.com/product/709017" TargetMode="External" Id="rId277" /><Relationship Type="http://schemas.openxmlformats.org/officeDocument/2006/relationships/hyperlink" Target="https://www.tcgplayer.com/product/709018" TargetMode="External" Id="rId278" /><Relationship Type="http://schemas.openxmlformats.org/officeDocument/2006/relationships/hyperlink" Target="https://www.tcgplayer.com/product/709036" TargetMode="External" Id="rId279" /><Relationship Type="http://schemas.openxmlformats.org/officeDocument/2006/relationships/hyperlink" Target="https://www.tcgplayer.com/product/709037" TargetMode="External" Id="rId280" /><Relationship Type="http://schemas.openxmlformats.org/officeDocument/2006/relationships/hyperlink" Target="https://www.tcgplayer.com/product/709031" TargetMode="External" Id="rId281" /><Relationship Type="http://schemas.openxmlformats.org/officeDocument/2006/relationships/hyperlink" Target="https://www.tcgplayer.com/product/709019" TargetMode="External" Id="rId282" /><Relationship Type="http://schemas.openxmlformats.org/officeDocument/2006/relationships/hyperlink" Target="https://www.tcgplayer.com/product/709035" TargetMode="External" Id="rId283" /><Relationship Type="http://schemas.openxmlformats.org/officeDocument/2006/relationships/hyperlink" Target="https://www.pricecharting.com/game/pokemon-30th-celebration/mini-tin-display" TargetMode="External" Id="rId284" /><Relationship Type="http://schemas.openxmlformats.org/officeDocument/2006/relationships/hyperlink" Target="https://www.tcgplayer.com/product/704186" TargetMode="External" Id="rId285" /><Relationship Type="http://schemas.openxmlformats.org/officeDocument/2006/relationships/hyperlink" Target="https://www.tcgplayer.com/product/709030" TargetMode="External" Id="rId286" /><Relationship Type="http://schemas.openxmlformats.org/officeDocument/2006/relationships/hyperlink" Target="https://www.tcgplayer.com/product/709033" TargetMode="External" Id="rId287" /><Relationship Type="http://schemas.openxmlformats.org/officeDocument/2006/relationships/hyperlink" Target="https://www.tcgplayer.com/product/709034" TargetMode="External" Id="rId288" /><Relationship Type="http://schemas.openxmlformats.org/officeDocument/2006/relationships/hyperlink" Target="https://www.tcgplayer.com/product/709029" TargetMode="External" Id="rId289" /><Relationship Type="http://schemas.openxmlformats.org/officeDocument/2006/relationships/hyperlink" Target="https://www.tcgplayer.com/product/681339" TargetMode="External" Id="rId290" /><Relationship Type="http://schemas.openxmlformats.org/officeDocument/2006/relationships/hyperlink" Target="https://www.tcgplayer.com/product/692362" TargetMode="External" Id="rId291" /><Relationship Type="http://schemas.openxmlformats.org/officeDocument/2006/relationships/hyperlink" Target="https://www.tcgplayer.com/product/679558" TargetMode="External" Id="rId292" /><Relationship Type="http://schemas.openxmlformats.org/officeDocument/2006/relationships/hyperlink" Target="https://www.tcgplayer.com/product/672392" TargetMode="External" Id="rId293" /><Relationship Type="http://schemas.openxmlformats.org/officeDocument/2006/relationships/hyperlink" Target="https://www.tcgplayer.com/product/672737" TargetMode="External" Id="rId294" /><Relationship Type="http://schemas.openxmlformats.org/officeDocument/2006/relationships/hyperlink" Target="https://www.pricecharting.com/game/pokemon-ascended-heroes/mini-tin-display" TargetMode="External" Id="rId295" /><Relationship Type="http://schemas.openxmlformats.org/officeDocument/2006/relationships/hyperlink" Target="https://www.tcgplayer.com/product/679556" TargetMode="External" Id="rId296" /><Relationship Type="http://schemas.openxmlformats.org/officeDocument/2006/relationships/hyperlink" Target="https://www.tcgplayer.com/product/689031" TargetMode="External" Id="rId297" /><Relationship Type="http://schemas.openxmlformats.org/officeDocument/2006/relationships/hyperlink" Target="https://www.tcgplayer.com/product/702501" TargetMode="External" Id="rId298" /><Relationship Type="http://schemas.openxmlformats.org/officeDocument/2006/relationships/hyperlink" Target="https://www.tcgplayer.com/product/685195" TargetMode="External" Id="rId299" /><Relationship Type="http://schemas.openxmlformats.org/officeDocument/2006/relationships/hyperlink" Target="https://www.tcgplayer.com/product/681333" TargetMode="External" Id="rId300" /><Relationship Type="http://schemas.openxmlformats.org/officeDocument/2006/relationships/hyperlink" Target="https://www.tcgplayer.com/product/685000" TargetMode="External" Id="rId301" /><Relationship Type="http://schemas.openxmlformats.org/officeDocument/2006/relationships/hyperlink" Target="https://www.pricecharting.com/game/pokemon-mega-evolution/mini-tin-display" TargetMode="External" Id="rId302" /><Relationship Type="http://schemas.openxmlformats.org/officeDocument/2006/relationships/hyperlink" Target="https://www.tcgplayer.com/product/523954" TargetMode="External" Id="rId303" /><Relationship Type="http://schemas.openxmlformats.org/officeDocument/2006/relationships/hyperlink" Target="https://www.tcgplayer.com/product/639446" TargetMode="External" Id="rId304" /><Relationship Type="http://schemas.openxmlformats.org/officeDocument/2006/relationships/hyperlink" Target="https://www.tcgplayer.com/product/477289" TargetMode="External" Id="rId305" /><Relationship Type="http://schemas.openxmlformats.org/officeDocument/2006/relationships/hyperlink" Target="https://www.tcgplayer.com/product/604240" TargetMode="External" Id="rId306" /><Relationship Type="http://schemas.openxmlformats.org/officeDocument/2006/relationships/hyperlink" Target="https://www.tcgplayer.com/product/243573" TargetMode="External" Id="rId307" /><Relationship Type="http://schemas.openxmlformats.org/officeDocument/2006/relationships/hyperlink" Target="https://www.tcgplayer.com/product/207991" TargetMode="External" Id="rId308" /><Relationship Type="http://schemas.openxmlformats.org/officeDocument/2006/relationships/hyperlink" Target="https://www.tcgplayer.com/product/218853" TargetMode="External" Id="rId309" /><Relationship Type="http://schemas.openxmlformats.org/officeDocument/2006/relationships/hyperlink" Target="https://www.tcgplayer.com/product/639830" TargetMode="External" Id="rId310" /><Relationship Type="http://schemas.openxmlformats.org/officeDocument/2006/relationships/hyperlink" Target="https://www.tcgplayer.com/product/545404" TargetMode="External" Id="rId311" /><Relationship Type="http://schemas.openxmlformats.org/officeDocument/2006/relationships/hyperlink" Target="https://www.tcgplayer.com/product/224742" TargetMode="External" Id="rId312" /><Relationship Type="http://schemas.openxmlformats.org/officeDocument/2006/relationships/hyperlink" Target="https://www.tcgplayer.com/product/224741" TargetMode="External" Id="rId313" /><Relationship Type="http://schemas.openxmlformats.org/officeDocument/2006/relationships/hyperlink" Target="https://www.tcgplayer.com/product/718644" TargetMode="External" Id="rId314" /><Relationship Type="http://schemas.openxmlformats.org/officeDocument/2006/relationships/hyperlink" Target="https://www.tcgplayer.com/product/684107" TargetMode="External" Id="rId315" /><Relationship Type="http://schemas.openxmlformats.org/officeDocument/2006/relationships/hyperlink" Target="https://www.tcgplayer.com/product/271998" TargetMode="External" Id="rId316" /><Relationship Type="http://schemas.openxmlformats.org/officeDocument/2006/relationships/hyperlink" Target="https://www.tcgplayer.com/product/657111" TargetMode="External" Id="rId317" /><Relationship Type="http://schemas.openxmlformats.org/officeDocument/2006/relationships/hyperlink" Target="https://www.tcgplayer.com/product/685574" TargetMode="External" Id="rId318" /><Relationship Type="http://schemas.openxmlformats.org/officeDocument/2006/relationships/hyperlink" Target="https://www.tcgplayer.com/product/685581" TargetMode="External" Id="rId319" /><Relationship Type="http://schemas.openxmlformats.org/officeDocument/2006/relationships/hyperlink" Target="https://www.tcgplayer.com/product/532404" TargetMode="External" Id="rId320" /><Relationship Type="http://schemas.openxmlformats.org/officeDocument/2006/relationships/hyperlink" Target="https://www.tcgplayer.com/product/679554" TargetMode="External" Id="rId321" /><Relationship Type="http://schemas.openxmlformats.org/officeDocument/2006/relationships/hyperlink" Target="https://www.tcgplayer.com/product/664895" TargetMode="External" Id="rId322" /><Relationship Type="http://schemas.openxmlformats.org/officeDocument/2006/relationships/hyperlink" Target="https://www.tcgplayer.com/product/702509" TargetMode="External" Id="rId323" /><Relationship Type="http://schemas.openxmlformats.org/officeDocument/2006/relationships/hyperlink" Target="https://www.tcgplayer.com/product/690661" TargetMode="External" Id="rId324" /><Relationship Type="http://schemas.openxmlformats.org/officeDocument/2006/relationships/hyperlink" Target="https://www.tcgplayer.com/product/656488" TargetMode="External" Id="rId325" /><Relationship Type="http://schemas.openxmlformats.org/officeDocument/2006/relationships/hyperlink" Target="https://www.tcgplayer.com/product/686439" TargetMode="External" Id="rId326" /><Relationship Type="http://schemas.openxmlformats.org/officeDocument/2006/relationships/hyperlink" Target="https://www.tcgplayer.com/product/621135" TargetMode="External" Id="rId327" /><Relationship Type="http://schemas.openxmlformats.org/officeDocument/2006/relationships/hyperlink" Target="https://www.tcgplayer.com/product/496018" TargetMode="External" Id="rId328" /><Relationship Type="http://schemas.openxmlformats.org/officeDocument/2006/relationships/hyperlink" Target="https://www.tcgplayer.com/product/496020" TargetMode="External" Id="rId329" /><Relationship Type="http://schemas.openxmlformats.org/officeDocument/2006/relationships/hyperlink" Target="https://www.tcgplayer.com/product/257717" TargetMode="External" Id="rId330" /><Relationship Type="http://schemas.openxmlformats.org/officeDocument/2006/relationships/hyperlink" Target="https://www.tcgplayer.com/product/265250" TargetMode="External" Id="rId331" /><Relationship Type="http://schemas.openxmlformats.org/officeDocument/2006/relationships/hyperlink" Target="https://www.tcgplayer.com/product/516946" TargetMode="External" Id="rId332" /><Relationship Type="http://schemas.openxmlformats.org/officeDocument/2006/relationships/hyperlink" Target="https://www.tcgplayer.com/product/564280" TargetMode="External" Id="rId333" /><Relationship Type="http://schemas.openxmlformats.org/officeDocument/2006/relationships/hyperlink" Target="https://www.tcgplayer.com/product/654590" TargetMode="External" Id="rId334" /><Relationship Type="http://schemas.openxmlformats.org/officeDocument/2006/relationships/hyperlink" Target="https://www.tcgplayer.com/product/668591" TargetMode="External" Id="rId335" /><Relationship Type="http://schemas.openxmlformats.org/officeDocument/2006/relationships/hyperlink" Target="https://www.tcgplayer.com/product/616298" TargetMode="External" Id="rId336" /><Relationship Type="http://schemas.openxmlformats.org/officeDocument/2006/relationships/hyperlink" Target="https://www.tcgplayer.com/product/273613" TargetMode="External" Id="rId337" /><Relationship Type="http://schemas.openxmlformats.org/officeDocument/2006/relationships/hyperlink" Target="https://www.tcgplayer.com/product/497851" TargetMode="External" Id="rId338" /><Relationship Type="http://schemas.openxmlformats.org/officeDocument/2006/relationships/hyperlink" Target="https://www.tcgplayer.com/product/549443" TargetMode="External" Id="rId339" /><Relationship Type="http://schemas.openxmlformats.org/officeDocument/2006/relationships/hyperlink" Target="https://www.tcgplayer.com/product/277564" TargetMode="External" Id="rId340" /><Relationship Type="http://schemas.openxmlformats.org/officeDocument/2006/relationships/hyperlink" Target="https://www.tcgplayer.com/product/278924" TargetMode="External" Id="rId341" /><Relationship Type="http://schemas.openxmlformats.org/officeDocument/2006/relationships/hyperlink" Target="https://www.tcgplayer.com/product/263259" TargetMode="External" Id="rId342" /><Relationship Type="http://schemas.openxmlformats.org/officeDocument/2006/relationships/hyperlink" Target="https://www.tcgplayer.com/product/692923" TargetMode="External" Id="rId343" /><Relationship Type="http://schemas.openxmlformats.org/officeDocument/2006/relationships/hyperlink" Target="https://www.tcgplayer.com/product/634607" TargetMode="External" Id="rId344" /><Relationship Type="http://schemas.openxmlformats.org/officeDocument/2006/relationships/hyperlink" Target="https://www.tcgplayer.com/product/664898" TargetMode="External" Id="rId345" /><Relationship Type="http://schemas.openxmlformats.org/officeDocument/2006/relationships/hyperlink" Target="https://www.tcgplayer.com/product/696827" TargetMode="External" Id="rId346" /><Relationship Type="http://schemas.openxmlformats.org/officeDocument/2006/relationships/hyperlink" Target="https://www.tcgplayer.com/product/692924" TargetMode="External" Id="rId347" /><Relationship Type="http://schemas.openxmlformats.org/officeDocument/2006/relationships/hyperlink" Target="https://www.tcgplayer.com/product/230393" TargetMode="External" Id="rId348" /><Relationship Type="http://schemas.openxmlformats.org/officeDocument/2006/relationships/hyperlink" Target="https://www.tcgplayer.com/product/233355" TargetMode="External" Id="rId349" /><Relationship Type="http://schemas.openxmlformats.org/officeDocument/2006/relationships/hyperlink" Target="https://www.tcgplayer.com/product/554175" TargetMode="External" Id="rId350" /><Relationship Type="http://schemas.openxmlformats.org/officeDocument/2006/relationships/hyperlink" Target="https://www.pricecharting.com/game/pokemon-paldean-fates/tech-sticker-collection-display" TargetMode="External" Id="rId351" /><Relationship Type="http://schemas.openxmlformats.org/officeDocument/2006/relationships/hyperlink" Target="https://www.tcgplayer.com/product/271513" TargetMode="External" Id="rId352" /><Relationship Type="http://schemas.openxmlformats.org/officeDocument/2006/relationships/hyperlink" Target="https://www.tcgplayer.com/product/692922" TargetMode="External" Id="rId353" /><Relationship Type="http://schemas.openxmlformats.org/officeDocument/2006/relationships/hyperlink" Target="https://www.tcgplayer.com/product/271511" TargetMode="External" Id="rId354" /><Relationship Type="http://schemas.openxmlformats.org/officeDocument/2006/relationships/hyperlink" Target="https://www.tcgplayer.com/product/630089" TargetMode="External" Id="rId355" /><Relationship Type="http://schemas.openxmlformats.org/officeDocument/2006/relationships/hyperlink" Target="https://www.pricecharting.com/game/pokemon-promo/back-to-school-pencil-case-2024" TargetMode="External" Id="rId356" /><Relationship Type="http://schemas.openxmlformats.org/officeDocument/2006/relationships/hyperlink" Target="https://www.pricecharting.com/game/pokemon-promo/collector's-chest-plus-pencil-case" TargetMode="External" Id="rId357" /><Relationship Type="http://schemas.openxmlformats.org/officeDocument/2006/relationships/hyperlink" Target="https://www.pricecharting.com/game/pokemon-promo/lumiose-city-mini-tin-display" TargetMode="External" Id="rId358" /><Relationship Type="http://schemas.openxmlformats.org/officeDocument/2006/relationships/hyperlink" Target="https://www.pricecharting.com/game/pokemon-promo/poke-ball-tin-display-q1-2019" TargetMode="External" Id="rId359" /><Relationship Type="http://schemas.openxmlformats.org/officeDocument/2006/relationships/hyperlink" Target="https://www.pricecharting.com/game/pokemon-promo/poke-ball-tin-display-q1-2020" TargetMode="External" Id="rId360" /><Relationship Type="http://schemas.openxmlformats.org/officeDocument/2006/relationships/hyperlink" Target="https://www.pricecharting.com/game/pokemon-promo/poke-ball-tin-display-q2-2020" TargetMode="External" Id="rId361" /><Relationship Type="http://schemas.openxmlformats.org/officeDocument/2006/relationships/hyperlink" Target="https://www.pricecharting.com/game/pokemon-promo/poke-ball-tin-display-q2-2022" TargetMode="External" Id="rId362" /><Relationship Type="http://schemas.openxmlformats.org/officeDocument/2006/relationships/hyperlink" Target="https://www.pricecharting.com/game/pokemon-promo/poke-ball-tin-display-q2-2026" TargetMode="External" Id="rId363" /><Relationship Type="http://schemas.openxmlformats.org/officeDocument/2006/relationships/hyperlink" Target="https://www.pricecharting.com/game/pokemon-promo/poke-ball-tin-display-q3-2023" TargetMode="External" Id="rId364" /><Relationship Type="http://schemas.openxmlformats.org/officeDocument/2006/relationships/hyperlink" Target="https://www.pricecharting.com/game/pokemon-promo/poke-ball-tin-display-q4-2021" TargetMode="External" Id="rId365" /><Relationship Type="http://schemas.openxmlformats.org/officeDocument/2006/relationships/hyperlink" Target="https://www.pricecharting.com/game/pokemon-promo/poke-ball-tin-display-q4-2024" TargetMode="External" Id="rId366" /><Relationship Type="http://schemas.openxmlformats.org/officeDocument/2006/relationships/hyperlink" Target="https://www.pricecharting.com/game/pokemon-promo/stacking-tin-display" TargetMode="External" Id="rId367" /><Relationship Type="http://schemas.openxmlformats.org/officeDocument/2006/relationships/hyperlink" Target="https://www.tcgplayer.com/product/268484" TargetMode="External" Id="rId368" /><Relationship Type="http://schemas.openxmlformats.org/officeDocument/2006/relationships/hyperlink" Target="https://www.tcgplayer.com/product/266962" TargetMode="External" Id="rId369" /><Relationship Type="http://schemas.openxmlformats.org/officeDocument/2006/relationships/hyperlink" Target="https://www.pricecharting.com/game/pokemon-shining-fates/mad-party-pin-collection-display" TargetMode="External" Id="rId370" /><Relationship Type="http://schemas.openxmlformats.org/officeDocument/2006/relationships/hyperlink" Target="https://www.tcgplayer.com/product/233315" TargetMode="External" Id="rId371" /><Relationship Type="http://schemas.openxmlformats.org/officeDocument/2006/relationships/hyperlink" Target="https://www.tcgplayer.com/product/268482" TargetMode="External" Id="rId372" /><Relationship Type="http://schemas.openxmlformats.org/officeDocument/2006/relationships/hyperlink" Target="https://www.tcgplayer.com/product/644826" TargetMode="External" Id="rId373" /><Relationship Type="http://schemas.openxmlformats.org/officeDocument/2006/relationships/hyperlink" Target="https://www.tcgplayer.com/product/475436" TargetMode="External" Id="rId374" /><Relationship Type="http://schemas.openxmlformats.org/officeDocument/2006/relationships/hyperlink" Target="https://www.tcgplayer.com/product/451149" TargetMode="External" Id="rId375" /><Relationship Type="http://schemas.openxmlformats.org/officeDocument/2006/relationships/hyperlink" Target="https://www.tcgplayer.com/product/656706" TargetMode="External" Id="rId376" /><Relationship Type="http://schemas.openxmlformats.org/officeDocument/2006/relationships/hyperlink" Target="https://www.tcgplayer.com/product/591049" TargetMode="External" Id="rId377" /><Relationship Type="http://schemas.openxmlformats.org/officeDocument/2006/relationships/hyperlink" Target="https://www.tcgplayer.com/product/450311" TargetMode="External" Id="rId378" /><Relationship Type="http://schemas.openxmlformats.org/officeDocument/2006/relationships/hyperlink" Target="https://www.tcgplayer.com/product/656707" TargetMode="External" Id="rId379" /><Relationship Type="http://schemas.openxmlformats.org/officeDocument/2006/relationships/hyperlink" Target="https://www.tcgplayer.com/product/243052" TargetMode="External" Id="rId380" /><Relationship Type="http://schemas.openxmlformats.org/officeDocument/2006/relationships/hyperlink" Target="https://www.tcgplayer.com/product/253837" TargetMode="External" Id="rId381" /><Relationship Type="http://schemas.openxmlformats.org/officeDocument/2006/relationships/hyperlink" Target="https://www.tcgplayer.com/product/476453" TargetMode="External" Id="rId382" /><Relationship Type="http://schemas.openxmlformats.org/officeDocument/2006/relationships/hyperlink" Target="https://www.tcgplayer.com/product/478254" TargetMode="External" Id="rId383" /><Relationship Type="http://schemas.openxmlformats.org/officeDocument/2006/relationships/hyperlink" Target="https://www.tcgplayer.com/product/488776" TargetMode="External" Id="rId384" /><Relationship Type="http://schemas.openxmlformats.org/officeDocument/2006/relationships/hyperlink" Target="https://www.tcgplayer.com/product/600076" TargetMode="External" Id="rId385" /><Relationship Type="http://schemas.openxmlformats.org/officeDocument/2006/relationships/hyperlink" Target="https://www.tcgplayer.com/product/496905" TargetMode="External" Id="rId386" /><Relationship Type="http://schemas.openxmlformats.org/officeDocument/2006/relationships/hyperlink" Target="https://www.tcgplayer.com/product/656928" TargetMode="External" Id="rId387" /><Relationship Type="http://schemas.openxmlformats.org/officeDocument/2006/relationships/hyperlink" Target="https://www.tcgplayer.com/product/496911" TargetMode="External" Id="rId388" /><Relationship Type="http://schemas.openxmlformats.org/officeDocument/2006/relationships/hyperlink" Target="https://www.tcgplayer.com/product/537410" TargetMode="External" Id="rId389" /><Relationship Type="http://schemas.openxmlformats.org/officeDocument/2006/relationships/hyperlink" Target="https://www.tcgplayer.com/product/609027" TargetMode="External" Id="rId390" /><Relationship Type="http://schemas.openxmlformats.org/officeDocument/2006/relationships/hyperlink" Target="https://www.tcgplayer.com/product/514193" TargetMode="External" Id="rId391" /><Relationship Type="http://schemas.openxmlformats.org/officeDocument/2006/relationships/hyperlink" Target="https://www.tcgplayer.com/product/618341" TargetMode="External" Id="rId392" /><Relationship Type="http://schemas.openxmlformats.org/officeDocument/2006/relationships/hyperlink" Target="https://www.tcgplayer.com/product/512828" TargetMode="External" Id="rId393" /><Relationship Type="http://schemas.openxmlformats.org/officeDocument/2006/relationships/hyperlink" Target="https://www.tcgplayer.com/product/514069" TargetMode="External" Id="rId394" /><Relationship Type="http://schemas.openxmlformats.org/officeDocument/2006/relationships/hyperlink" Target="https://www.tcgplayer.com/product/514071" TargetMode="External" Id="rId395" /><Relationship Type="http://schemas.openxmlformats.org/officeDocument/2006/relationships/hyperlink" Target="https://www.tcgplayer.com/product/657210" TargetMode="External" Id="rId396" /><Relationship Type="http://schemas.openxmlformats.org/officeDocument/2006/relationships/hyperlink" Target="https://www.tcgplayer.com/product/680963" TargetMode="External" Id="rId397" /><Relationship Type="http://schemas.openxmlformats.org/officeDocument/2006/relationships/hyperlink" Target="https://www.tcgplayer.com/product/537417" TargetMode="External" Id="rId398" /><Relationship Type="http://schemas.openxmlformats.org/officeDocument/2006/relationships/hyperlink" Target="https://www.tcgplayer.com/product/537409" TargetMode="External" Id="rId399" /><Relationship Type="http://schemas.openxmlformats.org/officeDocument/2006/relationships/hyperlink" Target="https://www.tcgplayer.com/product/537418" TargetMode="External" Id="rId400" /><Relationship Type="http://schemas.openxmlformats.org/officeDocument/2006/relationships/hyperlink" Target="https://www.tcgplayer.com/product/550822" TargetMode="External" Id="rId401" /><Relationship Type="http://schemas.openxmlformats.org/officeDocument/2006/relationships/hyperlink" Target="https://www.tcgplayer.com/product/550823" TargetMode="External" Id="rId402" /><Relationship Type="http://schemas.openxmlformats.org/officeDocument/2006/relationships/hyperlink" Target="https://www.tcgplayer.com/product/549489" TargetMode="External" Id="rId403" /><Relationship Type="http://schemas.openxmlformats.org/officeDocument/2006/relationships/hyperlink" Target="https://www.tcgplayer.com/product/544385" TargetMode="External" Id="rId404" /><Relationship Type="http://schemas.openxmlformats.org/officeDocument/2006/relationships/hyperlink" Target="https://www.tcgplayer.com/product/549491" TargetMode="External" Id="rId405" /><Relationship Type="http://schemas.openxmlformats.org/officeDocument/2006/relationships/hyperlink" Target="https://www.tcgplayer.com/product/593672" TargetMode="External" Id="rId406" /><Relationship Type="http://schemas.openxmlformats.org/officeDocument/2006/relationships/hyperlink" Target="https://www.tcgplayer.com/product/557365" TargetMode="External" Id="rId407" /><Relationship Type="http://schemas.openxmlformats.org/officeDocument/2006/relationships/hyperlink" Target="https://www.tcgplayer.com/product/559102" TargetMode="External" Id="rId408" /><Relationship Type="http://schemas.openxmlformats.org/officeDocument/2006/relationships/hyperlink" Target="https://www.tcgplayer.com/product/557363" TargetMode="External" Id="rId409" /><Relationship Type="http://schemas.openxmlformats.org/officeDocument/2006/relationships/hyperlink" Target="https://www.tcgplayer.com/product/559530" TargetMode="External" Id="rId410" /><Relationship Type="http://schemas.openxmlformats.org/officeDocument/2006/relationships/hyperlink" Target="https://www.tcgplayer.com/product/711388" TargetMode="External" Id="rId411" /><Relationship Type="http://schemas.openxmlformats.org/officeDocument/2006/relationships/hyperlink" Target="https://www.tcgplayer.com/product/580708" TargetMode="External" Id="rId412" /><Relationship Type="http://schemas.openxmlformats.org/officeDocument/2006/relationships/hyperlink" Target="https://www.tcgplayer.com/product/594269" TargetMode="External" Id="rId413" /><Relationship Type="http://schemas.openxmlformats.org/officeDocument/2006/relationships/hyperlink" Target="https://www.tcgplayer.com/product/565600" TargetMode="External" Id="rId414" /><Relationship Type="http://schemas.openxmlformats.org/officeDocument/2006/relationships/hyperlink" Target="https://www.tcgplayer.com/product/565631" TargetMode="External" Id="rId415" /><Relationship Type="http://schemas.openxmlformats.org/officeDocument/2006/relationships/hyperlink" Target="https://www.tcgplayer.com/product/565633" TargetMode="External" Id="rId416" /><Relationship Type="http://schemas.openxmlformats.org/officeDocument/2006/relationships/hyperlink" Target="https://www.tcgplayer.com/product/593687" TargetMode="External" Id="rId417" /><Relationship Type="http://schemas.openxmlformats.org/officeDocument/2006/relationships/hyperlink" Target="https://www.tcgplayer.com/product/614449" TargetMode="External" Id="rId418" /><Relationship Type="http://schemas.openxmlformats.org/officeDocument/2006/relationships/hyperlink" Target="https://www.tcgplayer.com/product/625584" TargetMode="External" Id="rId419" /><Relationship Type="http://schemas.openxmlformats.org/officeDocument/2006/relationships/hyperlink" Target="https://www.tcgplayer.com/product/629568" TargetMode="External" Id="rId420" /><Relationship Type="http://schemas.openxmlformats.org/officeDocument/2006/relationships/hyperlink" Target="https://www.tcgplayer.com/product/614450" TargetMode="External" Id="rId421" /><Relationship Type="http://schemas.openxmlformats.org/officeDocument/2006/relationships/hyperlink" Target="https://www.tcgplayer.com/product/625583" TargetMode="External" Id="rId422" /><Relationship Type="http://schemas.openxmlformats.org/officeDocument/2006/relationships/hyperlink" Target="https://www.tcgplayer.com/product/624925" TargetMode="External" Id="rId423" /><Relationship Type="http://schemas.openxmlformats.org/officeDocument/2006/relationships/hyperlink" Target="https://www.tcgplayer.com/product/624678" TargetMode="External" Id="rId424" /><Relationship Type="http://schemas.openxmlformats.org/officeDocument/2006/relationships/hyperlink" Target="https://www.tcgplayer.com/product/628428" TargetMode="External" Id="rId425" /><Relationship Type="http://schemas.openxmlformats.org/officeDocument/2006/relationships/hyperlink" Target="https://www.tcgplayer.com/product/634383" TargetMode="External" Id="rId426" /><Relationship Type="http://schemas.openxmlformats.org/officeDocument/2006/relationships/hyperlink" Target="https://www.tcgplayer.com/product/628398" TargetMode="External" Id="rId427" /><Relationship Type="http://schemas.openxmlformats.org/officeDocument/2006/relationships/hyperlink" Target="https://www.tcgplayer.com/product/628413" TargetMode="External" Id="rId428" /><Relationship Type="http://schemas.openxmlformats.org/officeDocument/2006/relationships/hyperlink" Target="https://www.tcgplayer.com/product/625585" TargetMode="External" Id="rId429" /><Relationship Type="http://schemas.openxmlformats.org/officeDocument/2006/relationships/hyperlink" Target="https://www.tcgplayer.com/product/630429" TargetMode="External" Id="rId430" /><Relationship Type="http://schemas.openxmlformats.org/officeDocument/2006/relationships/hyperlink" Target="https://www.tcgplayer.com/product/630432" TargetMode="External" Id="rId431" /><Relationship Type="http://schemas.openxmlformats.org/officeDocument/2006/relationships/hyperlink" Target="https://www.tcgplayer.com/product/630433" TargetMode="External" Id="rId432" /><Relationship Type="http://schemas.openxmlformats.org/officeDocument/2006/relationships/hyperlink" Target="https://www.tcgplayer.com/product/630690" TargetMode="External" Id="rId433" /><Relationship Type="http://schemas.openxmlformats.org/officeDocument/2006/relationships/hyperlink" Target="https://www.pricecharting.com/game/pokemon-black-bolt/unova-mini-tin-display" TargetMode="External" Id="rId434" /><Relationship Type="http://schemas.openxmlformats.org/officeDocument/2006/relationships/hyperlink" Target="https://www.tcgplayer.com/product/630446" TargetMode="External" Id="rId435" /><Relationship Type="http://schemas.openxmlformats.org/officeDocument/2006/relationships/hyperlink" Target="https://www.tcgplayer.com/product/630447" TargetMode="External" Id="rId436" /><Relationship Type="http://schemas.openxmlformats.org/officeDocument/2006/relationships/hyperlink" Target="https://www.tcgplayer.com/product/630613" TargetMode="External" Id="rId437" /><Relationship Type="http://schemas.openxmlformats.org/officeDocument/2006/relationships/hyperlink" Target="https://www.tcgplayer.com/product/649220" TargetMode="External" Id="rId438" /><Relationship Type="http://schemas.openxmlformats.org/officeDocument/2006/relationships/hyperlink" Target="https://www.pricecharting.com/game/pokemon-paldean-fates/booster-bundle-display" TargetMode="External" Id="rId439" /><Relationship Type="http://schemas.openxmlformats.org/officeDocument/2006/relationships/hyperlink" Target="https://www.tcgplayer.com/product/530704" TargetMode="External" Id="rId440" /><Relationship Type="http://schemas.openxmlformats.org/officeDocument/2006/relationships/hyperlink" Target="https://www.tcgplayer.com/product/530700" TargetMode="External" Id="rId441" /><Relationship Type="http://schemas.openxmlformats.org/officeDocument/2006/relationships/hyperlink" Target="https://www.tcgplayer.com/product/528047" TargetMode="External" Id="rId442" /><Relationship Type="http://schemas.openxmlformats.org/officeDocument/2006/relationships/hyperlink" Target="https://www.tcgplayer.com/product/693612" TargetMode="External" Id="rId443" /><Relationship Type="http://schemas.openxmlformats.org/officeDocument/2006/relationships/hyperlink" Target="https://www.tcgplayer.com/product/536266" TargetMode="External" Id="rId444" /><Relationship Type="http://schemas.openxmlformats.org/officeDocument/2006/relationships/hyperlink" Target="https://www.tcgplayer.com/product/654599" TargetMode="External" Id="rId445" /><Relationship Type="http://schemas.openxmlformats.org/officeDocument/2006/relationships/hyperlink" Target="https://www.tcgplayer.com/product/688258" TargetMode="External" Id="rId446" /><Relationship Type="http://schemas.openxmlformats.org/officeDocument/2006/relationships/hyperlink" Target="https://www.tcgplayer.com/product/635011" TargetMode="External" Id="rId447" /><Relationship Type="http://schemas.openxmlformats.org/officeDocument/2006/relationships/hyperlink" Target="https://www.tcgplayer.com/product/620024" TargetMode="External" Id="rId448" /><Relationship Type="http://schemas.openxmlformats.org/officeDocument/2006/relationships/hyperlink" Target="https://www.tcgplayer.com/product/629828" TargetMode="External" Id="rId449" /><Relationship Type="http://schemas.openxmlformats.org/officeDocument/2006/relationships/hyperlink" Target="https://www.tcgplayer.com/product/615027" TargetMode="External" Id="rId450" /><Relationship Type="http://schemas.openxmlformats.org/officeDocument/2006/relationships/hyperlink" Target="https://www.tcgplayer.com/product/610317" TargetMode="External" Id="rId451" /><Relationship Type="http://schemas.openxmlformats.org/officeDocument/2006/relationships/hyperlink" Target="https://www.tcgplayer.com/product/598487" TargetMode="External" Id="rId452" /><Relationship Type="http://schemas.openxmlformats.org/officeDocument/2006/relationships/hyperlink" Target="https://www.tcgplayer.com/product/670608" TargetMode="External" Id="rId453" /><Relationship Type="http://schemas.openxmlformats.org/officeDocument/2006/relationships/hyperlink" Target="https://www.pricecharting.com/game/pokemon-prismatic-evolutions/mini-tin-display" TargetMode="External" Id="rId454" /><Relationship Type="http://schemas.openxmlformats.org/officeDocument/2006/relationships/hyperlink" Target="https://www.tcgplayer.com/product/593463" TargetMode="External" Id="rId455" /><Relationship Type="http://schemas.openxmlformats.org/officeDocument/2006/relationships/hyperlink" Target="https://www.tcgplayer.com/product/614356" TargetMode="External" Id="rId456" /><Relationship Type="http://schemas.openxmlformats.org/officeDocument/2006/relationships/hyperlink" Target="https://www.tcgplayer.com/product/600697" TargetMode="External" Id="rId457" /><Relationship Type="http://schemas.openxmlformats.org/officeDocument/2006/relationships/hyperlink" Target="https://www.tcgplayer.com/product/598486" TargetMode="External" Id="rId458" /><Relationship Type="http://schemas.openxmlformats.org/officeDocument/2006/relationships/hyperlink" Target="https://www.tcgplayer.com/product/650804" TargetMode="External" Id="rId459" /><Relationship Type="http://schemas.openxmlformats.org/officeDocument/2006/relationships/hyperlink" Target="https://www.tcgplayer.com/product/638058" TargetMode="External" Id="rId460" /><Relationship Type="http://schemas.openxmlformats.org/officeDocument/2006/relationships/hyperlink" Target="https://www.tcgplayer.com/product/598470" TargetMode="External" Id="rId461" /><Relationship Type="http://schemas.openxmlformats.org/officeDocument/2006/relationships/hyperlink" Target="https://www.tcgplayer.com/product/598489" TargetMode="External" Id="rId462" /><Relationship Type="http://schemas.openxmlformats.org/officeDocument/2006/relationships/hyperlink" Target="https://www.tcgplayer.com/product/502003" TargetMode="External" Id="rId463" /><Relationship Type="http://schemas.openxmlformats.org/officeDocument/2006/relationships/hyperlink" Target="https://www.tcgplayer.com/product/530105" TargetMode="External" Id="rId464" /><Relationship Type="http://schemas.openxmlformats.org/officeDocument/2006/relationships/hyperlink" Target="https://www.tcgplayer.com/product/513405" TargetMode="External" Id="rId465" /><Relationship Type="http://schemas.openxmlformats.org/officeDocument/2006/relationships/hyperlink" Target="https://www.tcgplayer.com/product/513409" TargetMode="External" Id="rId466" /><Relationship Type="http://schemas.openxmlformats.org/officeDocument/2006/relationships/hyperlink" Target="https://www.tcgplayer.com/product/518781" TargetMode="External" Id="rId467" /><Relationship Type="http://schemas.openxmlformats.org/officeDocument/2006/relationships/hyperlink" Target="https://www.tcgplayer.com/product/518782" TargetMode="External" Id="rId468" /><Relationship Type="http://schemas.openxmlformats.org/officeDocument/2006/relationships/hyperlink" Target="https://www.tcgplayer.com/product/506640" TargetMode="External" Id="rId469" /><Relationship Type="http://schemas.openxmlformats.org/officeDocument/2006/relationships/hyperlink" Target="https://www.tcgplayer.com/product/502008" TargetMode="External" Id="rId470" /><Relationship Type="http://schemas.openxmlformats.org/officeDocument/2006/relationships/hyperlink" Target="https://www.tcgplayer.com/product/668357" TargetMode="External" Id="rId471" /><Relationship Type="http://schemas.openxmlformats.org/officeDocument/2006/relationships/hyperlink" Target="https://www.tcgplayer.com/product/528030" TargetMode="External" Id="rId472" /><Relationship Type="http://schemas.openxmlformats.org/officeDocument/2006/relationships/hyperlink" Target="https://www.tcgplayer.com/product/502002" TargetMode="External" Id="rId473" /><Relationship Type="http://schemas.openxmlformats.org/officeDocument/2006/relationships/hyperlink" Target="https://www.tcgplayer.com/product/515970" TargetMode="External" Id="rId474" /><Relationship Type="http://schemas.openxmlformats.org/officeDocument/2006/relationships/hyperlink" Target="https://www.tcgplayer.com/product/553094" TargetMode="External" Id="rId475" /><Relationship Type="http://schemas.openxmlformats.org/officeDocument/2006/relationships/hyperlink" Target="https://www.tcgplayer.com/product/665643" TargetMode="External" Id="rId476" /><Relationship Type="http://schemas.openxmlformats.org/officeDocument/2006/relationships/hyperlink" Target="https://www.tcgplayer.com/product/635736" TargetMode="External" Id="rId477" /><Relationship Type="http://schemas.openxmlformats.org/officeDocument/2006/relationships/hyperlink" Target="https://www.tcgplayer.com/product/553099" TargetMode="External" Id="rId478" /><Relationship Type="http://schemas.openxmlformats.org/officeDocument/2006/relationships/hyperlink" Target="https://www.pricecharting.com/game/pokemon-shrouded-fable/mini-tin-display" TargetMode="External" Id="rId479" /><Relationship Type="http://schemas.openxmlformats.org/officeDocument/2006/relationships/hyperlink" Target="https://www.tcgplayer.com/product/553008" TargetMode="External" Id="rId480" /><Relationship Type="http://schemas.openxmlformats.org/officeDocument/2006/relationships/hyperlink" Target="https://www.tcgplayer.com/product/553102" TargetMode="External" Id="rId481" /><Relationship Type="http://schemas.openxmlformats.org/officeDocument/2006/relationships/hyperlink" Target="https://www.tcgplayer.com/product/553075" TargetMode="External" Id="rId482" /><Relationship Type="http://schemas.openxmlformats.org/officeDocument/2006/relationships/hyperlink" Target="https://www.tcgplayer.com/product/630694" TargetMode="External" Id="rId483" /><Relationship Type="http://schemas.openxmlformats.org/officeDocument/2006/relationships/hyperlink" Target="https://www.tcgplayer.com/product/630697" TargetMode="External" Id="rId484" /><Relationship Type="http://schemas.openxmlformats.org/officeDocument/2006/relationships/hyperlink" Target="https://www.tcgplayer.com/product/630698" TargetMode="External" Id="rId485" /><Relationship Type="http://schemas.openxmlformats.org/officeDocument/2006/relationships/hyperlink" Target="https://www.tcgplayer.com/product/630693" TargetMode="External" Id="rId486" /><Relationship Type="http://schemas.openxmlformats.org/officeDocument/2006/relationships/hyperlink" Target="https://www.tcgplayer.com/product/530142" TargetMode="External" Id="rId487" /><Relationship Type="http://schemas.openxmlformats.org/officeDocument/2006/relationships/hyperlink" Target="https://www.tcgplayer.com/product/206033" TargetMode="External" Id="rId488" /><Relationship Type="http://schemas.openxmlformats.org/officeDocument/2006/relationships/hyperlink" Target="https://www.tcgplayer.com/product/206034" TargetMode="External" Id="rId489" /><Relationship Type="http://schemas.openxmlformats.org/officeDocument/2006/relationships/hyperlink" Target="https://www.tcgplayer.com/product/212820" TargetMode="External" Id="rId490" /><Relationship Type="http://schemas.openxmlformats.org/officeDocument/2006/relationships/hyperlink" Target="https://www.tcgplayer.com/product/256971" TargetMode="External" Id="rId491" /><Relationship Type="http://schemas.openxmlformats.org/officeDocument/2006/relationships/hyperlink" Target="https://www.tcgplayer.com/product/216862" TargetMode="External" Id="rId492" /><Relationship Type="http://schemas.openxmlformats.org/officeDocument/2006/relationships/hyperlink" Target="https://www.tcgplayer.com/product/266951" TargetMode="External" Id="rId493" /><Relationship Type="http://schemas.openxmlformats.org/officeDocument/2006/relationships/hyperlink" Target="https://www.tcgplayer.com/product/683003" TargetMode="External" Id="rId494" /><Relationship Type="http://schemas.openxmlformats.org/officeDocument/2006/relationships/hyperlink" Target="https://www.tcgplayer.com/product/243051" TargetMode="External" Id="rId495" /><Relationship Type="http://schemas.openxmlformats.org/officeDocument/2006/relationships/hyperlink" Target="https://www.tcgplayer.com/product/278642" TargetMode="External" Id="rId496" /><Relationship Type="http://schemas.openxmlformats.org/officeDocument/2006/relationships/hyperlink" Target="https://www.tcgplayer.com/product/653200" TargetMode="External" Id="rId497" /><Relationship Type="http://schemas.openxmlformats.org/officeDocument/2006/relationships/hyperlink" Target="https://www.pricecharting.com/game/pokemon-vivid-voltage/theme-deck-display" TargetMode="External" Id="rId498" /><Relationship Type="http://schemas.openxmlformats.org/officeDocument/2006/relationships/hyperlink" Target="https://www.tcgplayer.com/product/231693" TargetMode="External" Id="rId499" /><Relationship Type="http://schemas.openxmlformats.org/officeDocument/2006/relationships/hyperlink" Target="https://www.tcgplayer.com/product/229279" TargetMode="External" Id="rId500" /><Relationship Type="http://schemas.openxmlformats.org/officeDocument/2006/relationships/hyperlink" Target="https://www.tcgplayer.com/product/235284" TargetMode="External" Id="rId501" /><Relationship Type="http://schemas.openxmlformats.org/officeDocument/2006/relationships/hyperlink" Target="https://www.tcgplayer.com/product/680964" TargetMode="External" Id="rId502" /><Relationship Type="http://schemas.openxmlformats.org/officeDocument/2006/relationships/hyperlink" Target="https://www.tcgplayer.com/product/236259" TargetMode="External" Id="rId503" /><Relationship Type="http://schemas.openxmlformats.org/officeDocument/2006/relationships/hyperlink" Target="https://www.tcgplayer.com/product/236266" TargetMode="External" Id="rId504" /><Relationship Type="http://schemas.openxmlformats.org/officeDocument/2006/relationships/hyperlink" Target="https://www.tcgplayer.com/product/236263" TargetMode="External" Id="rId505" /><Relationship Type="http://schemas.openxmlformats.org/officeDocument/2006/relationships/hyperlink" Target="https://www.tcgplayer.com/product/657836" TargetMode="External" Id="rId506" /><Relationship Type="http://schemas.openxmlformats.org/officeDocument/2006/relationships/hyperlink" Target="https://www.tcgplayer.com/product/256972" TargetMode="External" Id="rId507" /><Relationship Type="http://schemas.openxmlformats.org/officeDocument/2006/relationships/hyperlink" Target="https://www.tcgplayer.com/product/248124" TargetMode="External" Id="rId508" /><Relationship Type="http://schemas.openxmlformats.org/officeDocument/2006/relationships/hyperlink" Target="https://www.tcgplayer.com/product/242450" TargetMode="External" Id="rId509" /><Relationship Type="http://schemas.openxmlformats.org/officeDocument/2006/relationships/hyperlink" Target="https://www.tcgplayer.com/product/243722" TargetMode="External" Id="rId510" /><Relationship Type="http://schemas.openxmlformats.org/officeDocument/2006/relationships/hyperlink" Target="https://www.tcgplayer.com/product/628319" TargetMode="External" Id="rId511" /><Relationship Type="http://schemas.openxmlformats.org/officeDocument/2006/relationships/hyperlink" Target="https://www.tcgplayer.com/product/638064" TargetMode="External" Id="rId512" /><Relationship Type="http://schemas.openxmlformats.org/officeDocument/2006/relationships/hyperlink" Target="https://www.tcgplayer.com/product/247655" TargetMode="External" Id="rId513" /><Relationship Type="http://schemas.openxmlformats.org/officeDocument/2006/relationships/hyperlink" Target="https://www.pricecharting.com/game/pokemon-fusion-strike/build-&amp;-battle-box-display" TargetMode="External" Id="rId514" /><Relationship Type="http://schemas.openxmlformats.org/officeDocument/2006/relationships/hyperlink" Target="https://www.tcgplayer.com/product/247660" TargetMode="External" Id="rId515" /><Relationship Type="http://schemas.openxmlformats.org/officeDocument/2006/relationships/hyperlink" Target="https://www.tcgplayer.com/product/557076" TargetMode="External" Id="rId516" /><Relationship Type="http://schemas.openxmlformats.org/officeDocument/2006/relationships/hyperlink" Target="https://www.tcgplayer.com/product/547703" TargetMode="External" Id="rId517" /><Relationship Type="http://schemas.openxmlformats.org/officeDocument/2006/relationships/hyperlink" Target="https://www.tcgplayer.com/product/651285" TargetMode="External" Id="rId518" /><Relationship Type="http://schemas.openxmlformats.org/officeDocument/2006/relationships/hyperlink" Target="https://www.tcgplayer.com/product/256145" TargetMode="External" Id="rId519" /><Relationship Type="http://schemas.openxmlformats.org/officeDocument/2006/relationships/hyperlink" Target="https://www.tcgplayer.com/product/256144" TargetMode="External" Id="rId520" /><Relationship Type="http://schemas.openxmlformats.org/officeDocument/2006/relationships/hyperlink" Target="https://www.tcgplayer.com/product/264269" TargetMode="External" Id="rId521" /><Relationship Type="http://schemas.openxmlformats.org/officeDocument/2006/relationships/hyperlink" Target="https://www.tcgplayer.com/product/639337" TargetMode="External" Id="rId522" /><Relationship Type="http://schemas.openxmlformats.org/officeDocument/2006/relationships/hyperlink" Target="https://www.tcgplayer.com/product/599964" TargetMode="External" Id="rId523" /><Relationship Type="http://schemas.openxmlformats.org/officeDocument/2006/relationships/hyperlink" Target="https://www.tcgplayer.com/product/265520" TargetMode="External" Id="rId524" /><Relationship Type="http://schemas.openxmlformats.org/officeDocument/2006/relationships/hyperlink" Target="https://www.tcgplayer.com/product/265545" TargetMode="External" Id="rId525" /><Relationship Type="http://schemas.openxmlformats.org/officeDocument/2006/relationships/hyperlink" Target="https://www.tcgplayer.com/product/279424" TargetMode="External" Id="rId526" /><Relationship Type="http://schemas.openxmlformats.org/officeDocument/2006/relationships/hyperlink" Target="https://www.tcgplayer.com/product/496130" TargetMode="External" Id="rId527" /><Relationship Type="http://schemas.openxmlformats.org/officeDocument/2006/relationships/hyperlink" Target="https://www.tcgplayer.com/product/278793" TargetMode="External" Id="rId528" /><Relationship Type="http://schemas.openxmlformats.org/officeDocument/2006/relationships/hyperlink" Target="https://www.tcgplayer.com/product/278795" TargetMode="External" Id="rId529" /><Relationship Type="http://schemas.openxmlformats.org/officeDocument/2006/relationships/hyperlink" Target="https://www.tcgplayer.com/product/648474" TargetMode="External" Id="rId530" /><Relationship Type="http://schemas.openxmlformats.org/officeDocument/2006/relationships/hyperlink" Target="https://www.tcgplayer.com/product/278796" TargetMode="External" Id="rId531" /><Relationship Type="http://schemas.openxmlformats.org/officeDocument/2006/relationships/hyperlink" Target="https://www.tcgplayer.com/product/496131" TargetMode="External" Id="rId532" /><Relationship Type="http://schemas.openxmlformats.org/officeDocument/2006/relationships/hyperlink" Target="https://www.tcgplayer.com/product/282407" TargetMode="External" Id="rId533" /><Relationship Type="http://schemas.openxmlformats.org/officeDocument/2006/relationships/hyperlink" Target="https://www.tcgplayer.com/product/454377" TargetMode="External" Id="rId534" /><Relationship Type="http://schemas.openxmlformats.org/officeDocument/2006/relationships/hyperlink" Target="https://www.tcgplayer.com/product/283391" TargetMode="External" Id="rId535" /><Relationship Type="http://schemas.openxmlformats.org/officeDocument/2006/relationships/hyperlink" Target="https://www.tcgplayer.com/product/562366" TargetMode="External" Id="rId536" /><Relationship Type="http://schemas.openxmlformats.org/officeDocument/2006/relationships/hyperlink" Target="https://www.tcgplayer.com/product/285775" TargetMode="External" Id="rId537" /><Relationship Type="http://schemas.openxmlformats.org/officeDocument/2006/relationships/hyperlink" Target="https://www.tcgplayer.com/product/285777" TargetMode="External" Id="rId538" /><Relationship Type="http://schemas.openxmlformats.org/officeDocument/2006/relationships/hyperlink" Target="https://www.tcgplayer.com/product/550837" TargetMode="External" Id="rId539" /><Relationship Type="http://schemas.openxmlformats.org/officeDocument/2006/relationships/hyperlink" Target="https://www.tcgplayer.com/product/609238" TargetMode="External" Id="rId540" /><Relationship Type="http://schemas.openxmlformats.org/officeDocument/2006/relationships/hyperlink" Target="https://www.tcgplayer.com/product/453471" TargetMode="External" Id="rId541" /><Relationship Type="http://schemas.openxmlformats.org/officeDocument/2006/relationships/hyperlink" Target="https://www.tcgplayer.com/product/453493" TargetMode="External" Id="rId542" /><Relationship Type="http://schemas.openxmlformats.org/officeDocument/2006/relationships/hyperlink" Target="https://www.tcgplayer.com/product/631791" TargetMode="External" Id="rId543" /><Relationship Type="http://schemas.openxmlformats.org/officeDocument/2006/relationships/hyperlink" Target="https://www.tcgplayer.com/product/711447" TargetMode="External" Id="rId544" /><Relationship Type="http://schemas.openxmlformats.org/officeDocument/2006/relationships/hyperlink" Target="https://www.tcgplayer.com/product/664978" TargetMode="External" Id="rId545" /><Relationship Type="http://schemas.openxmlformats.org/officeDocument/2006/relationships/hyperlink" Target="https://www.tcgplayer.com/product/616290" TargetMode="External" Id="rId546" /><Relationship Type="http://schemas.openxmlformats.org/officeDocument/2006/relationships/hyperlink" Target="https://www.tcgplayer.com/product/693210" TargetMode="External" Id="rId547" /><Relationship Type="http://schemas.openxmlformats.org/officeDocument/2006/relationships/hyperlink" Target="https://www.tcgplayer.com/product/485423" TargetMode="External" Id="rId548" /><Relationship Type="http://schemas.openxmlformats.org/officeDocument/2006/relationships/hyperlink" Target="https://www.tcgplayer.com/product/696640" TargetMode="External" Id="rId549" /><Relationship Type="http://schemas.openxmlformats.org/officeDocument/2006/relationships/hyperlink" Target="https://www.tcgplayer.com/product/226363" TargetMode="External" Id="rId550" /><Relationship Type="http://schemas.openxmlformats.org/officeDocument/2006/relationships/hyperlink" Target="https://www.tcgplayer.com/product/656708" TargetMode="External" Id="rId551" /><Relationship Type="http://schemas.openxmlformats.org/officeDocument/2006/relationships/hyperlink" Target="https://www.tcgplayer.com/product/656718" TargetMode="External" Id="rId552" /><Relationship Type="http://schemas.openxmlformats.org/officeDocument/2006/relationships/hyperlink" Target="https://www.pricecharting.com/game/pokemon-2020-battle-academy/battle-academy-box" TargetMode="External" Id="rId553" /><Relationship Type="http://schemas.openxmlformats.org/officeDocument/2006/relationships/hyperlink" Target="https://www.pricecharting.com/game/pokemon-aquapolis/abyss-theme-deck" TargetMode="External" Id="rId554" /><Relationship Type="http://schemas.openxmlformats.org/officeDocument/2006/relationships/hyperlink" Target="https://www.tcgplayer.com/product/678179" TargetMode="External" Id="rId555" /><Relationship Type="http://schemas.openxmlformats.org/officeDocument/2006/relationships/hyperlink" Target="https://www.tcgplayer.com/product/678178" TargetMode="External" Id="rId556" /><Relationship Type="http://schemas.openxmlformats.org/officeDocument/2006/relationships/hyperlink" Target="https://www.pricecharting.com/game/pokemon-base-set/2-player-starter-set" TargetMode="External" Id="rId557" /><Relationship Type="http://schemas.openxmlformats.org/officeDocument/2006/relationships/hyperlink" Target="https://www.pricecharting.com/game/pokemon-base-set/starter-gift-box" TargetMode="External" Id="rId558" /><Relationship Type="http://schemas.openxmlformats.org/officeDocument/2006/relationships/hyperlink" Target="https://www.tcgplayer.com/product/136401" TargetMode="External" Id="rId559" /><Relationship Type="http://schemas.openxmlformats.org/officeDocument/2006/relationships/hyperlink" Target="https://www.tcgplayer.com/product/136403" TargetMode="External" Id="rId560" /><Relationship Type="http://schemas.openxmlformats.org/officeDocument/2006/relationships/hyperlink" Target="https://www.tcgplayer.com/product/136402" TargetMode="External" Id="rId561" /><Relationship Type="http://schemas.openxmlformats.org/officeDocument/2006/relationships/hyperlink" Target="https://www.tcgplayer.com/product/136400" TargetMode="External" Id="rId562" /><Relationship Type="http://schemas.openxmlformats.org/officeDocument/2006/relationships/hyperlink" Target="https://www.pricecharting.com/game/pokemon-base-set-2/2-player-cd-rom-starter-set" TargetMode="External" Id="rId563" /><Relationship Type="http://schemas.openxmlformats.org/officeDocument/2006/relationships/hyperlink" Target="https://www.tcgplayer.com/product/107609" TargetMode="External" Id="rId564" /><Relationship Type="http://schemas.openxmlformats.org/officeDocument/2006/relationships/hyperlink" Target="https://www.pricecharting.com/game/pokemon-base-set-2/grass-chopper-theme-deck" TargetMode="External" Id="rId565" /><Relationship Type="http://schemas.openxmlformats.org/officeDocument/2006/relationships/hyperlink" Target="https://www.pricecharting.com/game/pokemon-base-set-2/hot-water-theme-deck" TargetMode="External" Id="rId566" /><Relationship Type="http://schemas.openxmlformats.org/officeDocument/2006/relationships/hyperlink" Target="https://www.pricecharting.com/game/pokemon-base-set-2/lightning-bug-theme-deck" TargetMode="External" Id="rId567" /><Relationship Type="http://schemas.openxmlformats.org/officeDocument/2006/relationships/hyperlink" Target="https://www.pricecharting.com/game/pokemon-base-set-2/psych-out-theme-deck" TargetMode="External" Id="rId568" /><Relationship Type="http://schemas.openxmlformats.org/officeDocument/2006/relationships/hyperlink" Target="https://www.tcgplayer.com/product/107612" TargetMode="External" Id="rId569" /><Relationship Type="http://schemas.openxmlformats.org/officeDocument/2006/relationships/hyperlink" Target="https://www.tcgplayer.com/product/107613" TargetMode="External" Id="rId570" /><Relationship Type="http://schemas.openxmlformats.org/officeDocument/2006/relationships/hyperlink" Target="https://www.tcgplayer.com/product/107614" TargetMode="External" Id="rId571" /><Relationship Type="http://schemas.openxmlformats.org/officeDocument/2006/relationships/hyperlink" Target="https://www.tcgplayer.com/product/594590" TargetMode="External" Id="rId572" /><Relationship Type="http://schemas.openxmlformats.org/officeDocument/2006/relationships/hyperlink" Target="https://www.tcgplayer.com/product/218626" TargetMode="External" Id="rId573" /><Relationship Type="http://schemas.openxmlformats.org/officeDocument/2006/relationships/hyperlink" Target="https://www.tcgplayer.com/product/265253" TargetMode="External" Id="rId574" /><Relationship Type="http://schemas.openxmlformats.org/officeDocument/2006/relationships/hyperlink" Target="https://www.tcgplayer.com/product/551930" TargetMode="External" Id="rId575" /><Relationship Type="http://schemas.openxmlformats.org/officeDocument/2006/relationships/hyperlink" Target="https://www.tcgplayer.com/product/98612" TargetMode="External" Id="rId576" /><Relationship Type="http://schemas.openxmlformats.org/officeDocument/2006/relationships/hyperlink" Target="https://www.pricecharting.com/game/pokemon-brilliant-stars/corviknight-v-battle-deck" TargetMode="External" Id="rId577" /><Relationship Type="http://schemas.openxmlformats.org/officeDocument/2006/relationships/hyperlink" Target="https://www.pricecharting.com/game/pokemon-brilliant-stars/lycanroc-v-battle-deck" TargetMode="External" Id="rId578" /><Relationship Type="http://schemas.openxmlformats.org/officeDocument/2006/relationships/hyperlink" Target="https://www.pricecharting.com/game/pokemon-burning-shadows/luminous-frost-theme-deck" TargetMode="External" Id="rId579" /><Relationship Type="http://schemas.openxmlformats.org/officeDocument/2006/relationships/hyperlink" Target="https://www.pricecharting.com/game/pokemon-burning-shadows/theme-deck-lycanroc-rock-steady" TargetMode="External" Id="rId580" /><Relationship Type="http://schemas.openxmlformats.org/officeDocument/2006/relationships/hyperlink" Target="https://www.pricecharting.com/game/pokemon-burning-shadows/theme-deck-ninetales-luminous-frost" TargetMode="External" Id="rId581" /><Relationship Type="http://schemas.openxmlformats.org/officeDocument/2006/relationships/hyperlink" Target="https://www.tcgplayer.com/product/228805" TargetMode="External" Id="rId582" /><Relationship Type="http://schemas.openxmlformats.org/officeDocument/2006/relationships/hyperlink" Target="https://www.tcgplayer.com/product/228804" TargetMode="External" Id="rId583" /><Relationship Type="http://schemas.openxmlformats.org/officeDocument/2006/relationships/hyperlink" Target="https://www.tcgplayer.com/product/98618" TargetMode="External" Id="rId584" /><Relationship Type="http://schemas.openxmlformats.org/officeDocument/2006/relationships/hyperlink" Target="https://www.tcgplayer.com/product/98617" TargetMode="External" Id="rId585" /><Relationship Type="http://schemas.openxmlformats.org/officeDocument/2006/relationships/hyperlink" Target="https://www.tcgplayer.com/product/177532" TargetMode="External" Id="rId586" /><Relationship Type="http://schemas.openxmlformats.org/officeDocument/2006/relationships/hyperlink" Target="https://www.pricecharting.com/game/pokemon-evolutions/mewtwo-mayhem-theme-deck" TargetMode="External" Id="rId587" /><Relationship Type="http://schemas.openxmlformats.org/officeDocument/2006/relationships/hyperlink" Target="https://www.pricecharting.com/game/pokemon-evolutions/pikachu-power-theme-deck" TargetMode="External" Id="rId588" /><Relationship Type="http://schemas.openxmlformats.org/officeDocument/2006/relationships/hyperlink" Target="https://www.tcgplayer.com/product/232864" TargetMode="External" Id="rId589" /><Relationship Type="http://schemas.openxmlformats.org/officeDocument/2006/relationships/hyperlink" Target="https://www.tcgplayer.com/product/215766" TargetMode="External" Id="rId590" /><Relationship Type="http://schemas.openxmlformats.org/officeDocument/2006/relationships/hyperlink" Target="https://www.tcgplayer.com/product/234511" TargetMode="External" Id="rId591" /><Relationship Type="http://schemas.openxmlformats.org/officeDocument/2006/relationships/hyperlink" Target="https://www.tcgplayer.com/product/232866" TargetMode="External" Id="rId592" /><Relationship Type="http://schemas.openxmlformats.org/officeDocument/2006/relationships/hyperlink" Target="https://www.pricecharting.com/game/pokemon-expedition/electric-garden-theme-deck" TargetMode="External" Id="rId593" /><Relationship Type="http://schemas.openxmlformats.org/officeDocument/2006/relationships/hyperlink" Target="https://www.pricecharting.com/game/pokemon-fossil/bodyguard-theme-deck" TargetMode="External" Id="rId594" /><Relationship Type="http://schemas.openxmlformats.org/officeDocument/2006/relationships/hyperlink" Target="https://www.pricecharting.com/game/pokemon-fossil/lockdown-theme-deck" TargetMode="External" Id="rId595" /><Relationship Type="http://schemas.openxmlformats.org/officeDocument/2006/relationships/hyperlink" Target="https://www.tcgplayer.com/product/107607" TargetMode="External" Id="rId596" /><Relationship Type="http://schemas.openxmlformats.org/officeDocument/2006/relationships/hyperlink" Target="https://www.tcgplayer.com/product/107608" TargetMode="External" Id="rId597" /><Relationship Type="http://schemas.openxmlformats.org/officeDocument/2006/relationships/hyperlink" Target="https://www.pricecharting.com/game/pokemon-go/dragonite-vstar-premier-deck-holder-collection" TargetMode="External" Id="rId598" /><Relationship Type="http://schemas.openxmlformats.org/officeDocument/2006/relationships/hyperlink" Target="https://www.pricecharting.com/game/pokemon-go/v-battle-deck-melmetal" TargetMode="External" Id="rId599" /><Relationship Type="http://schemas.openxmlformats.org/officeDocument/2006/relationships/hyperlink" Target="https://www.pricecharting.com/game/pokemon-go/v-battle-deck-mewtwo" TargetMode="External" Id="rId600" /><Relationship Type="http://schemas.openxmlformats.org/officeDocument/2006/relationships/hyperlink" Target="https://www.pricecharting.com/game/pokemon-gym-challenge/koga-theme-deck" TargetMode="External" Id="rId601" /><Relationship Type="http://schemas.openxmlformats.org/officeDocument/2006/relationships/hyperlink" Target="https://www.tcgplayer.com/product/277128" TargetMode="External" Id="rId602" /><Relationship Type="http://schemas.openxmlformats.org/officeDocument/2006/relationships/hyperlink" Target="https://www.tcgplayer.com/product/277129" TargetMode="External" Id="rId603" /><Relationship Type="http://schemas.openxmlformats.org/officeDocument/2006/relationships/hyperlink" Target="https://www.tcgplayer.com/product/277126" TargetMode="External" Id="rId604" /><Relationship Type="http://schemas.openxmlformats.org/officeDocument/2006/relationships/hyperlink" Target="https://www.pricecharting.com/game/pokemon-gym-heroes/brock-theme-deck" TargetMode="External" Id="rId605" /><Relationship Type="http://schemas.openxmlformats.org/officeDocument/2006/relationships/hyperlink" Target="https://www.pricecharting.com/game/pokemon-gym-heroes/lt-surge-theme-deck" TargetMode="External" Id="rId606" /><Relationship Type="http://schemas.openxmlformats.org/officeDocument/2006/relationships/hyperlink" Target="https://www.tcgplayer.com/product/234502" TargetMode="External" Id="rId607" /><Relationship Type="http://schemas.openxmlformats.org/officeDocument/2006/relationships/hyperlink" Target="https://www.tcgplayer.com/product/234503" TargetMode="External" Id="rId608" /><Relationship Type="http://schemas.openxmlformats.org/officeDocument/2006/relationships/hyperlink" Target="https://www.tcgplayer.com/product/451095" TargetMode="External" Id="rId609" /><Relationship Type="http://schemas.openxmlformats.org/officeDocument/2006/relationships/hyperlink" Target="https://www.pricecharting.com/game/pokemon-japanese-challenge-from-the-darkness/guren-town-gym-theme-deck" TargetMode="External" Id="rId610" /><Relationship Type="http://schemas.openxmlformats.org/officeDocument/2006/relationships/hyperlink" Target="https://www.pricecharting.com/game/pokemon-japanese-expansion-pack/starter-deck" TargetMode="External" Id="rId611" /><Relationship Type="http://schemas.openxmlformats.org/officeDocument/2006/relationships/hyperlink" Target="https://www.pricecharting.com/game/pokemon-japanese-mega-starter-deck-gengar-ex/sealed-mega-starter-set" TargetMode="External" Id="rId612" /><Relationship Type="http://schemas.openxmlformats.org/officeDocument/2006/relationships/hyperlink" Target="https://www.pricecharting.com/game/pokemon-japanese-old-maid/old-maid-deck" TargetMode="External" Id="rId613" /><Relationship Type="http://schemas.openxmlformats.org/officeDocument/2006/relationships/hyperlink" Target="https://www.pricecharting.com/game/pokemon-japanese-old-maid/old-maid-deck-blue" TargetMode="External" Id="rId614" /><Relationship Type="http://schemas.openxmlformats.org/officeDocument/2006/relationships/hyperlink" Target="https://www.pricecharting.com/game/pokemon-japanese-start-deck-100-battle-collection/sealed-deck" TargetMode="External" Id="rId615" /><Relationship Type="http://schemas.openxmlformats.org/officeDocument/2006/relationships/hyperlink" Target="https://www.pricecharting.com/game/pokemon-japanese-svg-special-set/venusaur-&amp;-charizard-&amp;-blastoise-special-deck-set-ex" TargetMode="External" Id="rId616" /><Relationship Type="http://schemas.openxmlformats.org/officeDocument/2006/relationships/hyperlink" Target="https://www.pricecharting.com/game/pokemon-japanese-tag-team-starter-set/starter-deluxe-set" TargetMode="External" Id="rId617" /><Relationship Type="http://schemas.openxmlformats.org/officeDocument/2006/relationships/hyperlink" Target="https://www.pricecharting.com/game/pokemon-japanese-vending/deck-battle-series-iii" TargetMode="External" Id="rId618" /><Relationship Type="http://schemas.openxmlformats.org/officeDocument/2006/relationships/hyperlink" Target="https://www.pricecharting.com/game/pokemon-japanese-vending/deck-exchange-series-iii" TargetMode="External" Id="rId619" /><Relationship Type="http://schemas.openxmlformats.org/officeDocument/2006/relationships/hyperlink" Target="https://www.pricecharting.com/game/pokemon-japanese-yamabuki-city-gym/yamabuki-city-gym-theme-deck" TargetMode="External" Id="rId620" /><Relationship Type="http://schemas.openxmlformats.org/officeDocument/2006/relationships/hyperlink" Target="https://www.pricecharting.com/game/pokemon-jungle/power-reserve-theme-deck" TargetMode="External" Id="rId621" /><Relationship Type="http://schemas.openxmlformats.org/officeDocument/2006/relationships/hyperlink" Target="https://www.tcgplayer.com/product/234498" TargetMode="External" Id="rId622" /><Relationship Type="http://schemas.openxmlformats.org/officeDocument/2006/relationships/hyperlink" Target="https://www.tcgplayer.com/product/234499" TargetMode="External" Id="rId623" /><Relationship Type="http://schemas.openxmlformats.org/officeDocument/2006/relationships/hyperlink" Target="https://www.pricecharting.com/game/pokemon-jungle/water-blast-theme-deck" TargetMode="External" Id="rId624" /><Relationship Type="http://schemas.openxmlformats.org/officeDocument/2006/relationships/hyperlink" Target="https://www.pricecharting.com/game/pokemon-legendary-collection/lava-theme-deck" TargetMode="External" Id="rId625" /><Relationship Type="http://schemas.openxmlformats.org/officeDocument/2006/relationships/hyperlink" Target="https://www.tcgplayer.com/product/693133" TargetMode="External" Id="rId626" /><Relationship Type="http://schemas.openxmlformats.org/officeDocument/2006/relationships/hyperlink" Target="https://www.pricecharting.com/game/pokemon-lost-thunder/storm-caller-theme-deck" TargetMode="External" Id="rId627" /><Relationship Type="http://schemas.openxmlformats.org/officeDocument/2006/relationships/hyperlink" Target="https://www.tcgplayer.com/product/653859" TargetMode="External" Id="rId628" /><Relationship Type="http://schemas.openxmlformats.org/officeDocument/2006/relationships/hyperlink" Target="https://www.tcgplayer.com/product/653844" TargetMode="External" Id="rId629" /><Relationship Type="http://schemas.openxmlformats.org/officeDocument/2006/relationships/hyperlink" Target="https://www.pricecharting.com/game/pokemon-30th-celebration/battle-deck-espeon-ex" TargetMode="External" Id="rId630" /><Relationship Type="http://schemas.openxmlformats.org/officeDocument/2006/relationships/hyperlink" Target="https://www.tcgplayer.com/product/704187" TargetMode="External" Id="rId631" /><Relationship Type="http://schemas.openxmlformats.org/officeDocument/2006/relationships/hyperlink" Target="https://www.pricecharting.com/game/pokemon-30th-celebration/battle-deck-umbreon-ex" TargetMode="External" Id="rId632" /><Relationship Type="http://schemas.openxmlformats.org/officeDocument/2006/relationships/hyperlink" Target="https://www.tcgplayer.com/product/704188" TargetMode="External" Id="rId633" /><Relationship Type="http://schemas.openxmlformats.org/officeDocument/2006/relationships/hyperlink" Target="https://www.tcgplayer.com/product/709112" TargetMode="External" Id="rId634" /><Relationship Type="http://schemas.openxmlformats.org/officeDocument/2006/relationships/hyperlink" Target="https://www.tcgplayer.com/product/709113" TargetMode="External" Id="rId635" /><Relationship Type="http://schemas.openxmlformats.org/officeDocument/2006/relationships/hyperlink" Target="https://www.tcgplayer.com/product/709114" TargetMode="External" Id="rId636" /><Relationship Type="http://schemas.openxmlformats.org/officeDocument/2006/relationships/hyperlink" Target="https://www.tcgplayer.com/product/716802" TargetMode="External" Id="rId637" /><Relationship Type="http://schemas.openxmlformats.org/officeDocument/2006/relationships/hyperlink" Target="https://www.tcgplayer.com/product/198526" TargetMode="External" Id="rId638" /><Relationship Type="http://schemas.openxmlformats.org/officeDocument/2006/relationships/hyperlink" Target="https://www.tcgplayer.com/product/198527" TargetMode="External" Id="rId639" /><Relationship Type="http://schemas.openxmlformats.org/officeDocument/2006/relationships/hyperlink" Target="https://www.tcgplayer.com/product/710570" TargetMode="External" Id="rId640" /><Relationship Type="http://schemas.openxmlformats.org/officeDocument/2006/relationships/hyperlink" Target="https://www.tcgplayer.com/product/564146" TargetMode="External" Id="rId641" /><Relationship Type="http://schemas.openxmlformats.org/officeDocument/2006/relationships/hyperlink" Target="https://www.tcgplayer.com/product/504250" TargetMode="External" Id="rId642" /><Relationship Type="http://schemas.openxmlformats.org/officeDocument/2006/relationships/hyperlink" Target="https://www.tcgplayer.com/product/539429" TargetMode="External" Id="rId643" /><Relationship Type="http://schemas.openxmlformats.org/officeDocument/2006/relationships/hyperlink" Target="https://www.tcgplayer.com/product/504252" TargetMode="External" Id="rId644" /><Relationship Type="http://schemas.openxmlformats.org/officeDocument/2006/relationships/hyperlink" Target="https://www.tcgplayer.com/product/539428" TargetMode="External" Id="rId645" /><Relationship Type="http://schemas.openxmlformats.org/officeDocument/2006/relationships/hyperlink" Target="https://www.tcgplayer.com/product/564248" TargetMode="External" Id="rId646" /><Relationship Type="http://schemas.openxmlformats.org/officeDocument/2006/relationships/hyperlink" Target="https://www.tcgplayer.com/product/504257" TargetMode="External" Id="rId647" /><Relationship Type="http://schemas.openxmlformats.org/officeDocument/2006/relationships/hyperlink" Target="https://www.tcgplayer.com/product/497967" TargetMode="External" Id="rId648" /><Relationship Type="http://schemas.openxmlformats.org/officeDocument/2006/relationships/hyperlink" Target="https://www.tcgplayer.com/product/484380" TargetMode="External" Id="rId649" /><Relationship Type="http://schemas.openxmlformats.org/officeDocument/2006/relationships/hyperlink" Target="https://www.tcgplayer.com/product/497842" TargetMode="External" Id="rId650" /><Relationship Type="http://schemas.openxmlformats.org/officeDocument/2006/relationships/hyperlink" Target="https://www.tcgplayer.com/product/527671" TargetMode="External" Id="rId651" /><Relationship Type="http://schemas.openxmlformats.org/officeDocument/2006/relationships/hyperlink" Target="https://www.tcgplayer.com/product/531574" TargetMode="External" Id="rId652" /><Relationship Type="http://schemas.openxmlformats.org/officeDocument/2006/relationships/hyperlink" Target="https://www.tcgplayer.com/product/564278" TargetMode="External" Id="rId653" /><Relationship Type="http://schemas.openxmlformats.org/officeDocument/2006/relationships/hyperlink" Target="https://www.tcgplayer.com/product/527674" TargetMode="External" Id="rId654" /><Relationship Type="http://schemas.openxmlformats.org/officeDocument/2006/relationships/hyperlink" Target="https://www.tcgplayer.com/product/484382" TargetMode="External" Id="rId655" /><Relationship Type="http://schemas.openxmlformats.org/officeDocument/2006/relationships/hyperlink" Target="https://www.tcgplayer.com/product/531573" TargetMode="External" Id="rId656" /><Relationship Type="http://schemas.openxmlformats.org/officeDocument/2006/relationships/hyperlink" Target="https://www.tcgplayer.com/product/557327" TargetMode="External" Id="rId657" /><Relationship Type="http://schemas.openxmlformats.org/officeDocument/2006/relationships/hyperlink" Target="https://www.tcgplayer.com/product/484384" TargetMode="External" Id="rId658" /><Relationship Type="http://schemas.openxmlformats.org/officeDocument/2006/relationships/hyperlink" Target="https://www.tcgplayer.com/product/564277" TargetMode="External" Id="rId659" /><Relationship Type="http://schemas.openxmlformats.org/officeDocument/2006/relationships/hyperlink" Target="https://www.tcgplayer.com/product/497841" TargetMode="External" Id="rId660" /><Relationship Type="http://schemas.openxmlformats.org/officeDocument/2006/relationships/hyperlink" Target="https://www.tcgplayer.com/product/557326" TargetMode="External" Id="rId661" /><Relationship Type="http://schemas.openxmlformats.org/officeDocument/2006/relationships/hyperlink" Target="https://www.tcgplayer.com/product/575186" TargetMode="External" Id="rId662" /><Relationship Type="http://schemas.openxmlformats.org/officeDocument/2006/relationships/hyperlink" Target="https://www.tcgplayer.com/product/575294" TargetMode="External" Id="rId663" /><Relationship Type="http://schemas.openxmlformats.org/officeDocument/2006/relationships/hyperlink" Target="https://www.tcgplayer.com/product/623029" TargetMode="External" Id="rId664" /><Relationship Type="http://schemas.openxmlformats.org/officeDocument/2006/relationships/hyperlink" Target="https://www.tcgplayer.com/product/539385" TargetMode="External" Id="rId665" /><Relationship Type="http://schemas.openxmlformats.org/officeDocument/2006/relationships/hyperlink" Target="https://www.tcgplayer.com/product/271947" TargetMode="External" Id="rId666" /><Relationship Type="http://schemas.openxmlformats.org/officeDocument/2006/relationships/hyperlink" Target="https://www.tcgplayer.com/product/236379" TargetMode="External" Id="rId667" /><Relationship Type="http://schemas.openxmlformats.org/officeDocument/2006/relationships/hyperlink" Target="https://www.tcgplayer.com/product/718643" TargetMode="External" Id="rId668" /><Relationship Type="http://schemas.openxmlformats.org/officeDocument/2006/relationships/hyperlink" Target="https://www.tcgplayer.com/product/684106" TargetMode="External" Id="rId669" /><Relationship Type="http://schemas.openxmlformats.org/officeDocument/2006/relationships/hyperlink" Target="https://www.tcgplayer.com/product/516580" TargetMode="External" Id="rId670" /><Relationship Type="http://schemas.openxmlformats.org/officeDocument/2006/relationships/hyperlink" Target="https://www.tcgplayer.com/product/484213" TargetMode="External" Id="rId671" /><Relationship Type="http://schemas.openxmlformats.org/officeDocument/2006/relationships/hyperlink" Target="https://www.tcgplayer.com/product/248073" TargetMode="External" Id="rId672" /><Relationship Type="http://schemas.openxmlformats.org/officeDocument/2006/relationships/hyperlink" Target="https://www.tcgplayer.com/product/271946" TargetMode="External" Id="rId673" /><Relationship Type="http://schemas.openxmlformats.org/officeDocument/2006/relationships/hyperlink" Target="https://www.tcgplayer.com/product/271997" TargetMode="External" Id="rId674" /><Relationship Type="http://schemas.openxmlformats.org/officeDocument/2006/relationships/hyperlink" Target="https://www.tcgplayer.com/product/248071" TargetMode="External" Id="rId675" /><Relationship Type="http://schemas.openxmlformats.org/officeDocument/2006/relationships/hyperlink" Target="https://www.tcgplayer.com/product/654567" TargetMode="External" Id="rId676" /><Relationship Type="http://schemas.openxmlformats.org/officeDocument/2006/relationships/hyperlink" Target="https://www.tcgplayer.com/product/226138" TargetMode="External" Id="rId677" /><Relationship Type="http://schemas.openxmlformats.org/officeDocument/2006/relationships/hyperlink" Target="https://www.tcgplayer.com/product/214270" TargetMode="External" Id="rId678" /><Relationship Type="http://schemas.openxmlformats.org/officeDocument/2006/relationships/hyperlink" Target="https://www.tcgplayer.com/product/214271" TargetMode="External" Id="rId679" /><Relationship Type="http://schemas.openxmlformats.org/officeDocument/2006/relationships/hyperlink" Target="https://www.tcgplayer.com/product/181697" TargetMode="External" Id="rId680" /><Relationship Type="http://schemas.openxmlformats.org/officeDocument/2006/relationships/hyperlink" Target="https://www.tcgplayer.com/product/181696" TargetMode="External" Id="rId681" /><Relationship Type="http://schemas.openxmlformats.org/officeDocument/2006/relationships/hyperlink" Target="https://www.tcgplayer.com/product/659193" TargetMode="External" Id="rId682" /><Relationship Type="http://schemas.openxmlformats.org/officeDocument/2006/relationships/hyperlink" Target="https://www.tcgplayer.com/product/659192" TargetMode="External" Id="rId683" /><Relationship Type="http://schemas.openxmlformats.org/officeDocument/2006/relationships/hyperlink" Target="https://www.tcgplayer.com/product/661999" TargetMode="External" Id="rId684" /><Relationship Type="http://schemas.openxmlformats.org/officeDocument/2006/relationships/hyperlink" Target="https://www.tcgplayer.com/product/210197" TargetMode="External" Id="rId685" /><Relationship Type="http://schemas.openxmlformats.org/officeDocument/2006/relationships/hyperlink" Target="https://www.tcgplayer.com/product/623014" TargetMode="External" Id="rId686" /><Relationship Type="http://schemas.openxmlformats.org/officeDocument/2006/relationships/hyperlink" Target="https://www.tcgplayer.com/product/623015" TargetMode="External" Id="rId687" /><Relationship Type="http://schemas.openxmlformats.org/officeDocument/2006/relationships/hyperlink" Target="https://www.tcgplayer.com/product/271999" TargetMode="External" Id="rId688" /><Relationship Type="http://schemas.openxmlformats.org/officeDocument/2006/relationships/hyperlink" Target="https://www.tcgplayer.com/product/272000" TargetMode="External" Id="rId689" /><Relationship Type="http://schemas.openxmlformats.org/officeDocument/2006/relationships/hyperlink" Target="https://www.tcgplayer.com/product/230396" TargetMode="External" Id="rId690" /><Relationship Type="http://schemas.openxmlformats.org/officeDocument/2006/relationships/hyperlink" Target="https://www.tcgplayer.com/product/280857" TargetMode="External" Id="rId691" /><Relationship Type="http://schemas.openxmlformats.org/officeDocument/2006/relationships/hyperlink" Target="https://www.tcgplayer.com/product/233357" TargetMode="External" Id="rId692" /><Relationship Type="http://schemas.openxmlformats.org/officeDocument/2006/relationships/hyperlink" Target="https://www.tcgplayer.com/product/264757" TargetMode="External" Id="rId693" /><Relationship Type="http://schemas.openxmlformats.org/officeDocument/2006/relationships/hyperlink" Target="https://www.tcgplayer.com/product/245733" TargetMode="External" Id="rId694" /><Relationship Type="http://schemas.openxmlformats.org/officeDocument/2006/relationships/hyperlink" Target="https://www.tcgplayer.com/product/245732" TargetMode="External" Id="rId695" /><Relationship Type="http://schemas.openxmlformats.org/officeDocument/2006/relationships/hyperlink" Target="https://www.tcgplayer.com/product/230397" TargetMode="External" Id="rId696" /><Relationship Type="http://schemas.openxmlformats.org/officeDocument/2006/relationships/hyperlink" Target="https://www.tcgplayer.com/product/233356" TargetMode="External" Id="rId697" /><Relationship Type="http://schemas.openxmlformats.org/officeDocument/2006/relationships/hyperlink" Target="https://www.tcgplayer.com/product/280858" TargetMode="External" Id="rId698" /><Relationship Type="http://schemas.openxmlformats.org/officeDocument/2006/relationships/hyperlink" Target="https://www.tcgplayer.com/product/229176" TargetMode="External" Id="rId699" /><Relationship Type="http://schemas.openxmlformats.org/officeDocument/2006/relationships/hyperlink" Target="https://www.pricecharting.com/game/pokemon-neo-destiny/dark-theme-deck" TargetMode="External" Id="rId700" /><Relationship Type="http://schemas.openxmlformats.org/officeDocument/2006/relationships/hyperlink" Target="https://www.pricecharting.com/game/pokemon-neo-destiny/light-theme-deck" TargetMode="External" Id="rId701" /><Relationship Type="http://schemas.openxmlformats.org/officeDocument/2006/relationships/hyperlink" Target="https://www.tcgplayer.com/product/232869" TargetMode="External" Id="rId702" /><Relationship Type="http://schemas.openxmlformats.org/officeDocument/2006/relationships/hyperlink" Target="https://www.pricecharting.com/game/pokemon-neo-discovery/brain-wave-theme-deck" TargetMode="External" Id="rId703" /><Relationship Type="http://schemas.openxmlformats.org/officeDocument/2006/relationships/hyperlink" Target="https://www.tcgplayer.com/product/234510" TargetMode="External" Id="rId704" /><Relationship Type="http://schemas.openxmlformats.org/officeDocument/2006/relationships/hyperlink" Target="https://www.pricecharting.com/game/pokemon-neo-discovery/wallop-theme-deck" TargetMode="External" Id="rId705" /><Relationship Type="http://schemas.openxmlformats.org/officeDocument/2006/relationships/hyperlink" Target="https://www.pricecharting.com/game/pokemon-neo-genesis/hotfoot-theme-deck" TargetMode="External" Id="rId706" /><Relationship Type="http://schemas.openxmlformats.org/officeDocument/2006/relationships/hyperlink" Target="https://www.tcgplayer.com/product/234505" TargetMode="External" Id="rId707" /><Relationship Type="http://schemas.openxmlformats.org/officeDocument/2006/relationships/hyperlink" Target="https://www.tcgplayer.com/product/98626" TargetMode="External" Id="rId708" /><Relationship Type="http://schemas.openxmlformats.org/officeDocument/2006/relationships/hyperlink" Target="https://www.tcgplayer.com/product/229175" TargetMode="External" Id="rId709" /><Relationship Type="http://schemas.openxmlformats.org/officeDocument/2006/relationships/hyperlink" Target="https://www.tcgplayer.com/product/275842" TargetMode="External" Id="rId710" /><Relationship Type="http://schemas.openxmlformats.org/officeDocument/2006/relationships/hyperlink" Target="https://www.tcgplayer.com/product/270711" TargetMode="External" Id="rId711" /><Relationship Type="http://schemas.openxmlformats.org/officeDocument/2006/relationships/hyperlink" Target="https://www.tcgplayer.com/product/270710" TargetMode="External" Id="rId712" /><Relationship Type="http://schemas.openxmlformats.org/officeDocument/2006/relationships/hyperlink" Target="https://www.pricecharting.com/game/pokemon-power-keepers/dark-blast-theme-deck" TargetMode="External" Id="rId713" /><Relationship Type="http://schemas.openxmlformats.org/officeDocument/2006/relationships/hyperlink" Target="https://www.pricecharting.com/game/pokemon-power-keepers/mind-game-theme-deck" TargetMode="External" Id="rId714" /><Relationship Type="http://schemas.openxmlformats.org/officeDocument/2006/relationships/hyperlink" Target="https://www.pricecharting.com/game/pokemon-promo/battle-academy-2022" TargetMode="External" Id="rId715" /><Relationship Type="http://schemas.openxmlformats.org/officeDocument/2006/relationships/hyperlink" Target="https://www.pricecharting.com/game/pokemon-promo/deluxe-battle-deck-meowscarada-ex" TargetMode="External" Id="rId716" /><Relationship Type="http://schemas.openxmlformats.org/officeDocument/2006/relationships/hyperlink" Target="https://www.pricecharting.com/game/pokemon-promo/deluxe-battle-deck-ninetales" TargetMode="External" Id="rId717" /><Relationship Type="http://schemas.openxmlformats.org/officeDocument/2006/relationships/hyperlink" Target="https://www.pricecharting.com/game/pokemon-promo/deluxe-battle-deck-zapdos" TargetMode="External" Id="rId718" /><Relationship Type="http://schemas.openxmlformats.org/officeDocument/2006/relationships/hyperlink" Target="https://www.pricecharting.com/game/pokemon-promo/ex-battle-deck-chien-pao" TargetMode="External" Id="rId719" /><Relationship Type="http://schemas.openxmlformats.org/officeDocument/2006/relationships/hyperlink" Target="https://www.pricecharting.com/game/pokemon-promo/ex-battle-deck-tapu-koko" TargetMode="External" Id="rId720" /><Relationship Type="http://schemas.openxmlformats.org/officeDocument/2006/relationships/hyperlink" Target="https://www.pricecharting.com/game/pokemon-promo/ex-battle-deck-houndoom-ex" TargetMode="External" Id="rId721" /><Relationship Type="http://schemas.openxmlformats.org/officeDocument/2006/relationships/hyperlink" Target="https://www.pricecharting.com/game/pokemon-promo/ex-battle-deck-iron-leaves-ex" TargetMode="External" Id="rId722" /><Relationship Type="http://schemas.openxmlformats.org/officeDocument/2006/relationships/hyperlink" Target="https://www.pricecharting.com/game/pokemon-promo/ex-battle-deck-melmetal" TargetMode="External" Id="rId723" /><Relationship Type="http://schemas.openxmlformats.org/officeDocument/2006/relationships/hyperlink" Target="https://www.pricecharting.com/game/pokemon-promo/gardevoir-v-battle-deck" TargetMode="External" Id="rId724" /><Relationship Type="http://schemas.openxmlformats.org/officeDocument/2006/relationships/hyperlink" Target="https://www.pricecharting.com/game/pokemon-promo/league-battle-deck-charizard-ex" TargetMode="External" Id="rId725" /><Relationship Type="http://schemas.openxmlformats.org/officeDocument/2006/relationships/hyperlink" Target="https://www.pricecharting.com/game/pokemon-promo/league-battle-deck-gardevoir-ex" TargetMode="External" Id="rId726" /><Relationship Type="http://schemas.openxmlformats.org/officeDocument/2006/relationships/hyperlink" Target="https://www.pricecharting.com/game/pokemon-promo/league-battle-deck-mega-lucario-ex" TargetMode="External" Id="rId727" /><Relationship Type="http://schemas.openxmlformats.org/officeDocument/2006/relationships/hyperlink" Target="https://www.pricecharting.com/game/pokemon-promo/league-battle-deck-mew-vmax" TargetMode="External" Id="rId728" /><Relationship Type="http://schemas.openxmlformats.org/officeDocument/2006/relationships/hyperlink" Target="https://www.pricecharting.com/game/pokemon-promo/league-battle-deck-miraidon-ex" TargetMode="External" Id="rId729" /><Relationship Type="http://schemas.openxmlformats.org/officeDocument/2006/relationships/hyperlink" Target="https://www.pricecharting.com/game/pokemon-promo/league-battle-deck-shadow-rider-calyrex-vmax" TargetMode="External" Id="rId730" /><Relationship Type="http://schemas.openxmlformats.org/officeDocument/2006/relationships/hyperlink" Target="https://www.pricecharting.com/game/pokemon-promo/league-battle-deck-team-rocket's-mewtwo-ex" TargetMode="External" Id="rId731" /><Relationship Type="http://schemas.openxmlformats.org/officeDocument/2006/relationships/hyperlink" Target="https://www.pricecharting.com/game/pokemon-promo/league-battle-deck-zacian-v" TargetMode="External" Id="rId732" /><Relationship Type="http://schemas.openxmlformats.org/officeDocument/2006/relationships/hyperlink" Target="https://www.pricecharting.com/game/pokemon-promo/lucario-ex-battle-deck" TargetMode="External" Id="rId733" /><Relationship Type="http://schemas.openxmlformats.org/officeDocument/2006/relationships/hyperlink" Target="https://www.pricecharting.com/game/pokemon-promo/mega-battle-deck-mega-diancie-ex" TargetMode="External" Id="rId734" /><Relationship Type="http://schemas.openxmlformats.org/officeDocument/2006/relationships/hyperlink" Target="https://www.pricecharting.com/game/pokemon-promo/rival-battle-deck-marnie" TargetMode="External" Id="rId735" /><Relationship Type="http://schemas.openxmlformats.org/officeDocument/2006/relationships/hyperlink" Target="https://www.pricecharting.com/game/pokemon-promo/rival-battle-deck-steven" TargetMode="External" Id="rId736" /><Relationship Type="http://schemas.openxmlformats.org/officeDocument/2006/relationships/hyperlink" Target="https://www.pricecharting.com/game/pokemon-promo/sealed-mega-battle-deck-mega-gengar-ex" TargetMode="External" Id="rId737" /><Relationship Type="http://schemas.openxmlformats.org/officeDocument/2006/relationships/hyperlink" Target="https://www.pricecharting.com/game/pokemon-promo/v-battle-deck-noivern" TargetMode="External" Id="rId738" /><Relationship Type="http://schemas.openxmlformats.org/officeDocument/2006/relationships/hyperlink" Target="https://www.pricecharting.com/game/pokemon-promo/v-battle-deck-rayquaza-v" TargetMode="External" Id="rId739" /><Relationship Type="http://schemas.openxmlformats.org/officeDocument/2006/relationships/hyperlink" Target="https://www.pricecharting.com/game/pokemon-promo/v-battle-deck-zeraora-v" TargetMode="External" Id="rId740" /><Relationship Type="http://schemas.openxmlformats.org/officeDocument/2006/relationships/hyperlink" Target="https://www.pricecharting.com/game/pokemon-promo/v-battle-deck-blastoise" TargetMode="External" Id="rId741" /><Relationship Type="http://schemas.openxmlformats.org/officeDocument/2006/relationships/hyperlink" Target="https://www.pricecharting.com/game/pokemon-promo/v-battle-deck-venusaur" TargetMode="External" Id="rId742" /><Relationship Type="http://schemas.openxmlformats.org/officeDocument/2006/relationships/hyperlink" Target="https://www.tcgplayer.com/product/644827" TargetMode="External" Id="rId743" /><Relationship Type="http://schemas.openxmlformats.org/officeDocument/2006/relationships/hyperlink" Target="https://www.pricecharting.com/game/pokemon-skyridge/theme-deck-mind-machine" TargetMode="External" Id="rId744" /><Relationship Type="http://schemas.openxmlformats.org/officeDocument/2006/relationships/hyperlink" Target="https://www.tcgplayer.com/product/133778" TargetMode="External" Id="rId745" /><Relationship Type="http://schemas.openxmlformats.org/officeDocument/2006/relationships/hyperlink" Target="https://www.tcgplayer.com/product/133777" TargetMode="External" Id="rId746" /><Relationship Type="http://schemas.openxmlformats.org/officeDocument/2006/relationships/hyperlink" Target="https://www.tcgplayer.com/product/175553" TargetMode="External" Id="rId747" /><Relationship Type="http://schemas.openxmlformats.org/officeDocument/2006/relationships/hyperlink" Target="https://www.tcgplayer.com/product/175552" TargetMode="External" Id="rId748" /><Relationship Type="http://schemas.openxmlformats.org/officeDocument/2006/relationships/hyperlink" Target="https://www.tcgplayer.com/product/170279" TargetMode="External" Id="rId749" /><Relationship Type="http://schemas.openxmlformats.org/officeDocument/2006/relationships/hyperlink" Target="https://www.tcgplayer.com/product/170278" TargetMode="External" Id="rId750" /><Relationship Type="http://schemas.openxmlformats.org/officeDocument/2006/relationships/hyperlink" Target="https://www.tcgplayer.com/product/199305" TargetMode="External" Id="rId751" /><Relationship Type="http://schemas.openxmlformats.org/officeDocument/2006/relationships/hyperlink" Target="https://www.tcgplayer.com/product/149379" TargetMode="External" Id="rId752" /><Relationship Type="http://schemas.openxmlformats.org/officeDocument/2006/relationships/hyperlink" Target="https://www.tcgplayer.com/product/149380" TargetMode="External" Id="rId753" /><Relationship Type="http://schemas.openxmlformats.org/officeDocument/2006/relationships/hyperlink" Target="https://www.tcgplayer.com/product/164305" TargetMode="External" Id="rId754" /><Relationship Type="http://schemas.openxmlformats.org/officeDocument/2006/relationships/hyperlink" Target="https://www.tcgplayer.com/product/164306" TargetMode="External" Id="rId755" /><Relationship Type="http://schemas.openxmlformats.org/officeDocument/2006/relationships/hyperlink" Target="https://www.tcgplayer.com/product/129891" TargetMode="External" Id="rId756" /><Relationship Type="http://schemas.openxmlformats.org/officeDocument/2006/relationships/hyperlink" Target="https://www.tcgplayer.com/product/129892" TargetMode="External" Id="rId757" /><Relationship Type="http://schemas.openxmlformats.org/officeDocument/2006/relationships/hyperlink" Target="https://www.tcgplayer.com/product/177527" TargetMode="External" Id="rId758" /><Relationship Type="http://schemas.openxmlformats.org/officeDocument/2006/relationships/hyperlink" Target="https://www.tcgplayer.com/product/177528" TargetMode="External" Id="rId759" /><Relationship Type="http://schemas.openxmlformats.org/officeDocument/2006/relationships/hyperlink" Target="https://www.tcgplayer.com/product/181705" TargetMode="External" Id="rId760" /><Relationship Type="http://schemas.openxmlformats.org/officeDocument/2006/relationships/hyperlink" Target="https://www.tcgplayer.com/product/181706" TargetMode="External" Id="rId761" /><Relationship Type="http://schemas.openxmlformats.org/officeDocument/2006/relationships/hyperlink" Target="https://www.tcgplayer.com/product/155666" TargetMode="External" Id="rId762" /><Relationship Type="http://schemas.openxmlformats.org/officeDocument/2006/relationships/hyperlink" Target="https://www.tcgplayer.com/product/155665" TargetMode="External" Id="rId763" /><Relationship Type="http://schemas.openxmlformats.org/officeDocument/2006/relationships/hyperlink" Target="https://www.tcgplayer.com/product/188399" TargetMode="External" Id="rId764" /><Relationship Type="http://schemas.openxmlformats.org/officeDocument/2006/relationships/hyperlink" Target="https://www.tcgplayer.com/product/191889" TargetMode="External" Id="rId765" /><Relationship Type="http://schemas.openxmlformats.org/officeDocument/2006/relationships/hyperlink" Target="https://www.tcgplayer.com/product/191888" TargetMode="External" Id="rId766" /><Relationship Type="http://schemas.openxmlformats.org/officeDocument/2006/relationships/hyperlink" Target="https://www.tcgplayer.com/product/194708" TargetMode="External" Id="rId767" /><Relationship Type="http://schemas.openxmlformats.org/officeDocument/2006/relationships/hyperlink" Target="https://www.tcgplayer.com/product/126174" TargetMode="External" Id="rId768" /><Relationship Type="http://schemas.openxmlformats.org/officeDocument/2006/relationships/hyperlink" Target="https://www.tcgplayer.com/product/126172" TargetMode="External" Id="rId769" /><Relationship Type="http://schemas.openxmlformats.org/officeDocument/2006/relationships/hyperlink" Target="https://www.tcgplayer.com/product/126173" TargetMode="External" Id="rId770" /><Relationship Type="http://schemas.openxmlformats.org/officeDocument/2006/relationships/hyperlink" Target="https://www.tcgplayer.com/product/162111" TargetMode="External" Id="rId771" /><Relationship Type="http://schemas.openxmlformats.org/officeDocument/2006/relationships/hyperlink" Target="https://www.tcgplayer.com/product/152815" TargetMode="External" Id="rId772" /><Relationship Type="http://schemas.openxmlformats.org/officeDocument/2006/relationships/hyperlink" Target="https://www.tcgplayer.com/product/670145" TargetMode="External" Id="rId773" /><Relationship Type="http://schemas.openxmlformats.org/officeDocument/2006/relationships/hyperlink" Target="https://www.tcgplayer.com/product/593969" TargetMode="External" Id="rId774" /><Relationship Type="http://schemas.openxmlformats.org/officeDocument/2006/relationships/hyperlink" Target="https://www.tcgplayer.com/product/593910" TargetMode="External" Id="rId775" /><Relationship Type="http://schemas.openxmlformats.org/officeDocument/2006/relationships/hyperlink" Target="https://www.tcgplayer.com/product/593967" TargetMode="External" Id="rId776" /><Relationship Type="http://schemas.openxmlformats.org/officeDocument/2006/relationships/hyperlink" Target="https://www.tcgplayer.com/product/594599" TargetMode="External" Id="rId777" /><Relationship Type="http://schemas.openxmlformats.org/officeDocument/2006/relationships/hyperlink" Target="https://www.tcgplayer.com/product/594595" TargetMode="External" Id="rId778" /><Relationship Type="http://schemas.openxmlformats.org/officeDocument/2006/relationships/hyperlink" Target="https://www.tcgplayer.com/product/594597" TargetMode="External" Id="rId779" /><Relationship Type="http://schemas.openxmlformats.org/officeDocument/2006/relationships/hyperlink" Target="https://www.tcgplayer.com/product/594598" TargetMode="External" Id="rId780" /><Relationship Type="http://schemas.openxmlformats.org/officeDocument/2006/relationships/hyperlink" Target="https://www.tcgplayer.com/product/594376" TargetMode="External" Id="rId781" /><Relationship Type="http://schemas.openxmlformats.org/officeDocument/2006/relationships/hyperlink" Target="https://www.tcgplayer.com/product/619294" TargetMode="External" Id="rId782" /><Relationship Type="http://schemas.openxmlformats.org/officeDocument/2006/relationships/hyperlink" Target="https://www.tcgplayer.com/product/594169" TargetMode="External" Id="rId783" /><Relationship Type="http://schemas.openxmlformats.org/officeDocument/2006/relationships/hyperlink" Target="https://www.tcgplayer.com/product/594377" TargetMode="External" Id="rId784" /><Relationship Type="http://schemas.openxmlformats.org/officeDocument/2006/relationships/hyperlink" Target="https://www.tcgplayer.com/product/594375" TargetMode="External" Id="rId785" /><Relationship Type="http://schemas.openxmlformats.org/officeDocument/2006/relationships/hyperlink" Target="https://www.tcgplayer.com/product/619293" TargetMode="External" Id="rId786" /><Relationship Type="http://schemas.openxmlformats.org/officeDocument/2006/relationships/hyperlink" Target="https://www.tcgplayer.com/product/593970" TargetMode="External" Id="rId787" /><Relationship Type="http://schemas.openxmlformats.org/officeDocument/2006/relationships/hyperlink" Target="https://www.tcgplayer.com/product/594100" TargetMode="External" Id="rId788" /><Relationship Type="http://schemas.openxmlformats.org/officeDocument/2006/relationships/hyperlink" Target="https://www.tcgplayer.com/product/594102" TargetMode="External" Id="rId789" /><Relationship Type="http://schemas.openxmlformats.org/officeDocument/2006/relationships/hyperlink" Target="https://www.tcgplayer.com/product/594101" TargetMode="External" Id="rId790" /><Relationship Type="http://schemas.openxmlformats.org/officeDocument/2006/relationships/hyperlink" Target="https://www.tcgplayer.com/product/593911" TargetMode="External" Id="rId791" /><Relationship Type="http://schemas.openxmlformats.org/officeDocument/2006/relationships/hyperlink" Target="https://www.tcgplayer.com/product/593968" TargetMode="External" Id="rId792" /><Relationship Type="http://schemas.openxmlformats.org/officeDocument/2006/relationships/hyperlink" Target="https://www.tcgplayer.com/product/594075" TargetMode="External" Id="rId793" /><Relationship Type="http://schemas.openxmlformats.org/officeDocument/2006/relationships/hyperlink" Target="https://www.tcgplayer.com/product/643135" TargetMode="External" Id="rId794" /><Relationship Type="http://schemas.openxmlformats.org/officeDocument/2006/relationships/hyperlink" Target="https://www.tcgplayer.com/product/643140" TargetMode="External" Id="rId795" /><Relationship Type="http://schemas.openxmlformats.org/officeDocument/2006/relationships/hyperlink" Target="https://www.tcgplayer.com/product/643134" TargetMode="External" Id="rId796" /><Relationship Type="http://schemas.openxmlformats.org/officeDocument/2006/relationships/hyperlink" Target="https://www.tcgplayer.com/product/643133" TargetMode="External" Id="rId797" /><Relationship Type="http://schemas.openxmlformats.org/officeDocument/2006/relationships/hyperlink" Target="https://www.tcgplayer.com/product/643132" TargetMode="External" Id="rId798" /><Relationship Type="http://schemas.openxmlformats.org/officeDocument/2006/relationships/hyperlink" Target="https://www.tcgplayer.com/product/643136" TargetMode="External" Id="rId799" /><Relationship Type="http://schemas.openxmlformats.org/officeDocument/2006/relationships/hyperlink" Target="https://www.tcgplayer.com/product/643138" TargetMode="External" Id="rId800" /><Relationship Type="http://schemas.openxmlformats.org/officeDocument/2006/relationships/hyperlink" Target="https://www.tcgplayer.com/product/643137" TargetMode="External" Id="rId801" /><Relationship Type="http://schemas.openxmlformats.org/officeDocument/2006/relationships/hyperlink" Target="https://www.tcgplayer.com/product/643139" TargetMode="External" Id="rId802" /><Relationship Type="http://schemas.openxmlformats.org/officeDocument/2006/relationships/hyperlink" Target="https://www.tcgplayer.com/product/656152" TargetMode="External" Id="rId803" /><Relationship Type="http://schemas.openxmlformats.org/officeDocument/2006/relationships/hyperlink" Target="https://www.tcgplayer.com/product/206036" TargetMode="External" Id="rId804" /><Relationship Type="http://schemas.openxmlformats.org/officeDocument/2006/relationships/hyperlink" Target="https://www.tcgplayer.com/product/206037" TargetMode="External" Id="rId805" /><Relationship Type="http://schemas.openxmlformats.org/officeDocument/2006/relationships/hyperlink" Target="https://www.tcgplayer.com/product/206044" TargetMode="External" Id="rId806" /><Relationship Type="http://schemas.openxmlformats.org/officeDocument/2006/relationships/hyperlink" Target="https://www.tcgplayer.com/product/210571" TargetMode="External" Id="rId807" /><Relationship Type="http://schemas.openxmlformats.org/officeDocument/2006/relationships/hyperlink" Target="https://www.tcgplayer.com/product/210570" TargetMode="External" Id="rId808" /><Relationship Type="http://schemas.openxmlformats.org/officeDocument/2006/relationships/hyperlink" Target="https://www.tcgplayer.com/product/216865" TargetMode="External" Id="rId809" /><Relationship Type="http://schemas.openxmlformats.org/officeDocument/2006/relationships/hyperlink" Target="https://www.tcgplayer.com/product/216866" TargetMode="External" Id="rId810" /><Relationship Type="http://schemas.openxmlformats.org/officeDocument/2006/relationships/hyperlink" Target="https://www.tcgplayer.com/product/221750" TargetMode="External" Id="rId811" /><Relationship Type="http://schemas.openxmlformats.org/officeDocument/2006/relationships/hyperlink" Target="https://www.tcgplayer.com/product/221751" TargetMode="External" Id="rId812" /><Relationship Type="http://schemas.openxmlformats.org/officeDocument/2006/relationships/hyperlink" Target="https://www.tcgplayer.com/product/283599" TargetMode="External" Id="rId813" /><Relationship Type="http://schemas.openxmlformats.org/officeDocument/2006/relationships/hyperlink" Target="https://www.pricecharting.com/game/pokemon-team-rocket/theme-deck-devastation" TargetMode="External" Id="rId814" /><Relationship Type="http://schemas.openxmlformats.org/officeDocument/2006/relationships/hyperlink" Target="https://www.tcgplayer.com/product/176942" TargetMode="External" Id="rId815" /><Relationship Type="http://schemas.openxmlformats.org/officeDocument/2006/relationships/hyperlink" Target="https://www.pricecharting.com/game/pokemon-team-rocket/theme-deck-trouble" TargetMode="External" Id="rId816" /><Relationship Type="http://schemas.openxmlformats.org/officeDocument/2006/relationships/hyperlink" Target="https://www.tcgplayer.com/product/176943" TargetMode="External" Id="rId817" /><Relationship Type="http://schemas.openxmlformats.org/officeDocument/2006/relationships/hyperlink" Target="https://www.pricecharting.com/game/pokemon-team-up/blastoise-theme-deck-torrential-cannon" TargetMode="External" Id="rId818" /><Relationship Type="http://schemas.openxmlformats.org/officeDocument/2006/relationships/hyperlink" Target="https://www.pricecharting.com/game/pokemon-team-up/charizard-theme-deck-relentless-flame" TargetMode="External" Id="rId819" /><Relationship Type="http://schemas.openxmlformats.org/officeDocument/2006/relationships/hyperlink" Target="https://www.tcgplayer.com/product/656429" TargetMode="External" Id="rId820" /><Relationship Type="http://schemas.openxmlformats.org/officeDocument/2006/relationships/hyperlink" Target="https://www.pricecharting.com/game/pokemon-unified-minds/dragonite-theme-deck-soaring-storm" TargetMode="External" Id="rId821" /><Relationship Type="http://schemas.openxmlformats.org/officeDocument/2006/relationships/hyperlink" Target="https://www.pricecharting.com/game/pokemon-unified-minds/necrozma-theme-deck-laser-focus" TargetMode="External" Id="rId822" /><Relationship Type="http://schemas.openxmlformats.org/officeDocument/2006/relationships/hyperlink" Target="https://www.pricecharting.com/game/pokemon-vivid-voltage/charizard-theme-deck" TargetMode="External" Id="rId823" /><Relationship Type="http://schemas.openxmlformats.org/officeDocument/2006/relationships/hyperlink" Target="https://www.pricecharting.com/game/pokemon-vivid-voltage/drednaw-theme-deck" TargetMode="External" Id="rId824" /><Relationship Type="http://schemas.openxmlformats.org/officeDocument/2006/relationships/hyperlink" Target="https://www.tcgplayer.com/product/594103" TargetMode="External" Id="rId825" /><Relationship Type="http://schemas.openxmlformats.org/officeDocument/2006/relationships/hyperlink" Target="https://www.tcgplayer.com/product/170457" TargetMode="External" Id="rId826" /><Relationship Type="http://schemas.openxmlformats.org/officeDocument/2006/relationships/hyperlink" Target="https://www.tcgplayer.com/product/175267" TargetMode="External" Id="rId827" /><Relationship Type="http://schemas.openxmlformats.org/officeDocument/2006/relationships/hyperlink" Target="https://www.tcgplayer.com/product/175268" TargetMode="External" Id="rId828" /><Relationship Type="http://schemas.openxmlformats.org/officeDocument/2006/relationships/hyperlink" Target="https://www.tcgplayer.com/product/175266" TargetMode="External" Id="rId829" /><Relationship Type="http://schemas.openxmlformats.org/officeDocument/2006/relationships/hyperlink" Target="https://www.tcgplayer.com/product/200137" TargetMode="External" Id="rId830" /><Relationship Type="http://schemas.openxmlformats.org/officeDocument/2006/relationships/hyperlink" Target="https://www.tcgplayer.com/product/200136" TargetMode="External" Id="rId831" /><Relationship Type="http://schemas.openxmlformats.org/officeDocument/2006/relationships/hyperlink" Target="https://www.tcgplayer.com/product/475656" TargetMode="External" Id="rId832" /><Relationship Type="http://schemas.openxmlformats.org/officeDocument/2006/relationships/hyperlink" Target="https://www.tcgplayer.com/product/475657" TargetMode="External" Id="rId833" /><Relationship Type="http://schemas.openxmlformats.org/officeDocument/2006/relationships/hyperlink" Target="https://www.tcgplayer.com/product/475658" TargetMode="External" Id="rId834" /><Relationship Type="http://schemas.openxmlformats.org/officeDocument/2006/relationships/hyperlink" Target="https://www.tcgplayer.com/product/475659" TargetMode="External" Id="rId835" /><Relationship Type="http://schemas.openxmlformats.org/officeDocument/2006/relationships/hyperlink" Target="https://www.tcgplayer.com/product/532027" TargetMode="External" Id="rId836" /><Relationship Type="http://schemas.openxmlformats.org/officeDocument/2006/relationships/hyperlink" Target="https://www.tcgplayer.com/product/532028" TargetMode="External" Id="rId837" /><Relationship Type="http://schemas.openxmlformats.org/officeDocument/2006/relationships/hyperlink" Target="https://www.tcgplayer.com/product/532031" TargetMode="External" Id="rId838" /><Relationship Type="http://schemas.openxmlformats.org/officeDocument/2006/relationships/hyperlink" Target="https://www.tcgplayer.com/product/532030" TargetMode="External" Id="rId839" /><Relationship Type="http://schemas.openxmlformats.org/officeDocument/2006/relationships/hyperlink" Target="https://www.tcgplayer.com/product/532029" TargetMode="External" Id="rId840" /><Relationship Type="http://schemas.openxmlformats.org/officeDocument/2006/relationships/hyperlink" Target="https://www.tcgplayer.com/product/616300" TargetMode="External" Id="rId841" /><Relationship Type="http://schemas.openxmlformats.org/officeDocument/2006/relationships/hyperlink" Target="https://www.tcgplayer.com/product/616299" TargetMode="External" Id="rId842" /><Relationship Type="http://schemas.openxmlformats.org/officeDocument/2006/relationships/hyperlink" Target="https://www.tcgplayer.com/product/616302" TargetMode="External" Id="rId843" /><Relationship Type="http://schemas.openxmlformats.org/officeDocument/2006/relationships/hyperlink" Target="https://www.tcgplayer.com/product/616301" TargetMode="External" Id="rId844" /><Relationship Type="http://schemas.openxmlformats.org/officeDocument/2006/relationships/hyperlink" Target="https://www.tcgplayer.com/product/696639" TargetMode="External" Id="rId845" /><Relationship Type="http://schemas.openxmlformats.org/officeDocument/2006/relationships/hyperlink" Target="https://www.tcgplayer.com/product/696637" TargetMode="External" Id="rId846" /><Relationship Type="http://schemas.openxmlformats.org/officeDocument/2006/relationships/hyperlink" Target="https://www.tcgplayer.com/product/696636" TargetMode="External" Id="rId847" /><Relationship Type="http://schemas.openxmlformats.org/officeDocument/2006/relationships/hyperlink" Target="https://www.tcgplayer.com/product/696638" TargetMode="External" Id="rId848" /><Relationship Type="http://schemas.openxmlformats.org/officeDocument/2006/relationships/hyperlink" Target="https://www.tcgplayer.com/product/100492" TargetMode="External" Id="rId849" /><Relationship Type="http://schemas.openxmlformats.org/officeDocument/2006/relationships/hyperlink" Target="https://www.tcgplayer.com/product/113531" TargetMode="External" Id="rId850" /><Relationship Type="http://schemas.openxmlformats.org/officeDocument/2006/relationships/hyperlink" Target="https://www.tcgplayer.com/product/113530" TargetMode="External" Id="rId851" /><Relationship Type="http://schemas.openxmlformats.org/officeDocument/2006/relationships/hyperlink" Target="https://www.tcgplayer.com/product/107103" TargetMode="External" Id="rId852" /><Relationship Type="http://schemas.openxmlformats.org/officeDocument/2006/relationships/hyperlink" Target="https://www.tcgplayer.com/product/123450" TargetMode="External" Id="rId853" /><Relationship Type="http://schemas.openxmlformats.org/officeDocument/2006/relationships/hyperlink" Target="https://www.tcgplayer.com/product/123449" TargetMode="External" Id="rId854" /><Relationship Type="http://schemas.openxmlformats.org/officeDocument/2006/relationships/hyperlink" Target="https://www.tcgplayer.com/product/117480" TargetMode="External" Id="rId855" /><Relationship Type="http://schemas.openxmlformats.org/officeDocument/2006/relationships/hyperlink" Target="https://www.tcgplayer.com/product/117479" TargetMode="External" Id="rId856" /><Relationship Type="http://schemas.openxmlformats.org/officeDocument/2006/relationships/hyperlink" Target="https://www.tcgplayer.com/product/91596" TargetMode="External" Id="rId857" /><Relationship Type="http://schemas.openxmlformats.org/officeDocument/2006/relationships/hyperlink" Target="https://www.tcgplayer.com/product/91597" TargetMode="External" Id="rId858" /><Relationship Type="http://schemas.openxmlformats.org/officeDocument/2006/relationships/hyperlink" Target="https://www.tcgplayer.com/product/92218" TargetMode="External" Id="rId859" /><Relationship Type="http://schemas.openxmlformats.org/officeDocument/2006/relationships/hyperlink" Target="https://www.tcgplayer.com/product/94625" TargetMode="External" Id="rId860" /><Relationship Type="http://schemas.openxmlformats.org/officeDocument/2006/relationships/hyperlink" Target="https://www.tcgplayer.com/product/94624" TargetMode="External" Id="rId861" /><Relationship Type="http://schemas.openxmlformats.org/officeDocument/2006/relationships/hyperlink" Target="https://www.tcgplayer.com/product/97753" TargetMode="External" Id="rId862" /><Relationship Type="http://schemas.openxmlformats.org/officeDocument/2006/relationships/hyperlink" Target="https://www.tcgplayer.com/product/97752" TargetMode="External" Id="rId863" /><Relationship Type="http://schemas.openxmlformats.org/officeDocument/2006/relationships/hyperlink" Target="https://www.tcgplayer.com/product/98029" TargetMode="External" Id="rId864" /><Relationship Type="http://schemas.openxmlformats.org/officeDocument/2006/relationships/hyperlink" Target="https://www.tcgplayer.com/product/120698" TargetMode="External" Id="rId865" /><Relationship Type="http://schemas.openxmlformats.org/officeDocument/2006/relationships/hyperlink" Target="https://www.tcgplayer.com/product/120699" TargetMode="External" Id="rId866" /><Relationship Type="http://schemas.openxmlformats.org/officeDocument/2006/relationships/hyperlink" Target="https://www.tcgplayer.com/product/91604" TargetMode="External" Id="rId867" /><Relationship Type="http://schemas.openxmlformats.org/officeDocument/2006/relationships/hyperlink" Target="https://www.tcgplayer.com/product/118797" TargetMode="External" Id="rId868" /><Relationship Type="http://schemas.openxmlformats.org/officeDocument/2006/relationships/hyperlink" Target="https://www.tcgplayer.com/product/97728" TargetMode="External" Id="rId869" /><Relationship Type="http://schemas.openxmlformats.org/officeDocument/2006/relationships/hyperlink" Target="https://www.tcgplayer.com/product/261803" TargetMode="External" Id="rId870" /><Relationship Type="http://schemas.openxmlformats.org/officeDocument/2006/relationships/hyperlink" Target="https://www.tcgplayer.com/product/651131" TargetMode="External" Id="rId871" /><Relationship Type="http://schemas.openxmlformats.org/officeDocument/2006/relationships/hyperlink" Target="https://www.tcgplayer.com/product/625049" TargetMode="External" Id="rId872" /><Relationship Type="http://schemas.openxmlformats.org/officeDocument/2006/relationships/hyperlink" Target="https://www.tcgplayer.com/product/625038" TargetMode="External" Id="rId873" /><Relationship Type="http://schemas.openxmlformats.org/officeDocument/2006/relationships/hyperlink" Target="https://www.tcgplayer.com/product/625050" TargetMode="External" Id="rId874" /><Relationship Type="http://schemas.openxmlformats.org/officeDocument/2006/relationships/hyperlink" Target="https://www.tcgplayer.com/product/239237" TargetMode="External" Id="rId875" /><Relationship Type="http://schemas.openxmlformats.org/officeDocument/2006/relationships/hyperlink" Target="https://www.tcgplayer.com/product/280859" TargetMode="External" Id="rId876" /><Relationship Type="http://schemas.openxmlformats.org/officeDocument/2006/relationships/hyperlink" Target="https://www.tcgplayer.com/product/239236" TargetMode="External" Id="rId877" /><Relationship Type="http://schemas.openxmlformats.org/officeDocument/2006/relationships/hyperlink" Target="https://www.tcgplayer.com/product/505939" TargetMode="External" Id="rId878" /><Relationship Type="http://schemas.openxmlformats.org/officeDocument/2006/relationships/hyperlink" Target="https://www.tcgplayer.com/product/559089" TargetMode="External" Id="rId879" /><Relationship Type="http://schemas.openxmlformats.org/officeDocument/2006/relationships/hyperlink" Target="https://www.tcgplayer.com/product/639828" TargetMode="External" Id="rId880" /><Relationship Type="http://schemas.openxmlformats.org/officeDocument/2006/relationships/hyperlink" Target="https://www.tcgplayer.com/product/264764" TargetMode="External" Id="rId881" /><Relationship Type="http://schemas.openxmlformats.org/officeDocument/2006/relationships/hyperlink" Target="https://www.tcgplayer.com/product/633081" TargetMode="External" Id="rId882" /><Relationship Type="http://schemas.openxmlformats.org/officeDocument/2006/relationships/hyperlink" Target="https://www.tcgplayer.com/product/498043" TargetMode="External" Id="rId883" /><Relationship Type="http://schemas.openxmlformats.org/officeDocument/2006/relationships/hyperlink" Target="https://www.tcgplayer.com/product/265706" TargetMode="External" Id="rId884" /><Relationship Type="http://schemas.openxmlformats.org/officeDocument/2006/relationships/hyperlink" Target="https://www.tcgplayer.com/product/214360" TargetMode="External" Id="rId885" /><Relationship Type="http://schemas.openxmlformats.org/officeDocument/2006/relationships/hyperlink" Target="https://www.tcgplayer.com/product/241109" TargetMode="External" Id="rId886" /><Relationship Type="http://schemas.openxmlformats.org/officeDocument/2006/relationships/hyperlink" Target="https://www.tcgplayer.com/product/275938" TargetMode="External" Id="rId887" /><Relationship Type="http://schemas.openxmlformats.org/officeDocument/2006/relationships/hyperlink" Target="https://www.tcgplayer.com/product/497380" TargetMode="External" Id="rId888" /><Relationship Type="http://schemas.openxmlformats.org/officeDocument/2006/relationships/hyperlink" Target="https://www.tcgplayer.com/product/564274" TargetMode="External" Id="rId889" /><Relationship Type="http://schemas.openxmlformats.org/officeDocument/2006/relationships/hyperlink" Target="https://www.tcgplayer.com/product/653203" TargetMode="External" Id="rId890" /><Relationship Type="http://schemas.openxmlformats.org/officeDocument/2006/relationships/hyperlink" Target="https://www.tcgplayer.com/product/624518" TargetMode="External" Id="rId891" /><Relationship Type="http://schemas.openxmlformats.org/officeDocument/2006/relationships/hyperlink" Target="https://www.tcgplayer.com/product/245731" TargetMode="External" Id="rId892" /><Relationship Type="http://schemas.openxmlformats.org/officeDocument/2006/relationships/hyperlink" Target="https://www.tcgplayer.com/product/616920" TargetMode="External" Id="rId893" /><Relationship Type="http://schemas.openxmlformats.org/officeDocument/2006/relationships/hyperlink" Target="https://www.tcgplayer.com/product/659947" TargetMode="External" Id="rId894" /><Relationship Type="http://schemas.openxmlformats.org/officeDocument/2006/relationships/hyperlink" Target="https://www.tcgplayer.com/product/520782" TargetMode="External" Id="rId895" /><Relationship Type="http://schemas.openxmlformats.org/officeDocument/2006/relationships/hyperlink" Target="https://www.tcgplayer.com/product/520781" TargetMode="External" Id="rId896" /><Relationship Type="http://schemas.openxmlformats.org/officeDocument/2006/relationships/hyperlink" Target="https://www.tcgplayer.com/product/138147" TargetMode="External" Id="rId897" /><Relationship Type="http://schemas.openxmlformats.org/officeDocument/2006/relationships/hyperlink" Target="https://www.tcgplayer.com/product/271504" TargetMode="External" Id="rId898" /><Relationship Type="http://schemas.openxmlformats.org/officeDocument/2006/relationships/hyperlink" Target="https://www.pricecharting.com/game/pokemon-promo/battle-arena-decks-kyurem" TargetMode="External" Id="rId899" /><Relationship Type="http://schemas.openxmlformats.org/officeDocument/2006/relationships/hyperlink" Target="https://www.pricecharting.com/game/pokemon-roaring-skies/mega-evolution-collector's-pin-blisters-rayquaza" TargetMode="External" Id="rId900" /><Relationship Type="http://schemas.openxmlformats.org/officeDocument/2006/relationships/hyperlink" Target="https://www.tcgplayer.com/product/133810" TargetMode="External" Id="rId901" /><Relationship Type="http://schemas.openxmlformats.org/officeDocument/2006/relationships/hyperlink" Target="https://www.tcgplayer.com/product/133811" TargetMode="External" Id="rId902" /><Relationship Type="http://schemas.openxmlformats.org/officeDocument/2006/relationships/hyperlink" Target="https://www.tcgplayer.com/product/133812" TargetMode="External" Id="rId903" /><Relationship Type="http://schemas.openxmlformats.org/officeDocument/2006/relationships/hyperlink" Target="https://www.tcgplayer.com/product/576907" TargetMode="External" Id="rId904" /><Relationship Type="http://schemas.openxmlformats.org/officeDocument/2006/relationships/hyperlink" Target="https://www.pricecharting.com/game/pokemon-stellar-crown/tinkaton-3-pack-blister" TargetMode="External" Id="rId905" /><Relationship Type="http://schemas.openxmlformats.org/officeDocument/2006/relationships/hyperlink" Target="https://www.tcgplayer.com/product/489369" TargetMode="External" Id="rId906" /><Relationship Type="http://schemas.openxmlformats.org/officeDocument/2006/relationships/hyperlink" Target="https://www.tcgplayer.com/product/512834" TargetMode="External" Id="rId907" /><Relationship Type="http://schemas.openxmlformats.org/officeDocument/2006/relationships/hyperlink" Target="https://www.tcgplayer.com/product/633105" TargetMode="External" Id="rId908" /><Relationship Type="http://schemas.openxmlformats.org/officeDocument/2006/relationships/hyperlink" Target="https://www.tcgplayer.com/product/633106" TargetMode="External" Id="rId909" /><Relationship Type="http://schemas.openxmlformats.org/officeDocument/2006/relationships/hyperlink" Target="https://www.tcgplayer.com/product/690290" TargetMode="External" Id="rId910" /><Relationship Type="http://schemas.openxmlformats.org/officeDocument/2006/relationships/hyperlink" Target="https://www.tcgplayer.com/product/528229" TargetMode="External" Id="rId911" /><Relationship Type="http://schemas.openxmlformats.org/officeDocument/2006/relationships/hyperlink" Target="https://www.tcgplayer.com/product/662302" TargetMode="External" Id="rId912" /><Relationship Type="http://schemas.openxmlformats.org/officeDocument/2006/relationships/hyperlink" Target="https://www.tcgplayer.com/product/518886" TargetMode="External" Id="rId913" /><Relationship Type="http://schemas.openxmlformats.org/officeDocument/2006/relationships/hyperlink" Target="https://www.tcgplayer.com/product/97779" TargetMode="External" Id="rId914" /><Relationship Type="http://schemas.openxmlformats.org/officeDocument/2006/relationships/hyperlink" Target="https://www.tcgplayer.com/product/99150" TargetMode="External" Id="rId915" /><Relationship Type="http://schemas.openxmlformats.org/officeDocument/2006/relationships/hyperlink" Target="https://www.tcgplayer.com/product/123439" TargetMode="External" Id="rId916" /><Relationship Type="http://schemas.openxmlformats.org/officeDocument/2006/relationships/hyperlink" Target="https://www.tcgplayer.com/product/177156" TargetMode="External" Id="rId917" /><Relationship Type="http://schemas.openxmlformats.org/officeDocument/2006/relationships/hyperlink" Target="https://www.tcgplayer.com/product/177157" TargetMode="External" Id="rId9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  <col width="34" customWidth="1" min="8" max="8"/>
    <col width="17" customWidth="1" min="9" max="9"/>
    <col width="16" customWidth="1" min="10" max="10"/>
    <col width="16" customWidth="1" min="11" max="11"/>
    <col width="16" customWidth="1" min="12" max="12"/>
    <col width="24" customWidth="1" min="13" max="13"/>
    <col width="60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Median Price</t>
        </is>
      </c>
      <c r="D1" s="1" t="inlineStr">
        <is>
          <t>Reduced</t>
        </is>
      </c>
      <c r="E1" s="1" t="inlineStr">
        <is>
          <t>Kraken Price</t>
        </is>
      </c>
      <c r="F1" s="1" t="inlineStr">
        <is>
          <t>Game</t>
        </is>
      </c>
      <c r="G1" s="1" t="inlineStr">
        <is>
          <t>Category</t>
        </is>
      </c>
      <c r="H1" s="1" t="inlineStr">
        <is>
          <t>Set</t>
        </is>
      </c>
      <c r="I1" s="1" t="inlineStr">
        <is>
          <t>PriceCharting Price</t>
        </is>
      </c>
      <c r="J1" s="1" t="inlineStr">
        <is>
          <t>TCGplayer Market</t>
        </is>
      </c>
      <c r="K1" s="1" t="inlineStr">
        <is>
          <t>TCGplayer Median</t>
        </is>
      </c>
      <c r="L1" s="1" t="inlineStr">
        <is>
          <t>TCGplayer Lowest</t>
        </is>
      </c>
      <c r="M1" s="1" t="inlineStr">
        <is>
          <t>Sources</t>
        </is>
      </c>
      <c r="N1" s="1" t="inlineStr">
        <is>
          <t>PriceCharting Link</t>
        </is>
      </c>
      <c r="O1" s="1" t="inlineStr">
        <is>
          <t>TCGplayer Link</t>
        </is>
      </c>
    </row>
    <row r="2">
      <c r="A2" s="2" t="inlineStr">
        <is>
          <t>500 Years in the Future - Booster Box</t>
        </is>
      </c>
      <c r="B2" s="3">
        <f>IF(I2&lt;&gt;"",I2,IF(J2&lt;&gt;"",J2,IF(K2&lt;&gt;"",K2,L2)))</f>
        <v>267.48</v>
      </c>
      <c r="C2" s="3">
        <f>MEDIAN(I2:L2)</f>
        <v>267.48</v>
      </c>
      <c r="D2" s="3">
        <f>ROUND(C2*(1-Settings!$B$2),2)</f>
        <v>187.24</v>
      </c>
      <c r="E2" s="3">
        <f>ROUND(C2*(1-Settings!$B$3),2)</f>
        <v>187.24</v>
      </c>
      <c r="F2" s="2" t="inlineStr">
        <is>
          <t>One Piece</t>
        </is>
      </c>
      <c r="G2" s="2" t="inlineStr">
        <is>
          <t>Box</t>
        </is>
      </c>
      <c r="H2" s="2" t="inlineStr">
        <is>
          <t>500 Years in the Future</t>
        </is>
      </c>
      <c r="I2" s="3" t="n">
        <v>267.48</v>
      </c>
      <c r="J2" s="3" t="n">
        <v>326.57</v>
      </c>
      <c r="K2" s="3" t="n"/>
      <c r="L2" s="3" t="n">
        <v>81</v>
      </c>
      <c r="M2" s="2" t="inlineStr">
        <is>
          <t>PriceCharting + TCGplayer</t>
        </is>
      </c>
      <c r="N2" s="4" t="inlineStr">
        <is>
          <t>https://www.pricecharting.com/game/one-piece-500-years-in-the-future/booster-box</t>
        </is>
      </c>
      <c r="O2" s="4" t="inlineStr">
        <is>
          <t>https://www.tcgplayer.com/product/532106</t>
        </is>
      </c>
    </row>
    <row r="3">
      <c r="A3" s="2" t="inlineStr">
        <is>
          <t>500 Years In The Future Double Pack DP-04 Display Box</t>
        </is>
      </c>
      <c r="B3" s="3">
        <f>IF(I3&lt;&gt;"",I3,IF(J3&lt;&gt;"",J3,IF(K3&lt;&gt;"",K3,L3)))</f>
        <v>335.91</v>
      </c>
      <c r="C3" s="3">
        <f>MEDIAN(I3:L3)</f>
        <v>335.91</v>
      </c>
      <c r="D3" s="3">
        <f>ROUND(C3*(1-Settings!$B$2),2)</f>
        <v>235.14</v>
      </c>
      <c r="E3" s="3">
        <f>ROUND(C3*(1-Settings!$B$3),2)</f>
        <v>235.14</v>
      </c>
      <c r="F3" s="2" t="inlineStr">
        <is>
          <t>One Piece</t>
        </is>
      </c>
      <c r="G3" s="2" t="inlineStr">
        <is>
          <t>Box</t>
        </is>
      </c>
      <c r="H3" s="2" t="inlineStr">
        <is>
          <t>500 Years In The Future</t>
        </is>
      </c>
      <c r="I3" s="3" t="n">
        <v>335.91</v>
      </c>
      <c r="J3" s="3" t="n"/>
      <c r="K3" s="3" t="n"/>
      <c r="L3" s="3" t="n"/>
      <c r="M3" s="2" t="inlineStr">
        <is>
          <t>PriceCharting</t>
        </is>
      </c>
      <c r="N3" s="4" t="inlineStr">
        <is>
          <t>https://www.pricecharting.com/game/one-piece-500-years-in-the-future/double-pack-dp-04-display-box</t>
        </is>
      </c>
    </row>
    <row r="4">
      <c r="A4" s="2" t="inlineStr">
        <is>
          <t>A Fist of Divine Speed Booster Box</t>
        </is>
      </c>
      <c r="B4" s="3">
        <f>IF(I4&lt;&gt;"",I4,IF(J4&lt;&gt;"",J4,IF(K4&lt;&gt;"",K4,L4)))</f>
        <v>566.03</v>
      </c>
      <c r="C4" s="3">
        <f>MEDIAN(I4:L4)</f>
        <v>332.985</v>
      </c>
      <c r="D4" s="3">
        <f>ROUND(C4*(1-Settings!$B$2),2)</f>
        <v>233.09</v>
      </c>
      <c r="E4" s="3">
        <f>ROUND(C4*(1-Settings!$B$3),2)</f>
        <v>233.09</v>
      </c>
      <c r="F4" s="2" t="inlineStr">
        <is>
          <t>One Piece</t>
        </is>
      </c>
      <c r="G4" s="2" t="inlineStr">
        <is>
          <t>Box</t>
        </is>
      </c>
      <c r="H4" s="2" t="inlineStr">
        <is>
          <t>A Fist of Divine Speed</t>
        </is>
      </c>
      <c r="I4" s="3" t="n"/>
      <c r="J4" s="3" t="n">
        <v>566.03</v>
      </c>
      <c r="K4" s="3" t="n"/>
      <c r="L4" s="3" t="n">
        <v>99.94</v>
      </c>
      <c r="M4" s="2" t="inlineStr">
        <is>
          <t>TCGplayer</t>
        </is>
      </c>
      <c r="O4" s="4" t="inlineStr">
        <is>
          <t>https://www.tcgplayer.com/product/620180</t>
        </is>
      </c>
    </row>
    <row r="5">
      <c r="A5" s="2" t="inlineStr">
        <is>
          <t>Adventure on Kami's Island Booster Box</t>
        </is>
      </c>
      <c r="B5" s="3">
        <f>IF(I5&lt;&gt;"",I5,IF(J5&lt;&gt;"",J5,IF(K5&lt;&gt;"",K5,L5)))</f>
        <v>257.25</v>
      </c>
      <c r="C5" s="3">
        <f>MEDIAN(I5:L5)</f>
        <v>161.12</v>
      </c>
      <c r="D5" s="3">
        <f>ROUND(C5*(1-Settings!$B$2),2)</f>
        <v>112.78</v>
      </c>
      <c r="E5" s="3">
        <f>ROUND(C5*(1-Settings!$B$3),2)</f>
        <v>112.78</v>
      </c>
      <c r="F5" s="2" t="inlineStr">
        <is>
          <t>One Piece</t>
        </is>
      </c>
      <c r="G5" s="2" t="inlineStr">
        <is>
          <t>Box</t>
        </is>
      </c>
      <c r="H5" s="2" t="inlineStr">
        <is>
          <t>Adventure on Kami's Island</t>
        </is>
      </c>
      <c r="I5" s="3" t="n"/>
      <c r="J5" s="3" t="n">
        <v>257.25</v>
      </c>
      <c r="K5" s="3" t="n"/>
      <c r="L5" s="3" t="n">
        <v>64.98999999999999</v>
      </c>
      <c r="M5" s="2" t="inlineStr">
        <is>
          <t>TCGplayer</t>
        </is>
      </c>
      <c r="O5" s="4" t="inlineStr">
        <is>
          <t>https://www.tcgplayer.com/product/682057</t>
        </is>
      </c>
    </row>
    <row r="6">
      <c r="A6" s="2" t="inlineStr">
        <is>
          <t>Awakening of the New Era - Booster Box</t>
        </is>
      </c>
      <c r="B6" s="3">
        <f>IF(I6&lt;&gt;"",I6,IF(J6&lt;&gt;"",J6,IF(K6&lt;&gt;"",K6,L6)))</f>
        <v>1009.57</v>
      </c>
      <c r="C6" s="3">
        <f>MEDIAN(I6:L6)</f>
        <v>1009.57</v>
      </c>
      <c r="D6" s="3">
        <f>ROUND(C6*(1-Settings!$B$2),2)</f>
        <v>706.7</v>
      </c>
      <c r="E6" s="3">
        <f>ROUND(C6*(1-Settings!$B$3),2)</f>
        <v>706.7</v>
      </c>
      <c r="F6" s="2" t="inlineStr">
        <is>
          <t>One Piece</t>
        </is>
      </c>
      <c r="G6" s="2" t="inlineStr">
        <is>
          <t>Box</t>
        </is>
      </c>
      <c r="H6" s="2" t="inlineStr">
        <is>
          <t>Awakening of the New Era</t>
        </is>
      </c>
      <c r="I6" s="3" t="n">
        <v>1009.57</v>
      </c>
      <c r="J6" s="3" t="n">
        <v>1047.1</v>
      </c>
      <c r="K6" s="3" t="n"/>
      <c r="L6" s="3" t="n">
        <v>349.95</v>
      </c>
      <c r="M6" s="2" t="inlineStr">
        <is>
          <t>PriceCharting + TCGplayer</t>
        </is>
      </c>
      <c r="N6" s="4" t="inlineStr">
        <is>
          <t>https://www.pricecharting.com/game/one-piece-awakening-of-the-new-era/booster-box</t>
        </is>
      </c>
      <c r="O6" s="4" t="inlineStr">
        <is>
          <t>https://www.tcgplayer.com/product/498734</t>
        </is>
      </c>
    </row>
    <row r="7">
      <c r="A7" s="2" t="inlineStr">
        <is>
          <t>Awakening Of The New Era Double Pack DP-02 Display Box</t>
        </is>
      </c>
      <c r="B7" s="3">
        <f>IF(I7&lt;&gt;"",I7,IF(J7&lt;&gt;"",J7,IF(K7&lt;&gt;"",K7,L7)))</f>
        <v>314.99</v>
      </c>
      <c r="C7" s="3">
        <f>MEDIAN(I7:L7)</f>
        <v>314.99</v>
      </c>
      <c r="D7" s="3">
        <f>ROUND(C7*(1-Settings!$B$2),2)</f>
        <v>220.49</v>
      </c>
      <c r="E7" s="3">
        <f>ROUND(C7*(1-Settings!$B$3),2)</f>
        <v>220.49</v>
      </c>
      <c r="F7" s="2" t="inlineStr">
        <is>
          <t>One Piece</t>
        </is>
      </c>
      <c r="G7" s="2" t="inlineStr">
        <is>
          <t>Box</t>
        </is>
      </c>
      <c r="H7" s="2" t="inlineStr">
        <is>
          <t>Awakening Of The New Era</t>
        </is>
      </c>
      <c r="I7" s="3" t="n">
        <v>314.99</v>
      </c>
      <c r="J7" s="3" t="n"/>
      <c r="K7" s="3" t="n"/>
      <c r="L7" s="3" t="n"/>
      <c r="M7" s="2" t="inlineStr">
        <is>
          <t>PriceCharting</t>
        </is>
      </c>
      <c r="N7" s="4" t="inlineStr">
        <is>
          <t>https://www.pricecharting.com/game/one-piece-awakening-of-the-new-era/double-pack-dp-02-display-box</t>
        </is>
      </c>
    </row>
    <row r="8">
      <c r="A8" s="2" t="inlineStr">
        <is>
          <t>Carrying On His Will Booster Box</t>
        </is>
      </c>
      <c r="B8" s="3">
        <f>IF(I8&lt;&gt;"",I8,IF(J8&lt;&gt;"",J8,IF(K8&lt;&gt;"",K8,L8)))</f>
        <v>449.11</v>
      </c>
      <c r="C8" s="3">
        <f>MEDIAN(I8:L8)</f>
        <v>444.99</v>
      </c>
      <c r="D8" s="3">
        <f>ROUND(C8*(1-Settings!$B$2),2)</f>
        <v>311.49</v>
      </c>
      <c r="E8" s="3">
        <f>ROUND(C8*(1-Settings!$B$3),2)</f>
        <v>311.49</v>
      </c>
      <c r="F8" s="2" t="inlineStr">
        <is>
          <t>One Piece</t>
        </is>
      </c>
      <c r="G8" s="2" t="inlineStr">
        <is>
          <t>Box</t>
        </is>
      </c>
      <c r="H8" s="2" t="inlineStr">
        <is>
          <t>Carrying On His Will</t>
        </is>
      </c>
      <c r="I8" s="3" t="n">
        <v>449.11</v>
      </c>
      <c r="J8" s="3" t="n">
        <v>444.99</v>
      </c>
      <c r="K8" s="3" t="n"/>
      <c r="L8" s="3" t="n">
        <v>24.99</v>
      </c>
      <c r="M8" s="2" t="inlineStr">
        <is>
          <t>PriceCharting + TCGplayer</t>
        </is>
      </c>
      <c r="N8" s="4" t="inlineStr">
        <is>
          <t>https://www.pricecharting.com/game/one-piece-carrying-on-his-will/booster-box</t>
        </is>
      </c>
      <c r="O8" s="4" t="inlineStr">
        <is>
          <t>https://www.tcgplayer.com/product/628352</t>
        </is>
      </c>
    </row>
    <row r="9">
      <c r="A9" s="2" t="inlineStr">
        <is>
          <t>Emperors in the New World - Booster Box</t>
        </is>
      </c>
      <c r="B9" s="3">
        <f>IF(I9&lt;&gt;"",I9,IF(J9&lt;&gt;"",J9,IF(K9&lt;&gt;"",K9,L9)))</f>
        <v>638.0</v>
      </c>
      <c r="C9" s="3">
        <f>MEDIAN(I9:L9)</f>
        <v>638.0</v>
      </c>
      <c r="D9" s="3">
        <f>ROUND(C9*(1-Settings!$B$2),2)</f>
        <v>446.6</v>
      </c>
      <c r="E9" s="3">
        <f>ROUND(C9*(1-Settings!$B$3),2)</f>
        <v>446.6</v>
      </c>
      <c r="F9" s="2" t="inlineStr">
        <is>
          <t>One Piece</t>
        </is>
      </c>
      <c r="G9" s="2" t="inlineStr">
        <is>
          <t>Box</t>
        </is>
      </c>
      <c r="H9" s="2" t="inlineStr">
        <is>
          <t>Emperors in the New World</t>
        </is>
      </c>
      <c r="I9" s="3" t="n">
        <v>638</v>
      </c>
      <c r="J9" s="3" t="n">
        <v>641.67</v>
      </c>
      <c r="K9" s="3" t="n"/>
      <c r="L9" s="3" t="n">
        <v>180</v>
      </c>
      <c r="M9" s="2" t="inlineStr">
        <is>
          <t>PriceCharting + TCGplayer</t>
        </is>
      </c>
      <c r="N9" s="4" t="inlineStr">
        <is>
          <t>https://www.pricecharting.com/game/one-piece-emperors-in-the-new-world/booster-box</t>
        </is>
      </c>
      <c r="O9" s="4" t="inlineStr">
        <is>
          <t>https://www.tcgplayer.com/product/563834</t>
        </is>
      </c>
    </row>
    <row r="10">
      <c r="A10" s="2" t="inlineStr">
        <is>
          <t>Emperors In The New World Double Pack DP-06 Display Box</t>
        </is>
      </c>
      <c r="B10" s="3">
        <f>IF(I10&lt;&gt;"",I10,IF(J10&lt;&gt;"",J10,IF(K10&lt;&gt;"",K10,L10)))</f>
        <v>311.0</v>
      </c>
      <c r="C10" s="3">
        <f>MEDIAN(I10:L10)</f>
        <v>311.0</v>
      </c>
      <c r="D10" s="3">
        <f>ROUND(C10*(1-Settings!$B$2),2)</f>
        <v>217.7</v>
      </c>
      <c r="E10" s="3">
        <f>ROUND(C10*(1-Settings!$B$3),2)</f>
        <v>217.7</v>
      </c>
      <c r="F10" s="2" t="inlineStr">
        <is>
          <t>One Piece</t>
        </is>
      </c>
      <c r="G10" s="2" t="inlineStr">
        <is>
          <t>Box</t>
        </is>
      </c>
      <c r="H10" s="2" t="inlineStr">
        <is>
          <t>Emperors In The New World</t>
        </is>
      </c>
      <c r="I10" s="3" t="n">
        <v>311</v>
      </c>
      <c r="J10" s="3" t="n"/>
      <c r="K10" s="3" t="n"/>
      <c r="L10" s="3" t="n"/>
      <c r="M10" s="2" t="inlineStr">
        <is>
          <t>PriceCharting</t>
        </is>
      </c>
      <c r="N10" s="4" t="inlineStr">
        <is>
          <t>https://www.pricecharting.com/game/one-piece-emperors-in-the-new-world/double-pack-dp-06-display-box</t>
        </is>
      </c>
    </row>
    <row r="11">
      <c r="A11" s="2" t="inlineStr">
        <is>
          <t>Extra Booster Anime 25th Collection Booster Box</t>
        </is>
      </c>
      <c r="B11" s="3">
        <f>IF(I11&lt;&gt;"",I11,IF(J11&lt;&gt;"",J11,IF(K11&lt;&gt;"",K11,L11)))</f>
        <v>779.99</v>
      </c>
      <c r="C11" s="3">
        <f>MEDIAN(I11:L11)</f>
        <v>779.99</v>
      </c>
      <c r="D11" s="3">
        <f>ROUND(C11*(1-Settings!$B$2),2)</f>
        <v>545.99</v>
      </c>
      <c r="E11" s="3">
        <f>ROUND(C11*(1-Settings!$B$3),2)</f>
        <v>545.99</v>
      </c>
      <c r="F11" s="2" t="inlineStr">
        <is>
          <t>One Piece</t>
        </is>
      </c>
      <c r="G11" s="2" t="inlineStr">
        <is>
          <t>Box</t>
        </is>
      </c>
      <c r="H11" s="2" t="inlineStr">
        <is>
          <t>Extra Booster Anime 25th Collection</t>
        </is>
      </c>
      <c r="I11" s="3" t="n">
        <v>779.99</v>
      </c>
      <c r="J11" s="3" t="n"/>
      <c r="K11" s="3" t="n"/>
      <c r="L11" s="3" t="n"/>
      <c r="M11" s="2" t="inlineStr">
        <is>
          <t>PriceCharting</t>
        </is>
      </c>
      <c r="N11" s="4" t="inlineStr">
        <is>
          <t>https://www.pricecharting.com/game/one-piece-extra-booster-anime-25th-collection/booster-box</t>
        </is>
      </c>
    </row>
    <row r="12">
      <c r="A12" s="2" t="inlineStr">
        <is>
          <t>Extra Booster Heroines Edition Booster Box</t>
        </is>
      </c>
      <c r="B12" s="3">
        <f>IF(I12&lt;&gt;"",I12,IF(J12&lt;&gt;"",J12,IF(K12&lt;&gt;"",K12,L12)))</f>
        <v>323.97</v>
      </c>
      <c r="C12" s="3">
        <f>MEDIAN(I12:L12)</f>
        <v>323.97</v>
      </c>
      <c r="D12" s="3">
        <f>ROUND(C12*(1-Settings!$B$2),2)</f>
        <v>226.78</v>
      </c>
      <c r="E12" s="3">
        <f>ROUND(C12*(1-Settings!$B$3),2)</f>
        <v>226.78</v>
      </c>
      <c r="F12" s="2" t="inlineStr">
        <is>
          <t>One Piece</t>
        </is>
      </c>
      <c r="G12" s="2" t="inlineStr">
        <is>
          <t>Box</t>
        </is>
      </c>
      <c r="H12" s="2" t="inlineStr">
        <is>
          <t>Extra Booster Heroines Edition</t>
        </is>
      </c>
      <c r="I12" s="3" t="n">
        <v>323.97</v>
      </c>
      <c r="J12" s="3" t="n"/>
      <c r="K12" s="3" t="n"/>
      <c r="L12" s="3" t="n"/>
      <c r="M12" s="2" t="inlineStr">
        <is>
          <t>PriceCharting</t>
        </is>
      </c>
      <c r="N12" s="4" t="inlineStr">
        <is>
          <t>https://www.pricecharting.com/game/one-piece-extra-booster-heroines-edition/booster-box</t>
        </is>
      </c>
    </row>
    <row r="13">
      <c r="A13" s="2" t="inlineStr">
        <is>
          <t>Extra Booster Memorial Collection Sealed Booster Box</t>
        </is>
      </c>
      <c r="B13" s="3">
        <f>IF(I13&lt;&gt;"",I13,IF(J13&lt;&gt;"",J13,IF(K13&lt;&gt;"",K13,L13)))</f>
        <v>870.13</v>
      </c>
      <c r="C13" s="3">
        <f>MEDIAN(I13:L13)</f>
        <v>870.13</v>
      </c>
      <c r="D13" s="3">
        <f>ROUND(C13*(1-Settings!$B$2),2)</f>
        <v>609.09</v>
      </c>
      <c r="E13" s="3">
        <f>ROUND(C13*(1-Settings!$B$3),2)</f>
        <v>609.09</v>
      </c>
      <c r="F13" s="2" t="inlineStr">
        <is>
          <t>One Piece</t>
        </is>
      </c>
      <c r="G13" s="2" t="inlineStr">
        <is>
          <t>Box</t>
        </is>
      </c>
      <c r="H13" s="2" t="inlineStr">
        <is>
          <t>Extra Booster Memorial Collection</t>
        </is>
      </c>
      <c r="I13" s="3" t="n">
        <v>870.13</v>
      </c>
      <c r="J13" s="3" t="n"/>
      <c r="K13" s="3" t="n"/>
      <c r="L13" s="3" t="n"/>
      <c r="M13" s="2" t="inlineStr">
        <is>
          <t>PriceCharting</t>
        </is>
      </c>
      <c r="N13" s="4" t="inlineStr">
        <is>
          <t>https://www.pricecharting.com/game/one-piece-extra-booster-memorial-collection/sealed-booster-box</t>
        </is>
      </c>
    </row>
    <row r="14">
      <c r="A14" s="2" t="inlineStr">
        <is>
          <t>Memorial Collection - Booster Box</t>
        </is>
      </c>
      <c r="B14" s="3">
        <f>IF(I14&lt;&gt;"",I14,IF(J14&lt;&gt;"",J14,IF(K14&lt;&gt;"",K14,L14)))</f>
        <v>875.09</v>
      </c>
      <c r="C14" s="3">
        <f>MEDIAN(I14:L14)</f>
        <v>862.5450000000001</v>
      </c>
      <c r="D14" s="3">
        <f>ROUND(C14*(1-Settings!$B$2),2)</f>
        <v>603.78</v>
      </c>
      <c r="E14" s="3">
        <f>ROUND(C14*(1-Settings!$B$3),2)</f>
        <v>603.78</v>
      </c>
      <c r="F14" s="2" t="inlineStr">
        <is>
          <t>One Piece</t>
        </is>
      </c>
      <c r="G14" s="2" t="inlineStr">
        <is>
          <t>Box</t>
        </is>
      </c>
      <c r="H14" s="2" t="inlineStr">
        <is>
          <t>Extra Booster: Memorial Collection</t>
        </is>
      </c>
      <c r="I14" s="3" t="n"/>
      <c r="J14" s="3" t="n">
        <v>875.09</v>
      </c>
      <c r="K14" s="3" t="n"/>
      <c r="L14" s="3" t="n">
        <v>850</v>
      </c>
      <c r="M14" s="2" t="inlineStr">
        <is>
          <t>TCGplayer</t>
        </is>
      </c>
      <c r="O14" s="4" t="inlineStr">
        <is>
          <t>https://www.tcgplayer.com/product/521161</t>
        </is>
      </c>
    </row>
    <row r="15">
      <c r="A15" s="2" t="inlineStr">
        <is>
          <t>Extra Booster: One Piece Heroines Edition Vol.2 - Booster Box</t>
        </is>
      </c>
      <c r="B15" s="3">
        <f>IF(I15&lt;&gt;"",I15,IF(J15&lt;&gt;"",J15,IF(K15&lt;&gt;"",K15,L15)))</f>
        <v>357.4</v>
      </c>
      <c r="C15" s="3">
        <f>MEDIAN(I15:L15)</f>
        <v>352.53499999999997</v>
      </c>
      <c r="D15" s="3">
        <f>ROUND(C15*(1-Settings!$B$2),2)</f>
        <v>246.77</v>
      </c>
      <c r="E15" s="3">
        <f>ROUND(C15*(1-Settings!$B$3),2)</f>
        <v>246.77</v>
      </c>
      <c r="F15" s="2" t="inlineStr">
        <is>
          <t>One Piece</t>
        </is>
      </c>
      <c r="G15" s="2" t="inlineStr">
        <is>
          <t>Box</t>
        </is>
      </c>
      <c r="H15" s="2" t="inlineStr">
        <is>
          <t>Extra Booster: One Piece Heroines Edition Vol. 2</t>
        </is>
      </c>
      <c r="I15" s="3" t="n"/>
      <c r="J15" s="3" t="n">
        <v>357.4</v>
      </c>
      <c r="K15" s="3" t="n"/>
      <c r="L15" s="3" t="n">
        <v>347.67</v>
      </c>
      <c r="M15" s="2" t="inlineStr">
        <is>
          <t>TCGplayer</t>
        </is>
      </c>
      <c r="O15" s="4" t="inlineStr">
        <is>
          <t>https://www.tcgplayer.com/product/711385</t>
        </is>
      </c>
    </row>
    <row r="16">
      <c r="A16" s="2" t="inlineStr">
        <is>
          <t>Fist Of Divine Speed Booster Box</t>
        </is>
      </c>
      <c r="B16" s="3">
        <f>IF(I16&lt;&gt;"",I16,IF(J16&lt;&gt;"",J16,IF(K16&lt;&gt;"",K16,L16)))</f>
        <v>588.37</v>
      </c>
      <c r="C16" s="3">
        <f>MEDIAN(I16:L16)</f>
        <v>588.37</v>
      </c>
      <c r="D16" s="3">
        <f>ROUND(C16*(1-Settings!$B$2),2)</f>
        <v>411.86</v>
      </c>
      <c r="E16" s="3">
        <f>ROUND(C16*(1-Settings!$B$3),2)</f>
        <v>411.86</v>
      </c>
      <c r="F16" s="2" t="inlineStr">
        <is>
          <t>One Piece</t>
        </is>
      </c>
      <c r="G16" s="2" t="inlineStr">
        <is>
          <t>Box</t>
        </is>
      </c>
      <c r="H16" s="2" t="inlineStr">
        <is>
          <t>Fist Of Divine Speed</t>
        </is>
      </c>
      <c r="I16" s="3" t="n">
        <v>588.37</v>
      </c>
      <c r="J16" s="3" t="n"/>
      <c r="K16" s="3" t="n"/>
      <c r="L16" s="3" t="n"/>
      <c r="M16" s="2" t="inlineStr">
        <is>
          <t>PriceCharting</t>
        </is>
      </c>
      <c r="N16" s="4" t="inlineStr">
        <is>
          <t>https://www.pricecharting.com/game/one-piece-fist-of-divine-speed/booster-box</t>
        </is>
      </c>
    </row>
    <row r="17">
      <c r="A17" s="2" t="inlineStr">
        <is>
          <t>Japanese 500 Years In The Future Booster Box</t>
        </is>
      </c>
      <c r="B17" s="3">
        <f>IF(I17&lt;&gt;"",I17,IF(J17&lt;&gt;"",J17,IF(K17&lt;&gt;"",K17,L17)))</f>
        <v>82.77</v>
      </c>
      <c r="C17" s="3">
        <f>MEDIAN(I17:L17)</f>
        <v>82.77</v>
      </c>
      <c r="D17" s="3">
        <f>ROUND(C17*(1-Settings!$B$2),2)</f>
        <v>57.94</v>
      </c>
      <c r="E17" s="3">
        <f>ROUND(C17*(1-Settings!$B$3),2)</f>
        <v>57.94</v>
      </c>
      <c r="F17" s="2" t="inlineStr">
        <is>
          <t>One Piece</t>
        </is>
      </c>
      <c r="G17" s="2" t="inlineStr">
        <is>
          <t>Box</t>
        </is>
      </c>
      <c r="H17" s="2" t="inlineStr">
        <is>
          <t>Japanese 500 Years In The Future</t>
        </is>
      </c>
      <c r="I17" s="3" t="n">
        <v>82.77</v>
      </c>
      <c r="J17" s="3" t="n"/>
      <c r="K17" s="3" t="n"/>
      <c r="L17" s="3" t="n"/>
      <c r="M17" s="2" t="inlineStr">
        <is>
          <t>PriceCharting</t>
        </is>
      </c>
      <c r="N17" s="4" t="inlineStr">
        <is>
          <t>https://www.pricecharting.com/game/one-piece-japanese-500-years-in-the-future/booster-box</t>
        </is>
      </c>
    </row>
    <row r="18">
      <c r="A18" s="2" t="inlineStr">
        <is>
          <t>Japanese Awakening Of The New Era Booster Box</t>
        </is>
      </c>
      <c r="B18" s="3">
        <f>IF(I18&lt;&gt;"",I18,IF(J18&lt;&gt;"",J18,IF(K18&lt;&gt;"",K18,L18)))</f>
        <v>208.46</v>
      </c>
      <c r="C18" s="3">
        <f>MEDIAN(I18:L18)</f>
        <v>208.46</v>
      </c>
      <c r="D18" s="3">
        <f>ROUND(C18*(1-Settings!$B$2),2)</f>
        <v>145.92</v>
      </c>
      <c r="E18" s="3">
        <f>ROUND(C18*(1-Settings!$B$3),2)</f>
        <v>145.92</v>
      </c>
      <c r="F18" s="2" t="inlineStr">
        <is>
          <t>One Piece</t>
        </is>
      </c>
      <c r="G18" s="2" t="inlineStr">
        <is>
          <t>Box</t>
        </is>
      </c>
      <c r="H18" s="2" t="inlineStr">
        <is>
          <t>Japanese Awakening Of The New Era</t>
        </is>
      </c>
      <c r="I18" s="3" t="n">
        <v>208.46</v>
      </c>
      <c r="J18" s="3" t="n"/>
      <c r="K18" s="3" t="n"/>
      <c r="L18" s="3" t="n"/>
      <c r="M18" s="2" t="inlineStr">
        <is>
          <t>PriceCharting</t>
        </is>
      </c>
      <c r="N18" s="4" t="inlineStr">
        <is>
          <t>https://www.pricecharting.com/game/one-piece-japanese-awakening-of-the-new-era/booster-box</t>
        </is>
      </c>
    </row>
    <row r="19">
      <c r="A19" s="2" t="inlineStr">
        <is>
          <t>Japanese Carrying On His Will Booster Box</t>
        </is>
      </c>
      <c r="B19" s="3">
        <f>IF(I19&lt;&gt;"",I19,IF(J19&lt;&gt;"",J19,IF(K19&lt;&gt;"",K19,L19)))</f>
        <v>130.51</v>
      </c>
      <c r="C19" s="3">
        <f>MEDIAN(I19:L19)</f>
        <v>130.51</v>
      </c>
      <c r="D19" s="3">
        <f>ROUND(C19*(1-Settings!$B$2),2)</f>
        <v>91.36</v>
      </c>
      <c r="E19" s="3">
        <f>ROUND(C19*(1-Settings!$B$3),2)</f>
        <v>91.36</v>
      </c>
      <c r="F19" s="2" t="inlineStr">
        <is>
          <t>One Piece</t>
        </is>
      </c>
      <c r="G19" s="2" t="inlineStr">
        <is>
          <t>Box</t>
        </is>
      </c>
      <c r="H19" s="2" t="inlineStr">
        <is>
          <t>Japanese Carrying On His Will</t>
        </is>
      </c>
      <c r="I19" s="3" t="n">
        <v>130.51</v>
      </c>
      <c r="J19" s="3" t="n"/>
      <c r="K19" s="3" t="n"/>
      <c r="L19" s="3" t="n"/>
      <c r="M19" s="2" t="inlineStr">
        <is>
          <t>PriceCharting</t>
        </is>
      </c>
      <c r="N19" s="4" t="inlineStr">
        <is>
          <t>https://www.pricecharting.com/game/one-piece-japanese-carrying-on-his-will/booster-box</t>
        </is>
      </c>
    </row>
    <row r="20">
      <c r="A20" s="2" t="inlineStr">
        <is>
          <t>Japanese Emperors In The New World Booster Box</t>
        </is>
      </c>
      <c r="B20" s="3">
        <f>IF(I20&lt;&gt;"",I20,IF(J20&lt;&gt;"",J20,IF(K20&lt;&gt;"",K20,L20)))</f>
        <v>115.63</v>
      </c>
      <c r="C20" s="3">
        <f>MEDIAN(I20:L20)</f>
        <v>115.63</v>
      </c>
      <c r="D20" s="3">
        <f>ROUND(C20*(1-Settings!$B$2),2)</f>
        <v>80.94</v>
      </c>
      <c r="E20" s="3">
        <f>ROUND(C20*(1-Settings!$B$3),2)</f>
        <v>80.94</v>
      </c>
      <c r="F20" s="2" t="inlineStr">
        <is>
          <t>One Piece</t>
        </is>
      </c>
      <c r="G20" s="2" t="inlineStr">
        <is>
          <t>Box</t>
        </is>
      </c>
      <c r="H20" s="2" t="inlineStr">
        <is>
          <t>Japanese Emperors In The New World</t>
        </is>
      </c>
      <c r="I20" s="3" t="n">
        <v>115.63</v>
      </c>
      <c r="J20" s="3" t="n"/>
      <c r="K20" s="3" t="n"/>
      <c r="L20" s="3" t="n"/>
      <c r="M20" s="2" t="inlineStr">
        <is>
          <t>PriceCharting</t>
        </is>
      </c>
      <c r="N20" s="4" t="inlineStr">
        <is>
          <t>https://www.pricecharting.com/game/one-piece-japanese-emperors-in-the-new-world/booster-box</t>
        </is>
      </c>
    </row>
    <row r="21">
      <c r="A21" s="2" t="inlineStr">
        <is>
          <t>Japanese Extra Booster Anime 25th Collection Booster Box</t>
        </is>
      </c>
      <c r="B21" s="3">
        <f>IF(I21&lt;&gt;"",I21,IF(J21&lt;&gt;"",J21,IF(K21&lt;&gt;"",K21,L21)))</f>
        <v>134.5</v>
      </c>
      <c r="C21" s="3">
        <f>MEDIAN(I21:L21)</f>
        <v>134.5</v>
      </c>
      <c r="D21" s="3">
        <f>ROUND(C21*(1-Settings!$B$2),2)</f>
        <v>94.15</v>
      </c>
      <c r="E21" s="3">
        <f>ROUND(C21*(1-Settings!$B$3),2)</f>
        <v>94.15</v>
      </c>
      <c r="F21" s="2" t="inlineStr">
        <is>
          <t>One Piece</t>
        </is>
      </c>
      <c r="G21" s="2" t="inlineStr">
        <is>
          <t>Box</t>
        </is>
      </c>
      <c r="H21" s="2" t="inlineStr">
        <is>
          <t>Japanese Extra Booster Anime 25th Collection</t>
        </is>
      </c>
      <c r="I21" s="3" t="n">
        <v>134.5</v>
      </c>
      <c r="J21" s="3" t="n"/>
      <c r="K21" s="3" t="n"/>
      <c r="L21" s="3" t="n"/>
      <c r="M21" s="2" t="inlineStr">
        <is>
          <t>PriceCharting</t>
        </is>
      </c>
      <c r="N21" s="4" t="inlineStr">
        <is>
          <t>https://www.pricecharting.com/game/one-piece-japanese-extra-booster-anime-25th-collection/booster-box</t>
        </is>
      </c>
    </row>
    <row r="22">
      <c r="A22" s="2" t="inlineStr">
        <is>
          <t>Japanese Extra Booster Egghead Crisis Booster Box</t>
        </is>
      </c>
      <c r="B22" s="3">
        <f>IF(I22&lt;&gt;"",I22,IF(J22&lt;&gt;"",J22,IF(K22&lt;&gt;"",K22,L22)))</f>
        <v>91.19</v>
      </c>
      <c r="C22" s="3">
        <f>MEDIAN(I22:L22)</f>
        <v>91.19</v>
      </c>
      <c r="D22" s="3">
        <f>ROUND(C22*(1-Settings!$B$2),2)</f>
        <v>63.83</v>
      </c>
      <c r="E22" s="3">
        <f>ROUND(C22*(1-Settings!$B$3),2)</f>
        <v>63.83</v>
      </c>
      <c r="F22" s="2" t="inlineStr">
        <is>
          <t>One Piece</t>
        </is>
      </c>
      <c r="G22" s="2" t="inlineStr">
        <is>
          <t>Box</t>
        </is>
      </c>
      <c r="H22" s="2" t="inlineStr">
        <is>
          <t>Japanese Extra Booster Egghead Crisis</t>
        </is>
      </c>
      <c r="I22" s="3" t="n">
        <v>91.19</v>
      </c>
      <c r="J22" s="3" t="n"/>
      <c r="K22" s="3" t="n"/>
      <c r="L22" s="3" t="n"/>
      <c r="M22" s="2" t="inlineStr">
        <is>
          <t>PriceCharting</t>
        </is>
      </c>
      <c r="N22" s="4" t="inlineStr">
        <is>
          <t>https://www.pricecharting.com/game/one-piece-japanese-extra-booster-egghead-crisis/booster-box</t>
        </is>
      </c>
    </row>
    <row r="23">
      <c r="A23" s="2" t="inlineStr">
        <is>
          <t>Japanese Extra Booster Heroines Edition Booster Box</t>
        </is>
      </c>
      <c r="B23" s="3">
        <f>IF(I23&lt;&gt;"",I23,IF(J23&lt;&gt;"",J23,IF(K23&lt;&gt;"",K23,L23)))</f>
        <v>115.0</v>
      </c>
      <c r="C23" s="3">
        <f>MEDIAN(I23:L23)</f>
        <v>115.0</v>
      </c>
      <c r="D23" s="3">
        <f>ROUND(C23*(1-Settings!$B$2),2)</f>
        <v>80.5</v>
      </c>
      <c r="E23" s="3">
        <f>ROUND(C23*(1-Settings!$B$3),2)</f>
        <v>80.5</v>
      </c>
      <c r="F23" s="2" t="inlineStr">
        <is>
          <t>One Piece</t>
        </is>
      </c>
      <c r="G23" s="2" t="inlineStr">
        <is>
          <t>Box</t>
        </is>
      </c>
      <c r="H23" s="2" t="inlineStr">
        <is>
          <t>Japanese Extra Booster Heroines Edition</t>
        </is>
      </c>
      <c r="I23" s="3" t="n">
        <v>115</v>
      </c>
      <c r="J23" s="3" t="n"/>
      <c r="K23" s="3" t="n"/>
      <c r="L23" s="3" t="n"/>
      <c r="M23" s="2" t="inlineStr">
        <is>
          <t>PriceCharting</t>
        </is>
      </c>
      <c r="N23" s="4" t="inlineStr">
        <is>
          <t>https://www.pricecharting.com/game/one-piece-japanese-extra-booster-heroines-edition/booster-box</t>
        </is>
      </c>
    </row>
    <row r="24">
      <c r="A24" s="2" t="inlineStr">
        <is>
          <t>Japanese Extra Booster Memorial Collection Booster Box</t>
        </is>
      </c>
      <c r="B24" s="3">
        <f>IF(I24&lt;&gt;"",I24,IF(J24&lt;&gt;"",J24,IF(K24&lt;&gt;"",K24,L24)))</f>
        <v>112.0</v>
      </c>
      <c r="C24" s="3">
        <f>MEDIAN(I24:L24)</f>
        <v>112.0</v>
      </c>
      <c r="D24" s="3">
        <f>ROUND(C24*(1-Settings!$B$2),2)</f>
        <v>78.4</v>
      </c>
      <c r="E24" s="3">
        <f>ROUND(C24*(1-Settings!$B$3),2)</f>
        <v>78.4</v>
      </c>
      <c r="F24" s="2" t="inlineStr">
        <is>
          <t>One Piece</t>
        </is>
      </c>
      <c r="G24" s="2" t="inlineStr">
        <is>
          <t>Box</t>
        </is>
      </c>
      <c r="H24" s="2" t="inlineStr">
        <is>
          <t>Japanese Extra Booster Memorial Collection</t>
        </is>
      </c>
      <c r="I24" s="3" t="n">
        <v>112</v>
      </c>
      <c r="J24" s="3" t="n"/>
      <c r="K24" s="3" t="n"/>
      <c r="L24" s="3" t="n"/>
      <c r="M24" s="2" t="inlineStr">
        <is>
          <t>PriceCharting</t>
        </is>
      </c>
      <c r="N24" s="4" t="inlineStr">
        <is>
          <t>https://www.pricecharting.com/game/one-piece-japanese-extra-booster-memorial-collection/booster-box</t>
        </is>
      </c>
    </row>
    <row r="25">
      <c r="A25" s="2" t="inlineStr">
        <is>
          <t>Japanese Fist Of Divine Speed Booster Box</t>
        </is>
      </c>
      <c r="B25" s="3">
        <f>IF(I25&lt;&gt;"",I25,IF(J25&lt;&gt;"",J25,IF(K25&lt;&gt;"",K25,L25)))</f>
        <v>132.99</v>
      </c>
      <c r="C25" s="3">
        <f>MEDIAN(I25:L25)</f>
        <v>132.99</v>
      </c>
      <c r="D25" s="3">
        <f>ROUND(C25*(1-Settings!$B$2),2)</f>
        <v>93.09</v>
      </c>
      <c r="E25" s="3">
        <f>ROUND(C25*(1-Settings!$B$3),2)</f>
        <v>93.09</v>
      </c>
      <c r="F25" s="2" t="inlineStr">
        <is>
          <t>One Piece</t>
        </is>
      </c>
      <c r="G25" s="2" t="inlineStr">
        <is>
          <t>Box</t>
        </is>
      </c>
      <c r="H25" s="2" t="inlineStr">
        <is>
          <t>Japanese Fist Of Divine Speed</t>
        </is>
      </c>
      <c r="I25" s="3" t="n">
        <v>132.99</v>
      </c>
      <c r="J25" s="3" t="n"/>
      <c r="K25" s="3" t="n"/>
      <c r="L25" s="3" t="n"/>
      <c r="M25" s="2" t="inlineStr">
        <is>
          <t>PriceCharting</t>
        </is>
      </c>
      <c r="N25" s="4" t="inlineStr">
        <is>
          <t>https://www.pricecharting.com/game/one-piece-japanese-fist-of-divine-speed/booster-box</t>
        </is>
      </c>
    </row>
    <row r="26">
      <c r="A26" s="2" t="inlineStr">
        <is>
          <t>Japanese Kingdoms Of Intrigue Booster Box</t>
        </is>
      </c>
      <c r="B26" s="3">
        <f>IF(I26&lt;&gt;"",I26,IF(J26&lt;&gt;"",J26,IF(K26&lt;&gt;"",K26,L26)))</f>
        <v>131.28</v>
      </c>
      <c r="C26" s="3">
        <f>MEDIAN(I26:L26)</f>
        <v>131.28</v>
      </c>
      <c r="D26" s="3">
        <f>ROUND(C26*(1-Settings!$B$2),2)</f>
        <v>91.9</v>
      </c>
      <c r="E26" s="3">
        <f>ROUND(C26*(1-Settings!$B$3),2)</f>
        <v>91.9</v>
      </c>
      <c r="F26" s="2" t="inlineStr">
        <is>
          <t>One Piece</t>
        </is>
      </c>
      <c r="G26" s="2" t="inlineStr">
        <is>
          <t>Box</t>
        </is>
      </c>
      <c r="H26" s="2" t="inlineStr">
        <is>
          <t>Japanese Kingdoms Of Intrigue</t>
        </is>
      </c>
      <c r="I26" s="3" t="n">
        <v>131.28</v>
      </c>
      <c r="J26" s="3" t="n"/>
      <c r="K26" s="3" t="n"/>
      <c r="L26" s="3" t="n"/>
      <c r="M26" s="2" t="inlineStr">
        <is>
          <t>PriceCharting</t>
        </is>
      </c>
      <c r="N26" s="4" t="inlineStr">
        <is>
          <t>https://www.pricecharting.com/game/one-piece-japanese-kingdoms-of-intrigue/booster-box</t>
        </is>
      </c>
    </row>
    <row r="27">
      <c r="A27" s="2" t="inlineStr">
        <is>
          <t>Japanese Legacy Of The Master Booster Box</t>
        </is>
      </c>
      <c r="B27" s="3">
        <f>IF(I27&lt;&gt;"",I27,IF(J27&lt;&gt;"",J27,IF(K27&lt;&gt;"",K27,L27)))</f>
        <v>78.97</v>
      </c>
      <c r="C27" s="3">
        <f>MEDIAN(I27:L27)</f>
        <v>78.97</v>
      </c>
      <c r="D27" s="3">
        <f>ROUND(C27*(1-Settings!$B$2),2)</f>
        <v>55.28</v>
      </c>
      <c r="E27" s="3">
        <f>ROUND(C27*(1-Settings!$B$3),2)</f>
        <v>55.28</v>
      </c>
      <c r="F27" s="2" t="inlineStr">
        <is>
          <t>One Piece</t>
        </is>
      </c>
      <c r="G27" s="2" t="inlineStr">
        <is>
          <t>Box</t>
        </is>
      </c>
      <c r="H27" s="2" t="inlineStr">
        <is>
          <t>Japanese Legacy Of The Master</t>
        </is>
      </c>
      <c r="I27" s="3" t="n">
        <v>78.97</v>
      </c>
      <c r="J27" s="3" t="n"/>
      <c r="K27" s="3" t="n"/>
      <c r="L27" s="3" t="n"/>
      <c r="M27" s="2" t="inlineStr">
        <is>
          <t>PriceCharting</t>
        </is>
      </c>
      <c r="N27" s="4" t="inlineStr">
        <is>
          <t>https://www.pricecharting.com/game/one-piece-japanese-legacy-of-the-master/booster-box</t>
        </is>
      </c>
    </row>
    <row r="28">
      <c r="A28" s="2" t="inlineStr">
        <is>
          <t>Japanese Paramount War Booster Box</t>
        </is>
      </c>
      <c r="B28" s="3">
        <f>IF(I28&lt;&gt;"",I28,IF(J28&lt;&gt;"",J28,IF(K28&lt;&gt;"",K28,L28)))</f>
        <v>145.0</v>
      </c>
      <c r="C28" s="3">
        <f>MEDIAN(I28:L28)</f>
        <v>145.0</v>
      </c>
      <c r="D28" s="3">
        <f>ROUND(C28*(1-Settings!$B$2),2)</f>
        <v>101.5</v>
      </c>
      <c r="E28" s="3">
        <f>ROUND(C28*(1-Settings!$B$3),2)</f>
        <v>101.5</v>
      </c>
      <c r="F28" s="2" t="inlineStr">
        <is>
          <t>One Piece</t>
        </is>
      </c>
      <c r="G28" s="2" t="inlineStr">
        <is>
          <t>Box</t>
        </is>
      </c>
      <c r="H28" s="2" t="inlineStr">
        <is>
          <t>Japanese Paramount War</t>
        </is>
      </c>
      <c r="I28" s="3" t="n">
        <v>145</v>
      </c>
      <c r="J28" s="3" t="n"/>
      <c r="K28" s="3" t="n"/>
      <c r="L28" s="3" t="n"/>
      <c r="M28" s="2" t="inlineStr">
        <is>
          <t>PriceCharting</t>
        </is>
      </c>
      <c r="N28" s="4" t="inlineStr">
        <is>
          <t>https://www.pricecharting.com/game/one-piece-japanese-paramount-war/booster-box</t>
        </is>
      </c>
    </row>
    <row r="29">
      <c r="A29" s="2" t="inlineStr">
        <is>
          <t>Japanese Pillars Of Strength Booster Box</t>
        </is>
      </c>
      <c r="B29" s="3">
        <f>IF(I29&lt;&gt;"",I29,IF(J29&lt;&gt;"",J29,IF(K29&lt;&gt;"",K29,L29)))</f>
        <v>103.76</v>
      </c>
      <c r="C29" s="3">
        <f>MEDIAN(I29:L29)</f>
        <v>103.76</v>
      </c>
      <c r="D29" s="3">
        <f>ROUND(C29*(1-Settings!$B$2),2)</f>
        <v>72.63</v>
      </c>
      <c r="E29" s="3">
        <f>ROUND(C29*(1-Settings!$B$3),2)</f>
        <v>72.63</v>
      </c>
      <c r="F29" s="2" t="inlineStr">
        <is>
          <t>One Piece</t>
        </is>
      </c>
      <c r="G29" s="2" t="inlineStr">
        <is>
          <t>Box</t>
        </is>
      </c>
      <c r="H29" s="2" t="inlineStr">
        <is>
          <t>Japanese Pillars Of Strength</t>
        </is>
      </c>
      <c r="I29" s="3" t="n">
        <v>103.76</v>
      </c>
      <c r="J29" s="3" t="n"/>
      <c r="K29" s="3" t="n"/>
      <c r="L29" s="3" t="n"/>
      <c r="M29" s="2" t="inlineStr">
        <is>
          <t>PriceCharting</t>
        </is>
      </c>
      <c r="N29" s="4" t="inlineStr">
        <is>
          <t>https://www.pricecharting.com/game/one-piece-japanese-pillars-of-strength/booster-box</t>
        </is>
      </c>
    </row>
    <row r="30">
      <c r="A30" s="2" t="inlineStr">
        <is>
          <t>Japanese Premium Booster Booster Box [PRB01]</t>
        </is>
      </c>
      <c r="B30" s="3">
        <f>IF(I30&lt;&gt;"",I30,IF(J30&lt;&gt;"",J30,IF(K30&lt;&gt;"",K30,L30)))</f>
        <v>112.19</v>
      </c>
      <c r="C30" s="3">
        <f>MEDIAN(I30:L30)</f>
        <v>112.19</v>
      </c>
      <c r="D30" s="3">
        <f>ROUND(C30*(1-Settings!$B$2),2)</f>
        <v>78.53</v>
      </c>
      <c r="E30" s="3">
        <f>ROUND(C30*(1-Settings!$B$3),2)</f>
        <v>78.53</v>
      </c>
      <c r="F30" s="2" t="inlineStr">
        <is>
          <t>One Piece</t>
        </is>
      </c>
      <c r="G30" s="2" t="inlineStr">
        <is>
          <t>Box</t>
        </is>
      </c>
      <c r="H30" s="2" t="inlineStr">
        <is>
          <t>Japanese Premium Booster</t>
        </is>
      </c>
      <c r="I30" s="3" t="n">
        <v>112.19</v>
      </c>
      <c r="J30" s="3" t="n"/>
      <c r="K30" s="3" t="n"/>
      <c r="L30" s="3" t="n"/>
      <c r="M30" s="2" t="inlineStr">
        <is>
          <t>PriceCharting</t>
        </is>
      </c>
      <c r="N30" s="4" t="inlineStr">
        <is>
          <t>https://www.pricecharting.com/game/one-piece-japanese-premium-booster/booster-box-prb01</t>
        </is>
      </c>
    </row>
    <row r="31">
      <c r="A31" s="2" t="inlineStr">
        <is>
          <t>Japanese Premium Booster 2 Booster Box</t>
        </is>
      </c>
      <c r="B31" s="3">
        <f>IF(I31&lt;&gt;"",I31,IF(J31&lt;&gt;"",J31,IF(K31&lt;&gt;"",K31,L31)))</f>
        <v>80.75</v>
      </c>
      <c r="C31" s="3">
        <f>MEDIAN(I31:L31)</f>
        <v>80.75</v>
      </c>
      <c r="D31" s="3">
        <f>ROUND(C31*(1-Settings!$B$2),2)</f>
        <v>56.53</v>
      </c>
      <c r="E31" s="3">
        <f>ROUND(C31*(1-Settings!$B$3),2)</f>
        <v>56.53</v>
      </c>
      <c r="F31" s="2" t="inlineStr">
        <is>
          <t>One Piece</t>
        </is>
      </c>
      <c r="G31" s="2" t="inlineStr">
        <is>
          <t>Box</t>
        </is>
      </c>
      <c r="H31" s="2" t="inlineStr">
        <is>
          <t>Japanese Premium Booster 2</t>
        </is>
      </c>
      <c r="I31" s="3" t="n">
        <v>80.75</v>
      </c>
      <c r="J31" s="3" t="n"/>
      <c r="K31" s="3" t="n"/>
      <c r="L31" s="3" t="n"/>
      <c r="M31" s="2" t="inlineStr">
        <is>
          <t>PriceCharting</t>
        </is>
      </c>
      <c r="N31" s="4" t="inlineStr">
        <is>
          <t>https://www.pricecharting.com/game/one-piece-japanese-premium-booster-2/booster-box</t>
        </is>
      </c>
    </row>
    <row r="32">
      <c r="A32" s="2" t="inlineStr">
        <is>
          <t>Japanese Romance Dawn Booster Box</t>
        </is>
      </c>
      <c r="B32" s="3">
        <f>IF(I32&lt;&gt;"",I32,IF(J32&lt;&gt;"",J32,IF(K32&lt;&gt;"",K32,L32)))</f>
        <v>249.14</v>
      </c>
      <c r="C32" s="3">
        <f>MEDIAN(I32:L32)</f>
        <v>249.14</v>
      </c>
      <c r="D32" s="3">
        <f>ROUND(C32*(1-Settings!$B$2),2)</f>
        <v>174.4</v>
      </c>
      <c r="E32" s="3">
        <f>ROUND(C32*(1-Settings!$B$3),2)</f>
        <v>174.4</v>
      </c>
      <c r="F32" s="2" t="inlineStr">
        <is>
          <t>One Piece</t>
        </is>
      </c>
      <c r="G32" s="2" t="inlineStr">
        <is>
          <t>Box</t>
        </is>
      </c>
      <c r="H32" s="2" t="inlineStr">
        <is>
          <t>Japanese Romance Dawn</t>
        </is>
      </c>
      <c r="I32" s="3" t="n">
        <v>249.14</v>
      </c>
      <c r="J32" s="3" t="n"/>
      <c r="K32" s="3" t="n"/>
      <c r="L32" s="3" t="n"/>
      <c r="M32" s="2" t="inlineStr">
        <is>
          <t>PriceCharting</t>
        </is>
      </c>
      <c r="N32" s="4" t="inlineStr">
        <is>
          <t>https://www.pricecharting.com/game/one-piece-japanese-romance-dawn/booster-box</t>
        </is>
      </c>
    </row>
    <row r="33">
      <c r="A33" s="2" t="inlineStr">
        <is>
          <t>Japanese Royal Blood Booster Box</t>
        </is>
      </c>
      <c r="B33" s="3">
        <f>IF(I33&lt;&gt;"",I33,IF(J33&lt;&gt;"",J33,IF(K33&lt;&gt;"",K33,L33)))</f>
        <v>76.47</v>
      </c>
      <c r="C33" s="3">
        <f>MEDIAN(I33:L33)</f>
        <v>76.47</v>
      </c>
      <c r="D33" s="3">
        <f>ROUND(C33*(1-Settings!$B$2),2)</f>
        <v>53.53</v>
      </c>
      <c r="E33" s="3">
        <f>ROUND(C33*(1-Settings!$B$3),2)</f>
        <v>53.53</v>
      </c>
      <c r="F33" s="2" t="inlineStr">
        <is>
          <t>One Piece</t>
        </is>
      </c>
      <c r="G33" s="2" t="inlineStr">
        <is>
          <t>Box</t>
        </is>
      </c>
      <c r="H33" s="2" t="inlineStr">
        <is>
          <t>Japanese Royal Blood</t>
        </is>
      </c>
      <c r="I33" s="3" t="n">
        <v>76.47</v>
      </c>
      <c r="J33" s="3" t="n"/>
      <c r="K33" s="3" t="n"/>
      <c r="L33" s="3" t="n"/>
      <c r="M33" s="2" t="inlineStr">
        <is>
          <t>PriceCharting</t>
        </is>
      </c>
      <c r="N33" s="4" t="inlineStr">
        <is>
          <t>https://www.pricecharting.com/game/one-piece-japanese-royal-blood/booster-box</t>
        </is>
      </c>
    </row>
    <row r="34">
      <c r="A34" s="2" t="inlineStr">
        <is>
          <t>Japanese The Time Of Battle Booster Box</t>
        </is>
      </c>
      <c r="B34" s="3">
        <f>IF(I34&lt;&gt;"",I34,IF(J34&lt;&gt;"",J34,IF(K34&lt;&gt;"",K34,L34)))</f>
        <v>119.5</v>
      </c>
      <c r="C34" s="3">
        <f>MEDIAN(I34:L34)</f>
        <v>119.5</v>
      </c>
      <c r="D34" s="3">
        <f>ROUND(C34*(1-Settings!$B$2),2)</f>
        <v>83.65</v>
      </c>
      <c r="E34" s="3">
        <f>ROUND(C34*(1-Settings!$B$3),2)</f>
        <v>83.65</v>
      </c>
      <c r="F34" s="2" t="inlineStr">
        <is>
          <t>One Piece</t>
        </is>
      </c>
      <c r="G34" s="2" t="inlineStr">
        <is>
          <t>Box</t>
        </is>
      </c>
      <c r="H34" s="2" t="inlineStr">
        <is>
          <t>Japanese The Time Of Battle</t>
        </is>
      </c>
      <c r="I34" s="3" t="n">
        <v>119.5</v>
      </c>
      <c r="J34" s="3" t="n"/>
      <c r="K34" s="3" t="n"/>
      <c r="L34" s="3" t="n"/>
      <c r="M34" s="2" t="inlineStr">
        <is>
          <t>PriceCharting</t>
        </is>
      </c>
      <c r="N34" s="4" t="inlineStr">
        <is>
          <t>https://www.pricecharting.com/game/one-piece-japanese-the-time-of-battle/booster-box</t>
        </is>
      </c>
    </row>
    <row r="35">
      <c r="A35" s="2" t="inlineStr">
        <is>
          <t>Japanese Two Legends Booster Box</t>
        </is>
      </c>
      <c r="B35" s="3">
        <f>IF(I35&lt;&gt;"",I35,IF(J35&lt;&gt;"",J35,IF(K35&lt;&gt;"",K35,L35)))</f>
        <v>82.76</v>
      </c>
      <c r="C35" s="3">
        <f>MEDIAN(I35:L35)</f>
        <v>82.76</v>
      </c>
      <c r="D35" s="3">
        <f>ROUND(C35*(1-Settings!$B$2),2)</f>
        <v>57.93</v>
      </c>
      <c r="E35" s="3">
        <f>ROUND(C35*(1-Settings!$B$3),2)</f>
        <v>57.93</v>
      </c>
      <c r="F35" s="2" t="inlineStr">
        <is>
          <t>One Piece</t>
        </is>
      </c>
      <c r="G35" s="2" t="inlineStr">
        <is>
          <t>Box</t>
        </is>
      </c>
      <c r="H35" s="2" t="inlineStr">
        <is>
          <t>Japanese Two Legends</t>
        </is>
      </c>
      <c r="I35" s="3" t="n">
        <v>82.76000000000001</v>
      </c>
      <c r="J35" s="3" t="n"/>
      <c r="K35" s="3" t="n"/>
      <c r="L35" s="3" t="n"/>
      <c r="M35" s="2" t="inlineStr">
        <is>
          <t>PriceCharting</t>
        </is>
      </c>
      <c r="N35" s="4" t="inlineStr">
        <is>
          <t>https://www.pricecharting.com/game/one-piece-japanese-two-legends/booster-box</t>
        </is>
      </c>
    </row>
    <row r="36">
      <c r="A36" s="2" t="inlineStr">
        <is>
          <t>Japanese Wings Of The Captain Booster Box</t>
        </is>
      </c>
      <c r="B36" s="3">
        <f>IF(I36&lt;&gt;"",I36,IF(J36&lt;&gt;"",J36,IF(K36&lt;&gt;"",K36,L36)))</f>
        <v>184.9</v>
      </c>
      <c r="C36" s="3">
        <f>MEDIAN(I36:L36)</f>
        <v>184.9</v>
      </c>
      <c r="D36" s="3">
        <f>ROUND(C36*(1-Settings!$B$2),2)</f>
        <v>129.43</v>
      </c>
      <c r="E36" s="3">
        <f>ROUND(C36*(1-Settings!$B$3),2)</f>
        <v>129.43</v>
      </c>
      <c r="F36" s="2" t="inlineStr">
        <is>
          <t>One Piece</t>
        </is>
      </c>
      <c r="G36" s="2" t="inlineStr">
        <is>
          <t>Box</t>
        </is>
      </c>
      <c r="H36" s="2" t="inlineStr">
        <is>
          <t>Japanese Wings Of The Captain</t>
        </is>
      </c>
      <c r="I36" s="3" t="n">
        <v>184.9</v>
      </c>
      <c r="J36" s="3" t="n"/>
      <c r="K36" s="3" t="n"/>
      <c r="L36" s="3" t="n"/>
      <c r="M36" s="2" t="inlineStr">
        <is>
          <t>PriceCharting</t>
        </is>
      </c>
      <c r="N36" s="4" t="inlineStr">
        <is>
          <t>https://www.pricecharting.com/game/one-piece-japanese-wings-of-the-captain/booster-box</t>
        </is>
      </c>
    </row>
    <row r="37">
      <c r="A37" s="2" t="inlineStr">
        <is>
          <t>Kingdoms of Intrigue - Booster Box</t>
        </is>
      </c>
      <c r="B37" s="3">
        <f>IF(I37&lt;&gt;"",I37,IF(J37&lt;&gt;"",J37,IF(K37&lt;&gt;"",K37,L37)))</f>
        <v>484.6</v>
      </c>
      <c r="C37" s="3">
        <f>MEDIAN(I37:L37)</f>
        <v>484.6</v>
      </c>
      <c r="D37" s="3">
        <f>ROUND(C37*(1-Settings!$B$2),2)</f>
        <v>339.22</v>
      </c>
      <c r="E37" s="3">
        <f>ROUND(C37*(1-Settings!$B$3),2)</f>
        <v>339.22</v>
      </c>
      <c r="F37" s="2" t="inlineStr">
        <is>
          <t>One Piece</t>
        </is>
      </c>
      <c r="G37" s="2" t="inlineStr">
        <is>
          <t>Box</t>
        </is>
      </c>
      <c r="H37" s="2" t="inlineStr">
        <is>
          <t>Kingdoms of Intrigue</t>
        </is>
      </c>
      <c r="I37" s="3" t="n">
        <v>484.6</v>
      </c>
      <c r="J37" s="3" t="n">
        <v>500.19</v>
      </c>
      <c r="K37" s="3" t="n"/>
      <c r="L37" s="3" t="n">
        <v>479.98</v>
      </c>
      <c r="M37" s="2" t="inlineStr">
        <is>
          <t>PriceCharting + TCGplayer</t>
        </is>
      </c>
      <c r="N37" s="4" t="inlineStr">
        <is>
          <t>https://www.pricecharting.com/game/one-piece-kingdoms-of-intrigue/booster-box</t>
        </is>
      </c>
      <c r="O37" s="4" t="inlineStr">
        <is>
          <t>https://www.tcgplayer.com/product/485833</t>
        </is>
      </c>
    </row>
    <row r="38">
      <c r="A38" s="2" t="inlineStr">
        <is>
          <t>Kingdoms Of Intrigue Double Pack DP-01 Display Box</t>
        </is>
      </c>
      <c r="B38" s="3">
        <f>IF(I38&lt;&gt;"",I38,IF(J38&lt;&gt;"",J38,IF(K38&lt;&gt;"",K38,L38)))</f>
        <v>212.54</v>
      </c>
      <c r="C38" s="3">
        <f>MEDIAN(I38:L38)</f>
        <v>212.54</v>
      </c>
      <c r="D38" s="3">
        <f>ROUND(C38*(1-Settings!$B$2),2)</f>
        <v>148.78</v>
      </c>
      <c r="E38" s="3">
        <f>ROUND(C38*(1-Settings!$B$3),2)</f>
        <v>148.78</v>
      </c>
      <c r="F38" s="2" t="inlineStr">
        <is>
          <t>One Piece</t>
        </is>
      </c>
      <c r="G38" s="2" t="inlineStr">
        <is>
          <t>Box</t>
        </is>
      </c>
      <c r="H38" s="2" t="inlineStr">
        <is>
          <t>Kingdoms Of Intrigue</t>
        </is>
      </c>
      <c r="I38" s="3" t="n">
        <v>212.54</v>
      </c>
      <c r="J38" s="3" t="n"/>
      <c r="K38" s="3" t="n"/>
      <c r="L38" s="3" t="n"/>
      <c r="M38" s="2" t="inlineStr">
        <is>
          <t>PriceCharting</t>
        </is>
      </c>
      <c r="N38" s="4" t="inlineStr">
        <is>
          <t>https://www.pricecharting.com/game/one-piece-kingdoms-of-intrigue/double-pack-dp-01-display-box</t>
        </is>
      </c>
    </row>
    <row r="39">
      <c r="A39" s="2" t="inlineStr">
        <is>
          <t>Legacy of the Master Booster Box</t>
        </is>
      </c>
      <c r="B39" s="3">
        <f>IF(I39&lt;&gt;"",I39,IF(J39&lt;&gt;"",J39,IF(K39&lt;&gt;"",K39,L39)))</f>
        <v>290.0</v>
      </c>
      <c r="C39" s="3">
        <f>MEDIAN(I39:L39)</f>
        <v>290.0</v>
      </c>
      <c r="D39" s="3">
        <f>ROUND(C39*(1-Settings!$B$2),2)</f>
        <v>203.0</v>
      </c>
      <c r="E39" s="3">
        <f>ROUND(C39*(1-Settings!$B$3),2)</f>
        <v>203.0</v>
      </c>
      <c r="F39" s="2" t="inlineStr">
        <is>
          <t>One Piece</t>
        </is>
      </c>
      <c r="G39" s="2" t="inlineStr">
        <is>
          <t>Box</t>
        </is>
      </c>
      <c r="H39" s="2" t="inlineStr">
        <is>
          <t>Legacy of the Master</t>
        </is>
      </c>
      <c r="I39" s="3" t="n">
        <v>290</v>
      </c>
      <c r="J39" s="3" t="n">
        <v>290.66</v>
      </c>
      <c r="K39" s="3" t="n"/>
      <c r="L39" s="3" t="n">
        <v>22.98</v>
      </c>
      <c r="M39" s="2" t="inlineStr">
        <is>
          <t>PriceCharting + TCGplayer</t>
        </is>
      </c>
      <c r="N39" s="4" t="inlineStr">
        <is>
          <t>https://www.pricecharting.com/game/one-piece-legacy-of-the-master/booster-box</t>
        </is>
      </c>
      <c r="O39" s="4" t="inlineStr">
        <is>
          <t>https://www.tcgplayer.com/product/628346</t>
        </is>
      </c>
    </row>
    <row r="40">
      <c r="A40" s="2" t="inlineStr">
        <is>
          <t>Legacy Of The Master Double Pack DP-08 Display Box</t>
        </is>
      </c>
      <c r="B40" s="3">
        <f>IF(I40&lt;&gt;"",I40,IF(J40&lt;&gt;"",J40,IF(K40&lt;&gt;"",K40,L40)))</f>
        <v>328.31</v>
      </c>
      <c r="C40" s="3">
        <f>MEDIAN(I40:L40)</f>
        <v>328.31</v>
      </c>
      <c r="D40" s="3">
        <f>ROUND(C40*(1-Settings!$B$2),2)</f>
        <v>229.82</v>
      </c>
      <c r="E40" s="3">
        <f>ROUND(C40*(1-Settings!$B$3),2)</f>
        <v>229.82</v>
      </c>
      <c r="F40" s="2" t="inlineStr">
        <is>
          <t>One Piece</t>
        </is>
      </c>
      <c r="G40" s="2" t="inlineStr">
        <is>
          <t>Box</t>
        </is>
      </c>
      <c r="H40" s="2" t="inlineStr">
        <is>
          <t>Legacy Of The Master</t>
        </is>
      </c>
      <c r="I40" s="3" t="n">
        <v>328.31</v>
      </c>
      <c r="J40" s="3" t="n"/>
      <c r="K40" s="3" t="n"/>
      <c r="L40" s="3" t="n"/>
      <c r="M40" s="2" t="inlineStr">
        <is>
          <t>PriceCharting</t>
        </is>
      </c>
      <c r="N40" s="4" t="inlineStr">
        <is>
          <t>https://www.pricecharting.com/game/one-piece-legacy-of-the-master/double-pack-dp-08-display-box</t>
        </is>
      </c>
    </row>
    <row r="41">
      <c r="A41" s="2" t="inlineStr">
        <is>
          <t>Paramount War - Booster Box</t>
        </is>
      </c>
      <c r="B41" s="3">
        <f>IF(I41&lt;&gt;"",I41,IF(J41&lt;&gt;"",J41,IF(K41&lt;&gt;"",K41,L41)))</f>
        <v>520.26</v>
      </c>
      <c r="C41" s="3">
        <f>MEDIAN(I41:L41)</f>
        <v>520.26</v>
      </c>
      <c r="D41" s="3">
        <f>ROUND(C41*(1-Settings!$B$2),2)</f>
        <v>364.18</v>
      </c>
      <c r="E41" s="3">
        <f>ROUND(C41*(1-Settings!$B$3),2)</f>
        <v>364.18</v>
      </c>
      <c r="F41" s="2" t="inlineStr">
        <is>
          <t>One Piece</t>
        </is>
      </c>
      <c r="G41" s="2" t="inlineStr">
        <is>
          <t>Box</t>
        </is>
      </c>
      <c r="H41" s="2" t="inlineStr">
        <is>
          <t>Paramount War</t>
        </is>
      </c>
      <c r="I41" s="3" t="n">
        <v>520.26</v>
      </c>
      <c r="J41" s="3" t="n">
        <v>553.65</v>
      </c>
      <c r="K41" s="3" t="n"/>
      <c r="L41" s="3" t="n">
        <v>69.98999999999999</v>
      </c>
      <c r="M41" s="2" t="inlineStr">
        <is>
          <t>PriceCharting + TCGplayer</t>
        </is>
      </c>
      <c r="N41" s="4" t="inlineStr">
        <is>
          <t>https://www.pricecharting.com/game/one-piece-paramount-war/booster-box</t>
        </is>
      </c>
      <c r="O41" s="4" t="inlineStr">
        <is>
          <t>https://www.tcgplayer.com/product/455866</t>
        </is>
      </c>
    </row>
    <row r="42">
      <c r="A42" s="2" t="inlineStr">
        <is>
          <t>Pillars of Strength - Booster Box</t>
        </is>
      </c>
      <c r="B42" s="3">
        <f>IF(I42&lt;&gt;"",I42,IF(J42&lt;&gt;"",J42,IF(K42&lt;&gt;"",K42,L42)))</f>
        <v>509.74</v>
      </c>
      <c r="C42" s="3">
        <f>MEDIAN(I42:L42)</f>
        <v>506.49</v>
      </c>
      <c r="D42" s="3">
        <f>ROUND(C42*(1-Settings!$B$2),2)</f>
        <v>354.54</v>
      </c>
      <c r="E42" s="3">
        <f>ROUND(C42*(1-Settings!$B$3),2)</f>
        <v>354.54</v>
      </c>
      <c r="F42" s="2" t="inlineStr">
        <is>
          <t>One Piece</t>
        </is>
      </c>
      <c r="G42" s="2" t="inlineStr">
        <is>
          <t>Box</t>
        </is>
      </c>
      <c r="H42" s="2" t="inlineStr">
        <is>
          <t>Pillars of Strength</t>
        </is>
      </c>
      <c r="I42" s="3" t="n">
        <v>509.74</v>
      </c>
      <c r="J42" s="3" t="n">
        <v>506.49</v>
      </c>
      <c r="K42" s="3" t="n"/>
      <c r="L42" s="3" t="n">
        <v>69.98999999999999</v>
      </c>
      <c r="M42" s="2" t="inlineStr">
        <is>
          <t>PriceCharting + TCGplayer</t>
        </is>
      </c>
      <c r="N42" s="4" t="inlineStr">
        <is>
          <t>https://www.pricecharting.com/game/one-piece-pillars-of-strength/booster-box</t>
        </is>
      </c>
      <c r="O42" s="4" t="inlineStr">
        <is>
          <t>https://www.tcgplayer.com/product/477176</t>
        </is>
      </c>
    </row>
    <row r="43">
      <c r="A43" s="2" t="inlineStr">
        <is>
          <t>Premium Booster - Booster Box</t>
        </is>
      </c>
      <c r="B43" s="3">
        <f>IF(I43&lt;&gt;"",I43,IF(J43&lt;&gt;"",J43,IF(K43&lt;&gt;"",K43,L43)))</f>
        <v>903.88</v>
      </c>
      <c r="C43" s="3">
        <f>MEDIAN(I43:L43)</f>
        <v>546.935</v>
      </c>
      <c r="D43" s="3">
        <f>ROUND(C43*(1-Settings!$B$2),2)</f>
        <v>382.85</v>
      </c>
      <c r="E43" s="3">
        <f>ROUND(C43*(1-Settings!$B$3),2)</f>
        <v>382.85</v>
      </c>
      <c r="F43" s="2" t="inlineStr">
        <is>
          <t>One Piece</t>
        </is>
      </c>
      <c r="G43" s="2" t="inlineStr">
        <is>
          <t>Box</t>
        </is>
      </c>
      <c r="H43" s="2" t="inlineStr">
        <is>
          <t>Premium Booster -The Best-</t>
        </is>
      </c>
      <c r="I43" s="3" t="n"/>
      <c r="J43" s="3" t="n">
        <v>903.88</v>
      </c>
      <c r="K43" s="3" t="n"/>
      <c r="L43" s="3" t="n">
        <v>189.99</v>
      </c>
      <c r="M43" s="2" t="inlineStr">
        <is>
          <t>TCGplayer</t>
        </is>
      </c>
      <c r="O43" s="4" t="inlineStr">
        <is>
          <t>https://www.tcgplayer.com/product/545399</t>
        </is>
      </c>
    </row>
    <row r="44">
      <c r="A44" s="2" t="inlineStr">
        <is>
          <t>Premium Booster Vol. 2 - Booster Box</t>
        </is>
      </c>
      <c r="B44" s="3">
        <f>IF(I44&lt;&gt;"",I44,IF(J44&lt;&gt;"",J44,IF(K44&lt;&gt;"",K44,L44)))</f>
        <v>377.53</v>
      </c>
      <c r="C44" s="3">
        <f>MEDIAN(I44:L44)</f>
        <v>238.23999999999998</v>
      </c>
      <c r="D44" s="3">
        <f>ROUND(C44*(1-Settings!$B$2),2)</f>
        <v>166.77</v>
      </c>
      <c r="E44" s="3">
        <f>ROUND(C44*(1-Settings!$B$3),2)</f>
        <v>166.77</v>
      </c>
      <c r="F44" s="2" t="inlineStr">
        <is>
          <t>One Piece</t>
        </is>
      </c>
      <c r="G44" s="2" t="inlineStr">
        <is>
          <t>Box</t>
        </is>
      </c>
      <c r="H44" s="2" t="inlineStr">
        <is>
          <t>Premium Booster -The Best- Vol. 2</t>
        </is>
      </c>
      <c r="I44" s="3" t="n"/>
      <c r="J44" s="3" t="n">
        <v>377.53</v>
      </c>
      <c r="K44" s="3" t="n"/>
      <c r="L44" s="3" t="n">
        <v>98.95</v>
      </c>
      <c r="M44" s="2" t="inlineStr">
        <is>
          <t>TCGplayer</t>
        </is>
      </c>
      <c r="O44" s="4" t="inlineStr">
        <is>
          <t>https://www.tcgplayer.com/product/628452</t>
        </is>
      </c>
    </row>
    <row r="45">
      <c r="A45" s="2" t="inlineStr">
        <is>
          <t>Premium Booster 2 Booster Box</t>
        </is>
      </c>
      <c r="B45" s="3">
        <f>IF(I45&lt;&gt;"",I45,IF(J45&lt;&gt;"",J45,IF(K45&lt;&gt;"",K45,L45)))</f>
        <v>379.48</v>
      </c>
      <c r="C45" s="3">
        <f>MEDIAN(I45:L45)</f>
        <v>379.48</v>
      </c>
      <c r="D45" s="3">
        <f>ROUND(C45*(1-Settings!$B$2),2)</f>
        <v>265.64</v>
      </c>
      <c r="E45" s="3">
        <f>ROUND(C45*(1-Settings!$B$3),2)</f>
        <v>265.64</v>
      </c>
      <c r="F45" s="2" t="inlineStr">
        <is>
          <t>One Piece</t>
        </is>
      </c>
      <c r="G45" s="2" t="inlineStr">
        <is>
          <t>Box</t>
        </is>
      </c>
      <c r="H45" s="2" t="inlineStr">
        <is>
          <t>Premium Booster 2</t>
        </is>
      </c>
      <c r="I45" s="3" t="n">
        <v>379.48</v>
      </c>
      <c r="J45" s="3" t="n"/>
      <c r="K45" s="3" t="n"/>
      <c r="L45" s="3" t="n"/>
      <c r="M45" s="2" t="inlineStr">
        <is>
          <t>PriceCharting</t>
        </is>
      </c>
      <c r="N45" s="4" t="inlineStr">
        <is>
          <t>https://www.pricecharting.com/game/one-piece-premium-booster-2/booster-box</t>
        </is>
      </c>
    </row>
    <row r="46">
      <c r="A46" s="2" t="inlineStr">
        <is>
          <t>Romance Dawn - Booster Box (Wave 1 - Blue)</t>
        </is>
      </c>
      <c r="B46" s="3">
        <f>IF(I46&lt;&gt;"",I46,IF(J46&lt;&gt;"",J46,IF(K46&lt;&gt;"",K46,L46)))</f>
        <v>4636.13</v>
      </c>
      <c r="C46" s="3">
        <f>MEDIAN(I46:L46)</f>
        <v>2418.065</v>
      </c>
      <c r="D46" s="3">
        <f>ROUND(C46*(1-Settings!$B$2),2)</f>
        <v>1692.65</v>
      </c>
      <c r="E46" s="3">
        <f>ROUND(C46*(1-Settings!$B$3),2)</f>
        <v>1692.65</v>
      </c>
      <c r="F46" s="2" t="inlineStr">
        <is>
          <t>One Piece</t>
        </is>
      </c>
      <c r="G46" s="2" t="inlineStr">
        <is>
          <t>Box</t>
        </is>
      </c>
      <c r="H46" s="2" t="inlineStr">
        <is>
          <t>Romance Dawn</t>
        </is>
      </c>
      <c r="I46" s="3" t="n"/>
      <c r="J46" s="3" t="n">
        <v>4636.13</v>
      </c>
      <c r="K46" s="3" t="n"/>
      <c r="L46" s="3" t="n">
        <v>200</v>
      </c>
      <c r="M46" s="2" t="inlineStr">
        <is>
          <t>TCGplayer</t>
        </is>
      </c>
      <c r="O46" s="4" t="inlineStr">
        <is>
          <t>https://www.tcgplayer.com/product/450086</t>
        </is>
      </c>
    </row>
    <row r="47">
      <c r="A47" s="2" t="inlineStr">
        <is>
          <t>Romance Dawn - Booster Box (Wave 2 - White)</t>
        </is>
      </c>
      <c r="B47" s="3">
        <f>IF(I47&lt;&gt;"",I47,IF(J47&lt;&gt;"",J47,IF(K47&lt;&gt;"",K47,L47)))</f>
        <v>1394.51</v>
      </c>
      <c r="C47" s="3">
        <f>MEDIAN(I47:L47)</f>
        <v>704.75</v>
      </c>
      <c r="D47" s="3">
        <f>ROUND(C47*(1-Settings!$B$2),2)</f>
        <v>493.33</v>
      </c>
      <c r="E47" s="3">
        <f>ROUND(C47*(1-Settings!$B$3),2)</f>
        <v>493.33</v>
      </c>
      <c r="F47" s="2" t="inlineStr">
        <is>
          <t>One Piece</t>
        </is>
      </c>
      <c r="G47" s="2" t="inlineStr">
        <is>
          <t>Box</t>
        </is>
      </c>
      <c r="H47" s="2" t="inlineStr">
        <is>
          <t>Romance Dawn</t>
        </is>
      </c>
      <c r="I47" s="3" t="n"/>
      <c r="J47" s="3" t="n">
        <v>1394.51</v>
      </c>
      <c r="K47" s="3" t="n"/>
      <c r="L47" s="3" t="n">
        <v>14.99</v>
      </c>
      <c r="M47" s="2" t="inlineStr">
        <is>
          <t>TCGplayer</t>
        </is>
      </c>
      <c r="O47" s="4" t="inlineStr">
        <is>
          <t>https://www.tcgplayer.com/product/557280</t>
        </is>
      </c>
    </row>
    <row r="48">
      <c r="A48" s="2" t="inlineStr">
        <is>
          <t>Romance Dawn Booster Box</t>
        </is>
      </c>
      <c r="B48" s="3">
        <f>IF(I48&lt;&gt;"",I48,IF(J48&lt;&gt;"",J48,IF(K48&lt;&gt;"",K48,L48)))</f>
        <v>1191.82</v>
      </c>
      <c r="C48" s="3">
        <f>MEDIAN(I48:L48)</f>
        <v>1191.82</v>
      </c>
      <c r="D48" s="3">
        <f>ROUND(C48*(1-Settings!$B$2),2)</f>
        <v>834.27</v>
      </c>
      <c r="E48" s="3">
        <f>ROUND(C48*(1-Settings!$B$3),2)</f>
        <v>834.27</v>
      </c>
      <c r="F48" s="2" t="inlineStr">
        <is>
          <t>One Piece</t>
        </is>
      </c>
      <c r="G48" s="2" t="inlineStr">
        <is>
          <t>Box</t>
        </is>
      </c>
      <c r="H48" s="2" t="inlineStr">
        <is>
          <t>Romance Dawn</t>
        </is>
      </c>
      <c r="I48" s="3" t="n">
        <v>1191.82</v>
      </c>
      <c r="J48" s="3" t="n"/>
      <c r="K48" s="3" t="n"/>
      <c r="L48" s="3" t="n"/>
      <c r="M48" s="2" t="inlineStr">
        <is>
          <t>PriceCharting</t>
        </is>
      </c>
      <c r="N48" s="4" t="inlineStr">
        <is>
          <t>https://www.pricecharting.com/game/one-piece-romance-dawn/booster-box</t>
        </is>
      </c>
    </row>
    <row r="49">
      <c r="A49" s="2" t="inlineStr">
        <is>
          <t>Romance Dawn Booster Box [Blue Bottom]</t>
        </is>
      </c>
      <c r="B49" s="3">
        <f>IF(I49&lt;&gt;"",I49,IF(J49&lt;&gt;"",J49,IF(K49&lt;&gt;"",K49,L49)))</f>
        <v>4377.48</v>
      </c>
      <c r="C49" s="3">
        <f>MEDIAN(I49:L49)</f>
        <v>4377.48</v>
      </c>
      <c r="D49" s="3">
        <f>ROUND(C49*(1-Settings!$B$2),2)</f>
        <v>3064.24</v>
      </c>
      <c r="E49" s="3">
        <f>ROUND(C49*(1-Settings!$B$3),2)</f>
        <v>3064.24</v>
      </c>
      <c r="F49" s="2" t="inlineStr">
        <is>
          <t>One Piece</t>
        </is>
      </c>
      <c r="G49" s="2" t="inlineStr">
        <is>
          <t>Box</t>
        </is>
      </c>
      <c r="H49" s="2" t="inlineStr">
        <is>
          <t>Romance Dawn</t>
        </is>
      </c>
      <c r="I49" s="3" t="n">
        <v>4377.48</v>
      </c>
      <c r="J49" s="3" t="n"/>
      <c r="K49" s="3" t="n"/>
      <c r="L49" s="3" t="n"/>
      <c r="M49" s="2" t="inlineStr">
        <is>
          <t>PriceCharting</t>
        </is>
      </c>
      <c r="N49" s="4" t="inlineStr">
        <is>
          <t>https://www.pricecharting.com/game/one-piece-romance-dawn/booster-box-blue-bottom</t>
        </is>
      </c>
    </row>
    <row r="50">
      <c r="A50" s="2" t="inlineStr">
        <is>
          <t>Royal Blood Booster Box</t>
        </is>
      </c>
      <c r="B50" s="3">
        <f>IF(I50&lt;&gt;"",I50,IF(J50&lt;&gt;"",J50,IF(K50&lt;&gt;"",K50,L50)))</f>
        <v>249.99</v>
      </c>
      <c r="C50" s="3">
        <f>MEDIAN(I50:L50)</f>
        <v>248.97</v>
      </c>
      <c r="D50" s="3">
        <f>ROUND(C50*(1-Settings!$B$2),2)</f>
        <v>174.28</v>
      </c>
      <c r="E50" s="3">
        <f>ROUND(C50*(1-Settings!$B$3),2)</f>
        <v>174.28</v>
      </c>
      <c r="F50" s="2" t="inlineStr">
        <is>
          <t>One Piece</t>
        </is>
      </c>
      <c r="G50" s="2" t="inlineStr">
        <is>
          <t>Box</t>
        </is>
      </c>
      <c r="H50" s="2" t="inlineStr">
        <is>
          <t>Royal Blood</t>
        </is>
      </c>
      <c r="I50" s="3" t="n">
        <v>249.99</v>
      </c>
      <c r="J50" s="3" t="n">
        <v>248.97</v>
      </c>
      <c r="K50" s="3" t="n"/>
      <c r="L50" s="3" t="n">
        <v>22.8</v>
      </c>
      <c r="M50" s="2" t="inlineStr">
        <is>
          <t>PriceCharting + TCGplayer</t>
        </is>
      </c>
      <c r="N50" s="4" t="inlineStr">
        <is>
          <t>https://www.pricecharting.com/game/one-piece-royal-blood/booster-box</t>
        </is>
      </c>
      <c r="O50" s="4" t="inlineStr">
        <is>
          <t>https://www.tcgplayer.com/product/586671</t>
        </is>
      </c>
    </row>
    <row r="51">
      <c r="A51" s="2" t="inlineStr">
        <is>
          <t>The Azure Sea's Seven Booster Box</t>
        </is>
      </c>
      <c r="B51" s="3">
        <f>IF(I51&lt;&gt;"",I51,IF(J51&lt;&gt;"",J51,IF(K51&lt;&gt;"",K51,L51)))</f>
        <v>266.29</v>
      </c>
      <c r="C51" s="3">
        <f>MEDIAN(I51:L51)</f>
        <v>135.64000000000001</v>
      </c>
      <c r="D51" s="3">
        <f>ROUND(C51*(1-Settings!$B$2),2)</f>
        <v>94.95</v>
      </c>
      <c r="E51" s="3">
        <f>ROUND(C51*(1-Settings!$B$3),2)</f>
        <v>94.95</v>
      </c>
      <c r="F51" s="2" t="inlineStr">
        <is>
          <t>One Piece</t>
        </is>
      </c>
      <c r="G51" s="2" t="inlineStr">
        <is>
          <t>Box</t>
        </is>
      </c>
      <c r="H51" s="2" t="inlineStr">
        <is>
          <t>The Azure Sea's Seven</t>
        </is>
      </c>
      <c r="I51" s="3" t="n"/>
      <c r="J51" s="3" t="n">
        <v>266.29</v>
      </c>
      <c r="K51" s="3" t="n"/>
      <c r="L51" s="3" t="n">
        <v>4.99</v>
      </c>
      <c r="M51" s="2" t="inlineStr">
        <is>
          <t>TCGplayer</t>
        </is>
      </c>
      <c r="O51" s="4" t="inlineStr">
        <is>
          <t>https://www.tcgplayer.com/product/665598</t>
        </is>
      </c>
    </row>
    <row r="52">
      <c r="A52" s="2" t="inlineStr">
        <is>
          <t>The Dominance of God Booster Box</t>
        </is>
      </c>
      <c r="B52" s="3">
        <f>IF(I52&lt;&gt;"",I52,IF(J52&lt;&gt;"",J52,IF(K52&lt;&gt;"",K52,L52)))</f>
        <v>358.71</v>
      </c>
      <c r="C52" s="3">
        <f>MEDIAN(I52:L52)</f>
        <v>350.855</v>
      </c>
      <c r="D52" s="3">
        <f>ROUND(C52*(1-Settings!$B$2),2)</f>
        <v>245.6</v>
      </c>
      <c r="E52" s="3">
        <f>ROUND(C52*(1-Settings!$B$3),2)</f>
        <v>245.6</v>
      </c>
      <c r="F52" s="2" t="inlineStr">
        <is>
          <t>One Piece</t>
        </is>
      </c>
      <c r="G52" s="2" t="inlineStr">
        <is>
          <t>Box</t>
        </is>
      </c>
      <c r="H52" s="2" t="inlineStr">
        <is>
          <t>The Dominance of God</t>
        </is>
      </c>
      <c r="I52" s="3" t="n"/>
      <c r="J52" s="3" t="n">
        <v>358.71</v>
      </c>
      <c r="K52" s="3" t="n"/>
      <c r="L52" s="3" t="n">
        <v>343</v>
      </c>
      <c r="M52" s="2" t="inlineStr">
        <is>
          <t>TCGplayer</t>
        </is>
      </c>
      <c r="O52" s="4" t="inlineStr">
        <is>
          <t>https://www.tcgplayer.com/product/712901</t>
        </is>
      </c>
    </row>
    <row r="53">
      <c r="A53" s="2" t="inlineStr">
        <is>
          <t>The Quest Begins Booster Box</t>
        </is>
      </c>
      <c r="B53" s="3">
        <f>IF(I53&lt;&gt;"",I53,IF(J53&lt;&gt;"",J53,IF(K53&lt;&gt;"",K53,L53)))</f>
        <v>22000.0</v>
      </c>
      <c r="C53" s="3">
        <f>MEDIAN(I53:L53)</f>
        <v>22000.0</v>
      </c>
      <c r="D53" s="3">
        <f>ROUND(C53*(1-Settings!$B$2),2)</f>
        <v>15400.0</v>
      </c>
      <c r="E53" s="3">
        <f>ROUND(C53*(1-Settings!$B$3),2)</f>
        <v>15400.0</v>
      </c>
      <c r="F53" s="2" t="inlineStr">
        <is>
          <t>One Piece</t>
        </is>
      </c>
      <c r="G53" s="2" t="inlineStr">
        <is>
          <t>Box</t>
        </is>
      </c>
      <c r="H53" s="2" t="inlineStr">
        <is>
          <t>The Quest Begins</t>
        </is>
      </c>
      <c r="I53" s="3" t="n">
        <v>22000</v>
      </c>
      <c r="J53" s="3" t="n"/>
      <c r="K53" s="3" t="n"/>
      <c r="L53" s="3" t="n"/>
      <c r="M53" s="2" t="inlineStr">
        <is>
          <t>PriceCharting</t>
        </is>
      </c>
      <c r="N53" s="4" t="inlineStr">
        <is>
          <t>https://www.pricecharting.com/game/one-piece-the-quest-begins/booster-box</t>
        </is>
      </c>
    </row>
    <row r="54">
      <c r="A54" s="2" t="inlineStr">
        <is>
          <t>The Time of Battle Booster Box</t>
        </is>
      </c>
      <c r="B54" s="3">
        <f>IF(I54&lt;&gt;"",I54,IF(J54&lt;&gt;"",J54,IF(K54&lt;&gt;"",K54,L54)))</f>
        <v>222.75</v>
      </c>
      <c r="C54" s="3">
        <f>MEDIAN(I54:L54)</f>
        <v>209.55</v>
      </c>
      <c r="D54" s="3">
        <f>ROUND(C54*(1-Settings!$B$2),2)</f>
        <v>146.69</v>
      </c>
      <c r="E54" s="3">
        <f>ROUND(C54*(1-Settings!$B$3),2)</f>
        <v>146.69</v>
      </c>
      <c r="F54" s="2" t="inlineStr">
        <is>
          <t>One Piece</t>
        </is>
      </c>
      <c r="G54" s="2" t="inlineStr">
        <is>
          <t>Box</t>
        </is>
      </c>
      <c r="H54" s="2" t="inlineStr">
        <is>
          <t>The Time of Battle</t>
        </is>
      </c>
      <c r="I54" s="3" t="n">
        <v>222.75</v>
      </c>
      <c r="J54" s="3" t="n">
        <v>209.55</v>
      </c>
      <c r="K54" s="3" t="n"/>
      <c r="L54" s="3" t="n">
        <v>54.99</v>
      </c>
      <c r="M54" s="2" t="inlineStr">
        <is>
          <t>PriceCharting + TCGplayer</t>
        </is>
      </c>
      <c r="N54" s="4" t="inlineStr">
        <is>
          <t>https://www.pricecharting.com/game/one-piece-the-time-of-battle/booster-box</t>
        </is>
      </c>
      <c r="O54" s="4" t="inlineStr">
        <is>
          <t>https://www.tcgplayer.com/product/689336</t>
        </is>
      </c>
    </row>
    <row r="55">
      <c r="A55" s="2" t="inlineStr">
        <is>
          <t>The World's Strongest Warriors Booster Box</t>
        </is>
      </c>
      <c r="B55" s="3">
        <f>IF(I55&lt;&gt;"",I55,IF(J55&lt;&gt;"",J55,IF(K55&lt;&gt;"",K55,L55)))</f>
        <v>305.42</v>
      </c>
      <c r="C55" s="3">
        <f>MEDIAN(I55:L55)</f>
        <v>305.20500000000004</v>
      </c>
      <c r="D55" s="3">
        <f>ROUND(C55*(1-Settings!$B$2),2)</f>
        <v>213.64</v>
      </c>
      <c r="E55" s="3">
        <f>ROUND(C55*(1-Settings!$B$3),2)</f>
        <v>213.64</v>
      </c>
      <c r="F55" s="2" t="inlineStr">
        <is>
          <t>One Piece</t>
        </is>
      </c>
      <c r="G55" s="2" t="inlineStr">
        <is>
          <t>Box</t>
        </is>
      </c>
      <c r="H55" s="2" t="inlineStr">
        <is>
          <t>The World's Strongest Warriors</t>
        </is>
      </c>
      <c r="I55" s="3" t="n"/>
      <c r="J55" s="3" t="n">
        <v>305.42</v>
      </c>
      <c r="K55" s="3" t="n"/>
      <c r="L55" s="3" t="n">
        <v>304.99</v>
      </c>
      <c r="M55" s="2" t="inlineStr">
        <is>
          <t>TCGplayer</t>
        </is>
      </c>
      <c r="O55" s="4" t="inlineStr">
        <is>
          <t>https://www.tcgplayer.com/product/704752</t>
        </is>
      </c>
    </row>
    <row r="56">
      <c r="A56" s="2" t="inlineStr">
        <is>
          <t>Two Legends - Booster Box</t>
        </is>
      </c>
      <c r="B56" s="3">
        <f>IF(I56&lt;&gt;"",I56,IF(J56&lt;&gt;"",J56,IF(K56&lt;&gt;"",K56,L56)))</f>
        <v>245.0</v>
      </c>
      <c r="C56" s="3">
        <f>MEDIAN(I56:L56)</f>
        <v>245.0</v>
      </c>
      <c r="D56" s="3">
        <f>ROUND(C56*(1-Settings!$B$2),2)</f>
        <v>171.5</v>
      </c>
      <c r="E56" s="3">
        <f>ROUND(C56*(1-Settings!$B$3),2)</f>
        <v>171.5</v>
      </c>
      <c r="F56" s="2" t="inlineStr">
        <is>
          <t>One Piece</t>
        </is>
      </c>
      <c r="G56" s="2" t="inlineStr">
        <is>
          <t>Box</t>
        </is>
      </c>
      <c r="H56" s="2" t="inlineStr">
        <is>
          <t>Two Legends</t>
        </is>
      </c>
      <c r="I56" s="3" t="n">
        <v>245</v>
      </c>
      <c r="J56" s="3" t="n">
        <v>246.75</v>
      </c>
      <c r="K56" s="3" t="n"/>
      <c r="L56" s="3" t="n">
        <v>84.97</v>
      </c>
      <c r="M56" s="2" t="inlineStr">
        <is>
          <t>PriceCharting + TCGplayer</t>
        </is>
      </c>
      <c r="N56" s="4" t="inlineStr">
        <is>
          <t>https://www.pricecharting.com/game/one-piece-two-legends/booster-box</t>
        </is>
      </c>
      <c r="O56" s="4" t="inlineStr">
        <is>
          <t>https://www.tcgplayer.com/product/542504</t>
        </is>
      </c>
    </row>
    <row r="57">
      <c r="A57" s="2" t="inlineStr">
        <is>
          <t>Two Legends Double Pack DP-05 Display Box</t>
        </is>
      </c>
      <c r="B57" s="3">
        <f>IF(I57&lt;&gt;"",I57,IF(J57&lt;&gt;"",J57,IF(K57&lt;&gt;"",K57,L57)))</f>
        <v>261.62</v>
      </c>
      <c r="C57" s="3">
        <f>MEDIAN(I57:L57)</f>
        <v>261.62</v>
      </c>
      <c r="D57" s="3">
        <f>ROUND(C57*(1-Settings!$B$2),2)</f>
        <v>183.13</v>
      </c>
      <c r="E57" s="3">
        <f>ROUND(C57*(1-Settings!$B$3),2)</f>
        <v>183.13</v>
      </c>
      <c r="F57" s="2" t="inlineStr">
        <is>
          <t>One Piece</t>
        </is>
      </c>
      <c r="G57" s="2" t="inlineStr">
        <is>
          <t>Box</t>
        </is>
      </c>
      <c r="H57" s="2" t="inlineStr">
        <is>
          <t>Two Legends</t>
        </is>
      </c>
      <c r="I57" s="3" t="n">
        <v>261.62</v>
      </c>
      <c r="J57" s="3" t="n"/>
      <c r="K57" s="3" t="n"/>
      <c r="L57" s="3" t="n"/>
      <c r="M57" s="2" t="inlineStr">
        <is>
          <t>PriceCharting</t>
        </is>
      </c>
      <c r="N57" s="4" t="inlineStr">
        <is>
          <t>https://www.pricecharting.com/game/one-piece-two-legends/double-pack-dp-05-display-box</t>
        </is>
      </c>
    </row>
    <row r="58">
      <c r="A58" s="2" t="inlineStr">
        <is>
          <t>Wings of the Captain - Booster Box</t>
        </is>
      </c>
      <c r="B58" s="3">
        <f>IF(I58&lt;&gt;"",I58,IF(J58&lt;&gt;"",J58,IF(K58&lt;&gt;"",K58,L58)))</f>
        <v>391.14</v>
      </c>
      <c r="C58" s="3">
        <f>MEDIAN(I58:L58)</f>
        <v>391.14</v>
      </c>
      <c r="D58" s="3">
        <f>ROUND(C58*(1-Settings!$B$2),2)</f>
        <v>273.8</v>
      </c>
      <c r="E58" s="3">
        <f>ROUND(C58*(1-Settings!$B$3),2)</f>
        <v>273.8</v>
      </c>
      <c r="F58" s="2" t="inlineStr">
        <is>
          <t>One Piece</t>
        </is>
      </c>
      <c r="G58" s="2" t="inlineStr">
        <is>
          <t>Box</t>
        </is>
      </c>
      <c r="H58" s="2" t="inlineStr">
        <is>
          <t>Wings of the Captain</t>
        </is>
      </c>
      <c r="I58" s="3" t="n">
        <v>391.14</v>
      </c>
      <c r="J58" s="3" t="n">
        <v>402.74</v>
      </c>
      <c r="K58" s="3" t="n"/>
      <c r="L58" s="3" t="n">
        <v>149.99</v>
      </c>
      <c r="M58" s="2" t="inlineStr">
        <is>
          <t>PriceCharting + TCGplayer</t>
        </is>
      </c>
      <c r="N58" s="4" t="inlineStr">
        <is>
          <t>https://www.pricecharting.com/game/one-piece-wings-of-the-captain/booster-box</t>
        </is>
      </c>
      <c r="O58" s="4" t="inlineStr">
        <is>
          <t>https://www.tcgplayer.com/product/515080</t>
        </is>
      </c>
    </row>
    <row r="59">
      <c r="A59" s="2" t="inlineStr">
        <is>
          <t>Wings Of The Captain Double Pack DP-03 Display Box</t>
        </is>
      </c>
      <c r="B59" s="3">
        <f>IF(I59&lt;&gt;"",I59,IF(J59&lt;&gt;"",J59,IF(K59&lt;&gt;"",K59,L59)))</f>
        <v>158.97</v>
      </c>
      <c r="C59" s="3">
        <f>MEDIAN(I59:L59)</f>
        <v>158.97</v>
      </c>
      <c r="D59" s="3">
        <f>ROUND(C59*(1-Settings!$B$2),2)</f>
        <v>111.28</v>
      </c>
      <c r="E59" s="3">
        <f>ROUND(C59*(1-Settings!$B$3),2)</f>
        <v>111.28</v>
      </c>
      <c r="F59" s="2" t="inlineStr">
        <is>
          <t>One Piece</t>
        </is>
      </c>
      <c r="G59" s="2" t="inlineStr">
        <is>
          <t>Box</t>
        </is>
      </c>
      <c r="H59" s="2" t="inlineStr">
        <is>
          <t>Wings Of The Captain</t>
        </is>
      </c>
      <c r="I59" s="3" t="n">
        <v>158.97</v>
      </c>
      <c r="J59" s="3" t="n"/>
      <c r="K59" s="3" t="n"/>
      <c r="L59" s="3" t="n"/>
      <c r="M59" s="2" t="inlineStr">
        <is>
          <t>PriceCharting</t>
        </is>
      </c>
      <c r="N59" s="4" t="inlineStr">
        <is>
          <t>https://www.pricecharting.com/game/one-piece-wings-of-the-captain/double-pack-dp-03-display-box</t>
        </is>
      </c>
    </row>
    <row r="60">
      <c r="A60" s="2" t="inlineStr">
        <is>
          <t>Double Pack Set Volume 4</t>
        </is>
      </c>
      <c r="B60" s="3">
        <f>IF(I60&lt;&gt;"",I60,IF(J60&lt;&gt;"",J60,IF(K60&lt;&gt;"",K60,L60)))</f>
        <v>52.81</v>
      </c>
      <c r="C60" s="3">
        <f>MEDIAN(I60:L60)</f>
        <v>56.400000000000006</v>
      </c>
      <c r="D60" s="3">
        <f>ROUND(C60*(1-Settings!$B$2),2)</f>
        <v>39.48</v>
      </c>
      <c r="E60" s="3">
        <f>ROUND(C60*(1-Settings!$B$3),2)</f>
        <v>39.48</v>
      </c>
      <c r="F60" s="2" t="inlineStr">
        <is>
          <t>One Piece</t>
        </is>
      </c>
      <c r="G60" s="2" t="inlineStr">
        <is>
          <t>Coffret</t>
        </is>
      </c>
      <c r="H60" s="2" t="inlineStr">
        <is>
          <t>500 Years in the Future</t>
        </is>
      </c>
      <c r="I60" s="3" t="n"/>
      <c r="J60" s="3" t="n">
        <v>52.81</v>
      </c>
      <c r="K60" s="3" t="n"/>
      <c r="L60" s="3" t="n">
        <v>59.99</v>
      </c>
      <c r="M60" s="2" t="inlineStr">
        <is>
          <t>TCGplayer</t>
        </is>
      </c>
      <c r="O60" s="4" t="inlineStr">
        <is>
          <t>https://www.tcgplayer.com/product/549493</t>
        </is>
      </c>
    </row>
    <row r="61">
      <c r="A61" s="2" t="inlineStr">
        <is>
          <t>Double Pack Set Volume 7</t>
        </is>
      </c>
      <c r="B61" s="3">
        <f>IF(I61&lt;&gt;"",I61,IF(J61&lt;&gt;"",J61,IF(K61&lt;&gt;"",K61,L61)))</f>
        <v>76.95</v>
      </c>
      <c r="C61" s="3">
        <f>MEDIAN(I61:L61)</f>
        <v>73.47</v>
      </c>
      <c r="D61" s="3">
        <f>ROUND(C61*(1-Settings!$B$2),2)</f>
        <v>51.43</v>
      </c>
      <c r="E61" s="3">
        <f>ROUND(C61*(1-Settings!$B$3),2)</f>
        <v>51.43</v>
      </c>
      <c r="F61" s="2" t="inlineStr">
        <is>
          <t>One Piece</t>
        </is>
      </c>
      <c r="G61" s="2" t="inlineStr">
        <is>
          <t>Coffret</t>
        </is>
      </c>
      <c r="H61" s="2" t="inlineStr">
        <is>
          <t>A Fist of Divine Speed</t>
        </is>
      </c>
      <c r="I61" s="3" t="n"/>
      <c r="J61" s="3" t="n">
        <v>76.95</v>
      </c>
      <c r="K61" s="3" t="n"/>
      <c r="L61" s="3" t="n">
        <v>69.98999999999999</v>
      </c>
      <c r="M61" s="2" t="inlineStr">
        <is>
          <t>TCGplayer</t>
        </is>
      </c>
      <c r="O61" s="4" t="inlineStr">
        <is>
          <t>https://www.tcgplayer.com/product/606561</t>
        </is>
      </c>
    </row>
    <row r="62">
      <c r="A62" s="2" t="inlineStr">
        <is>
          <t>Double Pack Set Vol. 10</t>
        </is>
      </c>
      <c r="B62" s="3">
        <f>IF(I62&lt;&gt;"",I62,IF(J62&lt;&gt;"",J62,IF(K62&lt;&gt;"",K62,L62)))</f>
        <v>39.21</v>
      </c>
      <c r="C62" s="3">
        <f>MEDIAN(I62:L62)</f>
        <v>34.605000000000004</v>
      </c>
      <c r="D62" s="3">
        <f>ROUND(C62*(1-Settings!$B$2),2)</f>
        <v>24.22</v>
      </c>
      <c r="E62" s="3">
        <f>ROUND(C62*(1-Settings!$B$3),2)</f>
        <v>24.22</v>
      </c>
      <c r="F62" s="2" t="inlineStr">
        <is>
          <t>One Piece</t>
        </is>
      </c>
      <c r="G62" s="2" t="inlineStr">
        <is>
          <t>Coffret</t>
        </is>
      </c>
      <c r="H62" s="2" t="inlineStr">
        <is>
          <t>Adventure on Kami's Island</t>
        </is>
      </c>
      <c r="I62" s="3" t="n"/>
      <c r="J62" s="3" t="n">
        <v>39.21</v>
      </c>
      <c r="K62" s="3" t="n"/>
      <c r="L62" s="3" t="n">
        <v>30</v>
      </c>
      <c r="M62" s="2" t="inlineStr">
        <is>
          <t>TCGplayer</t>
        </is>
      </c>
      <c r="O62" s="4" t="inlineStr">
        <is>
          <t>https://www.tcgplayer.com/product/682789</t>
        </is>
      </c>
    </row>
    <row r="63">
      <c r="A63" s="2" t="inlineStr">
        <is>
          <t>Double Pack Set Volume 2</t>
        </is>
      </c>
      <c r="B63" s="3">
        <f>IF(I63&lt;&gt;"",I63,IF(J63&lt;&gt;"",J63,IF(K63&lt;&gt;"",K63,L63)))</f>
        <v>227.84</v>
      </c>
      <c r="C63" s="3">
        <f>MEDIAN(I63:L63)</f>
        <v>218.92000000000002</v>
      </c>
      <c r="D63" s="3">
        <f>ROUND(C63*(1-Settings!$B$2),2)</f>
        <v>153.24</v>
      </c>
      <c r="E63" s="3">
        <f>ROUND(C63*(1-Settings!$B$3),2)</f>
        <v>153.24</v>
      </c>
      <c r="F63" s="2" t="inlineStr">
        <is>
          <t>One Piece</t>
        </is>
      </c>
      <c r="G63" s="2" t="inlineStr">
        <is>
          <t>Coffret</t>
        </is>
      </c>
      <c r="H63" s="2" t="inlineStr">
        <is>
          <t>Awakening of the New Era</t>
        </is>
      </c>
      <c r="I63" s="3" t="n"/>
      <c r="J63" s="3" t="n">
        <v>227.84</v>
      </c>
      <c r="K63" s="3" t="n"/>
      <c r="L63" s="3" t="n">
        <v>210</v>
      </c>
      <c r="M63" s="2" t="inlineStr">
        <is>
          <t>TCGplayer</t>
        </is>
      </c>
      <c r="O63" s="4" t="inlineStr">
        <is>
          <t>https://www.tcgplayer.com/product/527060</t>
        </is>
      </c>
    </row>
    <row r="64">
      <c r="A64" s="2" t="inlineStr">
        <is>
          <t>Carrying On His Will One Piece Tin Pack Set Vol. 2 - Monkey.D.Luffy</t>
        </is>
      </c>
      <c r="B64" s="3">
        <f>IF(I64&lt;&gt;"",I64,IF(J64&lt;&gt;"",J64,IF(K64&lt;&gt;"",K64,L64)))</f>
        <v>66.13</v>
      </c>
      <c r="C64" s="3">
        <f>MEDIAN(I64:L64)</f>
        <v>66.13</v>
      </c>
      <c r="D64" s="3">
        <f>ROUND(C64*(1-Settings!$B$2),2)</f>
        <v>46.29</v>
      </c>
      <c r="E64" s="3">
        <f>ROUND(C64*(1-Settings!$B$3),2)</f>
        <v>46.29</v>
      </c>
      <c r="F64" s="2" t="inlineStr">
        <is>
          <t>One Piece</t>
        </is>
      </c>
      <c r="G64" s="2" t="inlineStr">
        <is>
          <t>Coffret</t>
        </is>
      </c>
      <c r="H64" s="2" t="inlineStr">
        <is>
          <t>Carrying On His Will</t>
        </is>
      </c>
      <c r="I64" s="3" t="n">
        <v>66.13</v>
      </c>
      <c r="J64" s="3" t="n"/>
      <c r="K64" s="3" t="n"/>
      <c r="L64" s="3" t="n"/>
      <c r="M64" s="2" t="inlineStr">
        <is>
          <t>PriceCharting</t>
        </is>
      </c>
      <c r="N64" s="4" t="inlineStr">
        <is>
          <t>https://www.pricecharting.com/game/one-piece-carrying-on-his-will/one-piece-tin-pack-set-vol-2-monkeydluffy</t>
        </is>
      </c>
    </row>
    <row r="65">
      <c r="A65" s="2" t="inlineStr">
        <is>
          <t>Double Pack Set Volume 6</t>
        </is>
      </c>
      <c r="B65" s="3">
        <f>IF(I65&lt;&gt;"",I65,IF(J65&lt;&gt;"",J65,IF(K65&lt;&gt;"",K65,L65)))</f>
        <v>95.97</v>
      </c>
      <c r="C65" s="3">
        <f>MEDIAN(I65:L65)</f>
        <v>92.985</v>
      </c>
      <c r="D65" s="3">
        <f>ROUND(C65*(1-Settings!$B$2),2)</f>
        <v>65.09</v>
      </c>
      <c r="E65" s="3">
        <f>ROUND(C65*(1-Settings!$B$3),2)</f>
        <v>65.09</v>
      </c>
      <c r="F65" s="2" t="inlineStr">
        <is>
          <t>One Piece</t>
        </is>
      </c>
      <c r="G65" s="2" t="inlineStr">
        <is>
          <t>Coffret</t>
        </is>
      </c>
      <c r="H65" s="2" t="inlineStr">
        <is>
          <t>Emperors in the New World</t>
        </is>
      </c>
      <c r="I65" s="3" t="n"/>
      <c r="J65" s="3" t="n">
        <v>95.97</v>
      </c>
      <c r="K65" s="3" t="n"/>
      <c r="L65" s="3" t="n">
        <v>90</v>
      </c>
      <c r="M65" s="2" t="inlineStr">
        <is>
          <t>TCGplayer</t>
        </is>
      </c>
      <c r="O65" s="4" t="inlineStr">
        <is>
          <t>https://www.tcgplayer.com/product/563842</t>
        </is>
      </c>
    </row>
    <row r="66">
      <c r="A66" s="2" t="inlineStr">
        <is>
          <t>Extra Booster Heroines Edition Heroines Special Set</t>
        </is>
      </c>
      <c r="B66" s="3">
        <f>IF(I66&lt;&gt;"",I66,IF(J66&lt;&gt;"",J66,IF(K66&lt;&gt;"",K66,L66)))</f>
        <v>275.0</v>
      </c>
      <c r="C66" s="3">
        <f>MEDIAN(I66:L66)</f>
        <v>275.0</v>
      </c>
      <c r="D66" s="3">
        <f>ROUND(C66*(1-Settings!$B$2),2)</f>
        <v>192.5</v>
      </c>
      <c r="E66" s="3">
        <f>ROUND(C66*(1-Settings!$B$3),2)</f>
        <v>192.5</v>
      </c>
      <c r="F66" s="2" t="inlineStr">
        <is>
          <t>One Piece</t>
        </is>
      </c>
      <c r="G66" s="2" t="inlineStr">
        <is>
          <t>Coffret</t>
        </is>
      </c>
      <c r="H66" s="2" t="inlineStr">
        <is>
          <t>Extra Booster Heroines Edition</t>
        </is>
      </c>
      <c r="I66" s="3" t="n">
        <v>275</v>
      </c>
      <c r="J66" s="3" t="n"/>
      <c r="K66" s="3" t="n"/>
      <c r="L66" s="3" t="n"/>
      <c r="M66" s="2" t="inlineStr">
        <is>
          <t>PriceCharting</t>
        </is>
      </c>
      <c r="N66" s="4" t="inlineStr">
        <is>
          <t>https://www.pricecharting.com/game/one-piece-extra-booster-heroines-edition/heroines-special-set</t>
        </is>
      </c>
    </row>
    <row r="67">
      <c r="A67" s="2" t="inlineStr">
        <is>
          <t>Extra Booster: Anime 25th Collection Box</t>
        </is>
      </c>
      <c r="B67" s="3">
        <f>IF(I67&lt;&gt;"",I67,IF(J67&lt;&gt;"",J67,IF(K67&lt;&gt;"",K67,L67)))</f>
        <v>811.18</v>
      </c>
      <c r="C67" s="3">
        <f>MEDIAN(I67:L67)</f>
        <v>468.09</v>
      </c>
      <c r="D67" s="3">
        <f>ROUND(C67*(1-Settings!$B$2),2)</f>
        <v>327.66</v>
      </c>
      <c r="E67" s="3">
        <f>ROUND(C67*(1-Settings!$B$3),2)</f>
        <v>327.66</v>
      </c>
      <c r="F67" s="2" t="inlineStr">
        <is>
          <t>One Piece</t>
        </is>
      </c>
      <c r="G67" s="2" t="inlineStr">
        <is>
          <t>Coffret</t>
        </is>
      </c>
      <c r="H67" s="2" t="inlineStr">
        <is>
          <t>Extra Booster: Anime 25th Collection</t>
        </is>
      </c>
      <c r="I67" s="3" t="n"/>
      <c r="J67" s="3" t="n">
        <v>811.1799999999999</v>
      </c>
      <c r="K67" s="3" t="n"/>
      <c r="L67" s="3" t="n">
        <v>125</v>
      </c>
      <c r="M67" s="2" t="inlineStr">
        <is>
          <t>TCGplayer</t>
        </is>
      </c>
      <c r="O67" s="4" t="inlineStr">
        <is>
          <t>https://www.tcgplayer.com/product/594069</t>
        </is>
      </c>
    </row>
    <row r="68">
      <c r="A68" s="2" t="inlineStr">
        <is>
          <t>Extra Booster: Anime 25th Collection Pack</t>
        </is>
      </c>
      <c r="B68" s="3">
        <f>IF(I68&lt;&gt;"",I68,IF(J68&lt;&gt;"",J68,IF(K68&lt;&gt;"",K68,L68)))</f>
        <v>21.84</v>
      </c>
      <c r="C68" s="3">
        <f>MEDIAN(I68:L68)</f>
        <v>14.415</v>
      </c>
      <c r="D68" s="3">
        <f>ROUND(C68*(1-Settings!$B$2),2)</f>
        <v>10.09</v>
      </c>
      <c r="E68" s="3">
        <f>ROUND(C68*(1-Settings!$B$3),2)</f>
        <v>10.09</v>
      </c>
      <c r="F68" s="2" t="inlineStr">
        <is>
          <t>One Piece</t>
        </is>
      </c>
      <c r="G68" s="2" t="inlineStr">
        <is>
          <t>Coffret</t>
        </is>
      </c>
      <c r="H68" s="2" t="inlineStr">
        <is>
          <t>Extra Booster: Anime 25th Collection</t>
        </is>
      </c>
      <c r="I68" s="3" t="n"/>
      <c r="J68" s="3" t="n">
        <v>21.84</v>
      </c>
      <c r="K68" s="3" t="n"/>
      <c r="L68" s="3" t="n">
        <v>6.99</v>
      </c>
      <c r="M68" s="2" t="inlineStr">
        <is>
          <t>TCGplayer</t>
        </is>
      </c>
      <c r="O68" s="4" t="inlineStr">
        <is>
          <t>https://www.tcgplayer.com/product/594068</t>
        </is>
      </c>
    </row>
    <row r="69">
      <c r="A69" s="2" t="inlineStr">
        <is>
          <t>Memorial Collection - Booster Pack</t>
        </is>
      </c>
      <c r="B69" s="3">
        <f>IF(I69&lt;&gt;"",I69,IF(J69&lt;&gt;"",J69,IF(K69&lt;&gt;"",K69,L69)))</f>
        <v>33.19</v>
      </c>
      <c r="C69" s="3">
        <f>MEDIAN(I69:L69)</f>
        <v>36.4</v>
      </c>
      <c r="D69" s="3">
        <f>ROUND(C69*(1-Settings!$B$2),2)</f>
        <v>25.48</v>
      </c>
      <c r="E69" s="3">
        <f>ROUND(C69*(1-Settings!$B$3),2)</f>
        <v>25.48</v>
      </c>
      <c r="F69" s="2" t="inlineStr">
        <is>
          <t>One Piece</t>
        </is>
      </c>
      <c r="G69" s="2" t="inlineStr">
        <is>
          <t>Coffret</t>
        </is>
      </c>
      <c r="H69" s="2" t="inlineStr">
        <is>
          <t>Extra Booster: Memorial Collection</t>
        </is>
      </c>
      <c r="I69" s="3" t="n"/>
      <c r="J69" s="3" t="n">
        <v>33.19</v>
      </c>
      <c r="K69" s="3" t="n"/>
      <c r="L69" s="3" t="n">
        <v>39.61</v>
      </c>
      <c r="M69" s="2" t="inlineStr">
        <is>
          <t>TCGplayer</t>
        </is>
      </c>
      <c r="O69" s="4" t="inlineStr">
        <is>
          <t>https://www.tcgplayer.com/product/521160</t>
        </is>
      </c>
    </row>
    <row r="70">
      <c r="A70" s="2" t="inlineStr">
        <is>
          <t>Extra Booster: One Piece Heroines Edition Box</t>
        </is>
      </c>
      <c r="B70" s="3">
        <f>IF(I70&lt;&gt;"",I70,IF(J70&lt;&gt;"",J70,IF(K70&lt;&gt;"",K70,L70)))</f>
        <v>318.81</v>
      </c>
      <c r="C70" s="3">
        <f>MEDIAN(I70:L70)</f>
        <v>203.4</v>
      </c>
      <c r="D70" s="3">
        <f>ROUND(C70*(1-Settings!$B$2),2)</f>
        <v>142.38</v>
      </c>
      <c r="E70" s="3">
        <f>ROUND(C70*(1-Settings!$B$3),2)</f>
        <v>142.38</v>
      </c>
      <c r="F70" s="2" t="inlineStr">
        <is>
          <t>One Piece</t>
        </is>
      </c>
      <c r="G70" s="2" t="inlineStr">
        <is>
          <t>Coffret</t>
        </is>
      </c>
      <c r="H70" s="2" t="inlineStr">
        <is>
          <t>Extra Booster: One Piece Heroines Edition</t>
        </is>
      </c>
      <c r="I70" s="3" t="n"/>
      <c r="J70" s="3" t="n">
        <v>318.81</v>
      </c>
      <c r="K70" s="3" t="n"/>
      <c r="L70" s="3" t="n">
        <v>87.98999999999999</v>
      </c>
      <c r="M70" s="2" t="inlineStr">
        <is>
          <t>TCGplayer</t>
        </is>
      </c>
      <c r="O70" s="4" t="inlineStr">
        <is>
          <t>https://www.tcgplayer.com/product/666891</t>
        </is>
      </c>
    </row>
    <row r="71">
      <c r="A71" s="2" t="inlineStr">
        <is>
          <t>Japanese Carrying On His Will Mini Tin</t>
        </is>
      </c>
      <c r="B71" s="3">
        <f>IF(I71&lt;&gt;"",I71,IF(J71&lt;&gt;"",J71,IF(K71&lt;&gt;"",K71,L71)))</f>
        <v>81.0</v>
      </c>
      <c r="C71" s="3">
        <f>MEDIAN(I71:L71)</f>
        <v>81.0</v>
      </c>
      <c r="D71" s="3">
        <f>ROUND(C71*(1-Settings!$B$2),2)</f>
        <v>56.7</v>
      </c>
      <c r="E71" s="3">
        <f>ROUND(C71*(1-Settings!$B$3),2)</f>
        <v>56.7</v>
      </c>
      <c r="F71" s="2" t="inlineStr">
        <is>
          <t>One Piece</t>
        </is>
      </c>
      <c r="G71" s="2" t="inlineStr">
        <is>
          <t>Coffret</t>
        </is>
      </c>
      <c r="H71" s="2" t="inlineStr">
        <is>
          <t>Japanese Carrying On His Will</t>
        </is>
      </c>
      <c r="I71" s="3" t="n">
        <v>81</v>
      </c>
      <c r="J71" s="3" t="n"/>
      <c r="K71" s="3" t="n"/>
      <c r="L71" s="3" t="n"/>
      <c r="M71" s="2" t="inlineStr">
        <is>
          <t>PriceCharting</t>
        </is>
      </c>
      <c r="N71" s="4" t="inlineStr">
        <is>
          <t>https://www.pricecharting.com/game/one-piece-japanese-carrying-on-his-will/mini-tin</t>
        </is>
      </c>
    </row>
    <row r="72">
      <c r="A72" s="2" t="inlineStr">
        <is>
          <t>Japanese Carrying On His Will Treasure Chest Vol. 1</t>
        </is>
      </c>
      <c r="B72" s="3">
        <f>IF(I72&lt;&gt;"",I72,IF(J72&lt;&gt;"",J72,IF(K72&lt;&gt;"",K72,L72)))</f>
        <v>280.0</v>
      </c>
      <c r="C72" s="3">
        <f>MEDIAN(I72:L72)</f>
        <v>280.0</v>
      </c>
      <c r="D72" s="3">
        <f>ROUND(C72*(1-Settings!$B$2),2)</f>
        <v>196.0</v>
      </c>
      <c r="E72" s="3">
        <f>ROUND(C72*(1-Settings!$B$3),2)</f>
        <v>196.0</v>
      </c>
      <c r="F72" s="2" t="inlineStr">
        <is>
          <t>One Piece</t>
        </is>
      </c>
      <c r="G72" s="2" t="inlineStr">
        <is>
          <t>Coffret</t>
        </is>
      </c>
      <c r="H72" s="2" t="inlineStr">
        <is>
          <t>Japanese Carrying On His Will</t>
        </is>
      </c>
      <c r="I72" s="3" t="n">
        <v>280</v>
      </c>
      <c r="J72" s="3" t="n"/>
      <c r="K72" s="3" t="n"/>
      <c r="L72" s="3" t="n"/>
      <c r="M72" s="2" t="inlineStr">
        <is>
          <t>PriceCharting</t>
        </is>
      </c>
      <c r="N72" s="4" t="inlineStr">
        <is>
          <t>https://www.pricecharting.com/game/one-piece-japanese-carrying-on-his-will/treasure-chest-vol-1</t>
        </is>
      </c>
    </row>
    <row r="73">
      <c r="A73" s="2" t="inlineStr">
        <is>
          <t>Japanese Extra Booster Heroines Edition Heroines Special Set</t>
        </is>
      </c>
      <c r="B73" s="3">
        <f>IF(I73&lt;&gt;"",I73,IF(J73&lt;&gt;"",J73,IF(K73&lt;&gt;"",K73,L73)))</f>
        <v>156.99</v>
      </c>
      <c r="C73" s="3">
        <f>MEDIAN(I73:L73)</f>
        <v>156.99</v>
      </c>
      <c r="D73" s="3">
        <f>ROUND(C73*(1-Settings!$B$2),2)</f>
        <v>109.89</v>
      </c>
      <c r="E73" s="3">
        <f>ROUND(C73*(1-Settings!$B$3),2)</f>
        <v>109.89</v>
      </c>
      <c r="F73" s="2" t="inlineStr">
        <is>
          <t>One Piece</t>
        </is>
      </c>
      <c r="G73" s="2" t="inlineStr">
        <is>
          <t>Coffret</t>
        </is>
      </c>
      <c r="H73" s="2" t="inlineStr">
        <is>
          <t>Japanese Extra Booster Heroines Edition</t>
        </is>
      </c>
      <c r="I73" s="3" t="n">
        <v>156.99</v>
      </c>
      <c r="J73" s="3" t="n"/>
      <c r="K73" s="3" t="n"/>
      <c r="L73" s="3" t="n"/>
      <c r="M73" s="2" t="inlineStr">
        <is>
          <t>PriceCharting</t>
        </is>
      </c>
      <c r="N73" s="4" t="inlineStr">
        <is>
          <t>https://www.pricecharting.com/game/one-piece-japanese-extra-booster-heroines-edition/heroines-special-set</t>
        </is>
      </c>
    </row>
    <row r="74">
      <c r="A74" s="2" t="inlineStr">
        <is>
          <t>Japanese Extra Booster Heroines Edition Sealed Admirable Collection Vol.1 Vinsmoke Reiju</t>
        </is>
      </c>
      <c r="B74" s="3">
        <f>IF(I74&lt;&gt;"",I74,IF(J74&lt;&gt;"",J74,IF(K74&lt;&gt;"",K74,L74)))</f>
        <v>171.39</v>
      </c>
      <c r="C74" s="3">
        <f>MEDIAN(I74:L74)</f>
        <v>171.39</v>
      </c>
      <c r="D74" s="3">
        <f>ROUND(C74*(1-Settings!$B$2),2)</f>
        <v>119.97</v>
      </c>
      <c r="E74" s="3">
        <f>ROUND(C74*(1-Settings!$B$3),2)</f>
        <v>119.97</v>
      </c>
      <c r="F74" s="2" t="inlineStr">
        <is>
          <t>One Piece</t>
        </is>
      </c>
      <c r="G74" s="2" t="inlineStr">
        <is>
          <t>Coffret</t>
        </is>
      </c>
      <c r="H74" s="2" t="inlineStr">
        <is>
          <t>Japanese Extra Booster Heroines Edition</t>
        </is>
      </c>
      <c r="I74" s="3" t="n">
        <v>171.39</v>
      </c>
      <c r="J74" s="3" t="n"/>
      <c r="K74" s="3" t="n"/>
      <c r="L74" s="3" t="n"/>
      <c r="M74" s="2" t="inlineStr">
        <is>
          <t>PriceCharting</t>
        </is>
      </c>
      <c r="N74" s="4" t="inlineStr">
        <is>
          <t>https://www.pricecharting.com/game/one-piece-japanese-extra-booster-heroines-edition/sealed-admirable-collection-vol1-vinsmoke-reiju</t>
        </is>
      </c>
    </row>
    <row r="75">
      <c r="A75" s="2" t="inlineStr">
        <is>
          <t>Japanese Paramount War Box Promotion Pack</t>
        </is>
      </c>
      <c r="B75" s="3">
        <f>IF(I75&lt;&gt;"",I75,IF(J75&lt;&gt;"",J75,IF(K75&lt;&gt;"",K75,L75)))</f>
        <v>6.99</v>
      </c>
      <c r="C75" s="3">
        <f>MEDIAN(I75:L75)</f>
        <v>6.99</v>
      </c>
      <c r="D75" s="3">
        <f>ROUND(C75*(1-Settings!$B$2),2)</f>
        <v>4.89</v>
      </c>
      <c r="E75" s="3">
        <f>ROUND(C75*(1-Settings!$B$3),2)</f>
        <v>4.89</v>
      </c>
      <c r="F75" s="2" t="inlineStr">
        <is>
          <t>One Piece</t>
        </is>
      </c>
      <c r="G75" s="2" t="inlineStr">
        <is>
          <t>Coffret</t>
        </is>
      </c>
      <c r="H75" s="2" t="inlineStr">
        <is>
          <t>Japanese Paramount War</t>
        </is>
      </c>
      <c r="I75" s="3" t="n">
        <v>6.99</v>
      </c>
      <c r="J75" s="3" t="n"/>
      <c r="K75" s="3" t="n"/>
      <c r="L75" s="3" t="n"/>
      <c r="M75" s="2" t="inlineStr">
        <is>
          <t>PriceCharting</t>
        </is>
      </c>
      <c r="N75" s="4" t="inlineStr">
        <is>
          <t>https://www.pricecharting.com/game/one-piece-japanese-paramount-war/box-promotion-pack</t>
        </is>
      </c>
    </row>
    <row r="76">
      <c r="A76" s="2" t="inlineStr">
        <is>
          <t>Japanese Promo 1st Anniversary Set</t>
        </is>
      </c>
      <c r="B76" s="3">
        <f>IF(I76&lt;&gt;"",I76,IF(J76&lt;&gt;"",J76,IF(K76&lt;&gt;"",K76,L76)))</f>
        <v>98.21</v>
      </c>
      <c r="C76" s="3">
        <f>MEDIAN(I76:L76)</f>
        <v>98.21</v>
      </c>
      <c r="D76" s="3">
        <f>ROUND(C76*(1-Settings!$B$2),2)</f>
        <v>68.75</v>
      </c>
      <c r="E76" s="3">
        <f>ROUND(C76*(1-Settings!$B$3),2)</f>
        <v>68.75</v>
      </c>
      <c r="F76" s="2" t="inlineStr">
        <is>
          <t>One Piece</t>
        </is>
      </c>
      <c r="G76" s="2" t="inlineStr">
        <is>
          <t>Coffret</t>
        </is>
      </c>
      <c r="H76" s="2" t="inlineStr">
        <is>
          <t>Japanese Promo</t>
        </is>
      </c>
      <c r="I76" s="3" t="n">
        <v>98.20999999999999</v>
      </c>
      <c r="J76" s="3" t="n"/>
      <c r="K76" s="3" t="n"/>
      <c r="L76" s="3" t="n"/>
      <c r="M76" s="2" t="inlineStr">
        <is>
          <t>PriceCharting</t>
        </is>
      </c>
      <c r="N76" s="4" t="inlineStr">
        <is>
          <t>https://www.pricecharting.com/game/one-piece-japanese-promo/1st-anniversary-set</t>
        </is>
      </c>
    </row>
    <row r="77">
      <c r="A77" s="2" t="inlineStr">
        <is>
          <t>Japanese Promo 2nd Anniversary Set</t>
        </is>
      </c>
      <c r="B77" s="3">
        <f>IF(I77&lt;&gt;"",I77,IF(J77&lt;&gt;"",J77,IF(K77&lt;&gt;"",K77,L77)))</f>
        <v>60.82</v>
      </c>
      <c r="C77" s="3">
        <f>MEDIAN(I77:L77)</f>
        <v>60.82</v>
      </c>
      <c r="D77" s="3">
        <f>ROUND(C77*(1-Settings!$B$2),2)</f>
        <v>42.57</v>
      </c>
      <c r="E77" s="3">
        <f>ROUND(C77*(1-Settings!$B$3),2)</f>
        <v>42.57</v>
      </c>
      <c r="F77" s="2" t="inlineStr">
        <is>
          <t>One Piece</t>
        </is>
      </c>
      <c r="G77" s="2" t="inlineStr">
        <is>
          <t>Coffret</t>
        </is>
      </c>
      <c r="H77" s="2" t="inlineStr">
        <is>
          <t>Japanese Promo</t>
        </is>
      </c>
      <c r="I77" s="3" t="n">
        <v>60.82</v>
      </c>
      <c r="J77" s="3" t="n"/>
      <c r="K77" s="3" t="n"/>
      <c r="L77" s="3" t="n"/>
      <c r="M77" s="2" t="inlineStr">
        <is>
          <t>PriceCharting</t>
        </is>
      </c>
      <c r="N77" s="4" t="inlineStr">
        <is>
          <t>https://www.pricecharting.com/game/one-piece-japanese-promo/2nd-anniversary-set</t>
        </is>
      </c>
    </row>
    <row r="78">
      <c r="A78" s="2" t="inlineStr">
        <is>
          <t>Japanese Promo Base Shop Limited Card Collection Vol.1</t>
        </is>
      </c>
      <c r="B78" s="3">
        <f>IF(I78&lt;&gt;"",I78,IF(J78&lt;&gt;"",J78,IF(K78&lt;&gt;"",K78,L78)))</f>
        <v>123.6</v>
      </c>
      <c r="C78" s="3">
        <f>MEDIAN(I78:L78)</f>
        <v>123.6</v>
      </c>
      <c r="D78" s="3">
        <f>ROUND(C78*(1-Settings!$B$2),2)</f>
        <v>86.52</v>
      </c>
      <c r="E78" s="3">
        <f>ROUND(C78*(1-Settings!$B$3),2)</f>
        <v>86.52</v>
      </c>
      <c r="F78" s="2" t="inlineStr">
        <is>
          <t>One Piece</t>
        </is>
      </c>
      <c r="G78" s="2" t="inlineStr">
        <is>
          <t>Coffret</t>
        </is>
      </c>
      <c r="H78" s="2" t="inlineStr">
        <is>
          <t>Japanese Promo</t>
        </is>
      </c>
      <c r="I78" s="3" t="n">
        <v>123.6</v>
      </c>
      <c r="J78" s="3" t="n"/>
      <c r="K78" s="3" t="n"/>
      <c r="L78" s="3" t="n"/>
      <c r="M78" s="2" t="inlineStr">
        <is>
          <t>PriceCharting</t>
        </is>
      </c>
      <c r="N78" s="4" t="inlineStr">
        <is>
          <t>https://www.pricecharting.com/game/one-piece-japanese-promo/base-shop-limited-card-collection-vol1</t>
        </is>
      </c>
    </row>
    <row r="79">
      <c r="A79" s="2" t="inlineStr">
        <is>
          <t>Japanese Promo Premium Card Collection [25th Anniversary]</t>
        </is>
      </c>
      <c r="B79" s="3">
        <f>IF(I79&lt;&gt;"",I79,IF(J79&lt;&gt;"",J79,IF(K79&lt;&gt;"",K79,L79)))</f>
        <v>149.9</v>
      </c>
      <c r="C79" s="3">
        <f>MEDIAN(I79:L79)</f>
        <v>149.9</v>
      </c>
      <c r="D79" s="3">
        <f>ROUND(C79*(1-Settings!$B$2),2)</f>
        <v>104.93</v>
      </c>
      <c r="E79" s="3">
        <f>ROUND(C79*(1-Settings!$B$3),2)</f>
        <v>104.93</v>
      </c>
      <c r="F79" s="2" t="inlineStr">
        <is>
          <t>One Piece</t>
        </is>
      </c>
      <c r="G79" s="2" t="inlineStr">
        <is>
          <t>Coffret</t>
        </is>
      </c>
      <c r="H79" s="2" t="inlineStr">
        <is>
          <t>Japanese Promo</t>
        </is>
      </c>
      <c r="I79" s="3" t="n">
        <v>149.9</v>
      </c>
      <c r="J79" s="3" t="n"/>
      <c r="K79" s="3" t="n"/>
      <c r="L79" s="3" t="n"/>
      <c r="M79" s="2" t="inlineStr">
        <is>
          <t>PriceCharting</t>
        </is>
      </c>
      <c r="N79" s="4" t="inlineStr">
        <is>
          <t>https://www.pricecharting.com/game/one-piece-japanese-promo/premium-card-collection-25th-anniversary</t>
        </is>
      </c>
    </row>
    <row r="80">
      <c r="A80" s="2" t="inlineStr">
        <is>
          <t>Japanese Promo Premium Card Collection [6 Assort Vol.1]</t>
        </is>
      </c>
      <c r="B80" s="3">
        <f>IF(I80&lt;&gt;"",I80,IF(J80&lt;&gt;"",J80,IF(K80&lt;&gt;"",K80,L80)))</f>
        <v>62.71</v>
      </c>
      <c r="C80" s="3">
        <f>MEDIAN(I80:L80)</f>
        <v>62.71</v>
      </c>
      <c r="D80" s="3">
        <f>ROUND(C80*(1-Settings!$B$2),2)</f>
        <v>43.9</v>
      </c>
      <c r="E80" s="3">
        <f>ROUND(C80*(1-Settings!$B$3),2)</f>
        <v>43.9</v>
      </c>
      <c r="F80" s="2" t="inlineStr">
        <is>
          <t>One Piece</t>
        </is>
      </c>
      <c r="G80" s="2" t="inlineStr">
        <is>
          <t>Coffret</t>
        </is>
      </c>
      <c r="H80" s="2" t="inlineStr">
        <is>
          <t>Japanese Promo</t>
        </is>
      </c>
      <c r="I80" s="3" t="n">
        <v>62.71</v>
      </c>
      <c r="J80" s="3" t="n"/>
      <c r="K80" s="3" t="n"/>
      <c r="L80" s="3" t="n"/>
      <c r="M80" s="2" t="inlineStr">
        <is>
          <t>PriceCharting</t>
        </is>
      </c>
      <c r="N80" s="4" t="inlineStr">
        <is>
          <t>https://www.pricecharting.com/game/one-piece-japanese-promo/premium-card-collection-6-assort-vol1</t>
        </is>
      </c>
    </row>
    <row r="81">
      <c r="A81" s="2" t="inlineStr">
        <is>
          <t>Japanese Promo Premium Card Collection [Bandai Card Games Fest 23-24]</t>
        </is>
      </c>
      <c r="B81" s="3">
        <f>IF(I81&lt;&gt;"",I81,IF(J81&lt;&gt;"",J81,IF(K81&lt;&gt;"",K81,L81)))</f>
        <v>46.99</v>
      </c>
      <c r="C81" s="3">
        <f>MEDIAN(I81:L81)</f>
        <v>46.99</v>
      </c>
      <c r="D81" s="3">
        <f>ROUND(C81*(1-Settings!$B$2),2)</f>
        <v>32.89</v>
      </c>
      <c r="E81" s="3">
        <f>ROUND(C81*(1-Settings!$B$3),2)</f>
        <v>32.89</v>
      </c>
      <c r="F81" s="2" t="inlineStr">
        <is>
          <t>One Piece</t>
        </is>
      </c>
      <c r="G81" s="2" t="inlineStr">
        <is>
          <t>Coffret</t>
        </is>
      </c>
      <c r="H81" s="2" t="inlineStr">
        <is>
          <t>Japanese Promo</t>
        </is>
      </c>
      <c r="I81" s="3" t="n">
        <v>46.99</v>
      </c>
      <c r="J81" s="3" t="n"/>
      <c r="K81" s="3" t="n"/>
      <c r="L81" s="3" t="n"/>
      <c r="M81" s="2" t="inlineStr">
        <is>
          <t>PriceCharting</t>
        </is>
      </c>
      <c r="N81" s="4" t="inlineStr">
        <is>
          <t>https://www.pricecharting.com/game/one-piece-japanese-promo/premium-card-collection-bandai-card-games-fest-23-24</t>
        </is>
      </c>
    </row>
    <row r="82">
      <c r="A82" s="2" t="inlineStr">
        <is>
          <t>Japanese Promo Premium Card Collection [Best Selection Vol.2]</t>
        </is>
      </c>
      <c r="B82" s="3">
        <f>IF(I82&lt;&gt;"",I82,IF(J82&lt;&gt;"",J82,IF(K82&lt;&gt;"",K82,L82)))</f>
        <v>54.98</v>
      </c>
      <c r="C82" s="3">
        <f>MEDIAN(I82:L82)</f>
        <v>54.98</v>
      </c>
      <c r="D82" s="3">
        <f>ROUND(C82*(1-Settings!$B$2),2)</f>
        <v>38.49</v>
      </c>
      <c r="E82" s="3">
        <f>ROUND(C82*(1-Settings!$B$3),2)</f>
        <v>38.49</v>
      </c>
      <c r="F82" s="2" t="inlineStr">
        <is>
          <t>One Piece</t>
        </is>
      </c>
      <c r="G82" s="2" t="inlineStr">
        <is>
          <t>Coffret</t>
        </is>
      </c>
      <c r="H82" s="2" t="inlineStr">
        <is>
          <t>Japanese Promo</t>
        </is>
      </c>
      <c r="I82" s="3" t="n">
        <v>54.98</v>
      </c>
      <c r="J82" s="3" t="n"/>
      <c r="K82" s="3" t="n"/>
      <c r="L82" s="3" t="n"/>
      <c r="M82" s="2" t="inlineStr">
        <is>
          <t>PriceCharting</t>
        </is>
      </c>
      <c r="N82" s="4" t="inlineStr">
        <is>
          <t>https://www.pricecharting.com/game/one-piece-japanese-promo/premium-card-collection-best-selection-vol2</t>
        </is>
      </c>
    </row>
    <row r="83">
      <c r="A83" s="2" t="inlineStr">
        <is>
          <t>Japanese Promo Premium Card Collection [Best Selection Vol.3]</t>
        </is>
      </c>
      <c r="B83" s="3">
        <f>IF(I83&lt;&gt;"",I83,IF(J83&lt;&gt;"",J83,IF(K83&lt;&gt;"",K83,L83)))</f>
        <v>63.06</v>
      </c>
      <c r="C83" s="3">
        <f>MEDIAN(I83:L83)</f>
        <v>63.06</v>
      </c>
      <c r="D83" s="3">
        <f>ROUND(C83*(1-Settings!$B$2),2)</f>
        <v>44.14</v>
      </c>
      <c r="E83" s="3">
        <f>ROUND(C83*(1-Settings!$B$3),2)</f>
        <v>44.14</v>
      </c>
      <c r="F83" s="2" t="inlineStr">
        <is>
          <t>One Piece</t>
        </is>
      </c>
      <c r="G83" s="2" t="inlineStr">
        <is>
          <t>Coffret</t>
        </is>
      </c>
      <c r="H83" s="2" t="inlineStr">
        <is>
          <t>Japanese Promo</t>
        </is>
      </c>
      <c r="I83" s="3" t="n">
        <v>63.06</v>
      </c>
      <c r="J83" s="3" t="n"/>
      <c r="K83" s="3" t="n"/>
      <c r="L83" s="3" t="n"/>
      <c r="M83" s="2" t="inlineStr">
        <is>
          <t>PriceCharting</t>
        </is>
      </c>
      <c r="N83" s="4" t="inlineStr">
        <is>
          <t>https://www.pricecharting.com/game/one-piece-japanese-promo/premium-card-collection-best-selection-vol3</t>
        </is>
      </c>
    </row>
    <row r="84">
      <c r="A84" s="2" t="inlineStr">
        <is>
          <t>Japanese Promo Premium Card Collection [Best Selection Vol.4]</t>
        </is>
      </c>
      <c r="B84" s="3">
        <f>IF(I84&lt;&gt;"",I84,IF(J84&lt;&gt;"",J84,IF(K84&lt;&gt;"",K84,L84)))</f>
        <v>99.56</v>
      </c>
      <c r="C84" s="3">
        <f>MEDIAN(I84:L84)</f>
        <v>99.56</v>
      </c>
      <c r="D84" s="3">
        <f>ROUND(C84*(1-Settings!$B$2),2)</f>
        <v>69.69</v>
      </c>
      <c r="E84" s="3">
        <f>ROUND(C84*(1-Settings!$B$3),2)</f>
        <v>69.69</v>
      </c>
      <c r="F84" s="2" t="inlineStr">
        <is>
          <t>One Piece</t>
        </is>
      </c>
      <c r="G84" s="2" t="inlineStr">
        <is>
          <t>Coffret</t>
        </is>
      </c>
      <c r="H84" s="2" t="inlineStr">
        <is>
          <t>Japanese Promo</t>
        </is>
      </c>
      <c r="I84" s="3" t="n">
        <v>99.56</v>
      </c>
      <c r="J84" s="3" t="n"/>
      <c r="K84" s="3" t="n"/>
      <c r="L84" s="3" t="n"/>
      <c r="M84" s="2" t="inlineStr">
        <is>
          <t>PriceCharting</t>
        </is>
      </c>
      <c r="N84" s="4" t="inlineStr">
        <is>
          <t>https://www.pricecharting.com/game/one-piece-japanese-promo/premium-card-collection-best-selection-vol4</t>
        </is>
      </c>
    </row>
    <row r="85">
      <c r="A85" s="2" t="inlineStr">
        <is>
          <t>Japanese Promo Premium Card Collection [Best Selection Vol.5]</t>
        </is>
      </c>
      <c r="B85" s="3">
        <f>IF(I85&lt;&gt;"",I85,IF(J85&lt;&gt;"",J85,IF(K85&lt;&gt;"",K85,L85)))</f>
        <v>68.85</v>
      </c>
      <c r="C85" s="3">
        <f>MEDIAN(I85:L85)</f>
        <v>68.85</v>
      </c>
      <c r="D85" s="3">
        <f>ROUND(C85*(1-Settings!$B$2),2)</f>
        <v>48.2</v>
      </c>
      <c r="E85" s="3">
        <f>ROUND(C85*(1-Settings!$B$3),2)</f>
        <v>48.2</v>
      </c>
      <c r="F85" s="2" t="inlineStr">
        <is>
          <t>One Piece</t>
        </is>
      </c>
      <c r="G85" s="2" t="inlineStr">
        <is>
          <t>Coffret</t>
        </is>
      </c>
      <c r="H85" s="2" t="inlineStr">
        <is>
          <t>Japanese Promo</t>
        </is>
      </c>
      <c r="I85" s="3" t="n">
        <v>68.84999999999999</v>
      </c>
      <c r="J85" s="3" t="n"/>
      <c r="K85" s="3" t="n"/>
      <c r="L85" s="3" t="n"/>
      <c r="M85" s="2" t="inlineStr">
        <is>
          <t>PriceCharting</t>
        </is>
      </c>
      <c r="N85" s="4" t="inlineStr">
        <is>
          <t>https://www.pricecharting.com/game/one-piece-japanese-promo/premium-card-collection-best-selection-vol5</t>
        </is>
      </c>
    </row>
    <row r="86">
      <c r="A86" s="2" t="inlineStr">
        <is>
          <t>Japanese Promo Premium Card Collection [Film Red]</t>
        </is>
      </c>
      <c r="B86" s="3">
        <f>IF(I86&lt;&gt;"",I86,IF(J86&lt;&gt;"",J86,IF(K86&lt;&gt;"",K86,L86)))</f>
        <v>65.25</v>
      </c>
      <c r="C86" s="3">
        <f>MEDIAN(I86:L86)</f>
        <v>65.25</v>
      </c>
      <c r="D86" s="3">
        <f>ROUND(C86*(1-Settings!$B$2),2)</f>
        <v>45.68</v>
      </c>
      <c r="E86" s="3">
        <f>ROUND(C86*(1-Settings!$B$3),2)</f>
        <v>45.68</v>
      </c>
      <c r="F86" s="2" t="inlineStr">
        <is>
          <t>One Piece</t>
        </is>
      </c>
      <c r="G86" s="2" t="inlineStr">
        <is>
          <t>Coffret</t>
        </is>
      </c>
      <c r="H86" s="2" t="inlineStr">
        <is>
          <t>Japanese Promo</t>
        </is>
      </c>
      <c r="I86" s="3" t="n">
        <v>65.25</v>
      </c>
      <c r="J86" s="3" t="n"/>
      <c r="K86" s="3" t="n"/>
      <c r="L86" s="3" t="n"/>
      <c r="M86" s="2" t="inlineStr">
        <is>
          <t>PriceCharting</t>
        </is>
      </c>
      <c r="N86" s="4" t="inlineStr">
        <is>
          <t>https://www.pricecharting.com/game/one-piece-japanese-promo/premium-card-collection-film-red</t>
        </is>
      </c>
    </row>
    <row r="87">
      <c r="A87" s="2" t="inlineStr">
        <is>
          <t>Japanese Promo Premium Card Collection [Girls Edition]</t>
        </is>
      </c>
      <c r="B87" s="3">
        <f>IF(I87&lt;&gt;"",I87,IF(J87&lt;&gt;"",J87,IF(K87&lt;&gt;"",K87,L87)))</f>
        <v>257.25</v>
      </c>
      <c r="C87" s="3">
        <f>MEDIAN(I87:L87)</f>
        <v>257.25</v>
      </c>
      <c r="D87" s="3">
        <f>ROUND(C87*(1-Settings!$B$2),2)</f>
        <v>180.08</v>
      </c>
      <c r="E87" s="3">
        <f>ROUND(C87*(1-Settings!$B$3),2)</f>
        <v>180.08</v>
      </c>
      <c r="F87" s="2" t="inlineStr">
        <is>
          <t>One Piece</t>
        </is>
      </c>
      <c r="G87" s="2" t="inlineStr">
        <is>
          <t>Coffret</t>
        </is>
      </c>
      <c r="H87" s="2" t="inlineStr">
        <is>
          <t>Japanese Promo</t>
        </is>
      </c>
      <c r="I87" s="3" t="n">
        <v>257.25</v>
      </c>
      <c r="J87" s="3" t="n"/>
      <c r="K87" s="3" t="n"/>
      <c r="L87" s="3" t="n"/>
      <c r="M87" s="2" t="inlineStr">
        <is>
          <t>PriceCharting</t>
        </is>
      </c>
      <c r="N87" s="4" t="inlineStr">
        <is>
          <t>https://www.pricecharting.com/game/one-piece-japanese-promo/premium-card-collection-girls-edition</t>
        </is>
      </c>
    </row>
    <row r="88">
      <c r="A88" s="2" t="inlineStr">
        <is>
          <t>Japanese Promo Premium Card Collection [Kumamoto Special]</t>
        </is>
      </c>
      <c r="B88" s="3">
        <f>IF(I88&lt;&gt;"",I88,IF(J88&lt;&gt;"",J88,IF(K88&lt;&gt;"",K88,L88)))</f>
        <v>397.86</v>
      </c>
      <c r="C88" s="3">
        <f>MEDIAN(I88:L88)</f>
        <v>397.86</v>
      </c>
      <c r="D88" s="3">
        <f>ROUND(C88*(1-Settings!$B$2),2)</f>
        <v>278.5</v>
      </c>
      <c r="E88" s="3">
        <f>ROUND(C88*(1-Settings!$B$3),2)</f>
        <v>278.5</v>
      </c>
      <c r="F88" s="2" t="inlineStr">
        <is>
          <t>One Piece</t>
        </is>
      </c>
      <c r="G88" s="2" t="inlineStr">
        <is>
          <t>Coffret</t>
        </is>
      </c>
      <c r="H88" s="2" t="inlineStr">
        <is>
          <t>Japanese Promo</t>
        </is>
      </c>
      <c r="I88" s="3" t="n">
        <v>397.86</v>
      </c>
      <c r="J88" s="3" t="n"/>
      <c r="K88" s="3" t="n"/>
      <c r="L88" s="3" t="n"/>
      <c r="M88" s="2" t="inlineStr">
        <is>
          <t>PriceCharting</t>
        </is>
      </c>
      <c r="N88" s="4" t="inlineStr">
        <is>
          <t>https://www.pricecharting.com/game/one-piece-japanese-promo/premium-card-collection-kumamoto-special</t>
        </is>
      </c>
    </row>
    <row r="89">
      <c r="A89" s="2" t="inlineStr">
        <is>
          <t>Japanese Promo Premium Card Collection [Leader Collection]</t>
        </is>
      </c>
      <c r="B89" s="3">
        <f>IF(I89&lt;&gt;"",I89,IF(J89&lt;&gt;"",J89,IF(K89&lt;&gt;"",K89,L89)))</f>
        <v>169.69</v>
      </c>
      <c r="C89" s="3">
        <f>MEDIAN(I89:L89)</f>
        <v>169.69</v>
      </c>
      <c r="D89" s="3">
        <f>ROUND(C89*(1-Settings!$B$2),2)</f>
        <v>118.78</v>
      </c>
      <c r="E89" s="3">
        <f>ROUND(C89*(1-Settings!$B$3),2)</f>
        <v>118.78</v>
      </c>
      <c r="F89" s="2" t="inlineStr">
        <is>
          <t>One Piece</t>
        </is>
      </c>
      <c r="G89" s="2" t="inlineStr">
        <is>
          <t>Coffret</t>
        </is>
      </c>
      <c r="H89" s="2" t="inlineStr">
        <is>
          <t>Japanese Promo</t>
        </is>
      </c>
      <c r="I89" s="3" t="n">
        <v>169.69</v>
      </c>
      <c r="J89" s="3" t="n"/>
      <c r="K89" s="3" t="n"/>
      <c r="L89" s="3" t="n"/>
      <c r="M89" s="2" t="inlineStr">
        <is>
          <t>PriceCharting</t>
        </is>
      </c>
      <c r="N89" s="4" t="inlineStr">
        <is>
          <t>https://www.pricecharting.com/game/one-piece-japanese-promo/premium-card-collection-leader-collection</t>
        </is>
      </c>
    </row>
    <row r="90">
      <c r="A90" s="2" t="inlineStr">
        <is>
          <t>Japanese Promo Premium Card Collection [Live Action Edition]</t>
        </is>
      </c>
      <c r="B90" s="3">
        <f>IF(I90&lt;&gt;"",I90,IF(J90&lt;&gt;"",J90,IF(K90&lt;&gt;"",K90,L90)))</f>
        <v>10.99</v>
      </c>
      <c r="C90" s="3">
        <f>MEDIAN(I90:L90)</f>
        <v>10.99</v>
      </c>
      <c r="D90" s="3">
        <f>ROUND(C90*(1-Settings!$B$2),2)</f>
        <v>7.69</v>
      </c>
      <c r="E90" s="3">
        <f>ROUND(C90*(1-Settings!$B$3),2)</f>
        <v>7.69</v>
      </c>
      <c r="F90" s="2" t="inlineStr">
        <is>
          <t>One Piece</t>
        </is>
      </c>
      <c r="G90" s="2" t="inlineStr">
        <is>
          <t>Coffret</t>
        </is>
      </c>
      <c r="H90" s="2" t="inlineStr">
        <is>
          <t>Japanese Promo</t>
        </is>
      </c>
      <c r="I90" s="3" t="n">
        <v>10.99</v>
      </c>
      <c r="J90" s="3" t="n"/>
      <c r="K90" s="3" t="n"/>
      <c r="L90" s="3" t="n"/>
      <c r="M90" s="2" t="inlineStr">
        <is>
          <t>PriceCharting</t>
        </is>
      </c>
      <c r="N90" s="4" t="inlineStr">
        <is>
          <t>https://www.pricecharting.com/game/one-piece-japanese-promo/premium-card-collection-live-action-edition</t>
        </is>
      </c>
    </row>
    <row r="91">
      <c r="A91" s="2" t="inlineStr">
        <is>
          <t>Japanese Promo Premium Card Collection [One Piece Day '24]</t>
        </is>
      </c>
      <c r="B91" s="3">
        <f>IF(I91&lt;&gt;"",I91,IF(J91&lt;&gt;"",J91,IF(K91&lt;&gt;"",K91,L91)))</f>
        <v>75.33</v>
      </c>
      <c r="C91" s="3">
        <f>MEDIAN(I91:L91)</f>
        <v>75.33</v>
      </c>
      <c r="D91" s="3">
        <f>ROUND(C91*(1-Settings!$B$2),2)</f>
        <v>52.73</v>
      </c>
      <c r="E91" s="3">
        <f>ROUND(C91*(1-Settings!$B$3),2)</f>
        <v>52.73</v>
      </c>
      <c r="F91" s="2" t="inlineStr">
        <is>
          <t>One Piece</t>
        </is>
      </c>
      <c r="G91" s="2" t="inlineStr">
        <is>
          <t>Coffret</t>
        </is>
      </c>
      <c r="H91" s="2" t="inlineStr">
        <is>
          <t>Japanese Promo</t>
        </is>
      </c>
      <c r="I91" s="3" t="n">
        <v>75.33</v>
      </c>
      <c r="J91" s="3" t="n"/>
      <c r="K91" s="3" t="n"/>
      <c r="L91" s="3" t="n"/>
      <c r="M91" s="2" t="inlineStr">
        <is>
          <t>PriceCharting</t>
        </is>
      </c>
      <c r="N91" s="4" t="inlineStr">
        <is>
          <t>https://www.pricecharting.com/game/one-piece-japanese-promo/premium-card-collection-one-piece-day-'24</t>
        </is>
      </c>
    </row>
    <row r="92">
      <c r="A92" s="2" t="inlineStr">
        <is>
          <t>Japanese Promo Premium Card Collection [One Piece Day '25]</t>
        </is>
      </c>
      <c r="B92" s="3">
        <f>IF(I92&lt;&gt;"",I92,IF(J92&lt;&gt;"",J92,IF(K92&lt;&gt;"",K92,L92)))</f>
        <v>212.55</v>
      </c>
      <c r="C92" s="3">
        <f>MEDIAN(I92:L92)</f>
        <v>212.55</v>
      </c>
      <c r="D92" s="3">
        <f>ROUND(C92*(1-Settings!$B$2),2)</f>
        <v>148.79</v>
      </c>
      <c r="E92" s="3">
        <f>ROUND(C92*(1-Settings!$B$3),2)</f>
        <v>148.79</v>
      </c>
      <c r="F92" s="2" t="inlineStr">
        <is>
          <t>One Piece</t>
        </is>
      </c>
      <c r="G92" s="2" t="inlineStr">
        <is>
          <t>Coffret</t>
        </is>
      </c>
      <c r="H92" s="2" t="inlineStr">
        <is>
          <t>Japanese Promo</t>
        </is>
      </c>
      <c r="I92" s="3" t="n">
        <v>212.55</v>
      </c>
      <c r="J92" s="3" t="n"/>
      <c r="K92" s="3" t="n"/>
      <c r="L92" s="3" t="n"/>
      <c r="M92" s="2" t="inlineStr">
        <is>
          <t>PriceCharting</t>
        </is>
      </c>
      <c r="N92" s="4" t="inlineStr">
        <is>
          <t>https://www.pricecharting.com/game/one-piece-japanese-promo/premium-card-collection-one-piece-day-'25</t>
        </is>
      </c>
    </row>
    <row r="93">
      <c r="A93" s="2" t="inlineStr">
        <is>
          <t>Japanese Promo Sealed 3rd Anniversary Set</t>
        </is>
      </c>
      <c r="B93" s="3">
        <f>IF(I93&lt;&gt;"",I93,IF(J93&lt;&gt;"",J93,IF(K93&lt;&gt;"",K93,L93)))</f>
        <v>511.46</v>
      </c>
      <c r="C93" s="3">
        <f>MEDIAN(I93:L93)</f>
        <v>511.46</v>
      </c>
      <c r="D93" s="3">
        <f>ROUND(C93*(1-Settings!$B$2),2)</f>
        <v>358.02</v>
      </c>
      <c r="E93" s="3">
        <f>ROUND(C93*(1-Settings!$B$3),2)</f>
        <v>358.02</v>
      </c>
      <c r="F93" s="2" t="inlineStr">
        <is>
          <t>One Piece</t>
        </is>
      </c>
      <c r="G93" s="2" t="inlineStr">
        <is>
          <t>Coffret</t>
        </is>
      </c>
      <c r="H93" s="2" t="inlineStr">
        <is>
          <t>Japanese Promo</t>
        </is>
      </c>
      <c r="I93" s="3" t="n">
        <v>511.46</v>
      </c>
      <c r="J93" s="3" t="n"/>
      <c r="K93" s="3" t="n"/>
      <c r="L93" s="3" t="n"/>
      <c r="M93" s="2" t="inlineStr">
        <is>
          <t>PriceCharting</t>
        </is>
      </c>
      <c r="N93" s="4" t="inlineStr">
        <is>
          <t>https://www.pricecharting.com/game/one-piece-japanese-promo/sealed-3rd-anniversary-set</t>
        </is>
      </c>
    </row>
    <row r="94">
      <c r="A94" s="2" t="inlineStr">
        <is>
          <t>Japanese Promo Sealed Premium Card Collection [Best Selection Vol 1]</t>
        </is>
      </c>
      <c r="B94" s="3">
        <f>IF(I94&lt;&gt;"",I94,IF(J94&lt;&gt;"",J94,IF(K94&lt;&gt;"",K94,L94)))</f>
        <v>60.37</v>
      </c>
      <c r="C94" s="3">
        <f>MEDIAN(I94:L94)</f>
        <v>60.37</v>
      </c>
      <c r="D94" s="3">
        <f>ROUND(C94*(1-Settings!$B$2),2)</f>
        <v>42.26</v>
      </c>
      <c r="E94" s="3">
        <f>ROUND(C94*(1-Settings!$B$3),2)</f>
        <v>42.26</v>
      </c>
      <c r="F94" s="2" t="inlineStr">
        <is>
          <t>One Piece</t>
        </is>
      </c>
      <c r="G94" s="2" t="inlineStr">
        <is>
          <t>Coffret</t>
        </is>
      </c>
      <c r="H94" s="2" t="inlineStr">
        <is>
          <t>Japanese Promo</t>
        </is>
      </c>
      <c r="I94" s="3" t="n">
        <v>60.37</v>
      </c>
      <c r="J94" s="3" t="n"/>
      <c r="K94" s="3" t="n"/>
      <c r="L94" s="3" t="n"/>
      <c r="M94" s="2" t="inlineStr">
        <is>
          <t>PriceCharting</t>
        </is>
      </c>
      <c r="N94" s="4" t="inlineStr">
        <is>
          <t>https://www.pricecharting.com/game/one-piece-japanese-promo/sealed-premium-card-collection-best-selection-vol-1</t>
        </is>
      </c>
    </row>
    <row r="95">
      <c r="A95" s="2" t="inlineStr">
        <is>
          <t>Japanese Promo Sealed Premium Card Collection [Uta]</t>
        </is>
      </c>
      <c r="B95" s="3">
        <f>IF(I95&lt;&gt;"",I95,IF(J95&lt;&gt;"",J95,IF(K95&lt;&gt;"",K95,L95)))</f>
        <v>78.0</v>
      </c>
      <c r="C95" s="3">
        <f>MEDIAN(I95:L95)</f>
        <v>78.0</v>
      </c>
      <c r="D95" s="3">
        <f>ROUND(C95*(1-Settings!$B$2),2)</f>
        <v>54.6</v>
      </c>
      <c r="E95" s="3">
        <f>ROUND(C95*(1-Settings!$B$3),2)</f>
        <v>54.6</v>
      </c>
      <c r="F95" s="2" t="inlineStr">
        <is>
          <t>One Piece</t>
        </is>
      </c>
      <c r="G95" s="2" t="inlineStr">
        <is>
          <t>Coffret</t>
        </is>
      </c>
      <c r="H95" s="2" t="inlineStr">
        <is>
          <t>Japanese Promo</t>
        </is>
      </c>
      <c r="I95" s="3" t="n">
        <v>78</v>
      </c>
      <c r="J95" s="3" t="n"/>
      <c r="K95" s="3" t="n"/>
      <c r="L95" s="3" t="n"/>
      <c r="M95" s="2" t="inlineStr">
        <is>
          <t>PriceCharting</t>
        </is>
      </c>
      <c r="N95" s="4" t="inlineStr">
        <is>
          <t>https://www.pricecharting.com/game/one-piece-japanese-promo/sealed-premium-card-collection-uta</t>
        </is>
      </c>
    </row>
    <row r="96">
      <c r="A96" s="2" t="inlineStr">
        <is>
          <t>Double Pack Set Volume 1</t>
        </is>
      </c>
      <c r="B96" s="3">
        <f>IF(I96&lt;&gt;"",I96,IF(J96&lt;&gt;"",J96,IF(K96&lt;&gt;"",K96,L96)))</f>
        <v>76.43</v>
      </c>
      <c r="C96" s="3">
        <f>MEDIAN(I96:L96)</f>
        <v>75.465</v>
      </c>
      <c r="D96" s="3">
        <f>ROUND(C96*(1-Settings!$B$2),2)</f>
        <v>52.83</v>
      </c>
      <c r="E96" s="3">
        <f>ROUND(C96*(1-Settings!$B$3),2)</f>
        <v>52.83</v>
      </c>
      <c r="F96" s="2" t="inlineStr">
        <is>
          <t>One Piece</t>
        </is>
      </c>
      <c r="G96" s="2" t="inlineStr">
        <is>
          <t>Coffret</t>
        </is>
      </c>
      <c r="H96" s="2" t="inlineStr">
        <is>
          <t>Kingdoms of Intrigue</t>
        </is>
      </c>
      <c r="I96" s="3" t="n"/>
      <c r="J96" s="3" t="n">
        <v>76.43000000000001</v>
      </c>
      <c r="K96" s="3" t="n"/>
      <c r="L96" s="3" t="n">
        <v>74.5</v>
      </c>
      <c r="M96" s="2" t="inlineStr">
        <is>
          <t>TCGplayer</t>
        </is>
      </c>
      <c r="O96" s="4" t="inlineStr">
        <is>
          <t>https://www.tcgplayer.com/product/493752</t>
        </is>
      </c>
    </row>
    <row r="97">
      <c r="A97" s="2" t="inlineStr">
        <is>
          <t>Double Pack Set Vol. 8</t>
        </is>
      </c>
      <c r="B97" s="3">
        <f>IF(I97&lt;&gt;"",I97,IF(J97&lt;&gt;"",J97,IF(K97&lt;&gt;"",K97,L97)))</f>
        <v>38.48</v>
      </c>
      <c r="C97" s="3">
        <f>MEDIAN(I97:L97)</f>
        <v>38.239999999999995</v>
      </c>
      <c r="D97" s="3">
        <f>ROUND(C97*(1-Settings!$B$2),2)</f>
        <v>26.77</v>
      </c>
      <c r="E97" s="3">
        <f>ROUND(C97*(1-Settings!$B$3),2)</f>
        <v>26.77</v>
      </c>
      <c r="F97" s="2" t="inlineStr">
        <is>
          <t>One Piece</t>
        </is>
      </c>
      <c r="G97" s="2" t="inlineStr">
        <is>
          <t>Coffret</t>
        </is>
      </c>
      <c r="H97" s="2" t="inlineStr">
        <is>
          <t>Legacy of the Master</t>
        </is>
      </c>
      <c r="I97" s="3" t="n"/>
      <c r="J97" s="3" t="n">
        <v>38.48</v>
      </c>
      <c r="K97" s="3" t="n"/>
      <c r="L97" s="3" t="n">
        <v>38</v>
      </c>
      <c r="M97" s="2" t="inlineStr">
        <is>
          <t>TCGplayer</t>
        </is>
      </c>
      <c r="O97" s="4" t="inlineStr">
        <is>
          <t>https://www.tcgplayer.com/product/628348</t>
        </is>
      </c>
    </row>
    <row r="98">
      <c r="A98" s="2" t="inlineStr">
        <is>
          <t>Devil Fruits Collection Vol. 1</t>
        </is>
      </c>
      <c r="B98" s="3">
        <f>IF(I98&lt;&gt;"",I98,IF(J98&lt;&gt;"",J98,IF(K98&lt;&gt;"",K98,L98)))</f>
        <v>148.17</v>
      </c>
      <c r="C98" s="3">
        <f>MEDIAN(I98:L98)</f>
        <v>84.085</v>
      </c>
      <c r="D98" s="3">
        <f>ROUND(C98*(1-Settings!$B$2),2)</f>
        <v>58.86</v>
      </c>
      <c r="E98" s="3">
        <f>ROUND(C98*(1-Settings!$B$3),2)</f>
        <v>58.86</v>
      </c>
      <c r="F98" s="2" t="inlineStr">
        <is>
          <t>One Piece</t>
        </is>
      </c>
      <c r="G98" s="2" t="inlineStr">
        <is>
          <t>Coffret</t>
        </is>
      </c>
      <c r="H98" s="2" t="inlineStr">
        <is>
          <t>One Piece Collection Sets</t>
        </is>
      </c>
      <c r="I98" s="3" t="n"/>
      <c r="J98" s="3" t="n">
        <v>148.17</v>
      </c>
      <c r="K98" s="3" t="n"/>
      <c r="L98" s="3" t="n">
        <v>20</v>
      </c>
      <c r="M98" s="2" t="inlineStr">
        <is>
          <t>TCGplayer</t>
        </is>
      </c>
      <c r="O98" s="4" t="inlineStr">
        <is>
          <t>https://www.tcgplayer.com/product/516299</t>
        </is>
      </c>
    </row>
    <row r="99">
      <c r="A99" s="2" t="inlineStr">
        <is>
          <t>Devil Fruits Collection Vol. 2</t>
        </is>
      </c>
      <c r="B99" s="3">
        <f>IF(I99&lt;&gt;"",I99,IF(J99&lt;&gt;"",J99,IF(K99&lt;&gt;"",K99,L99)))</f>
        <v>77.37</v>
      </c>
      <c r="C99" s="3">
        <f>MEDIAN(I99:L99)</f>
        <v>48.68</v>
      </c>
      <c r="D99" s="3">
        <f>ROUND(C99*(1-Settings!$B$2),2)</f>
        <v>34.08</v>
      </c>
      <c r="E99" s="3">
        <f>ROUND(C99*(1-Settings!$B$3),2)</f>
        <v>34.08</v>
      </c>
      <c r="F99" s="2" t="inlineStr">
        <is>
          <t>One Piece</t>
        </is>
      </c>
      <c r="G99" s="2" t="inlineStr">
        <is>
          <t>Coffret</t>
        </is>
      </c>
      <c r="H99" s="2" t="inlineStr">
        <is>
          <t>One Piece Collection Sets</t>
        </is>
      </c>
      <c r="I99" s="3" t="n"/>
      <c r="J99" s="3" t="n">
        <v>77.37</v>
      </c>
      <c r="K99" s="3" t="n"/>
      <c r="L99" s="3" t="n">
        <v>19.99</v>
      </c>
      <c r="M99" s="2" t="inlineStr">
        <is>
          <t>TCGplayer</t>
        </is>
      </c>
      <c r="O99" s="4" t="inlineStr">
        <is>
          <t>https://www.tcgplayer.com/product/593446</t>
        </is>
      </c>
    </row>
    <row r="100">
      <c r="A100" s="2" t="inlineStr">
        <is>
          <t>Devil Fruits Collection Vol. 3</t>
        </is>
      </c>
      <c r="B100" s="3">
        <f>IF(I100&lt;&gt;"",I100,IF(J100&lt;&gt;"",J100,IF(K100&lt;&gt;"",K100,L100)))</f>
        <v>55.23</v>
      </c>
      <c r="C100" s="3">
        <f>MEDIAN(I100:L100)</f>
        <v>53.12</v>
      </c>
      <c r="D100" s="3">
        <f>ROUND(C100*(1-Settings!$B$2),2)</f>
        <v>37.18</v>
      </c>
      <c r="E100" s="3">
        <f>ROUND(C100*(1-Settings!$B$3),2)</f>
        <v>37.18</v>
      </c>
      <c r="F100" s="2" t="inlineStr">
        <is>
          <t>One Piece</t>
        </is>
      </c>
      <c r="G100" s="2" t="inlineStr">
        <is>
          <t>Coffret</t>
        </is>
      </c>
      <c r="H100" s="2" t="inlineStr">
        <is>
          <t>One Piece Collection Sets</t>
        </is>
      </c>
      <c r="I100" s="3" t="n"/>
      <c r="J100" s="3" t="n">
        <v>55.23</v>
      </c>
      <c r="K100" s="3" t="n"/>
      <c r="L100" s="3" t="n">
        <v>51.01</v>
      </c>
      <c r="M100" s="2" t="inlineStr">
        <is>
          <t>TCGplayer</t>
        </is>
      </c>
      <c r="O100" s="4" t="inlineStr">
        <is>
          <t>https://www.tcgplayer.com/product/649748</t>
        </is>
      </c>
    </row>
    <row r="101">
      <c r="A101" s="2" t="inlineStr">
        <is>
          <t>One Piece Card Game: English Version 1st Anniversary Set (Sealed Promotional Bundle)</t>
        </is>
      </c>
      <c r="B101" s="3">
        <f>IF(I101&lt;&gt;"",I101,IF(J101&lt;&gt;"",J101,IF(K101&lt;&gt;"",K101,L101)))</f>
        <v>5110.64</v>
      </c>
      <c r="C101" s="3">
        <f>MEDIAN(I101:L101)</f>
        <v>2705.32</v>
      </c>
      <c r="D101" s="3">
        <f>ROUND(C101*(1-Settings!$B$2),2)</f>
        <v>1893.72</v>
      </c>
      <c r="E101" s="3">
        <f>ROUND(C101*(1-Settings!$B$3),2)</f>
        <v>1893.72</v>
      </c>
      <c r="F101" s="2" t="inlineStr">
        <is>
          <t>One Piece</t>
        </is>
      </c>
      <c r="G101" s="2" t="inlineStr">
        <is>
          <t>Coffret</t>
        </is>
      </c>
      <c r="H101" s="2" t="inlineStr">
        <is>
          <t>One Piece Collection Sets</t>
        </is>
      </c>
      <c r="I101" s="3" t="n"/>
      <c r="J101" s="3" t="n">
        <v>5110.64</v>
      </c>
      <c r="K101" s="3" t="n"/>
      <c r="L101" s="3" t="n">
        <v>300</v>
      </c>
      <c r="M101" s="2" t="inlineStr">
        <is>
          <t>TCGplayer</t>
        </is>
      </c>
      <c r="O101" s="4" t="inlineStr">
        <is>
          <t>https://www.tcgplayer.com/product/536588</t>
        </is>
      </c>
    </row>
    <row r="102">
      <c r="A102" s="2" t="inlineStr">
        <is>
          <t>One Piece Card Game: Japanese 1st Anniversary Set (Sealed Promotional Bundle)</t>
        </is>
      </c>
      <c r="B102" s="3">
        <f>IF(I102&lt;&gt;"",I102,IF(J102&lt;&gt;"",J102,IF(K102&lt;&gt;"",K102,L102)))</f>
        <v>192.45</v>
      </c>
      <c r="C102" s="3">
        <f>MEDIAN(I102:L102)</f>
        <v>196.225</v>
      </c>
      <c r="D102" s="3">
        <f>ROUND(C102*(1-Settings!$B$2),2)</f>
        <v>137.36</v>
      </c>
      <c r="E102" s="3">
        <f>ROUND(C102*(1-Settings!$B$3),2)</f>
        <v>137.36</v>
      </c>
      <c r="F102" s="2" t="inlineStr">
        <is>
          <t>One Piece</t>
        </is>
      </c>
      <c r="G102" s="2" t="inlineStr">
        <is>
          <t>Coffret</t>
        </is>
      </c>
      <c r="H102" s="2" t="inlineStr">
        <is>
          <t>One Piece Collection Sets</t>
        </is>
      </c>
      <c r="I102" s="3" t="n"/>
      <c r="J102" s="3" t="n">
        <v>192.45</v>
      </c>
      <c r="K102" s="3" t="n"/>
      <c r="L102" s="3" t="n">
        <v>200</v>
      </c>
      <c r="M102" s="2" t="inlineStr">
        <is>
          <t>TCGplayer</t>
        </is>
      </c>
      <c r="O102" s="4" t="inlineStr">
        <is>
          <t>https://www.tcgplayer.com/product/536154</t>
        </is>
      </c>
    </row>
    <row r="103">
      <c r="A103" s="2" t="inlineStr">
        <is>
          <t>One Piece English Version 2nd Anniversary Set (Sealed Promotional Bundle)</t>
        </is>
      </c>
      <c r="B103" s="3">
        <f>IF(I103&lt;&gt;"",I103,IF(J103&lt;&gt;"",J103,IF(K103&lt;&gt;"",K103,L103)))</f>
        <v>1600.87</v>
      </c>
      <c r="C103" s="3">
        <f>MEDIAN(I103:L103)</f>
        <v>950.43</v>
      </c>
      <c r="D103" s="3">
        <f>ROUND(C103*(1-Settings!$B$2),2)</f>
        <v>665.3</v>
      </c>
      <c r="E103" s="3">
        <f>ROUND(C103*(1-Settings!$B$3),2)</f>
        <v>665.3</v>
      </c>
      <c r="F103" s="2" t="inlineStr">
        <is>
          <t>One Piece</t>
        </is>
      </c>
      <c r="G103" s="2" t="inlineStr">
        <is>
          <t>Coffret</t>
        </is>
      </c>
      <c r="H103" s="2" t="inlineStr">
        <is>
          <t>One Piece Collection Sets</t>
        </is>
      </c>
      <c r="I103" s="3" t="n"/>
      <c r="J103" s="3" t="n">
        <v>1600.87</v>
      </c>
      <c r="K103" s="3" t="n"/>
      <c r="L103" s="3" t="n">
        <v>299.99</v>
      </c>
      <c r="M103" s="2" t="inlineStr">
        <is>
          <t>TCGplayer</t>
        </is>
      </c>
      <c r="O103" s="4" t="inlineStr">
        <is>
          <t>https://www.tcgplayer.com/product/635482</t>
        </is>
      </c>
    </row>
    <row r="104">
      <c r="A104" s="2" t="inlineStr">
        <is>
          <t>One Piece English Version 3rd Anniversary Set (Sealed Promotional Bundle)</t>
        </is>
      </c>
      <c r="B104" s="3">
        <f>IF(I104&lt;&gt;"",I104,IF(J104&lt;&gt;"",J104,IF(K104&lt;&gt;"",K104,L104)))</f>
        <v>678.97</v>
      </c>
      <c r="C104" s="3">
        <f>MEDIAN(I104:L104)</f>
        <v>589.485</v>
      </c>
      <c r="D104" s="3">
        <f>ROUND(C104*(1-Settings!$B$2),2)</f>
        <v>412.64</v>
      </c>
      <c r="E104" s="3">
        <f>ROUND(C104*(1-Settings!$B$3),2)</f>
        <v>412.64</v>
      </c>
      <c r="F104" s="2" t="inlineStr">
        <is>
          <t>One Piece</t>
        </is>
      </c>
      <c r="G104" s="2" t="inlineStr">
        <is>
          <t>Coffret</t>
        </is>
      </c>
      <c r="H104" s="2" t="inlineStr">
        <is>
          <t>One Piece Collection Sets</t>
        </is>
      </c>
      <c r="I104" s="3" t="n"/>
      <c r="J104" s="3" t="n">
        <v>678.97</v>
      </c>
      <c r="K104" s="3" t="n"/>
      <c r="L104" s="3" t="n">
        <v>500</v>
      </c>
      <c r="M104" s="2" t="inlineStr">
        <is>
          <t>TCGplayer</t>
        </is>
      </c>
      <c r="O104" s="4" t="inlineStr">
        <is>
          <t>https://www.tcgplayer.com/product/710691</t>
        </is>
      </c>
    </row>
    <row r="105">
      <c r="A105" s="2" t="inlineStr">
        <is>
          <t>One Piece Heroines Special Set (Sealed Promotional Bundle)</t>
        </is>
      </c>
      <c r="B105" s="3">
        <f>IF(I105&lt;&gt;"",I105,IF(J105&lt;&gt;"",J105,IF(K105&lt;&gt;"",K105,L105)))</f>
        <v>239.56</v>
      </c>
      <c r="C105" s="3">
        <f>MEDIAN(I105:L105)</f>
        <v>189.775</v>
      </c>
      <c r="D105" s="3">
        <f>ROUND(C105*(1-Settings!$B$2),2)</f>
        <v>132.84</v>
      </c>
      <c r="E105" s="3">
        <f>ROUND(C105*(1-Settings!$B$3),2)</f>
        <v>132.84</v>
      </c>
      <c r="F105" s="2" t="inlineStr">
        <is>
          <t>One Piece</t>
        </is>
      </c>
      <c r="G105" s="2" t="inlineStr">
        <is>
          <t>Coffret</t>
        </is>
      </c>
      <c r="H105" s="2" t="inlineStr">
        <is>
          <t>One Piece Collection Sets</t>
        </is>
      </c>
      <c r="I105" s="3" t="n"/>
      <c r="J105" s="3" t="n">
        <v>239.56</v>
      </c>
      <c r="K105" s="3" t="n"/>
      <c r="L105" s="3" t="n">
        <v>139.99</v>
      </c>
      <c r="M105" s="2" t="inlineStr">
        <is>
          <t>TCGplayer</t>
        </is>
      </c>
      <c r="O105" s="4" t="inlineStr">
        <is>
          <t>https://www.tcgplayer.com/product/717554</t>
        </is>
      </c>
    </row>
    <row r="106">
      <c r="A106" s="2" t="inlineStr">
        <is>
          <t>One Piece Japanese Version 2nd Anniversary Set (Sealed Promotional Bundle)</t>
        </is>
      </c>
      <c r="B106" s="3">
        <f>IF(I106&lt;&gt;"",I106,IF(J106&lt;&gt;"",J106,IF(K106&lt;&gt;"",K106,L106)))</f>
        <v>922.32</v>
      </c>
      <c r="C106" s="3">
        <f>MEDIAN(I106:L106)</f>
        <v>561.105</v>
      </c>
      <c r="D106" s="3">
        <f>ROUND(C106*(1-Settings!$B$2),2)</f>
        <v>392.77</v>
      </c>
      <c r="E106" s="3">
        <f>ROUND(C106*(1-Settings!$B$3),2)</f>
        <v>392.77</v>
      </c>
      <c r="F106" s="2" t="inlineStr">
        <is>
          <t>One Piece</t>
        </is>
      </c>
      <c r="G106" s="2" t="inlineStr">
        <is>
          <t>Coffret</t>
        </is>
      </c>
      <c r="H106" s="2" t="inlineStr">
        <is>
          <t>One Piece Collection Sets</t>
        </is>
      </c>
      <c r="I106" s="3" t="n"/>
      <c r="J106" s="3" t="n">
        <v>922.3200000000001</v>
      </c>
      <c r="K106" s="3" t="n"/>
      <c r="L106" s="3" t="n">
        <v>199.89</v>
      </c>
      <c r="M106" s="2" t="inlineStr">
        <is>
          <t>TCGplayer</t>
        </is>
      </c>
      <c r="O106" s="4" t="inlineStr">
        <is>
          <t>https://www.tcgplayer.com/product/617585</t>
        </is>
      </c>
    </row>
    <row r="107">
      <c r="A107" s="2" t="inlineStr">
        <is>
          <t>One Piece Japanese Version 3rd Anniversary Set (Sealed Promotional Bundle)</t>
        </is>
      </c>
      <c r="B107" s="3">
        <f>IF(I107&lt;&gt;"",I107,IF(J107&lt;&gt;"",J107,IF(K107&lt;&gt;"",K107,L107)))</f>
        <v>1158.63</v>
      </c>
      <c r="C107" s="3">
        <f>MEDIAN(I107:L107)</f>
        <v>679.3100000000001</v>
      </c>
      <c r="D107" s="3">
        <f>ROUND(C107*(1-Settings!$B$2),2)</f>
        <v>475.52</v>
      </c>
      <c r="E107" s="3">
        <f>ROUND(C107*(1-Settings!$B$3),2)</f>
        <v>475.52</v>
      </c>
      <c r="F107" s="2" t="inlineStr">
        <is>
          <t>One Piece</t>
        </is>
      </c>
      <c r="G107" s="2" t="inlineStr">
        <is>
          <t>Coffret</t>
        </is>
      </c>
      <c r="H107" s="2" t="inlineStr">
        <is>
          <t>One Piece Collection Sets</t>
        </is>
      </c>
      <c r="I107" s="3" t="n"/>
      <c r="J107" s="3" t="n">
        <v>1158.63</v>
      </c>
      <c r="K107" s="3" t="n"/>
      <c r="L107" s="3" t="n">
        <v>199.99</v>
      </c>
      <c r="M107" s="2" t="inlineStr">
        <is>
          <t>TCGplayer</t>
        </is>
      </c>
      <c r="O107" s="4" t="inlineStr">
        <is>
          <t>https://www.tcgplayer.com/product/680488</t>
        </is>
      </c>
    </row>
    <row r="108">
      <c r="A108" s="2" t="inlineStr">
        <is>
          <t>Gift Collection 2023</t>
        </is>
      </c>
      <c r="B108" s="3">
        <f>IF(I108&lt;&gt;"",I108,IF(J108&lt;&gt;"",J108,IF(K108&lt;&gt;"",K108,L108)))</f>
        <v>446.8</v>
      </c>
      <c r="C108" s="3">
        <f>MEDIAN(I108:L108)</f>
        <v>273.4</v>
      </c>
      <c r="D108" s="3">
        <f>ROUND(C108*(1-Settings!$B$2),2)</f>
        <v>191.38</v>
      </c>
      <c r="E108" s="3">
        <f>ROUND(C108*(1-Settings!$B$3),2)</f>
        <v>191.38</v>
      </c>
      <c r="F108" s="2" t="inlineStr">
        <is>
          <t>One Piece</t>
        </is>
      </c>
      <c r="G108" s="2" t="inlineStr">
        <is>
          <t>Coffret</t>
        </is>
      </c>
      <c r="H108" s="2" t="inlineStr">
        <is>
          <t>One Piece Promotion Cards</t>
        </is>
      </c>
      <c r="I108" s="3" t="n"/>
      <c r="J108" s="3" t="n">
        <v>446.8</v>
      </c>
      <c r="K108" s="3" t="n"/>
      <c r="L108" s="3" t="n">
        <v>100</v>
      </c>
      <c r="M108" s="2" t="inlineStr">
        <is>
          <t>TCGplayer</t>
        </is>
      </c>
      <c r="O108" s="4" t="inlineStr">
        <is>
          <t>https://www.tcgplayer.com/product/484943</t>
        </is>
      </c>
    </row>
    <row r="109">
      <c r="A109" s="2" t="inlineStr">
        <is>
          <t>Gift Collection 2023 Promotion Pack</t>
        </is>
      </c>
      <c r="B109" s="3">
        <f>IF(I109&lt;&gt;"",I109,IF(J109&lt;&gt;"",J109,IF(K109&lt;&gt;"",K109,L109)))</f>
        <v>235.75</v>
      </c>
      <c r="C109" s="3">
        <f>MEDIAN(I109:L109)</f>
        <v>287.875</v>
      </c>
      <c r="D109" s="3">
        <f>ROUND(C109*(1-Settings!$B$2),2)</f>
        <v>201.51</v>
      </c>
      <c r="E109" s="3">
        <f>ROUND(C109*(1-Settings!$B$3),2)</f>
        <v>201.51</v>
      </c>
      <c r="F109" s="2" t="inlineStr">
        <is>
          <t>One Piece</t>
        </is>
      </c>
      <c r="G109" s="2" t="inlineStr">
        <is>
          <t>Coffret</t>
        </is>
      </c>
      <c r="H109" s="2" t="inlineStr">
        <is>
          <t>One Piece Promotion Cards</t>
        </is>
      </c>
      <c r="I109" s="3" t="n"/>
      <c r="J109" s="3" t="n">
        <v>235.75</v>
      </c>
      <c r="K109" s="3" t="n"/>
      <c r="L109" s="3" t="n">
        <v>340</v>
      </c>
      <c r="M109" s="2" t="inlineStr">
        <is>
          <t>TCGplayer</t>
        </is>
      </c>
      <c r="O109" s="4" t="inlineStr">
        <is>
          <t>https://www.tcgplayer.com/product/547692</t>
        </is>
      </c>
    </row>
    <row r="110">
      <c r="A110" s="2" t="inlineStr">
        <is>
          <t>One Piece Card Game Illustration Box EX</t>
        </is>
      </c>
      <c r="B110" s="3">
        <f>IF(I110&lt;&gt;"",I110,IF(J110&lt;&gt;"",J110,IF(K110&lt;&gt;"",K110,L110)))</f>
        <v>824.37</v>
      </c>
      <c r="C110" s="3">
        <f>MEDIAN(I110:L110)</f>
        <v>836.185</v>
      </c>
      <c r="D110" s="3">
        <f>ROUND(C110*(1-Settings!$B$2),2)</f>
        <v>585.33</v>
      </c>
      <c r="E110" s="3">
        <f>ROUND(C110*(1-Settings!$B$3),2)</f>
        <v>585.33</v>
      </c>
      <c r="F110" s="2" t="inlineStr">
        <is>
          <t>One Piece</t>
        </is>
      </c>
      <c r="G110" s="2" t="inlineStr">
        <is>
          <t>Coffret</t>
        </is>
      </c>
      <c r="H110" s="2" t="inlineStr">
        <is>
          <t>One Piece Promotion Cards</t>
        </is>
      </c>
      <c r="I110" s="3" t="n"/>
      <c r="J110" s="3" t="n">
        <v>824.37</v>
      </c>
      <c r="K110" s="3" t="n"/>
      <c r="L110" s="3" t="n">
        <v>848</v>
      </c>
      <c r="M110" s="2" t="inlineStr">
        <is>
          <t>TCGplayer</t>
        </is>
      </c>
      <c r="O110" s="4" t="inlineStr">
        <is>
          <t>https://www.tcgplayer.com/product/610118</t>
        </is>
      </c>
    </row>
    <row r="111">
      <c r="A111" s="2" t="inlineStr">
        <is>
          <t>One Piece Card Game Illustration Box Vol. 1</t>
        </is>
      </c>
      <c r="B111" s="3">
        <f>IF(I111&lt;&gt;"",I111,IF(J111&lt;&gt;"",J111,IF(K111&lt;&gt;"",K111,L111)))</f>
        <v>263.27</v>
      </c>
      <c r="C111" s="3">
        <f>MEDIAN(I111:L111)</f>
        <v>231.635</v>
      </c>
      <c r="D111" s="3">
        <f>ROUND(C111*(1-Settings!$B$2),2)</f>
        <v>162.14</v>
      </c>
      <c r="E111" s="3">
        <f>ROUND(C111*(1-Settings!$B$3),2)</f>
        <v>162.14</v>
      </c>
      <c r="F111" s="2" t="inlineStr">
        <is>
          <t>One Piece</t>
        </is>
      </c>
      <c r="G111" s="2" t="inlineStr">
        <is>
          <t>Coffret</t>
        </is>
      </c>
      <c r="H111" s="2" t="inlineStr">
        <is>
          <t>One Piece Promotion Cards</t>
        </is>
      </c>
      <c r="I111" s="3" t="n"/>
      <c r="J111" s="3" t="n">
        <v>263.27</v>
      </c>
      <c r="K111" s="3" t="n"/>
      <c r="L111" s="3" t="n">
        <v>200</v>
      </c>
      <c r="M111" s="2" t="inlineStr">
        <is>
          <t>TCGplayer</t>
        </is>
      </c>
      <c r="O111" s="4" t="inlineStr">
        <is>
          <t>https://www.tcgplayer.com/product/610116</t>
        </is>
      </c>
    </row>
    <row r="112">
      <c r="A112" s="2" t="inlineStr">
        <is>
          <t>One Piece Card Game Illustration Box Vol. 2</t>
        </is>
      </c>
      <c r="B112" s="3">
        <f>IF(I112&lt;&gt;"",I112,IF(J112&lt;&gt;"",J112,IF(K112&lt;&gt;"",K112,L112)))</f>
        <v>150.88</v>
      </c>
      <c r="C112" s="3">
        <f>MEDIAN(I112:L112)</f>
        <v>139.94</v>
      </c>
      <c r="D112" s="3">
        <f>ROUND(C112*(1-Settings!$B$2),2)</f>
        <v>97.96</v>
      </c>
      <c r="E112" s="3">
        <f>ROUND(C112*(1-Settings!$B$3),2)</f>
        <v>97.96</v>
      </c>
      <c r="F112" s="2" t="inlineStr">
        <is>
          <t>One Piece</t>
        </is>
      </c>
      <c r="G112" s="2" t="inlineStr">
        <is>
          <t>Coffret</t>
        </is>
      </c>
      <c r="H112" s="2" t="inlineStr">
        <is>
          <t>One Piece Promotion Cards</t>
        </is>
      </c>
      <c r="I112" s="3" t="n"/>
      <c r="J112" s="3" t="n">
        <v>150.88</v>
      </c>
      <c r="K112" s="3" t="n"/>
      <c r="L112" s="3" t="n">
        <v>129</v>
      </c>
      <c r="M112" s="2" t="inlineStr">
        <is>
          <t>TCGplayer</t>
        </is>
      </c>
      <c r="O112" s="4" t="inlineStr">
        <is>
          <t>https://www.tcgplayer.com/product/610117</t>
        </is>
      </c>
    </row>
    <row r="113">
      <c r="A113" s="2" t="inlineStr">
        <is>
          <t>One Piece Card Game Illustration Box Vol. 3</t>
        </is>
      </c>
      <c r="B113" s="3">
        <f>IF(I113&lt;&gt;"",I113,IF(J113&lt;&gt;"",J113,IF(K113&lt;&gt;"",K113,L113)))</f>
        <v>88.67</v>
      </c>
      <c r="C113" s="3">
        <f>MEDIAN(I113:L113)</f>
        <v>89.33500000000001</v>
      </c>
      <c r="D113" s="3">
        <f>ROUND(C113*(1-Settings!$B$2),2)</f>
        <v>62.53</v>
      </c>
      <c r="E113" s="3">
        <f>ROUND(C113*(1-Settings!$B$3),2)</f>
        <v>62.53</v>
      </c>
      <c r="F113" s="2" t="inlineStr">
        <is>
          <t>One Piece</t>
        </is>
      </c>
      <c r="G113" s="2" t="inlineStr">
        <is>
          <t>Coffret</t>
        </is>
      </c>
      <c r="H113" s="2" t="inlineStr">
        <is>
          <t>One Piece Promotion Cards</t>
        </is>
      </c>
      <c r="I113" s="3" t="n"/>
      <c r="J113" s="3" t="n">
        <v>88.67</v>
      </c>
      <c r="K113" s="3" t="n"/>
      <c r="L113" s="3" t="n">
        <v>90</v>
      </c>
      <c r="M113" s="2" t="inlineStr">
        <is>
          <t>TCGplayer</t>
        </is>
      </c>
      <c r="O113" s="4" t="inlineStr">
        <is>
          <t>https://www.tcgplayer.com/product/646591</t>
        </is>
      </c>
    </row>
    <row r="114">
      <c r="A114" s="2" t="inlineStr">
        <is>
          <t>One Piece Card Game Illustration Box Vol. 4</t>
        </is>
      </c>
      <c r="B114" s="3">
        <f>IF(I114&lt;&gt;"",I114,IF(J114&lt;&gt;"",J114,IF(K114&lt;&gt;"",K114,L114)))</f>
        <v>85.7</v>
      </c>
      <c r="C114" s="3">
        <f>MEDIAN(I114:L114)</f>
        <v>82.85</v>
      </c>
      <c r="D114" s="3">
        <f>ROUND(C114*(1-Settings!$B$2),2)</f>
        <v>58.0</v>
      </c>
      <c r="E114" s="3">
        <f>ROUND(C114*(1-Settings!$B$3),2)</f>
        <v>58.0</v>
      </c>
      <c r="F114" s="2" t="inlineStr">
        <is>
          <t>One Piece</t>
        </is>
      </c>
      <c r="G114" s="2" t="inlineStr">
        <is>
          <t>Coffret</t>
        </is>
      </c>
      <c r="H114" s="2" t="inlineStr">
        <is>
          <t>One Piece Promotion Cards</t>
        </is>
      </c>
      <c r="I114" s="3" t="n"/>
      <c r="J114" s="3" t="n">
        <v>85.7</v>
      </c>
      <c r="K114" s="3" t="n"/>
      <c r="L114" s="3" t="n">
        <v>80</v>
      </c>
      <c r="M114" s="2" t="inlineStr">
        <is>
          <t>TCGplayer</t>
        </is>
      </c>
      <c r="O114" s="4" t="inlineStr">
        <is>
          <t>https://www.tcgplayer.com/product/646592</t>
        </is>
      </c>
    </row>
    <row r="115">
      <c r="A115" s="2" t="inlineStr">
        <is>
          <t>One Piece Card Game Illustration Box Vol. 5</t>
        </is>
      </c>
      <c r="B115" s="3">
        <f>IF(I115&lt;&gt;"",I115,IF(J115&lt;&gt;"",J115,IF(K115&lt;&gt;"",K115,L115)))</f>
        <v>101.7</v>
      </c>
      <c r="C115" s="3">
        <f>MEDIAN(I115:L115)</f>
        <v>96.345</v>
      </c>
      <c r="D115" s="3">
        <f>ROUND(C115*(1-Settings!$B$2),2)</f>
        <v>67.44</v>
      </c>
      <c r="E115" s="3">
        <f>ROUND(C115*(1-Settings!$B$3),2)</f>
        <v>67.44</v>
      </c>
      <c r="F115" s="2" t="inlineStr">
        <is>
          <t>One Piece</t>
        </is>
      </c>
      <c r="G115" s="2" t="inlineStr">
        <is>
          <t>Coffret</t>
        </is>
      </c>
      <c r="H115" s="2" t="inlineStr">
        <is>
          <t>One Piece Promotion Cards</t>
        </is>
      </c>
      <c r="I115" s="3" t="n"/>
      <c r="J115" s="3" t="n">
        <v>101.7</v>
      </c>
      <c r="K115" s="3" t="n"/>
      <c r="L115" s="3" t="n">
        <v>90.98999999999999</v>
      </c>
      <c r="M115" s="2" t="inlineStr">
        <is>
          <t>TCGplayer</t>
        </is>
      </c>
      <c r="O115" s="4" t="inlineStr">
        <is>
          <t>https://www.tcgplayer.com/product/669241</t>
        </is>
      </c>
    </row>
    <row r="116">
      <c r="A116" s="2" t="inlineStr">
        <is>
          <t>One Piece Card Game Illustration Box Vol. 6</t>
        </is>
      </c>
      <c r="B116" s="3">
        <f>IF(I116&lt;&gt;"",I116,IF(J116&lt;&gt;"",J116,IF(K116&lt;&gt;"",K116,L116)))</f>
        <v>100.97</v>
      </c>
      <c r="C116" s="3">
        <f>MEDIAN(I116:L116)</f>
        <v>98.47</v>
      </c>
      <c r="D116" s="3">
        <f>ROUND(C116*(1-Settings!$B$2),2)</f>
        <v>68.93</v>
      </c>
      <c r="E116" s="3">
        <f>ROUND(C116*(1-Settings!$B$3),2)</f>
        <v>68.93</v>
      </c>
      <c r="F116" s="2" t="inlineStr">
        <is>
          <t>One Piece</t>
        </is>
      </c>
      <c r="G116" s="2" t="inlineStr">
        <is>
          <t>Coffret</t>
        </is>
      </c>
      <c r="H116" s="2" t="inlineStr">
        <is>
          <t>One Piece Promotion Cards</t>
        </is>
      </c>
      <c r="I116" s="3" t="n"/>
      <c r="J116" s="3" t="n">
        <v>100.97</v>
      </c>
      <c r="K116" s="3" t="n"/>
      <c r="L116" s="3" t="n">
        <v>95.97</v>
      </c>
      <c r="M116" s="2" t="inlineStr">
        <is>
          <t>TCGplayer</t>
        </is>
      </c>
      <c r="O116" s="4" t="inlineStr">
        <is>
          <t>https://www.tcgplayer.com/product/669242</t>
        </is>
      </c>
    </row>
    <row r="117">
      <c r="A117" s="2" t="inlineStr">
        <is>
          <t>One Piece Card Game Illustration Box Vol. 7</t>
        </is>
      </c>
      <c r="B117" s="3">
        <f>IF(I117&lt;&gt;"",I117,IF(J117&lt;&gt;"",J117,IF(K117&lt;&gt;"",K117,L117)))</f>
        <v>39.09</v>
      </c>
      <c r="C117" s="3">
        <f>MEDIAN(I117:L117)</f>
        <v>37.545</v>
      </c>
      <c r="D117" s="3">
        <f>ROUND(C117*(1-Settings!$B$2),2)</f>
        <v>26.28</v>
      </c>
      <c r="E117" s="3">
        <f>ROUND(C117*(1-Settings!$B$3),2)</f>
        <v>26.28</v>
      </c>
      <c r="F117" s="2" t="inlineStr">
        <is>
          <t>One Piece</t>
        </is>
      </c>
      <c r="G117" s="2" t="inlineStr">
        <is>
          <t>Coffret</t>
        </is>
      </c>
      <c r="H117" s="2" t="inlineStr">
        <is>
          <t>One Piece Promotion Cards</t>
        </is>
      </c>
      <c r="I117" s="3" t="n"/>
      <c r="J117" s="3" t="n">
        <v>39.09</v>
      </c>
      <c r="K117" s="3" t="n"/>
      <c r="L117" s="3" t="n">
        <v>36</v>
      </c>
      <c r="M117" s="2" t="inlineStr">
        <is>
          <t>TCGplayer</t>
        </is>
      </c>
      <c r="O117" s="4" t="inlineStr">
        <is>
          <t>https://www.tcgplayer.com/product/694721</t>
        </is>
      </c>
    </row>
    <row r="118">
      <c r="A118" s="2" t="inlineStr">
        <is>
          <t>One Piece Card Game Illustration Box Vol. 8</t>
        </is>
      </c>
      <c r="B118" s="3">
        <f>IF(I118&lt;&gt;"",I118,IF(J118&lt;&gt;"",J118,IF(K118&lt;&gt;"",K118,L118)))</f>
        <v>39.28</v>
      </c>
      <c r="C118" s="3">
        <f>MEDIAN(I118:L118)</f>
        <v>37.650000000000006</v>
      </c>
      <c r="D118" s="3">
        <f>ROUND(C118*(1-Settings!$B$2),2)</f>
        <v>26.36</v>
      </c>
      <c r="E118" s="3">
        <f>ROUND(C118*(1-Settings!$B$3),2)</f>
        <v>26.36</v>
      </c>
      <c r="F118" s="2" t="inlineStr">
        <is>
          <t>One Piece</t>
        </is>
      </c>
      <c r="G118" s="2" t="inlineStr">
        <is>
          <t>Coffret</t>
        </is>
      </c>
      <c r="H118" s="2" t="inlineStr">
        <is>
          <t>One Piece Promotion Cards</t>
        </is>
      </c>
      <c r="I118" s="3" t="n"/>
      <c r="J118" s="3" t="n">
        <v>39.28</v>
      </c>
      <c r="K118" s="3" t="n"/>
      <c r="L118" s="3" t="n">
        <v>36.02</v>
      </c>
      <c r="M118" s="2" t="inlineStr">
        <is>
          <t>TCGplayer</t>
        </is>
      </c>
      <c r="O118" s="4" t="inlineStr">
        <is>
          <t>https://www.tcgplayer.com/product/694722</t>
        </is>
      </c>
    </row>
    <row r="119">
      <c r="A119" s="2" t="inlineStr">
        <is>
          <t>One Piece Tin Pack Set Vol. 1 -Gol.D.Roger-</t>
        </is>
      </c>
      <c r="B119" s="3">
        <f>IF(I119&lt;&gt;"",I119,IF(J119&lt;&gt;"",J119,IF(K119&lt;&gt;"",K119,L119)))</f>
        <v>32.66</v>
      </c>
      <c r="C119" s="3">
        <f>MEDIAN(I119:L119)</f>
        <v>18.83</v>
      </c>
      <c r="D119" s="3">
        <f>ROUND(C119*(1-Settings!$B$2),2)</f>
        <v>13.18</v>
      </c>
      <c r="E119" s="3">
        <f>ROUND(C119*(1-Settings!$B$3),2)</f>
        <v>13.18</v>
      </c>
      <c r="F119" s="2" t="inlineStr">
        <is>
          <t>One Piece</t>
        </is>
      </c>
      <c r="G119" s="2" t="inlineStr">
        <is>
          <t>Coffret</t>
        </is>
      </c>
      <c r="H119" s="2" t="inlineStr">
        <is>
          <t>One Piece Promotion Cards</t>
        </is>
      </c>
      <c r="I119" s="3" t="n"/>
      <c r="J119" s="3" t="n">
        <v>32.66</v>
      </c>
      <c r="K119" s="3" t="n"/>
      <c r="L119" s="3" t="n">
        <v>5</v>
      </c>
      <c r="M119" s="2" t="inlineStr">
        <is>
          <t>TCGplayer</t>
        </is>
      </c>
      <c r="O119" s="4" t="inlineStr">
        <is>
          <t>https://www.tcgplayer.com/product/620278</t>
        </is>
      </c>
    </row>
    <row r="120">
      <c r="A120" s="2" t="inlineStr">
        <is>
          <t>One Piece Tin Pack Set Vol. 1 -Monkey.D.Luffy-</t>
        </is>
      </c>
      <c r="B120" s="3">
        <f>IF(I120&lt;&gt;"",I120,IF(J120&lt;&gt;"",J120,IF(K120&lt;&gt;"",K120,L120)))</f>
        <v>34.74</v>
      </c>
      <c r="C120" s="3">
        <f>MEDIAN(I120:L120)</f>
        <v>19.87</v>
      </c>
      <c r="D120" s="3">
        <f>ROUND(C120*(1-Settings!$B$2),2)</f>
        <v>13.91</v>
      </c>
      <c r="E120" s="3">
        <f>ROUND(C120*(1-Settings!$B$3),2)</f>
        <v>13.91</v>
      </c>
      <c r="F120" s="2" t="inlineStr">
        <is>
          <t>One Piece</t>
        </is>
      </c>
      <c r="G120" s="2" t="inlineStr">
        <is>
          <t>Coffret</t>
        </is>
      </c>
      <c r="H120" s="2" t="inlineStr">
        <is>
          <t>One Piece Promotion Cards</t>
        </is>
      </c>
      <c r="I120" s="3" t="n"/>
      <c r="J120" s="3" t="n">
        <v>34.74</v>
      </c>
      <c r="K120" s="3" t="n"/>
      <c r="L120" s="3" t="n">
        <v>5</v>
      </c>
      <c r="M120" s="2" t="inlineStr">
        <is>
          <t>TCGplayer</t>
        </is>
      </c>
      <c r="O120" s="4" t="inlineStr">
        <is>
          <t>https://www.tcgplayer.com/product/620279</t>
        </is>
      </c>
    </row>
    <row r="121">
      <c r="A121" s="2" t="inlineStr">
        <is>
          <t>One Piece Tin Pack Set Vol. 1 [Set of 2]</t>
        </is>
      </c>
      <c r="B121" s="3">
        <f>IF(I121&lt;&gt;"",I121,IF(J121&lt;&gt;"",J121,IF(K121&lt;&gt;"",K121,L121)))</f>
        <v>105.42</v>
      </c>
      <c r="C121" s="3">
        <f>MEDIAN(I121:L121)</f>
        <v>107.68</v>
      </c>
      <c r="D121" s="3">
        <f>ROUND(C121*(1-Settings!$B$2),2)</f>
        <v>75.38</v>
      </c>
      <c r="E121" s="3">
        <f>ROUND(C121*(1-Settings!$B$3),2)</f>
        <v>75.38</v>
      </c>
      <c r="F121" s="2" t="inlineStr">
        <is>
          <t>One Piece</t>
        </is>
      </c>
      <c r="G121" s="2" t="inlineStr">
        <is>
          <t>Coffret</t>
        </is>
      </c>
      <c r="H121" s="2" t="inlineStr">
        <is>
          <t>One Piece Promotion Cards</t>
        </is>
      </c>
      <c r="I121" s="3" t="n"/>
      <c r="J121" s="3" t="n">
        <v>105.42</v>
      </c>
      <c r="K121" s="3" t="n"/>
      <c r="L121" s="3" t="n">
        <v>109.94</v>
      </c>
      <c r="M121" s="2" t="inlineStr">
        <is>
          <t>TCGplayer</t>
        </is>
      </c>
      <c r="O121" s="4" t="inlineStr">
        <is>
          <t>https://www.tcgplayer.com/product/629815</t>
        </is>
      </c>
    </row>
    <row r="122">
      <c r="A122" s="2" t="inlineStr">
        <is>
          <t>One Piece Tin Pack Set Vol. 2 -Monkey.D.Luffy-</t>
        </is>
      </c>
      <c r="B122" s="3">
        <f>IF(I122&lt;&gt;"",I122,IF(J122&lt;&gt;"",J122,IF(K122&lt;&gt;"",K122,L122)))</f>
        <v>66.59</v>
      </c>
      <c r="C122" s="3">
        <f>MEDIAN(I122:L122)</f>
        <v>35.795</v>
      </c>
      <c r="D122" s="3">
        <f>ROUND(C122*(1-Settings!$B$2),2)</f>
        <v>25.06</v>
      </c>
      <c r="E122" s="3">
        <f>ROUND(C122*(1-Settings!$B$3),2)</f>
        <v>25.06</v>
      </c>
      <c r="F122" s="2" t="inlineStr">
        <is>
          <t>One Piece</t>
        </is>
      </c>
      <c r="G122" s="2" t="inlineStr">
        <is>
          <t>Coffret</t>
        </is>
      </c>
      <c r="H122" s="2" t="inlineStr">
        <is>
          <t>One Piece Promotion Cards</t>
        </is>
      </c>
      <c r="I122" s="3" t="n"/>
      <c r="J122" s="3" t="n">
        <v>66.59</v>
      </c>
      <c r="K122" s="3" t="n"/>
      <c r="L122" s="3" t="n">
        <v>5</v>
      </c>
      <c r="M122" s="2" t="inlineStr">
        <is>
          <t>TCGplayer</t>
        </is>
      </c>
      <c r="O122" s="4" t="inlineStr">
        <is>
          <t>https://www.tcgplayer.com/product/669273</t>
        </is>
      </c>
    </row>
    <row r="123">
      <c r="A123" s="2" t="inlineStr">
        <is>
          <t>One Piece Tin Pack Set Vol. 2 -Portgas.D.Ace-</t>
        </is>
      </c>
      <c r="B123" s="3">
        <f>IF(I123&lt;&gt;"",I123,IF(J123&lt;&gt;"",J123,IF(K123&lt;&gt;"",K123,L123)))</f>
        <v>49.15</v>
      </c>
      <c r="C123" s="3">
        <f>MEDIAN(I123:L123)</f>
        <v>29.07</v>
      </c>
      <c r="D123" s="3">
        <f>ROUND(C123*(1-Settings!$B$2),2)</f>
        <v>20.35</v>
      </c>
      <c r="E123" s="3">
        <f>ROUND(C123*(1-Settings!$B$3),2)</f>
        <v>20.35</v>
      </c>
      <c r="F123" s="2" t="inlineStr">
        <is>
          <t>One Piece</t>
        </is>
      </c>
      <c r="G123" s="2" t="inlineStr">
        <is>
          <t>Coffret</t>
        </is>
      </c>
      <c r="H123" s="2" t="inlineStr">
        <is>
          <t>One Piece Promotion Cards</t>
        </is>
      </c>
      <c r="I123" s="3" t="n"/>
      <c r="J123" s="3" t="n">
        <v>49.15</v>
      </c>
      <c r="K123" s="3" t="n"/>
      <c r="L123" s="3" t="n">
        <v>8.99</v>
      </c>
      <c r="M123" s="2" t="inlineStr">
        <is>
          <t>TCGplayer</t>
        </is>
      </c>
      <c r="O123" s="4" t="inlineStr">
        <is>
          <t>https://www.tcgplayer.com/product/669277</t>
        </is>
      </c>
    </row>
    <row r="124">
      <c r="A124" s="2" t="inlineStr">
        <is>
          <t>One Piece Tin Pack Set Vol. 2 -Sabo-</t>
        </is>
      </c>
      <c r="B124" s="3">
        <f>IF(I124&lt;&gt;"",I124,IF(J124&lt;&gt;"",J124,IF(K124&lt;&gt;"",K124,L124)))</f>
        <v>46.93</v>
      </c>
      <c r="C124" s="3">
        <f>MEDIAN(I124:L124)</f>
        <v>26.46</v>
      </c>
      <c r="D124" s="3">
        <f>ROUND(C124*(1-Settings!$B$2),2)</f>
        <v>18.52</v>
      </c>
      <c r="E124" s="3">
        <f>ROUND(C124*(1-Settings!$B$3),2)</f>
        <v>18.52</v>
      </c>
      <c r="F124" s="2" t="inlineStr">
        <is>
          <t>One Piece</t>
        </is>
      </c>
      <c r="G124" s="2" t="inlineStr">
        <is>
          <t>Coffret</t>
        </is>
      </c>
      <c r="H124" s="2" t="inlineStr">
        <is>
          <t>One Piece Promotion Cards</t>
        </is>
      </c>
      <c r="I124" s="3" t="n"/>
      <c r="J124" s="3" t="n">
        <v>46.93</v>
      </c>
      <c r="K124" s="3" t="n"/>
      <c r="L124" s="3" t="n">
        <v>5.99</v>
      </c>
      <c r="M124" s="2" t="inlineStr">
        <is>
          <t>TCGplayer</t>
        </is>
      </c>
      <c r="O124" s="4" t="inlineStr">
        <is>
          <t>https://www.tcgplayer.com/product/669278</t>
        </is>
      </c>
    </row>
    <row r="125">
      <c r="A125" s="2" t="inlineStr">
        <is>
          <t>One Piece Tin Pack Set Vol. 2 [Set of 3]</t>
        </is>
      </c>
      <c r="B125" s="3">
        <f>IF(I125&lt;&gt;"",I125,IF(J125&lt;&gt;"",J125,IF(K125&lt;&gt;"",K125,L125)))</f>
        <v>167.51</v>
      </c>
      <c r="C125" s="3">
        <f>MEDIAN(I125:L125)</f>
        <v>90.25</v>
      </c>
      <c r="D125" s="3">
        <f>ROUND(C125*(1-Settings!$B$2),2)</f>
        <v>63.18</v>
      </c>
      <c r="E125" s="3">
        <f>ROUND(C125*(1-Settings!$B$3),2)</f>
        <v>63.18</v>
      </c>
      <c r="F125" s="2" t="inlineStr">
        <is>
          <t>One Piece</t>
        </is>
      </c>
      <c r="G125" s="2" t="inlineStr">
        <is>
          <t>Coffret</t>
        </is>
      </c>
      <c r="H125" s="2" t="inlineStr">
        <is>
          <t>One Piece Promotion Cards</t>
        </is>
      </c>
      <c r="I125" s="3" t="n"/>
      <c r="J125" s="3" t="n">
        <v>167.51</v>
      </c>
      <c r="K125" s="3" t="n"/>
      <c r="L125" s="3" t="n">
        <v>12.99</v>
      </c>
      <c r="M125" s="2" t="inlineStr">
        <is>
          <t>TCGplayer</t>
        </is>
      </c>
      <c r="O125" s="4" t="inlineStr">
        <is>
          <t>https://www.tcgplayer.com/product/669298</t>
        </is>
      </c>
    </row>
    <row r="126">
      <c r="A126" s="2" t="inlineStr">
        <is>
          <t>Premium Card Collection -6 assort vol.1-</t>
        </is>
      </c>
      <c r="B126" s="3">
        <f>IF(I126&lt;&gt;"",I126,IF(J126&lt;&gt;"",J126,IF(K126&lt;&gt;"",K126,L126)))</f>
        <v>198.46</v>
      </c>
      <c r="C126" s="3">
        <f>MEDIAN(I126:L126)</f>
        <v>159.225</v>
      </c>
      <c r="D126" s="3">
        <f>ROUND(C126*(1-Settings!$B$2),2)</f>
        <v>111.46</v>
      </c>
      <c r="E126" s="3">
        <f>ROUND(C126*(1-Settings!$B$3),2)</f>
        <v>111.46</v>
      </c>
      <c r="F126" s="2" t="inlineStr">
        <is>
          <t>One Piece</t>
        </is>
      </c>
      <c r="G126" s="2" t="inlineStr">
        <is>
          <t>Coffret</t>
        </is>
      </c>
      <c r="H126" s="2" t="inlineStr">
        <is>
          <t>One Piece Promotion Cards</t>
        </is>
      </c>
      <c r="I126" s="3" t="n"/>
      <c r="J126" s="3" t="n">
        <v>198.46</v>
      </c>
      <c r="K126" s="3" t="n"/>
      <c r="L126" s="3" t="n">
        <v>119.99</v>
      </c>
      <c r="M126" s="2" t="inlineStr">
        <is>
          <t>TCGplayer</t>
        </is>
      </c>
      <c r="O126" s="4" t="inlineStr">
        <is>
          <t>https://www.tcgplayer.com/product/649694</t>
        </is>
      </c>
    </row>
    <row r="127">
      <c r="A127" s="2" t="inlineStr">
        <is>
          <t>Premium Card Collection -BANDAI CARD GAMES Fest. 23-24 Edition-</t>
        </is>
      </c>
      <c r="B127" s="3">
        <f>IF(I127&lt;&gt;"",I127,IF(J127&lt;&gt;"",J127,IF(K127&lt;&gt;"",K127,L127)))</f>
        <v>120.35</v>
      </c>
      <c r="C127" s="3">
        <f>MEDIAN(I127:L127)</f>
        <v>95.16</v>
      </c>
      <c r="D127" s="3">
        <f>ROUND(C127*(1-Settings!$B$2),2)</f>
        <v>66.61</v>
      </c>
      <c r="E127" s="3">
        <f>ROUND(C127*(1-Settings!$B$3),2)</f>
        <v>66.61</v>
      </c>
      <c r="F127" s="2" t="inlineStr">
        <is>
          <t>One Piece</t>
        </is>
      </c>
      <c r="G127" s="2" t="inlineStr">
        <is>
          <t>Coffret</t>
        </is>
      </c>
      <c r="H127" s="2" t="inlineStr">
        <is>
          <t>One Piece Promotion Cards</t>
        </is>
      </c>
      <c r="I127" s="3" t="n"/>
      <c r="J127" s="3" t="n">
        <v>120.35</v>
      </c>
      <c r="K127" s="3" t="n"/>
      <c r="L127" s="3" t="n">
        <v>69.97</v>
      </c>
      <c r="M127" s="2" t="inlineStr">
        <is>
          <t>TCGplayer</t>
        </is>
      </c>
      <c r="O127" s="4" t="inlineStr">
        <is>
          <t>https://www.tcgplayer.com/product/536278</t>
        </is>
      </c>
    </row>
    <row r="128">
      <c r="A128" s="2" t="inlineStr">
        <is>
          <t>Premium Card Collection -Best Selection Vol. 1-</t>
        </is>
      </c>
      <c r="B128" s="3">
        <f>IF(I128&lt;&gt;"",I128,IF(J128&lt;&gt;"",J128,IF(K128&lt;&gt;"",K128,L128)))</f>
        <v>172.63</v>
      </c>
      <c r="C128" s="3">
        <f>MEDIAN(I128:L128)</f>
        <v>141.31</v>
      </c>
      <c r="D128" s="3">
        <f>ROUND(C128*(1-Settings!$B$2),2)</f>
        <v>98.92</v>
      </c>
      <c r="E128" s="3">
        <f>ROUND(C128*(1-Settings!$B$3),2)</f>
        <v>98.92</v>
      </c>
      <c r="F128" s="2" t="inlineStr">
        <is>
          <t>One Piece</t>
        </is>
      </c>
      <c r="G128" s="2" t="inlineStr">
        <is>
          <t>Coffret</t>
        </is>
      </c>
      <c r="H128" s="2" t="inlineStr">
        <is>
          <t>One Piece Promotion Cards</t>
        </is>
      </c>
      <c r="I128" s="3" t="n"/>
      <c r="J128" s="3" t="n">
        <v>172.63</v>
      </c>
      <c r="K128" s="3" t="n"/>
      <c r="L128" s="3" t="n">
        <v>109.99</v>
      </c>
      <c r="M128" s="2" t="inlineStr">
        <is>
          <t>TCGplayer</t>
        </is>
      </c>
      <c r="O128" s="4" t="inlineStr">
        <is>
          <t>https://www.tcgplayer.com/product/525294</t>
        </is>
      </c>
    </row>
    <row r="129">
      <c r="A129" s="2" t="inlineStr">
        <is>
          <t>Premium Card Collection -Best Selection Vol. 2-</t>
        </is>
      </c>
      <c r="B129" s="3">
        <f>IF(I129&lt;&gt;"",I129,IF(J129&lt;&gt;"",J129,IF(K129&lt;&gt;"",K129,L129)))</f>
        <v>90.24</v>
      </c>
      <c r="C129" s="3">
        <f>MEDIAN(I129:L129)</f>
        <v>82.62</v>
      </c>
      <c r="D129" s="3">
        <f>ROUND(C129*(1-Settings!$B$2),2)</f>
        <v>57.83</v>
      </c>
      <c r="E129" s="3">
        <f>ROUND(C129*(1-Settings!$B$3),2)</f>
        <v>57.83</v>
      </c>
      <c r="F129" s="2" t="inlineStr">
        <is>
          <t>One Piece</t>
        </is>
      </c>
      <c r="G129" s="2" t="inlineStr">
        <is>
          <t>Coffret</t>
        </is>
      </c>
      <c r="H129" s="2" t="inlineStr">
        <is>
          <t>One Piece Promotion Cards</t>
        </is>
      </c>
      <c r="I129" s="3" t="n"/>
      <c r="J129" s="3" t="n">
        <v>90.23999999999999</v>
      </c>
      <c r="K129" s="3" t="n"/>
      <c r="L129" s="3" t="n">
        <v>75</v>
      </c>
      <c r="M129" s="2" t="inlineStr">
        <is>
          <t>TCGplayer</t>
        </is>
      </c>
      <c r="O129" s="4" t="inlineStr">
        <is>
          <t>https://www.tcgplayer.com/product/587220</t>
        </is>
      </c>
    </row>
    <row r="130">
      <c r="A130" s="2" t="inlineStr">
        <is>
          <t>Premium Card Collection -Best Selection Vol. 3-</t>
        </is>
      </c>
      <c r="B130" s="3">
        <f>IF(I130&lt;&gt;"",I130,IF(J130&lt;&gt;"",J130,IF(K130&lt;&gt;"",K130,L130)))</f>
        <v>140.27</v>
      </c>
      <c r="C130" s="3">
        <f>MEDIAN(I130:L130)</f>
        <v>122.08500000000001</v>
      </c>
      <c r="D130" s="3">
        <f>ROUND(C130*(1-Settings!$B$2),2)</f>
        <v>85.46</v>
      </c>
      <c r="E130" s="3">
        <f>ROUND(C130*(1-Settings!$B$3),2)</f>
        <v>85.46</v>
      </c>
      <c r="F130" s="2" t="inlineStr">
        <is>
          <t>One Piece</t>
        </is>
      </c>
      <c r="G130" s="2" t="inlineStr">
        <is>
          <t>Coffret</t>
        </is>
      </c>
      <c r="H130" s="2" t="inlineStr">
        <is>
          <t>One Piece Promotion Cards</t>
        </is>
      </c>
      <c r="I130" s="3" t="n"/>
      <c r="J130" s="3" t="n">
        <v>140.27</v>
      </c>
      <c r="K130" s="3" t="n"/>
      <c r="L130" s="3" t="n">
        <v>103.9</v>
      </c>
      <c r="M130" s="2" t="inlineStr">
        <is>
          <t>TCGplayer</t>
        </is>
      </c>
      <c r="O130" s="4" t="inlineStr">
        <is>
          <t>https://www.tcgplayer.com/product/606589</t>
        </is>
      </c>
    </row>
    <row r="131">
      <c r="A131" s="2" t="inlineStr">
        <is>
          <t>Premium Card Collection -Best Selection Vol. 4-</t>
        </is>
      </c>
      <c r="B131" s="3">
        <f>IF(I131&lt;&gt;"",I131,IF(J131&lt;&gt;"",J131,IF(K131&lt;&gt;"",K131,L131)))</f>
        <v>248.37</v>
      </c>
      <c r="C131" s="3">
        <f>MEDIAN(I131:L131)</f>
        <v>166.685</v>
      </c>
      <c r="D131" s="3">
        <f>ROUND(C131*(1-Settings!$B$2),2)</f>
        <v>116.68</v>
      </c>
      <c r="E131" s="3">
        <f>ROUND(C131*(1-Settings!$B$3),2)</f>
        <v>116.68</v>
      </c>
      <c r="F131" s="2" t="inlineStr">
        <is>
          <t>One Piece</t>
        </is>
      </c>
      <c r="G131" s="2" t="inlineStr">
        <is>
          <t>Coffret</t>
        </is>
      </c>
      <c r="H131" s="2" t="inlineStr">
        <is>
          <t>One Piece Promotion Cards</t>
        </is>
      </c>
      <c r="I131" s="3" t="n"/>
      <c r="J131" s="3" t="n">
        <v>248.37</v>
      </c>
      <c r="K131" s="3" t="n"/>
      <c r="L131" s="3" t="n">
        <v>85</v>
      </c>
      <c r="M131" s="2" t="inlineStr">
        <is>
          <t>TCGplayer</t>
        </is>
      </c>
      <c r="O131" s="4" t="inlineStr">
        <is>
          <t>https://www.tcgplayer.com/product/649681</t>
        </is>
      </c>
    </row>
    <row r="132">
      <c r="A132" s="2" t="inlineStr">
        <is>
          <t>Premium Card Collection -Best Selection Vol. 5-</t>
        </is>
      </c>
      <c r="B132" s="3">
        <f>IF(I132&lt;&gt;"",I132,IF(J132&lt;&gt;"",J132,IF(K132&lt;&gt;"",K132,L132)))</f>
        <v>81.06</v>
      </c>
      <c r="C132" s="3">
        <f>MEDIAN(I132:L132)</f>
        <v>81.505</v>
      </c>
      <c r="D132" s="3">
        <f>ROUND(C132*(1-Settings!$B$2),2)</f>
        <v>57.05</v>
      </c>
      <c r="E132" s="3">
        <f>ROUND(C132*(1-Settings!$B$3),2)</f>
        <v>57.05</v>
      </c>
      <c r="F132" s="2" t="inlineStr">
        <is>
          <t>One Piece</t>
        </is>
      </c>
      <c r="G132" s="2" t="inlineStr">
        <is>
          <t>Coffret</t>
        </is>
      </c>
      <c r="H132" s="2" t="inlineStr">
        <is>
          <t>One Piece Promotion Cards</t>
        </is>
      </c>
      <c r="I132" s="3" t="n"/>
      <c r="J132" s="3" t="n">
        <v>81.06</v>
      </c>
      <c r="K132" s="3" t="n"/>
      <c r="L132" s="3" t="n">
        <v>81.95</v>
      </c>
      <c r="M132" s="2" t="inlineStr">
        <is>
          <t>TCGplayer</t>
        </is>
      </c>
      <c r="O132" s="4" t="inlineStr">
        <is>
          <t>https://www.tcgplayer.com/product/657215</t>
        </is>
      </c>
    </row>
    <row r="133">
      <c r="A133" s="2" t="inlineStr">
        <is>
          <t>Premium Card Collection -Best Selection Vol. 6-</t>
        </is>
      </c>
      <c r="B133" s="3">
        <f>IF(I133&lt;&gt;"",I133,IF(J133&lt;&gt;"",J133,IF(K133&lt;&gt;"",K133,L133)))</f>
        <v>72.1</v>
      </c>
      <c r="C133" s="3">
        <f>MEDIAN(I133:L133)</f>
        <v>63.55499999999999</v>
      </c>
      <c r="D133" s="3">
        <f>ROUND(C133*(1-Settings!$B$2),2)</f>
        <v>44.49</v>
      </c>
      <c r="E133" s="3">
        <f>ROUND(C133*(1-Settings!$B$3),2)</f>
        <v>44.49</v>
      </c>
      <c r="F133" s="2" t="inlineStr">
        <is>
          <t>One Piece</t>
        </is>
      </c>
      <c r="G133" s="2" t="inlineStr">
        <is>
          <t>Coffret</t>
        </is>
      </c>
      <c r="H133" s="2" t="inlineStr">
        <is>
          <t>One Piece Promotion Cards</t>
        </is>
      </c>
      <c r="I133" s="3" t="n"/>
      <c r="J133" s="3" t="n">
        <v>72.09999999999999</v>
      </c>
      <c r="K133" s="3" t="n"/>
      <c r="L133" s="3" t="n">
        <v>55.01</v>
      </c>
      <c r="M133" s="2" t="inlineStr">
        <is>
          <t>TCGplayer</t>
        </is>
      </c>
      <c r="O133" s="4" t="inlineStr">
        <is>
          <t>https://www.tcgplayer.com/product/694874</t>
        </is>
      </c>
    </row>
    <row r="134">
      <c r="A134" s="2" t="inlineStr">
        <is>
          <t>Premium Card Collection -Flame-Flame Fruit Coliseum Edition-</t>
        </is>
      </c>
      <c r="B134" s="3">
        <f>IF(I134&lt;&gt;"",I134,IF(J134&lt;&gt;"",J134,IF(K134&lt;&gt;"",K134,L134)))</f>
        <v>81.74</v>
      </c>
      <c r="C134" s="3">
        <f>MEDIAN(I134:L134)</f>
        <v>81.275</v>
      </c>
      <c r="D134" s="3">
        <f>ROUND(C134*(1-Settings!$B$2),2)</f>
        <v>56.89</v>
      </c>
      <c r="E134" s="3">
        <f>ROUND(C134*(1-Settings!$B$3),2)</f>
        <v>56.89</v>
      </c>
      <c r="F134" s="2" t="inlineStr">
        <is>
          <t>One Piece</t>
        </is>
      </c>
      <c r="G134" s="2" t="inlineStr">
        <is>
          <t>Coffret</t>
        </is>
      </c>
      <c r="H134" s="2" t="inlineStr">
        <is>
          <t>One Piece Promotion Cards</t>
        </is>
      </c>
      <c r="I134" s="3" t="n"/>
      <c r="J134" s="3" t="n">
        <v>81.73999999999999</v>
      </c>
      <c r="K134" s="3" t="n"/>
      <c r="L134" s="3" t="n">
        <v>80.81</v>
      </c>
      <c r="M134" s="2" t="inlineStr">
        <is>
          <t>TCGplayer</t>
        </is>
      </c>
      <c r="O134" s="4" t="inlineStr">
        <is>
          <t>https://www.tcgplayer.com/product/717026</t>
        </is>
      </c>
    </row>
    <row r="135">
      <c r="A135" s="2" t="inlineStr">
        <is>
          <t>Premium Card Collection -Leader Collection-</t>
        </is>
      </c>
      <c r="B135" s="3">
        <f>IF(I135&lt;&gt;"",I135,IF(J135&lt;&gt;"",J135,IF(K135&lt;&gt;"",K135,L135)))</f>
        <v>305.21</v>
      </c>
      <c r="C135" s="3">
        <f>MEDIAN(I135:L135)</f>
        <v>242.6</v>
      </c>
      <c r="D135" s="3">
        <f>ROUND(C135*(1-Settings!$B$2),2)</f>
        <v>169.82</v>
      </c>
      <c r="E135" s="3">
        <f>ROUND(C135*(1-Settings!$B$3),2)</f>
        <v>169.82</v>
      </c>
      <c r="F135" s="2" t="inlineStr">
        <is>
          <t>One Piece</t>
        </is>
      </c>
      <c r="G135" s="2" t="inlineStr">
        <is>
          <t>Coffret</t>
        </is>
      </c>
      <c r="H135" s="2" t="inlineStr">
        <is>
          <t>One Piece Promotion Cards</t>
        </is>
      </c>
      <c r="I135" s="3" t="n"/>
      <c r="J135" s="3" t="n">
        <v>305.21</v>
      </c>
      <c r="K135" s="3" t="n"/>
      <c r="L135" s="3" t="n">
        <v>179.99</v>
      </c>
      <c r="M135" s="2" t="inlineStr">
        <is>
          <t>TCGplayer</t>
        </is>
      </c>
      <c r="O135" s="4" t="inlineStr">
        <is>
          <t>https://www.tcgplayer.com/product/566951</t>
        </is>
      </c>
    </row>
    <row r="136">
      <c r="A136" s="2" t="inlineStr">
        <is>
          <t>Premium Card Collection -Live Action Edition-</t>
        </is>
      </c>
      <c r="B136" s="3">
        <f>IF(I136&lt;&gt;"",I136,IF(J136&lt;&gt;"",J136,IF(K136&lt;&gt;"",K136,L136)))</f>
        <v>105.86</v>
      </c>
      <c r="C136" s="3">
        <f>MEDIAN(I136:L136)</f>
        <v>102.43</v>
      </c>
      <c r="D136" s="3">
        <f>ROUND(C136*(1-Settings!$B$2),2)</f>
        <v>71.7</v>
      </c>
      <c r="E136" s="3">
        <f>ROUND(C136*(1-Settings!$B$3),2)</f>
        <v>71.7</v>
      </c>
      <c r="F136" s="2" t="inlineStr">
        <is>
          <t>One Piece</t>
        </is>
      </c>
      <c r="G136" s="2" t="inlineStr">
        <is>
          <t>Coffret</t>
        </is>
      </c>
      <c r="H136" s="2" t="inlineStr">
        <is>
          <t>One Piece Promotion Cards</t>
        </is>
      </c>
      <c r="I136" s="3" t="n"/>
      <c r="J136" s="3" t="n">
        <v>105.86</v>
      </c>
      <c r="K136" s="3" t="n"/>
      <c r="L136" s="3" t="n">
        <v>99</v>
      </c>
      <c r="M136" s="2" t="inlineStr">
        <is>
          <t>TCGplayer</t>
        </is>
      </c>
      <c r="O136" s="4" t="inlineStr">
        <is>
          <t>https://www.tcgplayer.com/product/527128</t>
        </is>
      </c>
    </row>
    <row r="137">
      <c r="A137" s="2" t="inlineStr">
        <is>
          <t>Premium Card Collection -ONE PIECE FILM RED Edition-</t>
        </is>
      </c>
      <c r="B137" s="3">
        <f>IF(I137&lt;&gt;"",I137,IF(J137&lt;&gt;"",J137,IF(K137&lt;&gt;"",K137,L137)))</f>
        <v>235.77</v>
      </c>
      <c r="C137" s="3">
        <f>MEDIAN(I137:L137)</f>
        <v>223.385</v>
      </c>
      <c r="D137" s="3">
        <f>ROUND(C137*(1-Settings!$B$2),2)</f>
        <v>156.37</v>
      </c>
      <c r="E137" s="3">
        <f>ROUND(C137*(1-Settings!$B$3),2)</f>
        <v>156.37</v>
      </c>
      <c r="F137" s="2" t="inlineStr">
        <is>
          <t>One Piece</t>
        </is>
      </c>
      <c r="G137" s="2" t="inlineStr">
        <is>
          <t>Coffret</t>
        </is>
      </c>
      <c r="H137" s="2" t="inlineStr">
        <is>
          <t>One Piece Promotion Cards</t>
        </is>
      </c>
      <c r="I137" s="3" t="n"/>
      <c r="J137" s="3" t="n">
        <v>235.77</v>
      </c>
      <c r="K137" s="3" t="n"/>
      <c r="L137" s="3" t="n">
        <v>211</v>
      </c>
      <c r="M137" s="2" t="inlineStr">
        <is>
          <t>TCGplayer</t>
        </is>
      </c>
      <c r="O137" s="4" t="inlineStr">
        <is>
          <t>https://www.tcgplayer.com/product/504466</t>
        </is>
      </c>
    </row>
    <row r="138">
      <c r="A138" s="2" t="inlineStr">
        <is>
          <t>Premium Card Collection -Uta-</t>
        </is>
      </c>
      <c r="B138" s="3">
        <f>IF(I138&lt;&gt;"",I138,IF(J138&lt;&gt;"",J138,IF(K138&lt;&gt;"",K138,L138)))</f>
        <v>128.93</v>
      </c>
      <c r="C138" s="3">
        <f>MEDIAN(I138:L138)</f>
        <v>104.46000000000001</v>
      </c>
      <c r="D138" s="3">
        <f>ROUND(C138*(1-Settings!$B$2),2)</f>
        <v>73.12</v>
      </c>
      <c r="E138" s="3">
        <f>ROUND(C138*(1-Settings!$B$3),2)</f>
        <v>73.12</v>
      </c>
      <c r="F138" s="2" t="inlineStr">
        <is>
          <t>One Piece</t>
        </is>
      </c>
      <c r="G138" s="2" t="inlineStr">
        <is>
          <t>Coffret</t>
        </is>
      </c>
      <c r="H138" s="2" t="inlineStr">
        <is>
          <t>One Piece Promotion Cards</t>
        </is>
      </c>
      <c r="I138" s="3" t="n"/>
      <c r="J138" s="3" t="n">
        <v>128.93</v>
      </c>
      <c r="K138" s="3" t="n"/>
      <c r="L138" s="3" t="n">
        <v>79.98999999999999</v>
      </c>
      <c r="M138" s="2" t="inlineStr">
        <is>
          <t>TCGplayer</t>
        </is>
      </c>
      <c r="O138" s="4" t="inlineStr">
        <is>
          <t>https://www.tcgplayer.com/product/538837</t>
        </is>
      </c>
    </row>
    <row r="139">
      <c r="A139" s="2" t="inlineStr">
        <is>
          <t>Premium Card Collection 25th Edition</t>
        </is>
      </c>
      <c r="B139" s="3">
        <f>IF(I139&lt;&gt;"",I139,IF(J139&lt;&gt;"",J139,IF(K139&lt;&gt;"",K139,L139)))</f>
        <v>684.06</v>
      </c>
      <c r="C139" s="3">
        <f>MEDIAN(I139:L139)</f>
        <v>366.47499999999997</v>
      </c>
      <c r="D139" s="3">
        <f>ROUND(C139*(1-Settings!$B$2),2)</f>
        <v>256.53</v>
      </c>
      <c r="E139" s="3">
        <f>ROUND(C139*(1-Settings!$B$3),2)</f>
        <v>256.53</v>
      </c>
      <c r="F139" s="2" t="inlineStr">
        <is>
          <t>One Piece</t>
        </is>
      </c>
      <c r="G139" s="2" t="inlineStr">
        <is>
          <t>Coffret</t>
        </is>
      </c>
      <c r="H139" s="2" t="inlineStr">
        <is>
          <t>One Piece Promotion Cards</t>
        </is>
      </c>
      <c r="I139" s="3" t="n"/>
      <c r="J139" s="3" t="n">
        <v>684.0599999999999</v>
      </c>
      <c r="K139" s="3" t="n"/>
      <c r="L139" s="3" t="n">
        <v>48.89</v>
      </c>
      <c r="M139" s="2" t="inlineStr">
        <is>
          <t>TCGplayer</t>
        </is>
      </c>
      <c r="O139" s="4" t="inlineStr">
        <is>
          <t>https://www.tcgplayer.com/product/485271</t>
        </is>
      </c>
    </row>
    <row r="140">
      <c r="A140" s="2" t="inlineStr">
        <is>
          <t>Sealed Battle Kit Vol. 1</t>
        </is>
      </c>
      <c r="B140" s="3">
        <f>IF(I140&lt;&gt;"",I140,IF(J140&lt;&gt;"",J140,IF(K140&lt;&gt;"",K140,L140)))</f>
        <v>46.48</v>
      </c>
      <c r="C140" s="3">
        <f>MEDIAN(I140:L140)</f>
        <v>43.239999999999995</v>
      </c>
      <c r="D140" s="3">
        <f>ROUND(C140*(1-Settings!$B$2),2)</f>
        <v>30.27</v>
      </c>
      <c r="E140" s="3">
        <f>ROUND(C140*(1-Settings!$B$3),2)</f>
        <v>30.27</v>
      </c>
      <c r="F140" s="2" t="inlineStr">
        <is>
          <t>One Piece</t>
        </is>
      </c>
      <c r="G140" s="2" t="inlineStr">
        <is>
          <t>Coffret</t>
        </is>
      </c>
      <c r="H140" s="2" t="inlineStr">
        <is>
          <t>One Piece Promotion Cards</t>
        </is>
      </c>
      <c r="I140" s="3" t="n"/>
      <c r="J140" s="3" t="n">
        <v>46.48</v>
      </c>
      <c r="K140" s="3" t="n"/>
      <c r="L140" s="3" t="n">
        <v>40</v>
      </c>
      <c r="M140" s="2" t="inlineStr">
        <is>
          <t>TCGplayer</t>
        </is>
      </c>
      <c r="O140" s="4" t="inlineStr">
        <is>
          <t>https://www.tcgplayer.com/product/518704</t>
        </is>
      </c>
    </row>
    <row r="141">
      <c r="A141" s="2" t="inlineStr">
        <is>
          <t>Special DON!! Set Vol. 1 -Luffy-</t>
        </is>
      </c>
      <c r="B141" s="3">
        <f>IF(I141&lt;&gt;"",I141,IF(J141&lt;&gt;"",J141,IF(K141&lt;&gt;"",K141,L141)))</f>
        <v>64.1</v>
      </c>
      <c r="C141" s="3">
        <f>MEDIAN(I141:L141)</f>
        <v>69.55</v>
      </c>
      <c r="D141" s="3">
        <f>ROUND(C141*(1-Settings!$B$2),2)</f>
        <v>48.69</v>
      </c>
      <c r="E141" s="3">
        <f>ROUND(C141*(1-Settings!$B$3),2)</f>
        <v>48.69</v>
      </c>
      <c r="F141" s="2" t="inlineStr">
        <is>
          <t>One Piece</t>
        </is>
      </c>
      <c r="G141" s="2" t="inlineStr">
        <is>
          <t>Coffret</t>
        </is>
      </c>
      <c r="H141" s="2" t="inlineStr">
        <is>
          <t>One Piece Promotion Cards</t>
        </is>
      </c>
      <c r="I141" s="3" t="n"/>
      <c r="J141" s="3" t="n">
        <v>64.09999999999999</v>
      </c>
      <c r="K141" s="3" t="n"/>
      <c r="L141" s="3" t="n">
        <v>75</v>
      </c>
      <c r="M141" s="2" t="inlineStr">
        <is>
          <t>TCGplayer</t>
        </is>
      </c>
      <c r="O141" s="4" t="inlineStr">
        <is>
          <t>https://www.tcgplayer.com/product/620141</t>
        </is>
      </c>
    </row>
    <row r="142">
      <c r="A142" s="2" t="inlineStr">
        <is>
          <t>Special DON!! Set Vol. 1-3 [Set of 3]</t>
        </is>
      </c>
      <c r="B142" s="3">
        <f>IF(I142&lt;&gt;"",I142,IF(J142&lt;&gt;"",J142,IF(K142&lt;&gt;"",K142,L142)))</f>
        <v>166.83</v>
      </c>
      <c r="C142" s="3">
        <f>MEDIAN(I142:L142)</f>
        <v>188.41500000000002</v>
      </c>
      <c r="D142" s="3">
        <f>ROUND(C142*(1-Settings!$B$2),2)</f>
        <v>131.89</v>
      </c>
      <c r="E142" s="3">
        <f>ROUND(C142*(1-Settings!$B$3),2)</f>
        <v>131.89</v>
      </c>
      <c r="F142" s="2" t="inlineStr">
        <is>
          <t>One Piece</t>
        </is>
      </c>
      <c r="G142" s="2" t="inlineStr">
        <is>
          <t>Coffret</t>
        </is>
      </c>
      <c r="H142" s="2" t="inlineStr">
        <is>
          <t>One Piece Promotion Cards</t>
        </is>
      </c>
      <c r="I142" s="3" t="n"/>
      <c r="J142" s="3" t="n">
        <v>166.83</v>
      </c>
      <c r="K142" s="3" t="n"/>
      <c r="L142" s="3" t="n">
        <v>210</v>
      </c>
      <c r="M142" s="2" t="inlineStr">
        <is>
          <t>TCGplayer</t>
        </is>
      </c>
      <c r="O142" s="4" t="inlineStr">
        <is>
          <t>https://www.tcgplayer.com/product/620144</t>
        </is>
      </c>
    </row>
    <row r="143">
      <c r="A143" s="2" t="inlineStr">
        <is>
          <t>Special DON!! Set Vol. 2 -Ace-</t>
        </is>
      </c>
      <c r="B143" s="3">
        <f>IF(I143&lt;&gt;"",I143,IF(J143&lt;&gt;"",J143,IF(K143&lt;&gt;"",K143,L143)))</f>
        <v>49.07</v>
      </c>
      <c r="C143" s="3">
        <f>MEDIAN(I143:L143)</f>
        <v>62.03</v>
      </c>
      <c r="D143" s="3">
        <f>ROUND(C143*(1-Settings!$B$2),2)</f>
        <v>43.42</v>
      </c>
      <c r="E143" s="3">
        <f>ROUND(C143*(1-Settings!$B$3),2)</f>
        <v>43.42</v>
      </c>
      <c r="F143" s="2" t="inlineStr">
        <is>
          <t>One Piece</t>
        </is>
      </c>
      <c r="G143" s="2" t="inlineStr">
        <is>
          <t>Coffret</t>
        </is>
      </c>
      <c r="H143" s="2" t="inlineStr">
        <is>
          <t>One Piece Promotion Cards</t>
        </is>
      </c>
      <c r="I143" s="3" t="n"/>
      <c r="J143" s="3" t="n">
        <v>49.07</v>
      </c>
      <c r="K143" s="3" t="n"/>
      <c r="L143" s="3" t="n">
        <v>74.98999999999999</v>
      </c>
      <c r="M143" s="2" t="inlineStr">
        <is>
          <t>TCGplayer</t>
        </is>
      </c>
      <c r="O143" s="4" t="inlineStr">
        <is>
          <t>https://www.tcgplayer.com/product/620142</t>
        </is>
      </c>
    </row>
    <row r="144">
      <c r="A144" s="2" t="inlineStr">
        <is>
          <t>Special DON!! Set Vol. 3 -Sabo-</t>
        </is>
      </c>
      <c r="B144" s="3">
        <f>IF(I144&lt;&gt;"",I144,IF(J144&lt;&gt;"",J144,IF(K144&lt;&gt;"",K144,L144)))</f>
        <v>40.76</v>
      </c>
      <c r="C144" s="3">
        <f>MEDIAN(I144:L144)</f>
        <v>57.875</v>
      </c>
      <c r="D144" s="3">
        <f>ROUND(C144*(1-Settings!$B$2),2)</f>
        <v>40.51</v>
      </c>
      <c r="E144" s="3">
        <f>ROUND(C144*(1-Settings!$B$3),2)</f>
        <v>40.51</v>
      </c>
      <c r="F144" s="2" t="inlineStr">
        <is>
          <t>One Piece</t>
        </is>
      </c>
      <c r="G144" s="2" t="inlineStr">
        <is>
          <t>Coffret</t>
        </is>
      </c>
      <c r="H144" s="2" t="inlineStr">
        <is>
          <t>One Piece Promotion Cards</t>
        </is>
      </c>
      <c r="I144" s="3" t="n"/>
      <c r="J144" s="3" t="n">
        <v>40.76</v>
      </c>
      <c r="K144" s="3" t="n"/>
      <c r="L144" s="3" t="n">
        <v>74.98999999999999</v>
      </c>
      <c r="M144" s="2" t="inlineStr">
        <is>
          <t>TCGplayer</t>
        </is>
      </c>
      <c r="O144" s="4" t="inlineStr">
        <is>
          <t>https://www.tcgplayer.com/product/620143</t>
        </is>
      </c>
    </row>
    <row r="145">
      <c r="A145" s="2" t="inlineStr">
        <is>
          <t>Treasure Booster Set</t>
        </is>
      </c>
      <c r="B145" s="3">
        <f>IF(I145&lt;&gt;"",I145,IF(J145&lt;&gt;"",J145,IF(K145&lt;&gt;"",K145,L145)))</f>
        <v>195.53</v>
      </c>
      <c r="C145" s="3">
        <f>MEDIAN(I145:L145)</f>
        <v>188.235</v>
      </c>
      <c r="D145" s="3">
        <f>ROUND(C145*(1-Settings!$B$2),2)</f>
        <v>131.76</v>
      </c>
      <c r="E145" s="3">
        <f>ROUND(C145*(1-Settings!$B$3),2)</f>
        <v>131.76</v>
      </c>
      <c r="F145" s="2" t="inlineStr">
        <is>
          <t>One Piece</t>
        </is>
      </c>
      <c r="G145" s="2" t="inlineStr">
        <is>
          <t>Coffret</t>
        </is>
      </c>
      <c r="H145" s="2" t="inlineStr">
        <is>
          <t>One Piece Promotion Cards</t>
        </is>
      </c>
      <c r="I145" s="3" t="n"/>
      <c r="J145" s="3" t="n">
        <v>195.53</v>
      </c>
      <c r="K145" s="3" t="n"/>
      <c r="L145" s="3" t="n">
        <v>180.94</v>
      </c>
      <c r="M145" s="2" t="inlineStr">
        <is>
          <t>TCGplayer</t>
        </is>
      </c>
      <c r="O145" s="4" t="inlineStr">
        <is>
          <t>https://www.tcgplayer.com/product/565285</t>
        </is>
      </c>
    </row>
    <row r="146">
      <c r="A146" s="2" t="inlineStr">
        <is>
          <t>Box Promotion Pack</t>
        </is>
      </c>
      <c r="B146" s="3">
        <f>IF(I146&lt;&gt;"",I146,IF(J146&lt;&gt;"",J146,IF(K146&lt;&gt;"",K146,L146)))</f>
        <v>21.49</v>
      </c>
      <c r="C146" s="3">
        <f>MEDIAN(I146:L146)</f>
        <v>21.49</v>
      </c>
      <c r="D146" s="3">
        <f>ROUND(C146*(1-Settings!$B$2),2)</f>
        <v>15.04</v>
      </c>
      <c r="E146" s="3">
        <f>ROUND(C146*(1-Settings!$B$3),2)</f>
        <v>15.04</v>
      </c>
      <c r="F146" s="2" t="inlineStr">
        <is>
          <t>One Piece</t>
        </is>
      </c>
      <c r="G146" s="2" t="inlineStr">
        <is>
          <t>Coffret</t>
        </is>
      </c>
      <c r="H146" s="2" t="inlineStr">
        <is>
          <t>Paramount War</t>
        </is>
      </c>
      <c r="I146" s="3" t="n">
        <v>21.49</v>
      </c>
      <c r="J146" s="3" t="n">
        <v>22.9</v>
      </c>
      <c r="K146" s="3" t="n"/>
      <c r="L146" s="3" t="n">
        <v>20.01</v>
      </c>
      <c r="M146" s="2" t="inlineStr">
        <is>
          <t>PriceCharting + TCGplayer</t>
        </is>
      </c>
      <c r="N146" s="4" t="inlineStr">
        <is>
          <t>https://www.pricecharting.com/game/one-piece-paramount-war/box-promotion-pack</t>
        </is>
      </c>
      <c r="O146" s="4" t="inlineStr">
        <is>
          <t>https://www.tcgplayer.com/product/488298</t>
        </is>
      </c>
    </row>
    <row r="147">
      <c r="A147" s="2" t="inlineStr">
        <is>
          <t>Passage To The Grand Line Wapol, the Tin Tyrant CH059</t>
        </is>
      </c>
      <c r="B147" s="3">
        <f>IF(I147&lt;&gt;"",I147,IF(J147&lt;&gt;"",J147,IF(K147&lt;&gt;"",K147,L147)))</f>
        <v>65.64</v>
      </c>
      <c r="C147" s="3">
        <f>MEDIAN(I147:L147)</f>
        <v>65.64</v>
      </c>
      <c r="D147" s="3">
        <f>ROUND(C147*(1-Settings!$B$2),2)</f>
        <v>45.95</v>
      </c>
      <c r="E147" s="3">
        <f>ROUND(C147*(1-Settings!$B$3),2)</f>
        <v>45.95</v>
      </c>
      <c r="F147" s="2" t="inlineStr">
        <is>
          <t>One Piece</t>
        </is>
      </c>
      <c r="G147" s="2" t="inlineStr">
        <is>
          <t>Coffret</t>
        </is>
      </c>
      <c r="H147" s="2" t="inlineStr">
        <is>
          <t>Passage To The Grand Line</t>
        </is>
      </c>
      <c r="I147" s="3" t="n">
        <v>65.64</v>
      </c>
      <c r="J147" s="3" t="n"/>
      <c r="K147" s="3" t="n"/>
      <c r="L147" s="3" t="n"/>
      <c r="M147" s="2" t="inlineStr">
        <is>
          <t>PriceCharting</t>
        </is>
      </c>
      <c r="N147" s="4" t="inlineStr">
        <is>
          <t>https://www.pricecharting.com/game/one-piece-passage-to-the-grand-line/wapol-the-tin-tyrant-ch059</t>
        </is>
      </c>
    </row>
    <row r="148">
      <c r="A148" s="2" t="inlineStr">
        <is>
          <t>Promo 2nd Anniversary Set</t>
        </is>
      </c>
      <c r="B148" s="3">
        <f>IF(I148&lt;&gt;"",I148,IF(J148&lt;&gt;"",J148,IF(K148&lt;&gt;"",K148,L148)))</f>
        <v>62.24</v>
      </c>
      <c r="C148" s="3">
        <f>MEDIAN(I148:L148)</f>
        <v>62.24</v>
      </c>
      <c r="D148" s="3">
        <f>ROUND(C148*(1-Settings!$B$2),2)</f>
        <v>43.57</v>
      </c>
      <c r="E148" s="3">
        <f>ROUND(C148*(1-Settings!$B$3),2)</f>
        <v>43.57</v>
      </c>
      <c r="F148" s="2" t="inlineStr">
        <is>
          <t>One Piece</t>
        </is>
      </c>
      <c r="G148" s="2" t="inlineStr">
        <is>
          <t>Coffret</t>
        </is>
      </c>
      <c r="H148" s="2" t="inlineStr">
        <is>
          <t>Promo</t>
        </is>
      </c>
      <c r="I148" s="3" t="n">
        <v>62.24</v>
      </c>
      <c r="J148" s="3" t="n"/>
      <c r="K148" s="3" t="n"/>
      <c r="L148" s="3" t="n"/>
      <c r="M148" s="2" t="inlineStr">
        <is>
          <t>PriceCharting</t>
        </is>
      </c>
      <c r="N148" s="4" t="inlineStr">
        <is>
          <t>https://www.pricecharting.com/game/one-piece-promo/2nd-anniversary-set</t>
        </is>
      </c>
    </row>
    <row r="149">
      <c r="A149" s="2" t="inlineStr">
        <is>
          <t>Promo Devil Fruits Collection Vol. 1</t>
        </is>
      </c>
      <c r="B149" s="3">
        <f>IF(I149&lt;&gt;"",I149,IF(J149&lt;&gt;"",J149,IF(K149&lt;&gt;"",K149,L149)))</f>
        <v>149.97</v>
      </c>
      <c r="C149" s="3">
        <f>MEDIAN(I149:L149)</f>
        <v>149.97</v>
      </c>
      <c r="D149" s="3">
        <f>ROUND(C149*(1-Settings!$B$2),2)</f>
        <v>104.98</v>
      </c>
      <c r="E149" s="3">
        <f>ROUND(C149*(1-Settings!$B$3),2)</f>
        <v>104.98</v>
      </c>
      <c r="F149" s="2" t="inlineStr">
        <is>
          <t>One Piece</t>
        </is>
      </c>
      <c r="G149" s="2" t="inlineStr">
        <is>
          <t>Coffret</t>
        </is>
      </c>
      <c r="H149" s="2" t="inlineStr">
        <is>
          <t>Promo</t>
        </is>
      </c>
      <c r="I149" s="3" t="n">
        <v>149.97</v>
      </c>
      <c r="J149" s="3" t="n"/>
      <c r="K149" s="3" t="n"/>
      <c r="L149" s="3" t="n"/>
      <c r="M149" s="2" t="inlineStr">
        <is>
          <t>PriceCharting</t>
        </is>
      </c>
      <c r="N149" s="4" t="inlineStr">
        <is>
          <t>https://www.pricecharting.com/game/one-piece-promo/devil-fruits-collection-vol-1</t>
        </is>
      </c>
    </row>
    <row r="150">
      <c r="A150" s="2" t="inlineStr">
        <is>
          <t>Promo Devil Fruits Collection Vol. 2</t>
        </is>
      </c>
      <c r="B150" s="3">
        <f>IF(I150&lt;&gt;"",I150,IF(J150&lt;&gt;"",J150,IF(K150&lt;&gt;"",K150,L150)))</f>
        <v>75.0</v>
      </c>
      <c r="C150" s="3">
        <f>MEDIAN(I150:L150)</f>
        <v>75.0</v>
      </c>
      <c r="D150" s="3">
        <f>ROUND(C150*(1-Settings!$B$2),2)</f>
        <v>52.5</v>
      </c>
      <c r="E150" s="3">
        <f>ROUND(C150*(1-Settings!$B$3),2)</f>
        <v>52.5</v>
      </c>
      <c r="F150" s="2" t="inlineStr">
        <is>
          <t>One Piece</t>
        </is>
      </c>
      <c r="G150" s="2" t="inlineStr">
        <is>
          <t>Coffret</t>
        </is>
      </c>
      <c r="H150" s="2" t="inlineStr">
        <is>
          <t>Promo</t>
        </is>
      </c>
      <c r="I150" s="3" t="n">
        <v>75</v>
      </c>
      <c r="J150" s="3" t="n"/>
      <c r="K150" s="3" t="n"/>
      <c r="L150" s="3" t="n"/>
      <c r="M150" s="2" t="inlineStr">
        <is>
          <t>PriceCharting</t>
        </is>
      </c>
      <c r="N150" s="4" t="inlineStr">
        <is>
          <t>https://www.pricecharting.com/game/one-piece-promo/devil-fruits-collection-vol-2</t>
        </is>
      </c>
    </row>
    <row r="151">
      <c r="A151" s="2" t="inlineStr">
        <is>
          <t>Promo Devil Fruits Collection Vol. 3</t>
        </is>
      </c>
      <c r="B151" s="3">
        <f>IF(I151&lt;&gt;"",I151,IF(J151&lt;&gt;"",J151,IF(K151&lt;&gt;"",K151,L151)))</f>
        <v>59.0</v>
      </c>
      <c r="C151" s="3">
        <f>MEDIAN(I151:L151)</f>
        <v>59.0</v>
      </c>
      <c r="D151" s="3">
        <f>ROUND(C151*(1-Settings!$B$2),2)</f>
        <v>41.3</v>
      </c>
      <c r="E151" s="3">
        <f>ROUND(C151*(1-Settings!$B$3),2)</f>
        <v>41.3</v>
      </c>
      <c r="F151" s="2" t="inlineStr">
        <is>
          <t>One Piece</t>
        </is>
      </c>
      <c r="G151" s="2" t="inlineStr">
        <is>
          <t>Coffret</t>
        </is>
      </c>
      <c r="H151" s="2" t="inlineStr">
        <is>
          <t>Promo</t>
        </is>
      </c>
      <c r="I151" s="3" t="n">
        <v>59</v>
      </c>
      <c r="J151" s="3" t="n"/>
      <c r="K151" s="3" t="n"/>
      <c r="L151" s="3" t="n"/>
      <c r="M151" s="2" t="inlineStr">
        <is>
          <t>PriceCharting</t>
        </is>
      </c>
      <c r="N151" s="4" t="inlineStr">
        <is>
          <t>https://www.pricecharting.com/game/one-piece-promo/devil-fruits-collection-vol-3</t>
        </is>
      </c>
    </row>
    <row r="152">
      <c r="A152" s="2" t="inlineStr">
        <is>
          <t>Promo Illustration Box Volume 01</t>
        </is>
      </c>
      <c r="B152" s="3">
        <f>IF(I152&lt;&gt;"",I152,IF(J152&lt;&gt;"",J152,IF(K152&lt;&gt;"",K152,L152)))</f>
        <v>186.3</v>
      </c>
      <c r="C152" s="3">
        <f>MEDIAN(I152:L152)</f>
        <v>186.3</v>
      </c>
      <c r="D152" s="3">
        <f>ROUND(C152*(1-Settings!$B$2),2)</f>
        <v>130.41</v>
      </c>
      <c r="E152" s="3">
        <f>ROUND(C152*(1-Settings!$B$3),2)</f>
        <v>130.41</v>
      </c>
      <c r="F152" s="2" t="inlineStr">
        <is>
          <t>One Piece</t>
        </is>
      </c>
      <c r="G152" s="2" t="inlineStr">
        <is>
          <t>Coffret</t>
        </is>
      </c>
      <c r="H152" s="2" t="inlineStr">
        <is>
          <t>Promo</t>
        </is>
      </c>
      <c r="I152" s="3" t="n">
        <v>186.3</v>
      </c>
      <c r="J152" s="3" t="n"/>
      <c r="K152" s="3" t="n"/>
      <c r="L152" s="3" t="n"/>
      <c r="M152" s="2" t="inlineStr">
        <is>
          <t>PriceCharting</t>
        </is>
      </c>
      <c r="N152" s="4" t="inlineStr">
        <is>
          <t>https://www.pricecharting.com/game/one-piece-promo/illustration-box-volume-01</t>
        </is>
      </c>
    </row>
    <row r="153">
      <c r="A153" s="2" t="inlineStr">
        <is>
          <t>Promo Illustration Box Volume 02</t>
        </is>
      </c>
      <c r="B153" s="3">
        <f>IF(I153&lt;&gt;"",I153,IF(J153&lt;&gt;"",J153,IF(K153&lt;&gt;"",K153,L153)))</f>
        <v>140.79</v>
      </c>
      <c r="C153" s="3">
        <f>MEDIAN(I153:L153)</f>
        <v>140.79</v>
      </c>
      <c r="D153" s="3">
        <f>ROUND(C153*(1-Settings!$B$2),2)</f>
        <v>98.55</v>
      </c>
      <c r="E153" s="3">
        <f>ROUND(C153*(1-Settings!$B$3),2)</f>
        <v>98.55</v>
      </c>
      <c r="F153" s="2" t="inlineStr">
        <is>
          <t>One Piece</t>
        </is>
      </c>
      <c r="G153" s="2" t="inlineStr">
        <is>
          <t>Coffret</t>
        </is>
      </c>
      <c r="H153" s="2" t="inlineStr">
        <is>
          <t>Promo</t>
        </is>
      </c>
      <c r="I153" s="3" t="n">
        <v>140.79</v>
      </c>
      <c r="J153" s="3" t="n"/>
      <c r="K153" s="3" t="n"/>
      <c r="L153" s="3" t="n"/>
      <c r="M153" s="2" t="inlineStr">
        <is>
          <t>PriceCharting</t>
        </is>
      </c>
      <c r="N153" s="4" t="inlineStr">
        <is>
          <t>https://www.pricecharting.com/game/one-piece-promo/illustration-box-volume-02</t>
        </is>
      </c>
    </row>
    <row r="154">
      <c r="A154" s="2" t="inlineStr">
        <is>
          <t>Promo Premium Card Collection [25th Edition]</t>
        </is>
      </c>
      <c r="B154" s="3">
        <f>IF(I154&lt;&gt;"",I154,IF(J154&lt;&gt;"",J154,IF(K154&lt;&gt;"",K154,L154)))</f>
        <v>508.96</v>
      </c>
      <c r="C154" s="3">
        <f>MEDIAN(I154:L154)</f>
        <v>508.96</v>
      </c>
      <c r="D154" s="3">
        <f>ROUND(C154*(1-Settings!$B$2),2)</f>
        <v>356.27</v>
      </c>
      <c r="E154" s="3">
        <f>ROUND(C154*(1-Settings!$B$3),2)</f>
        <v>356.27</v>
      </c>
      <c r="F154" s="2" t="inlineStr">
        <is>
          <t>One Piece</t>
        </is>
      </c>
      <c r="G154" s="2" t="inlineStr">
        <is>
          <t>Coffret</t>
        </is>
      </c>
      <c r="H154" s="2" t="inlineStr">
        <is>
          <t>Promo</t>
        </is>
      </c>
      <c r="I154" s="3" t="n">
        <v>508.96</v>
      </c>
      <c r="J154" s="3" t="n"/>
      <c r="K154" s="3" t="n"/>
      <c r="L154" s="3" t="n"/>
      <c r="M154" s="2" t="inlineStr">
        <is>
          <t>PriceCharting</t>
        </is>
      </c>
      <c r="N154" s="4" t="inlineStr">
        <is>
          <t>https://www.pricecharting.com/game/one-piece-promo/premium-card-collection-25th-edition</t>
        </is>
      </c>
    </row>
    <row r="155">
      <c r="A155" s="2" t="inlineStr">
        <is>
          <t>Promo Premium Card Collection [6 Assort Vol.1]</t>
        </is>
      </c>
      <c r="B155" s="3">
        <f>IF(I155&lt;&gt;"",I155,IF(J155&lt;&gt;"",J155,IF(K155&lt;&gt;"",K155,L155)))</f>
        <v>239.0</v>
      </c>
      <c r="C155" s="3">
        <f>MEDIAN(I155:L155)</f>
        <v>239.0</v>
      </c>
      <c r="D155" s="3">
        <f>ROUND(C155*(1-Settings!$B$2),2)</f>
        <v>167.3</v>
      </c>
      <c r="E155" s="3">
        <f>ROUND(C155*(1-Settings!$B$3),2)</f>
        <v>167.3</v>
      </c>
      <c r="F155" s="2" t="inlineStr">
        <is>
          <t>One Piece</t>
        </is>
      </c>
      <c r="G155" s="2" t="inlineStr">
        <is>
          <t>Coffret</t>
        </is>
      </c>
      <c r="H155" s="2" t="inlineStr">
        <is>
          <t>Promo</t>
        </is>
      </c>
      <c r="I155" s="3" t="n">
        <v>239</v>
      </c>
      <c r="J155" s="3" t="n"/>
      <c r="K155" s="3" t="n"/>
      <c r="L155" s="3" t="n"/>
      <c r="M155" s="2" t="inlineStr">
        <is>
          <t>PriceCharting</t>
        </is>
      </c>
      <c r="N155" s="4" t="inlineStr">
        <is>
          <t>https://www.pricecharting.com/game/one-piece-promo/premium-card-collection-6-assort-vol1</t>
        </is>
      </c>
    </row>
    <row r="156">
      <c r="A156" s="2" t="inlineStr">
        <is>
          <t>Promo Premium Card Collection [Best Selection]</t>
        </is>
      </c>
      <c r="B156" s="3">
        <f>IF(I156&lt;&gt;"",I156,IF(J156&lt;&gt;"",J156,IF(K156&lt;&gt;"",K156,L156)))</f>
        <v>88.0</v>
      </c>
      <c r="C156" s="3">
        <f>MEDIAN(I156:L156)</f>
        <v>88.0</v>
      </c>
      <c r="D156" s="3">
        <f>ROUND(C156*(1-Settings!$B$2),2)</f>
        <v>61.6</v>
      </c>
      <c r="E156" s="3">
        <f>ROUND(C156*(1-Settings!$B$3),2)</f>
        <v>61.6</v>
      </c>
      <c r="F156" s="2" t="inlineStr">
        <is>
          <t>One Piece</t>
        </is>
      </c>
      <c r="G156" s="2" t="inlineStr">
        <is>
          <t>Coffret</t>
        </is>
      </c>
      <c r="H156" s="2" t="inlineStr">
        <is>
          <t>Promo</t>
        </is>
      </c>
      <c r="I156" s="3" t="n">
        <v>88</v>
      </c>
      <c r="J156" s="3" t="n"/>
      <c r="K156" s="3" t="n"/>
      <c r="L156" s="3" t="n"/>
      <c r="M156" s="2" t="inlineStr">
        <is>
          <t>PriceCharting</t>
        </is>
      </c>
      <c r="N156" s="4" t="inlineStr">
        <is>
          <t>https://www.pricecharting.com/game/one-piece-promo/premium-card-collection-best-selection</t>
        </is>
      </c>
    </row>
    <row r="157">
      <c r="A157" s="2" t="inlineStr">
        <is>
          <t>Promo Premium Card Collection [Live Action Edition]</t>
        </is>
      </c>
      <c r="B157" s="3">
        <f>IF(I157&lt;&gt;"",I157,IF(J157&lt;&gt;"",J157,IF(K157&lt;&gt;"",K157,L157)))</f>
        <v>4.11</v>
      </c>
      <c r="C157" s="3">
        <f>MEDIAN(I157:L157)</f>
        <v>4.11</v>
      </c>
      <c r="D157" s="3">
        <f>ROUND(C157*(1-Settings!$B$2),2)</f>
        <v>2.88</v>
      </c>
      <c r="E157" s="3">
        <f>ROUND(C157*(1-Settings!$B$3),2)</f>
        <v>2.88</v>
      </c>
      <c r="F157" s="2" t="inlineStr">
        <is>
          <t>One Piece</t>
        </is>
      </c>
      <c r="G157" s="2" t="inlineStr">
        <is>
          <t>Coffret</t>
        </is>
      </c>
      <c r="H157" s="2" t="inlineStr">
        <is>
          <t>Promo</t>
        </is>
      </c>
      <c r="I157" s="3" t="n">
        <v>4.11</v>
      </c>
      <c r="J157" s="3" t="n"/>
      <c r="K157" s="3" t="n"/>
      <c r="L157" s="3" t="n"/>
      <c r="M157" s="2" t="inlineStr">
        <is>
          <t>PriceCharting</t>
        </is>
      </c>
      <c r="N157" s="4" t="inlineStr">
        <is>
          <t>https://www.pricecharting.com/game/one-piece-promo/premium-card-collection-live-action-edition</t>
        </is>
      </c>
    </row>
    <row r="158">
      <c r="A158" s="2" t="inlineStr">
        <is>
          <t>Promo Sealed 1st Anniversary Set</t>
        </is>
      </c>
      <c r="B158" s="3">
        <f>IF(I158&lt;&gt;"",I158,IF(J158&lt;&gt;"",J158,IF(K158&lt;&gt;"",K158,L158)))</f>
        <v>4731.16</v>
      </c>
      <c r="C158" s="3">
        <f>MEDIAN(I158:L158)</f>
        <v>4731.16</v>
      </c>
      <c r="D158" s="3">
        <f>ROUND(C158*(1-Settings!$B$2),2)</f>
        <v>3311.81</v>
      </c>
      <c r="E158" s="3">
        <f>ROUND(C158*(1-Settings!$B$3),2)</f>
        <v>3311.81</v>
      </c>
      <c r="F158" s="2" t="inlineStr">
        <is>
          <t>One Piece</t>
        </is>
      </c>
      <c r="G158" s="2" t="inlineStr">
        <is>
          <t>Coffret</t>
        </is>
      </c>
      <c r="H158" s="2" t="inlineStr">
        <is>
          <t>Promo</t>
        </is>
      </c>
      <c r="I158" s="3" t="n">
        <v>4731.16</v>
      </c>
      <c r="J158" s="3" t="n"/>
      <c r="K158" s="3" t="n"/>
      <c r="L158" s="3" t="n"/>
      <c r="M158" s="2" t="inlineStr">
        <is>
          <t>PriceCharting</t>
        </is>
      </c>
      <c r="N158" s="4" t="inlineStr">
        <is>
          <t>https://www.pricecharting.com/game/one-piece-promo/sealed-1st-anniversary-set</t>
        </is>
      </c>
    </row>
    <row r="159">
      <c r="A159" s="2" t="inlineStr">
        <is>
          <t>Promo Sealed 3rd Anniversary Set</t>
        </is>
      </c>
      <c r="B159" s="3">
        <f>IF(I159&lt;&gt;"",I159,IF(J159&lt;&gt;"",J159,IF(K159&lt;&gt;"",K159,L159)))</f>
        <v>674.68</v>
      </c>
      <c r="C159" s="3">
        <f>MEDIAN(I159:L159)</f>
        <v>674.68</v>
      </c>
      <c r="D159" s="3">
        <f>ROUND(C159*(1-Settings!$B$2),2)</f>
        <v>472.28</v>
      </c>
      <c r="E159" s="3">
        <f>ROUND(C159*(1-Settings!$B$3),2)</f>
        <v>472.28</v>
      </c>
      <c r="F159" s="2" t="inlineStr">
        <is>
          <t>One Piece</t>
        </is>
      </c>
      <c r="G159" s="2" t="inlineStr">
        <is>
          <t>Coffret</t>
        </is>
      </c>
      <c r="H159" s="2" t="inlineStr">
        <is>
          <t>Promo</t>
        </is>
      </c>
      <c r="I159" s="3" t="n">
        <v>674.6799999999999</v>
      </c>
      <c r="J159" s="3" t="n"/>
      <c r="K159" s="3" t="n"/>
      <c r="L159" s="3" t="n"/>
      <c r="M159" s="2" t="inlineStr">
        <is>
          <t>PriceCharting</t>
        </is>
      </c>
      <c r="N159" s="4" t="inlineStr">
        <is>
          <t>https://www.pricecharting.com/game/one-piece-promo/sealed-3rd-anniversary-set</t>
        </is>
      </c>
    </row>
    <row r="160">
      <c r="A160" s="2" t="inlineStr">
        <is>
          <t>Promo Sealed Battle Kit</t>
        </is>
      </c>
      <c r="B160" s="3">
        <f>IF(I160&lt;&gt;"",I160,IF(J160&lt;&gt;"",J160,IF(K160&lt;&gt;"",K160,L160)))</f>
        <v>41.45</v>
      </c>
      <c r="C160" s="3">
        <f>MEDIAN(I160:L160)</f>
        <v>41.45</v>
      </c>
      <c r="D160" s="3">
        <f>ROUND(C160*(1-Settings!$B$2),2)</f>
        <v>29.02</v>
      </c>
      <c r="E160" s="3">
        <f>ROUND(C160*(1-Settings!$B$3),2)</f>
        <v>29.02</v>
      </c>
      <c r="F160" s="2" t="inlineStr">
        <is>
          <t>One Piece</t>
        </is>
      </c>
      <c r="G160" s="2" t="inlineStr">
        <is>
          <t>Coffret</t>
        </is>
      </c>
      <c r="H160" s="2" t="inlineStr">
        <is>
          <t>Promo</t>
        </is>
      </c>
      <c r="I160" s="3" t="n">
        <v>41.45</v>
      </c>
      <c r="J160" s="3" t="n"/>
      <c r="K160" s="3" t="n"/>
      <c r="L160" s="3" t="n"/>
      <c r="M160" s="2" t="inlineStr">
        <is>
          <t>PriceCharting</t>
        </is>
      </c>
      <c r="N160" s="4" t="inlineStr">
        <is>
          <t>https://www.pricecharting.com/game/one-piece-promo/sealed-battle-kit</t>
        </is>
      </c>
    </row>
    <row r="161">
      <c r="A161" s="2" t="inlineStr">
        <is>
          <t>Promo Sealed Gift Collection Box 2023</t>
        </is>
      </c>
      <c r="B161" s="3">
        <f>IF(I161&lt;&gt;"",I161,IF(J161&lt;&gt;"",J161,IF(K161&lt;&gt;"",K161,L161)))</f>
        <v>506.21</v>
      </c>
      <c r="C161" s="3">
        <f>MEDIAN(I161:L161)</f>
        <v>506.21</v>
      </c>
      <c r="D161" s="3">
        <f>ROUND(C161*(1-Settings!$B$2),2)</f>
        <v>354.35</v>
      </c>
      <c r="E161" s="3">
        <f>ROUND(C161*(1-Settings!$B$3),2)</f>
        <v>354.35</v>
      </c>
      <c r="F161" s="2" t="inlineStr">
        <is>
          <t>One Piece</t>
        </is>
      </c>
      <c r="G161" s="2" t="inlineStr">
        <is>
          <t>Coffret</t>
        </is>
      </c>
      <c r="H161" s="2" t="inlineStr">
        <is>
          <t>Promo</t>
        </is>
      </c>
      <c r="I161" s="3" t="n">
        <v>506.21</v>
      </c>
      <c r="J161" s="3" t="n"/>
      <c r="K161" s="3" t="n"/>
      <c r="L161" s="3" t="n"/>
      <c r="M161" s="2" t="inlineStr">
        <is>
          <t>PriceCharting</t>
        </is>
      </c>
      <c r="N161" s="4" t="inlineStr">
        <is>
          <t>https://www.pricecharting.com/game/one-piece-promo/sealed-gift-collection-box-2023</t>
        </is>
      </c>
    </row>
    <row r="162">
      <c r="A162" s="2" t="inlineStr">
        <is>
          <t>Promo Sealed Illustration Box Vol 7</t>
        </is>
      </c>
      <c r="B162" s="3">
        <f>IF(I162&lt;&gt;"",I162,IF(J162&lt;&gt;"",J162,IF(K162&lt;&gt;"",K162,L162)))</f>
        <v>39.34</v>
      </c>
      <c r="C162" s="3">
        <f>MEDIAN(I162:L162)</f>
        <v>39.34</v>
      </c>
      <c r="D162" s="3">
        <f>ROUND(C162*(1-Settings!$B$2),2)</f>
        <v>27.54</v>
      </c>
      <c r="E162" s="3">
        <f>ROUND(C162*(1-Settings!$B$3),2)</f>
        <v>27.54</v>
      </c>
      <c r="F162" s="2" t="inlineStr">
        <is>
          <t>One Piece</t>
        </is>
      </c>
      <c r="G162" s="2" t="inlineStr">
        <is>
          <t>Coffret</t>
        </is>
      </c>
      <c r="H162" s="2" t="inlineStr">
        <is>
          <t>Promo</t>
        </is>
      </c>
      <c r="I162" s="3" t="n">
        <v>39.34</v>
      </c>
      <c r="J162" s="3" t="n"/>
      <c r="K162" s="3" t="n"/>
      <c r="L162" s="3" t="n"/>
      <c r="M162" s="2" t="inlineStr">
        <is>
          <t>PriceCharting</t>
        </is>
      </c>
      <c r="N162" s="4" t="inlineStr">
        <is>
          <t>https://www.pricecharting.com/game/one-piece-promo/sealed-illustration-box-vol-7</t>
        </is>
      </c>
    </row>
    <row r="163">
      <c r="A163" s="2" t="inlineStr">
        <is>
          <t>Promo Sealed Illustration Box Vol 8</t>
        </is>
      </c>
      <c r="B163" s="3">
        <f>IF(I163&lt;&gt;"",I163,IF(J163&lt;&gt;"",J163,IF(K163&lt;&gt;"",K163,L163)))</f>
        <v>39.0</v>
      </c>
      <c r="C163" s="3">
        <f>MEDIAN(I163:L163)</f>
        <v>39.0</v>
      </c>
      <c r="D163" s="3">
        <f>ROUND(C163*(1-Settings!$B$2),2)</f>
        <v>27.3</v>
      </c>
      <c r="E163" s="3">
        <f>ROUND(C163*(1-Settings!$B$3),2)</f>
        <v>27.3</v>
      </c>
      <c r="F163" s="2" t="inlineStr">
        <is>
          <t>One Piece</t>
        </is>
      </c>
      <c r="G163" s="2" t="inlineStr">
        <is>
          <t>Coffret</t>
        </is>
      </c>
      <c r="H163" s="2" t="inlineStr">
        <is>
          <t>Promo</t>
        </is>
      </c>
      <c r="I163" s="3" t="n">
        <v>39</v>
      </c>
      <c r="J163" s="3" t="n"/>
      <c r="K163" s="3" t="n"/>
      <c r="L163" s="3" t="n"/>
      <c r="M163" s="2" t="inlineStr">
        <is>
          <t>PriceCharting</t>
        </is>
      </c>
      <c r="N163" s="4" t="inlineStr">
        <is>
          <t>https://www.pricecharting.com/game/one-piece-promo/sealed-illustration-box-vol-8</t>
        </is>
      </c>
    </row>
    <row r="164">
      <c r="A164" s="2" t="inlineStr">
        <is>
          <t>Promo Sealed Illustration Box Vol. 3</t>
        </is>
      </c>
      <c r="B164" s="3">
        <f>IF(I164&lt;&gt;"",I164,IF(J164&lt;&gt;"",J164,IF(K164&lt;&gt;"",K164,L164)))</f>
        <v>88.46</v>
      </c>
      <c r="C164" s="3">
        <f>MEDIAN(I164:L164)</f>
        <v>88.46</v>
      </c>
      <c r="D164" s="3">
        <f>ROUND(C164*(1-Settings!$B$2),2)</f>
        <v>61.92</v>
      </c>
      <c r="E164" s="3">
        <f>ROUND(C164*(1-Settings!$B$3),2)</f>
        <v>61.92</v>
      </c>
      <c r="F164" s="2" t="inlineStr">
        <is>
          <t>One Piece</t>
        </is>
      </c>
      <c r="G164" s="2" t="inlineStr">
        <is>
          <t>Coffret</t>
        </is>
      </c>
      <c r="H164" s="2" t="inlineStr">
        <is>
          <t>Promo</t>
        </is>
      </c>
      <c r="I164" s="3" t="n">
        <v>88.45999999999999</v>
      </c>
      <c r="J164" s="3" t="n"/>
      <c r="K164" s="3" t="n"/>
      <c r="L164" s="3" t="n"/>
      <c r="M164" s="2" t="inlineStr">
        <is>
          <t>PriceCharting</t>
        </is>
      </c>
      <c r="N164" s="4" t="inlineStr">
        <is>
          <t>https://www.pricecharting.com/game/one-piece-promo/sealed-illustration-box-vol-3</t>
        </is>
      </c>
    </row>
    <row r="165">
      <c r="A165" s="2" t="inlineStr">
        <is>
          <t>Promo Sealed Illustration Box Vol. 4</t>
        </is>
      </c>
      <c r="B165" s="3">
        <f>IF(I165&lt;&gt;"",I165,IF(J165&lt;&gt;"",J165,IF(K165&lt;&gt;"",K165,L165)))</f>
        <v>119.62</v>
      </c>
      <c r="C165" s="3">
        <f>MEDIAN(I165:L165)</f>
        <v>119.62</v>
      </c>
      <c r="D165" s="3">
        <f>ROUND(C165*(1-Settings!$B$2),2)</f>
        <v>83.73</v>
      </c>
      <c r="E165" s="3">
        <f>ROUND(C165*(1-Settings!$B$3),2)</f>
        <v>83.73</v>
      </c>
      <c r="F165" s="2" t="inlineStr">
        <is>
          <t>One Piece</t>
        </is>
      </c>
      <c r="G165" s="2" t="inlineStr">
        <is>
          <t>Coffret</t>
        </is>
      </c>
      <c r="H165" s="2" t="inlineStr">
        <is>
          <t>Promo</t>
        </is>
      </c>
      <c r="I165" s="3" t="n">
        <v>119.62</v>
      </c>
      <c r="J165" s="3" t="n"/>
      <c r="K165" s="3" t="n"/>
      <c r="L165" s="3" t="n"/>
      <c r="M165" s="2" t="inlineStr">
        <is>
          <t>PriceCharting</t>
        </is>
      </c>
      <c r="N165" s="4" t="inlineStr">
        <is>
          <t>https://www.pricecharting.com/game/one-piece-promo/sealed-illustration-box-vol-4</t>
        </is>
      </c>
    </row>
    <row r="166">
      <c r="A166" s="2" t="inlineStr">
        <is>
          <t>Promo Sealed Illustration Box Vol. 5</t>
        </is>
      </c>
      <c r="B166" s="3">
        <f>IF(I166&lt;&gt;"",I166,IF(J166&lt;&gt;"",J166,IF(K166&lt;&gt;"",K166,L166)))</f>
        <v>91.99</v>
      </c>
      <c r="C166" s="3">
        <f>MEDIAN(I166:L166)</f>
        <v>91.99</v>
      </c>
      <c r="D166" s="3">
        <f>ROUND(C166*(1-Settings!$B$2),2)</f>
        <v>64.39</v>
      </c>
      <c r="E166" s="3">
        <f>ROUND(C166*(1-Settings!$B$3),2)</f>
        <v>64.39</v>
      </c>
      <c r="F166" s="2" t="inlineStr">
        <is>
          <t>One Piece</t>
        </is>
      </c>
      <c r="G166" s="2" t="inlineStr">
        <is>
          <t>Coffret</t>
        </is>
      </c>
      <c r="H166" s="2" t="inlineStr">
        <is>
          <t>Promo</t>
        </is>
      </c>
      <c r="I166" s="3" t="n">
        <v>91.98999999999999</v>
      </c>
      <c r="J166" s="3" t="n"/>
      <c r="K166" s="3" t="n"/>
      <c r="L166" s="3" t="n"/>
      <c r="M166" s="2" t="inlineStr">
        <is>
          <t>PriceCharting</t>
        </is>
      </c>
      <c r="N166" s="4" t="inlineStr">
        <is>
          <t>https://www.pricecharting.com/game/one-piece-promo/sealed-illustration-box-vol-5</t>
        </is>
      </c>
    </row>
    <row r="167">
      <c r="A167" s="2" t="inlineStr">
        <is>
          <t>Promo Sealed Illustration Box Vol. 6</t>
        </is>
      </c>
      <c r="B167" s="3">
        <f>IF(I167&lt;&gt;"",I167,IF(J167&lt;&gt;"",J167,IF(K167&lt;&gt;"",K167,L167)))</f>
        <v>89.99</v>
      </c>
      <c r="C167" s="3">
        <f>MEDIAN(I167:L167)</f>
        <v>89.99</v>
      </c>
      <c r="D167" s="3">
        <f>ROUND(C167*(1-Settings!$B$2),2)</f>
        <v>62.99</v>
      </c>
      <c r="E167" s="3">
        <f>ROUND(C167*(1-Settings!$B$3),2)</f>
        <v>62.99</v>
      </c>
      <c r="F167" s="2" t="inlineStr">
        <is>
          <t>One Piece</t>
        </is>
      </c>
      <c r="G167" s="2" t="inlineStr">
        <is>
          <t>Coffret</t>
        </is>
      </c>
      <c r="H167" s="2" t="inlineStr">
        <is>
          <t>Promo</t>
        </is>
      </c>
      <c r="I167" s="3" t="n">
        <v>89.98999999999999</v>
      </c>
      <c r="J167" s="3" t="n"/>
      <c r="K167" s="3" t="n"/>
      <c r="L167" s="3" t="n"/>
      <c r="M167" s="2" t="inlineStr">
        <is>
          <t>PriceCharting</t>
        </is>
      </c>
      <c r="N167" s="4" t="inlineStr">
        <is>
          <t>https://www.pricecharting.com/game/one-piece-promo/sealed-illustration-box-vol-6</t>
        </is>
      </c>
    </row>
    <row r="168">
      <c r="A168" s="2" t="inlineStr">
        <is>
          <t>Promo Sealed Premium Card Collection [Best Selection Vol. 6]</t>
        </is>
      </c>
      <c r="B168" s="3">
        <f>IF(I168&lt;&gt;"",I168,IF(J168&lt;&gt;"",J168,IF(K168&lt;&gt;"",K168,L168)))</f>
        <v>79.5</v>
      </c>
      <c r="C168" s="3">
        <f>MEDIAN(I168:L168)</f>
        <v>79.5</v>
      </c>
      <c r="D168" s="3">
        <f>ROUND(C168*(1-Settings!$B$2),2)</f>
        <v>55.65</v>
      </c>
      <c r="E168" s="3">
        <f>ROUND(C168*(1-Settings!$B$3),2)</f>
        <v>55.65</v>
      </c>
      <c r="F168" s="2" t="inlineStr">
        <is>
          <t>One Piece</t>
        </is>
      </c>
      <c r="G168" s="2" t="inlineStr">
        <is>
          <t>Coffret</t>
        </is>
      </c>
      <c r="H168" s="2" t="inlineStr">
        <is>
          <t>Promo</t>
        </is>
      </c>
      <c r="I168" s="3" t="n">
        <v>79.5</v>
      </c>
      <c r="J168" s="3" t="n"/>
      <c r="K168" s="3" t="n"/>
      <c r="L168" s="3" t="n"/>
      <c r="M168" s="2" t="inlineStr">
        <is>
          <t>PriceCharting</t>
        </is>
      </c>
      <c r="N168" s="4" t="inlineStr">
        <is>
          <t>https://www.pricecharting.com/game/one-piece-promo/sealed-premium-card-collection-best-selection-vol-6</t>
        </is>
      </c>
    </row>
    <row r="169">
      <c r="A169" s="2" t="inlineStr">
        <is>
          <t>Promo Sealed Premium Card Collection: BANDAI CARD GAMES Fest. 23-24 Edition</t>
        </is>
      </c>
      <c r="B169" s="3">
        <f>IF(I169&lt;&gt;"",I169,IF(J169&lt;&gt;"",J169,IF(K169&lt;&gt;"",K169,L169)))</f>
        <v>94.95</v>
      </c>
      <c r="C169" s="3">
        <f>MEDIAN(I169:L169)</f>
        <v>94.95</v>
      </c>
      <c r="D169" s="3">
        <f>ROUND(C169*(1-Settings!$B$2),2)</f>
        <v>66.47</v>
      </c>
      <c r="E169" s="3">
        <f>ROUND(C169*(1-Settings!$B$3),2)</f>
        <v>66.47</v>
      </c>
      <c r="F169" s="2" t="inlineStr">
        <is>
          <t>One Piece</t>
        </is>
      </c>
      <c r="G169" s="2" t="inlineStr">
        <is>
          <t>Coffret</t>
        </is>
      </c>
      <c r="H169" s="2" t="inlineStr">
        <is>
          <t>Promo</t>
        </is>
      </c>
      <c r="I169" s="3" t="n">
        <v>94.95</v>
      </c>
      <c r="J169" s="3" t="n"/>
      <c r="K169" s="3" t="n"/>
      <c r="L169" s="3" t="n"/>
      <c r="M169" s="2" t="inlineStr">
        <is>
          <t>PriceCharting</t>
        </is>
      </c>
      <c r="N169" s="4" t="inlineStr">
        <is>
          <t>https://www.pricecharting.com/game/one-piece-promo/sealed-premium-card-collection-bandai-card-games-fest-23-24-edition</t>
        </is>
      </c>
    </row>
    <row r="170">
      <c r="A170" s="2" t="inlineStr">
        <is>
          <t>Promo Sealed Premium Card Collection: Best Selection Vol. 2</t>
        </is>
      </c>
      <c r="B170" s="3">
        <f>IF(I170&lt;&gt;"",I170,IF(J170&lt;&gt;"",J170,IF(K170&lt;&gt;"",K170,L170)))</f>
        <v>90.0</v>
      </c>
      <c r="C170" s="3">
        <f>MEDIAN(I170:L170)</f>
        <v>90.0</v>
      </c>
      <c r="D170" s="3">
        <f>ROUND(C170*(1-Settings!$B$2),2)</f>
        <v>63.0</v>
      </c>
      <c r="E170" s="3">
        <f>ROUND(C170*(1-Settings!$B$3),2)</f>
        <v>63.0</v>
      </c>
      <c r="F170" s="2" t="inlineStr">
        <is>
          <t>One Piece</t>
        </is>
      </c>
      <c r="G170" s="2" t="inlineStr">
        <is>
          <t>Coffret</t>
        </is>
      </c>
      <c r="H170" s="2" t="inlineStr">
        <is>
          <t>Promo</t>
        </is>
      </c>
      <c r="I170" s="3" t="n">
        <v>90</v>
      </c>
      <c r="J170" s="3" t="n"/>
      <c r="K170" s="3" t="n"/>
      <c r="L170" s="3" t="n"/>
      <c r="M170" s="2" t="inlineStr">
        <is>
          <t>PriceCharting</t>
        </is>
      </c>
      <c r="N170" s="4" t="inlineStr">
        <is>
          <t>https://www.pricecharting.com/game/one-piece-promo/sealed-premium-card-collection-best-selection-vol-2</t>
        </is>
      </c>
    </row>
    <row r="171">
      <c r="A171" s="2" t="inlineStr">
        <is>
          <t>Promo Sealed Premium Card Collection: Best Selection Vol. 3</t>
        </is>
      </c>
      <c r="B171" s="3">
        <f>IF(I171&lt;&gt;"",I171,IF(J171&lt;&gt;"",J171,IF(K171&lt;&gt;"",K171,L171)))</f>
        <v>89.99</v>
      </c>
      <c r="C171" s="3">
        <f>MEDIAN(I171:L171)</f>
        <v>89.99</v>
      </c>
      <c r="D171" s="3">
        <f>ROUND(C171*(1-Settings!$B$2),2)</f>
        <v>62.99</v>
      </c>
      <c r="E171" s="3">
        <f>ROUND(C171*(1-Settings!$B$3),2)</f>
        <v>62.99</v>
      </c>
      <c r="F171" s="2" t="inlineStr">
        <is>
          <t>One Piece</t>
        </is>
      </c>
      <c r="G171" s="2" t="inlineStr">
        <is>
          <t>Coffret</t>
        </is>
      </c>
      <c r="H171" s="2" t="inlineStr">
        <is>
          <t>Promo</t>
        </is>
      </c>
      <c r="I171" s="3" t="n">
        <v>89.98999999999999</v>
      </c>
      <c r="J171" s="3" t="n"/>
      <c r="K171" s="3" t="n"/>
      <c r="L171" s="3" t="n"/>
      <c r="M171" s="2" t="inlineStr">
        <is>
          <t>PriceCharting</t>
        </is>
      </c>
      <c r="N171" s="4" t="inlineStr">
        <is>
          <t>https://www.pricecharting.com/game/one-piece-promo/sealed-premium-card-collection-best-selection-vol-3</t>
        </is>
      </c>
    </row>
    <row r="172">
      <c r="A172" s="2" t="inlineStr">
        <is>
          <t>Promo Sealed Premium Card Collection: Best Selection Vol. 4</t>
        </is>
      </c>
      <c r="B172" s="3">
        <f>IF(I172&lt;&gt;"",I172,IF(J172&lt;&gt;"",J172,IF(K172&lt;&gt;"",K172,L172)))</f>
        <v>178.92</v>
      </c>
      <c r="C172" s="3">
        <f>MEDIAN(I172:L172)</f>
        <v>178.92</v>
      </c>
      <c r="D172" s="3">
        <f>ROUND(C172*(1-Settings!$B$2),2)</f>
        <v>125.24</v>
      </c>
      <c r="E172" s="3">
        <f>ROUND(C172*(1-Settings!$B$3),2)</f>
        <v>125.24</v>
      </c>
      <c r="F172" s="2" t="inlineStr">
        <is>
          <t>One Piece</t>
        </is>
      </c>
      <c r="G172" s="2" t="inlineStr">
        <is>
          <t>Coffret</t>
        </is>
      </c>
      <c r="H172" s="2" t="inlineStr">
        <is>
          <t>Promo</t>
        </is>
      </c>
      <c r="I172" s="3" t="n">
        <v>178.92</v>
      </c>
      <c r="J172" s="3" t="n"/>
      <c r="K172" s="3" t="n"/>
      <c r="L172" s="3" t="n"/>
      <c r="M172" s="2" t="inlineStr">
        <is>
          <t>PriceCharting</t>
        </is>
      </c>
      <c r="N172" s="4" t="inlineStr">
        <is>
          <t>https://www.pricecharting.com/game/one-piece-promo/sealed-premium-card-collection-best-selection-vol-4</t>
        </is>
      </c>
    </row>
    <row r="173">
      <c r="A173" s="2" t="inlineStr">
        <is>
          <t>Promo Sealed Premium Card Collection: Best Selection Vol. 5</t>
        </is>
      </c>
      <c r="B173" s="3">
        <f>IF(I173&lt;&gt;"",I173,IF(J173&lt;&gt;"",J173,IF(K173&lt;&gt;"",K173,L173)))</f>
        <v>88.0</v>
      </c>
      <c r="C173" s="3">
        <f>MEDIAN(I173:L173)</f>
        <v>88.0</v>
      </c>
      <c r="D173" s="3">
        <f>ROUND(C173*(1-Settings!$B$2),2)</f>
        <v>61.6</v>
      </c>
      <c r="E173" s="3">
        <f>ROUND(C173*(1-Settings!$B$3),2)</f>
        <v>61.6</v>
      </c>
      <c r="F173" s="2" t="inlineStr">
        <is>
          <t>One Piece</t>
        </is>
      </c>
      <c r="G173" s="2" t="inlineStr">
        <is>
          <t>Coffret</t>
        </is>
      </c>
      <c r="H173" s="2" t="inlineStr">
        <is>
          <t>Promo</t>
        </is>
      </c>
      <c r="I173" s="3" t="n">
        <v>88</v>
      </c>
      <c r="J173" s="3" t="n"/>
      <c r="K173" s="3" t="n"/>
      <c r="L173" s="3" t="n"/>
      <c r="M173" s="2" t="inlineStr">
        <is>
          <t>PriceCharting</t>
        </is>
      </c>
      <c r="N173" s="4" t="inlineStr">
        <is>
          <t>https://www.pricecharting.com/game/one-piece-promo/sealed-premium-card-collection-best-selection-vol-5</t>
        </is>
      </c>
    </row>
    <row r="174">
      <c r="A174" s="2" t="inlineStr">
        <is>
          <t>Promo Sealed Premium Card Collection: Leader Collection</t>
        </is>
      </c>
      <c r="B174" s="3">
        <f>IF(I174&lt;&gt;"",I174,IF(J174&lt;&gt;"",J174,IF(K174&lt;&gt;"",K174,L174)))</f>
        <v>249.83</v>
      </c>
      <c r="C174" s="3">
        <f>MEDIAN(I174:L174)</f>
        <v>249.83</v>
      </c>
      <c r="D174" s="3">
        <f>ROUND(C174*(1-Settings!$B$2),2)</f>
        <v>174.88</v>
      </c>
      <c r="E174" s="3">
        <f>ROUND(C174*(1-Settings!$B$3),2)</f>
        <v>174.88</v>
      </c>
      <c r="F174" s="2" t="inlineStr">
        <is>
          <t>One Piece</t>
        </is>
      </c>
      <c r="G174" s="2" t="inlineStr">
        <is>
          <t>Coffret</t>
        </is>
      </c>
      <c r="H174" s="2" t="inlineStr">
        <is>
          <t>Promo</t>
        </is>
      </c>
      <c r="I174" s="3" t="n">
        <v>249.83</v>
      </c>
      <c r="J174" s="3" t="n"/>
      <c r="K174" s="3" t="n"/>
      <c r="L174" s="3" t="n"/>
      <c r="M174" s="2" t="inlineStr">
        <is>
          <t>PriceCharting</t>
        </is>
      </c>
      <c r="N174" s="4" t="inlineStr">
        <is>
          <t>https://www.pricecharting.com/game/one-piece-promo/sealed-premium-card-collection-leader-collection</t>
        </is>
      </c>
    </row>
    <row r="175">
      <c r="A175" s="2" t="inlineStr">
        <is>
          <t>Promo Sealed Premium Card Collection: Live Action Edition</t>
        </is>
      </c>
      <c r="B175" s="3">
        <f>IF(I175&lt;&gt;"",I175,IF(J175&lt;&gt;"",J175,IF(K175&lt;&gt;"",K175,L175)))</f>
        <v>103.55</v>
      </c>
      <c r="C175" s="3">
        <f>MEDIAN(I175:L175)</f>
        <v>103.55</v>
      </c>
      <c r="D175" s="3">
        <f>ROUND(C175*(1-Settings!$B$2),2)</f>
        <v>72.49</v>
      </c>
      <c r="E175" s="3">
        <f>ROUND(C175*(1-Settings!$B$3),2)</f>
        <v>72.49</v>
      </c>
      <c r="F175" s="2" t="inlineStr">
        <is>
          <t>One Piece</t>
        </is>
      </c>
      <c r="G175" s="2" t="inlineStr">
        <is>
          <t>Coffret</t>
        </is>
      </c>
      <c r="H175" s="2" t="inlineStr">
        <is>
          <t>Promo</t>
        </is>
      </c>
      <c r="I175" s="3" t="n">
        <v>103.55</v>
      </c>
      <c r="J175" s="3" t="n"/>
      <c r="K175" s="3" t="n"/>
      <c r="L175" s="3" t="n"/>
      <c r="M175" s="2" t="inlineStr">
        <is>
          <t>PriceCharting</t>
        </is>
      </c>
      <c r="N175" s="4" t="inlineStr">
        <is>
          <t>https://www.pricecharting.com/game/one-piece-promo/sealed-premium-card-collection-live-action-edition</t>
        </is>
      </c>
    </row>
    <row r="176">
      <c r="A176" s="2" t="inlineStr">
        <is>
          <t>Promo Sealed Premium Card Collection: RED Edition</t>
        </is>
      </c>
      <c r="B176" s="3">
        <f>IF(I176&lt;&gt;"",I176,IF(J176&lt;&gt;"",J176,IF(K176&lt;&gt;"",K176,L176)))</f>
        <v>45.96</v>
      </c>
      <c r="C176" s="3">
        <f>MEDIAN(I176:L176)</f>
        <v>45.96</v>
      </c>
      <c r="D176" s="3">
        <f>ROUND(C176*(1-Settings!$B$2),2)</f>
        <v>32.17</v>
      </c>
      <c r="E176" s="3">
        <f>ROUND(C176*(1-Settings!$B$3),2)</f>
        <v>32.17</v>
      </c>
      <c r="F176" s="2" t="inlineStr">
        <is>
          <t>One Piece</t>
        </is>
      </c>
      <c r="G176" s="2" t="inlineStr">
        <is>
          <t>Coffret</t>
        </is>
      </c>
      <c r="H176" s="2" t="inlineStr">
        <is>
          <t>Promo</t>
        </is>
      </c>
      <c r="I176" s="3" t="n">
        <v>45.96</v>
      </c>
      <c r="J176" s="3" t="n"/>
      <c r="K176" s="3" t="n"/>
      <c r="L176" s="3" t="n"/>
      <c r="M176" s="2" t="inlineStr">
        <is>
          <t>PriceCharting</t>
        </is>
      </c>
      <c r="N176" s="4" t="inlineStr">
        <is>
          <t>https://www.pricecharting.com/game/one-piece-promo/sealed-premium-card-collection-red-edition</t>
        </is>
      </c>
    </row>
    <row r="177">
      <c r="A177" s="2" t="inlineStr">
        <is>
          <t>Promo Sealed Premium Card Collection: Uta</t>
        </is>
      </c>
      <c r="B177" s="3">
        <f>IF(I177&lt;&gt;"",I177,IF(J177&lt;&gt;"",J177,IF(K177&lt;&gt;"",K177,L177)))</f>
        <v>121.11</v>
      </c>
      <c r="C177" s="3">
        <f>MEDIAN(I177:L177)</f>
        <v>121.11</v>
      </c>
      <c r="D177" s="3">
        <f>ROUND(C177*(1-Settings!$B$2),2)</f>
        <v>84.78</v>
      </c>
      <c r="E177" s="3">
        <f>ROUND(C177*(1-Settings!$B$3),2)</f>
        <v>84.78</v>
      </c>
      <c r="F177" s="2" t="inlineStr">
        <is>
          <t>One Piece</t>
        </is>
      </c>
      <c r="G177" s="2" t="inlineStr">
        <is>
          <t>Coffret</t>
        </is>
      </c>
      <c r="H177" s="2" t="inlineStr">
        <is>
          <t>Promo</t>
        </is>
      </c>
      <c r="I177" s="3" t="n">
        <v>121.11</v>
      </c>
      <c r="J177" s="3" t="n"/>
      <c r="K177" s="3" t="n"/>
      <c r="L177" s="3" t="n"/>
      <c r="M177" s="2" t="inlineStr">
        <is>
          <t>PriceCharting</t>
        </is>
      </c>
      <c r="N177" s="4" t="inlineStr">
        <is>
          <t>https://www.pricecharting.com/game/one-piece-promo/sealed-premium-card-collection-uta</t>
        </is>
      </c>
    </row>
    <row r="178">
      <c r="A178" s="2" t="inlineStr">
        <is>
          <t>Promo Sealed Tin Vol. 2 [Portgas.D.Ace]</t>
        </is>
      </c>
      <c r="B178" s="3">
        <f>IF(I178&lt;&gt;"",I178,IF(J178&lt;&gt;"",J178,IF(K178&lt;&gt;"",K178,L178)))</f>
        <v>47.7</v>
      </c>
      <c r="C178" s="3">
        <f>MEDIAN(I178:L178)</f>
        <v>47.7</v>
      </c>
      <c r="D178" s="3">
        <f>ROUND(C178*(1-Settings!$B$2),2)</f>
        <v>33.39</v>
      </c>
      <c r="E178" s="3">
        <f>ROUND(C178*(1-Settings!$B$3),2)</f>
        <v>33.39</v>
      </c>
      <c r="F178" s="2" t="inlineStr">
        <is>
          <t>One Piece</t>
        </is>
      </c>
      <c r="G178" s="2" t="inlineStr">
        <is>
          <t>Coffret</t>
        </is>
      </c>
      <c r="H178" s="2" t="inlineStr">
        <is>
          <t>Promo</t>
        </is>
      </c>
      <c r="I178" s="3" t="n">
        <v>47.7</v>
      </c>
      <c r="J178" s="3" t="n"/>
      <c r="K178" s="3" t="n"/>
      <c r="L178" s="3" t="n"/>
      <c r="M178" s="2" t="inlineStr">
        <is>
          <t>PriceCharting</t>
        </is>
      </c>
      <c r="N178" s="4" t="inlineStr">
        <is>
          <t>https://www.pricecharting.com/game/one-piece-promo/sealed-tin-vol-2-portgasdace</t>
        </is>
      </c>
    </row>
    <row r="179">
      <c r="A179" s="2" t="inlineStr">
        <is>
          <t>Promo Tin Pack Set Vol. 2 [Sabo]</t>
        </is>
      </c>
      <c r="B179" s="3">
        <f>IF(I179&lt;&gt;"",I179,IF(J179&lt;&gt;"",J179,IF(K179&lt;&gt;"",K179,L179)))</f>
        <v>48.23</v>
      </c>
      <c r="C179" s="3">
        <f>MEDIAN(I179:L179)</f>
        <v>48.23</v>
      </c>
      <c r="D179" s="3">
        <f>ROUND(C179*(1-Settings!$B$2),2)</f>
        <v>33.76</v>
      </c>
      <c r="E179" s="3">
        <f>ROUND(C179*(1-Settings!$B$3),2)</f>
        <v>33.76</v>
      </c>
      <c r="F179" s="2" t="inlineStr">
        <is>
          <t>One Piece</t>
        </is>
      </c>
      <c r="G179" s="2" t="inlineStr">
        <is>
          <t>Coffret</t>
        </is>
      </c>
      <c r="H179" s="2" t="inlineStr">
        <is>
          <t>Promo</t>
        </is>
      </c>
      <c r="I179" s="3" t="n">
        <v>48.23</v>
      </c>
      <c r="J179" s="3" t="n"/>
      <c r="K179" s="3" t="n"/>
      <c r="L179" s="3" t="n"/>
      <c r="M179" s="2" t="inlineStr">
        <is>
          <t>PriceCharting</t>
        </is>
      </c>
      <c r="N179" s="4" t="inlineStr">
        <is>
          <t>https://www.pricecharting.com/game/one-piece-promo/tin-pack-set-vol-2-sabo</t>
        </is>
      </c>
    </row>
    <row r="180">
      <c r="A180" s="2" t="inlineStr">
        <is>
          <t>Promo Treasure Booster Set Box</t>
        </is>
      </c>
      <c r="B180" s="3">
        <f>IF(I180&lt;&gt;"",I180,IF(J180&lt;&gt;"",J180,IF(K180&lt;&gt;"",K180,L180)))</f>
        <v>191.77</v>
      </c>
      <c r="C180" s="3">
        <f>MEDIAN(I180:L180)</f>
        <v>191.77</v>
      </c>
      <c r="D180" s="3">
        <f>ROUND(C180*(1-Settings!$B$2),2)</f>
        <v>134.24</v>
      </c>
      <c r="E180" s="3">
        <f>ROUND(C180*(1-Settings!$B$3),2)</f>
        <v>134.24</v>
      </c>
      <c r="F180" s="2" t="inlineStr">
        <is>
          <t>One Piece</t>
        </is>
      </c>
      <c r="G180" s="2" t="inlineStr">
        <is>
          <t>Coffret</t>
        </is>
      </c>
      <c r="H180" s="2" t="inlineStr">
        <is>
          <t>Promo</t>
        </is>
      </c>
      <c r="I180" s="3" t="n">
        <v>191.77</v>
      </c>
      <c r="J180" s="3" t="n"/>
      <c r="K180" s="3" t="n"/>
      <c r="L180" s="3" t="n"/>
      <c r="M180" s="2" t="inlineStr">
        <is>
          <t>PriceCharting</t>
        </is>
      </c>
      <c r="N180" s="4" t="inlineStr">
        <is>
          <t>https://www.pricecharting.com/game/one-piece-promo/treasure-booster-set-box</t>
        </is>
      </c>
    </row>
    <row r="181">
      <c r="A181" s="2" t="inlineStr">
        <is>
          <t>Box Promotion Pack</t>
        </is>
      </c>
      <c r="B181" s="3">
        <f>IF(I181&lt;&gt;"",I181,IF(J181&lt;&gt;"",J181,IF(K181&lt;&gt;"",K181,L181)))</f>
        <v>38.97</v>
      </c>
      <c r="C181" s="3">
        <f>MEDIAN(I181:L181)</f>
        <v>38.97</v>
      </c>
      <c r="D181" s="3">
        <f>ROUND(C181*(1-Settings!$B$2),2)</f>
        <v>27.28</v>
      </c>
      <c r="E181" s="3">
        <f>ROUND(C181*(1-Settings!$B$3),2)</f>
        <v>27.28</v>
      </c>
      <c r="F181" s="2" t="inlineStr">
        <is>
          <t>One Piece</t>
        </is>
      </c>
      <c r="G181" s="2" t="inlineStr">
        <is>
          <t>Coffret</t>
        </is>
      </c>
      <c r="H181" s="2" t="inlineStr">
        <is>
          <t>Romance Dawn</t>
        </is>
      </c>
      <c r="I181" s="3" t="n">
        <v>38.97</v>
      </c>
      <c r="J181" s="3" t="n">
        <v>41.31</v>
      </c>
      <c r="K181" s="3" t="n"/>
      <c r="L181" s="3" t="n">
        <v>19</v>
      </c>
      <c r="M181" s="2" t="inlineStr">
        <is>
          <t>PriceCharting + TCGplayer</t>
        </is>
      </c>
      <c r="N181" s="4" t="inlineStr">
        <is>
          <t>https://www.pricecharting.com/game/one-piece-romance-dawn/box-promotion-pack</t>
        </is>
      </c>
      <c r="O181" s="4" t="inlineStr">
        <is>
          <t>https://www.tcgplayer.com/product/532645</t>
        </is>
      </c>
    </row>
    <row r="182">
      <c r="A182" s="2" t="inlineStr">
        <is>
          <t>Royal Blood Gol.D.Roger Sealed Tin</t>
        </is>
      </c>
      <c r="B182" s="3">
        <f>IF(I182&lt;&gt;"",I182,IF(J182&lt;&gt;"",J182,IF(K182&lt;&gt;"",K182,L182)))</f>
        <v>20.0</v>
      </c>
      <c r="C182" s="3">
        <f>MEDIAN(I182:L182)</f>
        <v>20.0</v>
      </c>
      <c r="D182" s="3">
        <f>ROUND(C182*(1-Settings!$B$2),2)</f>
        <v>14.0</v>
      </c>
      <c r="E182" s="3">
        <f>ROUND(C182*(1-Settings!$B$3),2)</f>
        <v>14.0</v>
      </c>
      <c r="F182" s="2" t="inlineStr">
        <is>
          <t>One Piece</t>
        </is>
      </c>
      <c r="G182" s="2" t="inlineStr">
        <is>
          <t>Coffret</t>
        </is>
      </c>
      <c r="H182" s="2" t="inlineStr">
        <is>
          <t>Royal Blood</t>
        </is>
      </c>
      <c r="I182" s="3" t="n">
        <v>20</v>
      </c>
      <c r="J182" s="3" t="n"/>
      <c r="K182" s="3" t="n"/>
      <c r="L182" s="3" t="n"/>
      <c r="M182" s="2" t="inlineStr">
        <is>
          <t>PriceCharting</t>
        </is>
      </c>
      <c r="N182" s="4" t="inlineStr">
        <is>
          <t>https://www.pricecharting.com/game/one-piece-royal-blood/goldroger-sealed-tin</t>
        </is>
      </c>
    </row>
    <row r="183">
      <c r="A183" s="2" t="inlineStr">
        <is>
          <t>Royal Blood Monkey.D.Luffy Sealed Tin</t>
        </is>
      </c>
      <c r="B183" s="3">
        <f>IF(I183&lt;&gt;"",I183,IF(J183&lt;&gt;"",J183,IF(K183&lt;&gt;"",K183,L183)))</f>
        <v>25.0</v>
      </c>
      <c r="C183" s="3">
        <f>MEDIAN(I183:L183)</f>
        <v>25.0</v>
      </c>
      <c r="D183" s="3">
        <f>ROUND(C183*(1-Settings!$B$2),2)</f>
        <v>17.5</v>
      </c>
      <c r="E183" s="3">
        <f>ROUND(C183*(1-Settings!$B$3),2)</f>
        <v>17.5</v>
      </c>
      <c r="F183" s="2" t="inlineStr">
        <is>
          <t>One Piece</t>
        </is>
      </c>
      <c r="G183" s="2" t="inlineStr">
        <is>
          <t>Coffret</t>
        </is>
      </c>
      <c r="H183" s="2" t="inlineStr">
        <is>
          <t>Royal Blood</t>
        </is>
      </c>
      <c r="I183" s="3" t="n">
        <v>25</v>
      </c>
      <c r="J183" s="3" t="n"/>
      <c r="K183" s="3" t="n"/>
      <c r="L183" s="3" t="n"/>
      <c r="M183" s="2" t="inlineStr">
        <is>
          <t>PriceCharting</t>
        </is>
      </c>
      <c r="N183" s="4" t="inlineStr">
        <is>
          <t>https://www.pricecharting.com/game/one-piece-royal-blood/monkeydluffy-sealed-tin</t>
        </is>
      </c>
    </row>
    <row r="184">
      <c r="A184" s="2" t="inlineStr">
        <is>
          <t>Double Pack Set Vol. 9</t>
        </is>
      </c>
      <c r="B184" s="3">
        <f>IF(I184&lt;&gt;"",I184,IF(J184&lt;&gt;"",J184,IF(K184&lt;&gt;"",K184,L184)))</f>
        <v>35.26</v>
      </c>
      <c r="C184" s="3">
        <f>MEDIAN(I184:L184)</f>
        <v>33.625</v>
      </c>
      <c r="D184" s="3">
        <f>ROUND(C184*(1-Settings!$B$2),2)</f>
        <v>23.54</v>
      </c>
      <c r="E184" s="3">
        <f>ROUND(C184*(1-Settings!$B$3),2)</f>
        <v>23.54</v>
      </c>
      <c r="F184" s="2" t="inlineStr">
        <is>
          <t>One Piece</t>
        </is>
      </c>
      <c r="G184" s="2" t="inlineStr">
        <is>
          <t>Coffret</t>
        </is>
      </c>
      <c r="H184" s="2" t="inlineStr">
        <is>
          <t>The Azure Sea's Seven</t>
        </is>
      </c>
      <c r="I184" s="3" t="n"/>
      <c r="J184" s="3" t="n">
        <v>35.26</v>
      </c>
      <c r="K184" s="3" t="n"/>
      <c r="L184" s="3" t="n">
        <v>31.99</v>
      </c>
      <c r="M184" s="2" t="inlineStr">
        <is>
          <t>TCGplayer</t>
        </is>
      </c>
      <c r="O184" s="4" t="inlineStr">
        <is>
          <t>https://www.tcgplayer.com/product/666578</t>
        </is>
      </c>
    </row>
    <row r="185">
      <c r="A185" s="2" t="inlineStr">
        <is>
          <t>Double Pack Set Vol. 13</t>
        </is>
      </c>
      <c r="B185" s="3">
        <f>IF(I185&lt;&gt;"",I185,IF(J185&lt;&gt;"",J185,IF(K185&lt;&gt;"",K185,L185)))</f>
        <v>69.99</v>
      </c>
      <c r="C185" s="3">
        <f>MEDIAN(I185:L185)</f>
        <v>69.87</v>
      </c>
      <c r="D185" s="3">
        <f>ROUND(C185*(1-Settings!$B$2),2)</f>
        <v>48.91</v>
      </c>
      <c r="E185" s="3">
        <f>ROUND(C185*(1-Settings!$B$3),2)</f>
        <v>48.91</v>
      </c>
      <c r="F185" s="2" t="inlineStr">
        <is>
          <t>One Piece</t>
        </is>
      </c>
      <c r="G185" s="2" t="inlineStr">
        <is>
          <t>Coffret</t>
        </is>
      </c>
      <c r="H185" s="2" t="inlineStr">
        <is>
          <t>The Dominance of God</t>
        </is>
      </c>
      <c r="I185" s="3" t="n"/>
      <c r="J185" s="3" t="n">
        <v>69.98999999999999</v>
      </c>
      <c r="K185" s="3" t="n"/>
      <c r="L185" s="3" t="n">
        <v>69.75</v>
      </c>
      <c r="M185" s="2" t="inlineStr">
        <is>
          <t>TCGplayer</t>
        </is>
      </c>
      <c r="O185" s="4" t="inlineStr">
        <is>
          <t>https://www.tcgplayer.com/product/712907</t>
        </is>
      </c>
    </row>
    <row r="186">
      <c r="A186" s="2" t="inlineStr">
        <is>
          <t>Double Pack Set Vol. 11</t>
        </is>
      </c>
      <c r="B186" s="3">
        <f>IF(I186&lt;&gt;"",I186,IF(J186&lt;&gt;"",J186,IF(K186&lt;&gt;"",K186,L186)))</f>
        <v>29.97</v>
      </c>
      <c r="C186" s="3">
        <f>MEDIAN(I186:L186)</f>
        <v>27.96</v>
      </c>
      <c r="D186" s="3">
        <f>ROUND(C186*(1-Settings!$B$2),2)</f>
        <v>19.57</v>
      </c>
      <c r="E186" s="3">
        <f>ROUND(C186*(1-Settings!$B$3),2)</f>
        <v>19.57</v>
      </c>
      <c r="F186" s="2" t="inlineStr">
        <is>
          <t>One Piece</t>
        </is>
      </c>
      <c r="G186" s="2" t="inlineStr">
        <is>
          <t>Coffret</t>
        </is>
      </c>
      <c r="H186" s="2" t="inlineStr">
        <is>
          <t>The Time of Battle</t>
        </is>
      </c>
      <c r="I186" s="3" t="n"/>
      <c r="J186" s="3" t="n">
        <v>29.97</v>
      </c>
      <c r="K186" s="3" t="n"/>
      <c r="L186" s="3" t="n">
        <v>25.95</v>
      </c>
      <c r="M186" s="2" t="inlineStr">
        <is>
          <t>TCGplayer</t>
        </is>
      </c>
      <c r="O186" s="4" t="inlineStr">
        <is>
          <t>https://www.tcgplayer.com/product/693364</t>
        </is>
      </c>
    </row>
    <row r="187">
      <c r="A187" s="2" t="inlineStr">
        <is>
          <t>Double Pack Set Vol. 12</t>
        </is>
      </c>
      <c r="B187" s="3">
        <f>IF(I187&lt;&gt;"",I187,IF(J187&lt;&gt;"",J187,IF(K187&lt;&gt;"",K187,L187)))</f>
        <v>39.68</v>
      </c>
      <c r="C187" s="3">
        <f>MEDIAN(I187:L187)</f>
        <v>37.335</v>
      </c>
      <c r="D187" s="3">
        <f>ROUND(C187*(1-Settings!$B$2),2)</f>
        <v>26.13</v>
      </c>
      <c r="E187" s="3">
        <f>ROUND(C187*(1-Settings!$B$3),2)</f>
        <v>26.13</v>
      </c>
      <c r="F187" s="2" t="inlineStr">
        <is>
          <t>One Piece</t>
        </is>
      </c>
      <c r="G187" s="2" t="inlineStr">
        <is>
          <t>Coffret</t>
        </is>
      </c>
      <c r="H187" s="2" t="inlineStr">
        <is>
          <t>The World's Strongest Warriors</t>
        </is>
      </c>
      <c r="I187" s="3" t="n"/>
      <c r="J187" s="3" t="n">
        <v>39.68</v>
      </c>
      <c r="K187" s="3" t="n"/>
      <c r="L187" s="3" t="n">
        <v>34.99</v>
      </c>
      <c r="M187" s="2" t="inlineStr">
        <is>
          <t>TCGplayer</t>
        </is>
      </c>
      <c r="O187" s="4" t="inlineStr">
        <is>
          <t>https://www.tcgplayer.com/product/704757</t>
        </is>
      </c>
    </row>
    <row r="188">
      <c r="A188" s="2" t="inlineStr">
        <is>
          <t>The World's Strongest Warriors Sleeved Booster Pack Art Bundle [Set of 4]</t>
        </is>
      </c>
      <c r="B188" s="3">
        <f>IF(I188&lt;&gt;"",I188,IF(J188&lt;&gt;"",J188,IF(K188&lt;&gt;"",K188,L188)))</f>
        <v>59.3</v>
      </c>
      <c r="C188" s="3">
        <f>MEDIAN(I188:L188)</f>
        <v>55.625</v>
      </c>
      <c r="D188" s="3">
        <f>ROUND(C188*(1-Settings!$B$2),2)</f>
        <v>38.94</v>
      </c>
      <c r="E188" s="3">
        <f>ROUND(C188*(1-Settings!$B$3),2)</f>
        <v>38.94</v>
      </c>
      <c r="F188" s="2" t="inlineStr">
        <is>
          <t>One Piece</t>
        </is>
      </c>
      <c r="G188" s="2" t="inlineStr">
        <is>
          <t>Coffret</t>
        </is>
      </c>
      <c r="H188" s="2" t="inlineStr">
        <is>
          <t>The World's Strongest Warriors</t>
        </is>
      </c>
      <c r="I188" s="3" t="n"/>
      <c r="J188" s="3" t="n">
        <v>59.3</v>
      </c>
      <c r="K188" s="3" t="n"/>
      <c r="L188" s="3" t="n">
        <v>51.95</v>
      </c>
      <c r="M188" s="2" t="inlineStr">
        <is>
          <t>TCGplayer</t>
        </is>
      </c>
      <c r="O188" s="4" t="inlineStr">
        <is>
          <t>https://www.tcgplayer.com/product/715980</t>
        </is>
      </c>
    </row>
    <row r="189">
      <c r="A189" s="2" t="inlineStr">
        <is>
          <t>Tin Pack Set Vol 1 Sealed Tin</t>
        </is>
      </c>
      <c r="B189" s="3">
        <f>IF(I189&lt;&gt;"",I189,IF(J189&lt;&gt;"",J189,IF(K189&lt;&gt;"",K189,L189)))</f>
        <v>49.91</v>
      </c>
      <c r="C189" s="3">
        <f>MEDIAN(I189:L189)</f>
        <v>49.91</v>
      </c>
      <c r="D189" s="3">
        <f>ROUND(C189*(1-Settings!$B$2),2)</f>
        <v>34.94</v>
      </c>
      <c r="E189" s="3">
        <f>ROUND(C189*(1-Settings!$B$3),2)</f>
        <v>34.94</v>
      </c>
      <c r="F189" s="2" t="inlineStr">
        <is>
          <t>One Piece</t>
        </is>
      </c>
      <c r="G189" s="2" t="inlineStr">
        <is>
          <t>Coffret</t>
        </is>
      </c>
      <c r="H189" s="2" t="inlineStr">
        <is>
          <t>Tin Pack Set Vol 1</t>
        </is>
      </c>
      <c r="I189" s="3" t="n">
        <v>49.91</v>
      </c>
      <c r="J189" s="3" t="n"/>
      <c r="K189" s="3" t="n"/>
      <c r="L189" s="3" t="n"/>
      <c r="M189" s="2" t="inlineStr">
        <is>
          <t>PriceCharting</t>
        </is>
      </c>
      <c r="N189" s="4" t="inlineStr">
        <is>
          <t>https://www.pricecharting.com/game/one-piece-tin-pack-set-vol-1/sealed-tin</t>
        </is>
      </c>
    </row>
    <row r="190">
      <c r="A190" s="2" t="inlineStr">
        <is>
          <t>Double Pack Set Volume 5</t>
        </is>
      </c>
      <c r="B190" s="3">
        <f>IF(I190&lt;&gt;"",I190,IF(J190&lt;&gt;"",J190,IF(K190&lt;&gt;"",K190,L190)))</f>
        <v>44.79</v>
      </c>
      <c r="C190" s="3">
        <f>MEDIAN(I190:L190)</f>
        <v>49.894999999999996</v>
      </c>
      <c r="D190" s="3">
        <f>ROUND(C190*(1-Settings!$B$2),2)</f>
        <v>34.93</v>
      </c>
      <c r="E190" s="3">
        <f>ROUND(C190*(1-Settings!$B$3),2)</f>
        <v>34.93</v>
      </c>
      <c r="F190" s="2" t="inlineStr">
        <is>
          <t>One Piece</t>
        </is>
      </c>
      <c r="G190" s="2" t="inlineStr">
        <is>
          <t>Coffret</t>
        </is>
      </c>
      <c r="H190" s="2" t="inlineStr">
        <is>
          <t>Two Legends</t>
        </is>
      </c>
      <c r="I190" s="3" t="n"/>
      <c r="J190" s="3" t="n">
        <v>44.79</v>
      </c>
      <c r="K190" s="3" t="n"/>
      <c r="L190" s="3" t="n">
        <v>55</v>
      </c>
      <c r="M190" s="2" t="inlineStr">
        <is>
          <t>TCGplayer</t>
        </is>
      </c>
      <c r="O190" s="4" t="inlineStr">
        <is>
          <t>https://www.tcgplayer.com/product/561689</t>
        </is>
      </c>
    </row>
    <row r="191">
      <c r="A191" s="2" t="inlineStr">
        <is>
          <t>Double Pack Set Volume 3</t>
        </is>
      </c>
      <c r="B191" s="3">
        <f>IF(I191&lt;&gt;"",I191,IF(J191&lt;&gt;"",J191,IF(K191&lt;&gt;"",K191,L191)))</f>
        <v>74.41</v>
      </c>
      <c r="C191" s="3">
        <f>MEDIAN(I191:L191)</f>
        <v>83.65</v>
      </c>
      <c r="D191" s="3">
        <f>ROUND(C191*(1-Settings!$B$2),2)</f>
        <v>58.56</v>
      </c>
      <c r="E191" s="3">
        <f>ROUND(C191*(1-Settings!$B$3),2)</f>
        <v>58.56</v>
      </c>
      <c r="F191" s="2" t="inlineStr">
        <is>
          <t>One Piece</t>
        </is>
      </c>
      <c r="G191" s="2" t="inlineStr">
        <is>
          <t>Coffret</t>
        </is>
      </c>
      <c r="H191" s="2" t="inlineStr">
        <is>
          <t>Wings of the Captain</t>
        </is>
      </c>
      <c r="I191" s="3" t="n"/>
      <c r="J191" s="3" t="n">
        <v>74.41</v>
      </c>
      <c r="K191" s="3" t="n"/>
      <c r="L191" s="3" t="n">
        <v>92.89</v>
      </c>
      <c r="M191" s="2" t="inlineStr">
        <is>
          <t>TCGplayer</t>
        </is>
      </c>
      <c r="O191" s="4" t="inlineStr">
        <is>
          <t>https://www.tcgplayer.com/product/541542</t>
        </is>
      </c>
    </row>
    <row r="192">
      <c r="A192" s="2" t="inlineStr">
        <is>
          <t>500 Years in the Future - Booster Pack</t>
        </is>
      </c>
      <c r="B192" s="3">
        <f>IF(I192&lt;&gt;"",I192,IF(J192&lt;&gt;"",J192,IF(K192&lt;&gt;"",K192,L192)))</f>
        <v>16.81</v>
      </c>
      <c r="C192" s="3">
        <f>MEDIAN(I192:L192)</f>
        <v>11.12</v>
      </c>
      <c r="D192" s="3">
        <f>ROUND(C192*(1-Settings!$B$2),2)</f>
        <v>7.78</v>
      </c>
      <c r="E192" s="3">
        <f>ROUND(C192*(1-Settings!$B$3),2)</f>
        <v>7.78</v>
      </c>
      <c r="F192" s="2" t="inlineStr">
        <is>
          <t>One Piece</t>
        </is>
      </c>
      <c r="G192" s="2" t="inlineStr">
        <is>
          <t>Pack</t>
        </is>
      </c>
      <c r="H192" s="2" t="inlineStr">
        <is>
          <t>500 Years in the Future</t>
        </is>
      </c>
      <c r="I192" s="3" t="n">
        <v>16.81</v>
      </c>
      <c r="J192" s="3" t="n">
        <v>11.12</v>
      </c>
      <c r="K192" s="3" t="n"/>
      <c r="L192" s="3" t="n">
        <v>5</v>
      </c>
      <c r="M192" s="2" t="inlineStr">
        <is>
          <t>PriceCharting + TCGplayer</t>
        </is>
      </c>
      <c r="N192" s="4" t="inlineStr">
        <is>
          <t>https://www.pricecharting.com/game/one-piece-500-years-in-the-future/booster-pack</t>
        </is>
      </c>
      <c r="O192" s="4" t="inlineStr">
        <is>
          <t>https://www.tcgplayer.com/product/532104</t>
        </is>
      </c>
    </row>
    <row r="193">
      <c r="A193" s="2" t="inlineStr">
        <is>
          <t>500 Years in the Future - Sleeved Booster Pack</t>
        </is>
      </c>
      <c r="B193" s="3">
        <f>IF(I193&lt;&gt;"",I193,IF(J193&lt;&gt;"",J193,IF(K193&lt;&gt;"",K193,L193)))</f>
        <v>27.89</v>
      </c>
      <c r="C193" s="3">
        <f>MEDIAN(I193:L193)</f>
        <v>26.87</v>
      </c>
      <c r="D193" s="3">
        <f>ROUND(C193*(1-Settings!$B$2),2)</f>
        <v>18.81</v>
      </c>
      <c r="E193" s="3">
        <f>ROUND(C193*(1-Settings!$B$3),2)</f>
        <v>18.81</v>
      </c>
      <c r="F193" s="2" t="inlineStr">
        <is>
          <t>One Piece</t>
        </is>
      </c>
      <c r="G193" s="2" t="inlineStr">
        <is>
          <t>Pack</t>
        </is>
      </c>
      <c r="H193" s="2" t="inlineStr">
        <is>
          <t>500 Years in the Future</t>
        </is>
      </c>
      <c r="I193" s="3" t="n">
        <v>27.89</v>
      </c>
      <c r="J193" s="3" t="n">
        <v>26.87</v>
      </c>
      <c r="K193" s="3" t="n"/>
      <c r="L193" s="3" t="n">
        <v>25</v>
      </c>
      <c r="M193" s="2" t="inlineStr">
        <is>
          <t>PriceCharting + TCGplayer</t>
        </is>
      </c>
      <c r="N193" s="4" t="inlineStr">
        <is>
          <t>https://www.pricecharting.com/game/one-piece-500-years-in-the-future/sleeved-booster-pack</t>
        </is>
      </c>
      <c r="O193" s="4" t="inlineStr">
        <is>
          <t>https://www.tcgplayer.com/product/532105</t>
        </is>
      </c>
    </row>
    <row r="194">
      <c r="A194" s="2" t="inlineStr">
        <is>
          <t>500 Years In The Future Double Pack DP-04</t>
        </is>
      </c>
      <c r="B194" s="3">
        <f>IF(I194&lt;&gt;"",I194,IF(J194&lt;&gt;"",J194,IF(K194&lt;&gt;"",K194,L194)))</f>
        <v>39.95</v>
      </c>
      <c r="C194" s="3">
        <f>MEDIAN(I194:L194)</f>
        <v>39.95</v>
      </c>
      <c r="D194" s="3">
        <f>ROUND(C194*(1-Settings!$B$2),2)</f>
        <v>27.97</v>
      </c>
      <c r="E194" s="3">
        <f>ROUND(C194*(1-Settings!$B$3),2)</f>
        <v>27.97</v>
      </c>
      <c r="F194" s="2" t="inlineStr">
        <is>
          <t>One Piece</t>
        </is>
      </c>
      <c r="G194" s="2" t="inlineStr">
        <is>
          <t>Pack</t>
        </is>
      </c>
      <c r="H194" s="2" t="inlineStr">
        <is>
          <t>500 Years In The Future</t>
        </is>
      </c>
      <c r="I194" s="3" t="n">
        <v>39.95</v>
      </c>
      <c r="J194" s="3" t="n"/>
      <c r="K194" s="3" t="n"/>
      <c r="L194" s="3" t="n"/>
      <c r="M194" s="2" t="inlineStr">
        <is>
          <t>PriceCharting</t>
        </is>
      </c>
      <c r="N194" s="4" t="inlineStr">
        <is>
          <t>https://www.pricecharting.com/game/one-piece-500-years-in-the-future/double-pack-dp-04</t>
        </is>
      </c>
    </row>
    <row r="195">
      <c r="A195" s="2" t="inlineStr">
        <is>
          <t>Special DON!! Card Pack DP-04</t>
        </is>
      </c>
      <c r="B195" s="3">
        <f>IF(I195&lt;&gt;"",I195,IF(J195&lt;&gt;"",J195,IF(K195&lt;&gt;"",K195,L195)))</f>
        <v>9.27</v>
      </c>
      <c r="C195" s="3">
        <f>MEDIAN(I195:L195)</f>
        <v>8.875</v>
      </c>
      <c r="D195" s="3">
        <f>ROUND(C195*(1-Settings!$B$2),2)</f>
        <v>6.21</v>
      </c>
      <c r="E195" s="3">
        <f>ROUND(C195*(1-Settings!$B$3),2)</f>
        <v>6.21</v>
      </c>
      <c r="F195" s="2" t="inlineStr">
        <is>
          <t>One Piece</t>
        </is>
      </c>
      <c r="G195" s="2" t="inlineStr">
        <is>
          <t>Pack</t>
        </is>
      </c>
      <c r="H195" s="2" t="inlineStr">
        <is>
          <t>500 Years in the Future</t>
        </is>
      </c>
      <c r="I195" s="3" t="n"/>
      <c r="J195" s="3" t="n">
        <v>9.27</v>
      </c>
      <c r="K195" s="3" t="n"/>
      <c r="L195" s="3" t="n">
        <v>8.48</v>
      </c>
      <c r="M195" s="2" t="inlineStr">
        <is>
          <t>TCGplayer</t>
        </is>
      </c>
      <c r="O195" s="4" t="inlineStr">
        <is>
          <t>https://www.tcgplayer.com/product/557077</t>
        </is>
      </c>
    </row>
    <row r="196">
      <c r="A196" s="2" t="inlineStr">
        <is>
          <t>500 Years in the Future - Pre-Release Pack</t>
        </is>
      </c>
      <c r="B196" s="3">
        <f>IF(I196&lt;&gt;"",I196,IF(J196&lt;&gt;"",J196,IF(K196&lt;&gt;"",K196,L196)))</f>
        <v>14.93</v>
      </c>
      <c r="C196" s="3">
        <f>MEDIAN(I196:L196)</f>
        <v>14.95</v>
      </c>
      <c r="D196" s="3">
        <f>ROUND(C196*(1-Settings!$B$2),2)</f>
        <v>10.47</v>
      </c>
      <c r="E196" s="3">
        <f>ROUND(C196*(1-Settings!$B$3),2)</f>
        <v>10.47</v>
      </c>
      <c r="F196" s="2" t="inlineStr">
        <is>
          <t>One Piece</t>
        </is>
      </c>
      <c r="G196" s="2" t="inlineStr">
        <is>
          <t>Pack</t>
        </is>
      </c>
      <c r="H196" s="2" t="inlineStr">
        <is>
          <t>500 Years in the Future Pre-Release Cards</t>
        </is>
      </c>
      <c r="I196" s="3" t="n"/>
      <c r="J196" s="3" t="n">
        <v>14.93</v>
      </c>
      <c r="K196" s="3" t="n"/>
      <c r="L196" s="3" t="n">
        <v>14.97</v>
      </c>
      <c r="M196" s="2" t="inlineStr">
        <is>
          <t>TCGplayer</t>
        </is>
      </c>
      <c r="O196" s="4" t="inlineStr">
        <is>
          <t>https://www.tcgplayer.com/product/552054</t>
        </is>
      </c>
    </row>
    <row r="197">
      <c r="A197" s="2" t="inlineStr">
        <is>
          <t>A Fist of Divine Speed - Sleeved Booster Pack</t>
        </is>
      </c>
      <c r="B197" s="3">
        <f>IF(I197&lt;&gt;"",I197,IF(J197&lt;&gt;"",J197,IF(K197&lt;&gt;"",K197,L197)))</f>
        <v>34.78</v>
      </c>
      <c r="C197" s="3">
        <f>MEDIAN(I197:L197)</f>
        <v>34.89</v>
      </c>
      <c r="D197" s="3">
        <f>ROUND(C197*(1-Settings!$B$2),2)</f>
        <v>24.42</v>
      </c>
      <c r="E197" s="3">
        <f>ROUND(C197*(1-Settings!$B$3),2)</f>
        <v>24.42</v>
      </c>
      <c r="F197" s="2" t="inlineStr">
        <is>
          <t>One Piece</t>
        </is>
      </c>
      <c r="G197" s="2" t="inlineStr">
        <is>
          <t>Pack</t>
        </is>
      </c>
      <c r="H197" s="2" t="inlineStr">
        <is>
          <t>A Fist of Divine Speed</t>
        </is>
      </c>
      <c r="I197" s="3" t="n"/>
      <c r="J197" s="3" t="n">
        <v>34.78</v>
      </c>
      <c r="K197" s="3" t="n"/>
      <c r="L197" s="3" t="n">
        <v>35</v>
      </c>
      <c r="M197" s="2" t="inlineStr">
        <is>
          <t>TCGplayer</t>
        </is>
      </c>
      <c r="O197" s="4" t="inlineStr">
        <is>
          <t>https://www.tcgplayer.com/product/636741</t>
        </is>
      </c>
    </row>
    <row r="198">
      <c r="A198" s="2" t="inlineStr">
        <is>
          <t>A Fist of Divine Speed Booster Pack</t>
        </is>
      </c>
      <c r="B198" s="3">
        <f>IF(I198&lt;&gt;"",I198,IF(J198&lt;&gt;"",J198,IF(K198&lt;&gt;"",K198,L198)))</f>
        <v>11.63</v>
      </c>
      <c r="C198" s="3">
        <f>MEDIAN(I198:L198)</f>
        <v>9.81</v>
      </c>
      <c r="D198" s="3">
        <f>ROUND(C198*(1-Settings!$B$2),2)</f>
        <v>6.87</v>
      </c>
      <c r="E198" s="3">
        <f>ROUND(C198*(1-Settings!$B$3),2)</f>
        <v>6.87</v>
      </c>
      <c r="F198" s="2" t="inlineStr">
        <is>
          <t>One Piece</t>
        </is>
      </c>
      <c r="G198" s="2" t="inlineStr">
        <is>
          <t>Pack</t>
        </is>
      </c>
      <c r="H198" s="2" t="inlineStr">
        <is>
          <t>A Fist of Divine Speed</t>
        </is>
      </c>
      <c r="I198" s="3" t="n"/>
      <c r="J198" s="3" t="n">
        <v>11.63</v>
      </c>
      <c r="K198" s="3" t="n"/>
      <c r="L198" s="3" t="n">
        <v>7.99</v>
      </c>
      <c r="M198" s="2" t="inlineStr">
        <is>
          <t>TCGplayer</t>
        </is>
      </c>
      <c r="O198" s="4" t="inlineStr">
        <is>
          <t>https://www.tcgplayer.com/product/620179</t>
        </is>
      </c>
    </row>
    <row r="199">
      <c r="A199" s="2" t="inlineStr">
        <is>
          <t>Special DON!! Card Pack DP-07</t>
        </is>
      </c>
      <c r="B199" s="3">
        <f>IF(I199&lt;&gt;"",I199,IF(J199&lt;&gt;"",J199,IF(K199&lt;&gt;"",K199,L199)))</f>
        <v>3.55</v>
      </c>
      <c r="C199" s="3">
        <f>MEDIAN(I199:L199)</f>
        <v>3.275</v>
      </c>
      <c r="D199" s="3">
        <f>ROUND(C199*(1-Settings!$B$2),2)</f>
        <v>2.29</v>
      </c>
      <c r="E199" s="3">
        <f>ROUND(C199*(1-Settings!$B$3),2)</f>
        <v>2.29</v>
      </c>
      <c r="F199" s="2" t="inlineStr">
        <is>
          <t>One Piece</t>
        </is>
      </c>
      <c r="G199" s="2" t="inlineStr">
        <is>
          <t>Pack</t>
        </is>
      </c>
      <c r="H199" s="2" t="inlineStr">
        <is>
          <t>A Fist of Divine Speed</t>
        </is>
      </c>
      <c r="I199" s="3" t="n"/>
      <c r="J199" s="3" t="n">
        <v>3.55</v>
      </c>
      <c r="K199" s="3" t="n"/>
      <c r="L199" s="3" t="n">
        <v>3</v>
      </c>
      <c r="M199" s="2" t="inlineStr">
        <is>
          <t>TCGplayer</t>
        </is>
      </c>
      <c r="O199" s="4" t="inlineStr">
        <is>
          <t>https://www.tcgplayer.com/product/636743</t>
        </is>
      </c>
    </row>
    <row r="200">
      <c r="A200" s="2" t="inlineStr">
        <is>
          <t>A Fist of Divine Speed - Release Event Pack</t>
        </is>
      </c>
      <c r="B200" s="3">
        <f>IF(I200&lt;&gt;"",I200,IF(J200&lt;&gt;"",J200,IF(K200&lt;&gt;"",K200,L200)))</f>
        <v>6.61</v>
      </c>
      <c r="C200" s="3">
        <f>MEDIAN(I200:L200)</f>
        <v>6.300000000000001</v>
      </c>
      <c r="D200" s="3">
        <f>ROUND(C200*(1-Settings!$B$2),2)</f>
        <v>4.41</v>
      </c>
      <c r="E200" s="3">
        <f>ROUND(C200*(1-Settings!$B$3),2)</f>
        <v>4.41</v>
      </c>
      <c r="F200" s="2" t="inlineStr">
        <is>
          <t>One Piece</t>
        </is>
      </c>
      <c r="G200" s="2" t="inlineStr">
        <is>
          <t>Pack</t>
        </is>
      </c>
      <c r="H200" s="2" t="inlineStr">
        <is>
          <t>A Fist of Divine Speed Release Event Cards</t>
        </is>
      </c>
      <c r="I200" s="3" t="n"/>
      <c r="J200" s="3" t="n">
        <v>6.61</v>
      </c>
      <c r="K200" s="3" t="n"/>
      <c r="L200" s="3" t="n">
        <v>5.99</v>
      </c>
      <c r="M200" s="2" t="inlineStr">
        <is>
          <t>TCGplayer</t>
        </is>
      </c>
      <c r="O200" s="4" t="inlineStr">
        <is>
          <t>https://www.tcgplayer.com/product/634527</t>
        </is>
      </c>
    </row>
    <row r="201">
      <c r="A201" s="2" t="inlineStr">
        <is>
          <t>Adventure on Kami's Island - Dash Pack</t>
        </is>
      </c>
      <c r="B201" s="3">
        <f>IF(I201&lt;&gt;"",I201,IF(J201&lt;&gt;"",J201,IF(K201&lt;&gt;"",K201,L201)))</f>
        <v>4.84</v>
      </c>
      <c r="C201" s="3">
        <f>MEDIAN(I201:L201)</f>
        <v>3.915</v>
      </c>
      <c r="D201" s="3">
        <f>ROUND(C201*(1-Settings!$B$2),2)</f>
        <v>2.74</v>
      </c>
      <c r="E201" s="3">
        <f>ROUND(C201*(1-Settings!$B$3),2)</f>
        <v>2.74</v>
      </c>
      <c r="F201" s="2" t="inlineStr">
        <is>
          <t>One Piece</t>
        </is>
      </c>
      <c r="G201" s="2" t="inlineStr">
        <is>
          <t>Pack</t>
        </is>
      </c>
      <c r="H201" s="2" t="inlineStr">
        <is>
          <t>Adventure on Kami's Island</t>
        </is>
      </c>
      <c r="I201" s="3" t="n"/>
      <c r="J201" s="3" t="n">
        <v>4.84</v>
      </c>
      <c r="K201" s="3" t="n"/>
      <c r="L201" s="3" t="n">
        <v>2.99</v>
      </c>
      <c r="M201" s="2" t="inlineStr">
        <is>
          <t>TCGplayer</t>
        </is>
      </c>
      <c r="O201" s="4" t="inlineStr">
        <is>
          <t>https://www.tcgplayer.com/product/686290</t>
        </is>
      </c>
    </row>
    <row r="202">
      <c r="A202" s="2" t="inlineStr">
        <is>
          <t>Adventure on Kami's Island - Sleeved Booster Pack</t>
        </is>
      </c>
      <c r="B202" s="3">
        <f>IF(I202&lt;&gt;"",I202,IF(J202&lt;&gt;"",J202,IF(K202&lt;&gt;"",K202,L202)))</f>
        <v>14.22</v>
      </c>
      <c r="C202" s="3">
        <f>MEDIAN(I202:L202)</f>
        <v>13.61</v>
      </c>
      <c r="D202" s="3">
        <f>ROUND(C202*(1-Settings!$B$2),2)</f>
        <v>9.53</v>
      </c>
      <c r="E202" s="3">
        <f>ROUND(C202*(1-Settings!$B$3),2)</f>
        <v>9.53</v>
      </c>
      <c r="F202" s="2" t="inlineStr">
        <is>
          <t>One Piece</t>
        </is>
      </c>
      <c r="G202" s="2" t="inlineStr">
        <is>
          <t>Pack</t>
        </is>
      </c>
      <c r="H202" s="2" t="inlineStr">
        <is>
          <t>Adventure on Kami's Island</t>
        </is>
      </c>
      <c r="I202" s="3" t="n"/>
      <c r="J202" s="3" t="n">
        <v>14.22</v>
      </c>
      <c r="K202" s="3" t="n"/>
      <c r="L202" s="3" t="n">
        <v>13</v>
      </c>
      <c r="M202" s="2" t="inlineStr">
        <is>
          <t>TCGplayer</t>
        </is>
      </c>
      <c r="O202" s="4" t="inlineStr">
        <is>
          <t>https://www.tcgplayer.com/product/688634</t>
        </is>
      </c>
    </row>
    <row r="203">
      <c r="A203" s="2" t="inlineStr">
        <is>
          <t>Adventure on Kami's Island Booster Pack</t>
        </is>
      </c>
      <c r="B203" s="3">
        <f>IF(I203&lt;&gt;"",I203,IF(J203&lt;&gt;"",J203,IF(K203&lt;&gt;"",K203,L203)))</f>
        <v>7.85</v>
      </c>
      <c r="C203" s="3">
        <f>MEDIAN(I203:L203)</f>
        <v>6.42</v>
      </c>
      <c r="D203" s="3">
        <f>ROUND(C203*(1-Settings!$B$2),2)</f>
        <v>4.49</v>
      </c>
      <c r="E203" s="3">
        <f>ROUND(C203*(1-Settings!$B$3),2)</f>
        <v>4.49</v>
      </c>
      <c r="F203" s="2" t="inlineStr">
        <is>
          <t>One Piece</t>
        </is>
      </c>
      <c r="G203" s="2" t="inlineStr">
        <is>
          <t>Pack</t>
        </is>
      </c>
      <c r="H203" s="2" t="inlineStr">
        <is>
          <t>Adventure on Kami's Island</t>
        </is>
      </c>
      <c r="I203" s="3" t="n"/>
      <c r="J203" s="3" t="n">
        <v>7.85</v>
      </c>
      <c r="K203" s="3" t="n"/>
      <c r="L203" s="3" t="n">
        <v>4.99</v>
      </c>
      <c r="M203" s="2" t="inlineStr">
        <is>
          <t>TCGplayer</t>
        </is>
      </c>
      <c r="O203" s="4" t="inlineStr">
        <is>
          <t>https://www.tcgplayer.com/product/682056</t>
        </is>
      </c>
    </row>
    <row r="204">
      <c r="A204" s="2" t="inlineStr">
        <is>
          <t>Special DON!! Card Pack DP-10</t>
        </is>
      </c>
      <c r="B204" s="3">
        <f>IF(I204&lt;&gt;"",I204,IF(J204&lt;&gt;"",J204,IF(K204&lt;&gt;"",K204,L204)))</f>
        <v>4.48</v>
      </c>
      <c r="C204" s="3">
        <f>MEDIAN(I204:L204)</f>
        <v>4.24</v>
      </c>
      <c r="D204" s="3">
        <f>ROUND(C204*(1-Settings!$B$2),2)</f>
        <v>2.97</v>
      </c>
      <c r="E204" s="3">
        <f>ROUND(C204*(1-Settings!$B$3),2)</f>
        <v>2.97</v>
      </c>
      <c r="F204" s="2" t="inlineStr">
        <is>
          <t>One Piece</t>
        </is>
      </c>
      <c r="G204" s="2" t="inlineStr">
        <is>
          <t>Pack</t>
        </is>
      </c>
      <c r="H204" s="2" t="inlineStr">
        <is>
          <t>Adventure on Kami's Island</t>
        </is>
      </c>
      <c r="I204" s="3" t="n"/>
      <c r="J204" s="3" t="n">
        <v>4.48</v>
      </c>
      <c r="K204" s="3" t="n"/>
      <c r="L204" s="3" t="n">
        <v>4</v>
      </c>
      <c r="M204" s="2" t="inlineStr">
        <is>
          <t>TCGplayer</t>
        </is>
      </c>
      <c r="O204" s="4" t="inlineStr">
        <is>
          <t>https://www.tcgplayer.com/product/689162</t>
        </is>
      </c>
    </row>
    <row r="205">
      <c r="A205" s="2" t="inlineStr">
        <is>
          <t>Adventure on Kami's Island - Release Event Pack</t>
        </is>
      </c>
      <c r="B205" s="3">
        <f>IF(I205&lt;&gt;"",I205,IF(J205&lt;&gt;"",J205,IF(K205&lt;&gt;"",K205,L205)))</f>
        <v>5.65</v>
      </c>
      <c r="C205" s="3">
        <f>MEDIAN(I205:L205)</f>
        <v>4.675000000000001</v>
      </c>
      <c r="D205" s="3">
        <f>ROUND(C205*(1-Settings!$B$2),2)</f>
        <v>3.27</v>
      </c>
      <c r="E205" s="3">
        <f>ROUND(C205*(1-Settings!$B$3),2)</f>
        <v>3.27</v>
      </c>
      <c r="F205" s="2" t="inlineStr">
        <is>
          <t>One Piece</t>
        </is>
      </c>
      <c r="G205" s="2" t="inlineStr">
        <is>
          <t>Pack</t>
        </is>
      </c>
      <c r="H205" s="2" t="inlineStr">
        <is>
          <t>Adventure on Kami's Island Release Event Cards</t>
        </is>
      </c>
      <c r="I205" s="3" t="n"/>
      <c r="J205" s="3" t="n">
        <v>5.65</v>
      </c>
      <c r="K205" s="3" t="n"/>
      <c r="L205" s="3" t="n">
        <v>3.7</v>
      </c>
      <c r="M205" s="2" t="inlineStr">
        <is>
          <t>TCGplayer</t>
        </is>
      </c>
      <c r="O205" s="4" t="inlineStr">
        <is>
          <t>https://www.tcgplayer.com/product/686456</t>
        </is>
      </c>
    </row>
    <row r="206">
      <c r="A206" s="2" t="inlineStr">
        <is>
          <t>Awakening of the New Era - Booster Pack</t>
        </is>
      </c>
      <c r="B206" s="3">
        <f>IF(I206&lt;&gt;"",I206,IF(J206&lt;&gt;"",J206,IF(K206&lt;&gt;"",K206,L206)))</f>
        <v>74.83</v>
      </c>
      <c r="C206" s="3">
        <f>MEDIAN(I206:L206)</f>
        <v>36.3</v>
      </c>
      <c r="D206" s="3">
        <f>ROUND(C206*(1-Settings!$B$2),2)</f>
        <v>25.41</v>
      </c>
      <c r="E206" s="3">
        <f>ROUND(C206*(1-Settings!$B$3),2)</f>
        <v>25.41</v>
      </c>
      <c r="F206" s="2" t="inlineStr">
        <is>
          <t>One Piece</t>
        </is>
      </c>
      <c r="G206" s="2" t="inlineStr">
        <is>
          <t>Pack</t>
        </is>
      </c>
      <c r="H206" s="2" t="inlineStr">
        <is>
          <t>Awakening of the New Era</t>
        </is>
      </c>
      <c r="I206" s="3" t="n">
        <v>74.83</v>
      </c>
      <c r="J206" s="3" t="n">
        <v>36.3</v>
      </c>
      <c r="K206" s="3" t="n"/>
      <c r="L206" s="3" t="n">
        <v>32.99</v>
      </c>
      <c r="M206" s="2" t="inlineStr">
        <is>
          <t>PriceCharting + TCGplayer</t>
        </is>
      </c>
      <c r="N206" s="4" t="inlineStr">
        <is>
          <t>https://www.pricecharting.com/game/one-piece-awakening-of-the-new-era/booster-pack</t>
        </is>
      </c>
      <c r="O206" s="4" t="inlineStr">
        <is>
          <t>https://www.tcgplayer.com/product/498733</t>
        </is>
      </c>
    </row>
    <row r="207">
      <c r="A207" s="2" t="inlineStr">
        <is>
          <t>Awakening of the New Era - Sleeved Booster Pack</t>
        </is>
      </c>
      <c r="B207" s="3">
        <f>IF(I207&lt;&gt;"",I207,IF(J207&lt;&gt;"",J207,IF(K207&lt;&gt;"",K207,L207)))</f>
        <v>78.16</v>
      </c>
      <c r="C207" s="3">
        <f>MEDIAN(I207:L207)</f>
        <v>79.04</v>
      </c>
      <c r="D207" s="3">
        <f>ROUND(C207*(1-Settings!$B$2),2)</f>
        <v>55.33</v>
      </c>
      <c r="E207" s="3">
        <f>ROUND(C207*(1-Settings!$B$3),2)</f>
        <v>55.33</v>
      </c>
      <c r="F207" s="2" t="inlineStr">
        <is>
          <t>One Piece</t>
        </is>
      </c>
      <c r="G207" s="2" t="inlineStr">
        <is>
          <t>Pack</t>
        </is>
      </c>
      <c r="H207" s="2" t="inlineStr">
        <is>
          <t>Awakening of the New Era</t>
        </is>
      </c>
      <c r="I207" s="3" t="n">
        <v>78.16</v>
      </c>
      <c r="J207" s="3" t="n">
        <v>79.04000000000001</v>
      </c>
      <c r="K207" s="3" t="n"/>
      <c r="L207" s="3" t="n">
        <v>82</v>
      </c>
      <c r="M207" s="2" t="inlineStr">
        <is>
          <t>PriceCharting + TCGplayer</t>
        </is>
      </c>
      <c r="N207" s="4" t="inlineStr">
        <is>
          <t>https://www.pricecharting.com/game/one-piece-awakening-of-the-new-era/sleeved-booster-pack</t>
        </is>
      </c>
      <c r="O207" s="4" t="inlineStr">
        <is>
          <t>https://www.tcgplayer.com/product/531575</t>
        </is>
      </c>
    </row>
    <row r="208">
      <c r="A208" s="2" t="inlineStr">
        <is>
          <t>Awakening Of The New Era Double Pack DP-02</t>
        </is>
      </c>
      <c r="B208" s="3">
        <f>IF(I208&lt;&gt;"",I208,IF(J208&lt;&gt;"",J208,IF(K208&lt;&gt;"",K208,L208)))</f>
        <v>223.06</v>
      </c>
      <c r="C208" s="3">
        <f>MEDIAN(I208:L208)</f>
        <v>223.06</v>
      </c>
      <c r="D208" s="3">
        <f>ROUND(C208*(1-Settings!$B$2),2)</f>
        <v>156.14</v>
      </c>
      <c r="E208" s="3">
        <f>ROUND(C208*(1-Settings!$B$3),2)</f>
        <v>156.14</v>
      </c>
      <c r="F208" s="2" t="inlineStr">
        <is>
          <t>One Piece</t>
        </is>
      </c>
      <c r="G208" s="2" t="inlineStr">
        <is>
          <t>Pack</t>
        </is>
      </c>
      <c r="H208" s="2" t="inlineStr">
        <is>
          <t>Awakening Of The New Era</t>
        </is>
      </c>
      <c r="I208" s="3" t="n">
        <v>223.06</v>
      </c>
      <c r="J208" s="3" t="n"/>
      <c r="K208" s="3" t="n"/>
      <c r="L208" s="3" t="n"/>
      <c r="M208" s="2" t="inlineStr">
        <is>
          <t>PriceCharting</t>
        </is>
      </c>
      <c r="N208" s="4" t="inlineStr">
        <is>
          <t>https://www.pricecharting.com/game/one-piece-awakening-of-the-new-era/double-pack-dp-02</t>
        </is>
      </c>
    </row>
    <row r="209">
      <c r="A209" s="2" t="inlineStr">
        <is>
          <t>Special DON!! Card Pack DP-02</t>
        </is>
      </c>
      <c r="B209" s="3">
        <f>IF(I209&lt;&gt;"",I209,IF(J209&lt;&gt;"",J209,IF(K209&lt;&gt;"",K209,L209)))</f>
        <v>4.59</v>
      </c>
      <c r="C209" s="3">
        <f>MEDIAN(I209:L209)</f>
        <v>4.16</v>
      </c>
      <c r="D209" s="3">
        <f>ROUND(C209*(1-Settings!$B$2),2)</f>
        <v>2.91</v>
      </c>
      <c r="E209" s="3">
        <f>ROUND(C209*(1-Settings!$B$3),2)</f>
        <v>2.91</v>
      </c>
      <c r="F209" s="2" t="inlineStr">
        <is>
          <t>One Piece</t>
        </is>
      </c>
      <c r="G209" s="2" t="inlineStr">
        <is>
          <t>Pack</t>
        </is>
      </c>
      <c r="H209" s="2" t="inlineStr">
        <is>
          <t>Awakening of the New Era</t>
        </is>
      </c>
      <c r="I209" s="3" t="n"/>
      <c r="J209" s="3" t="n">
        <v>4.59</v>
      </c>
      <c r="K209" s="3" t="n"/>
      <c r="L209" s="3" t="n">
        <v>3.73</v>
      </c>
      <c r="M209" s="2" t="inlineStr">
        <is>
          <t>TCGplayer</t>
        </is>
      </c>
      <c r="O209" s="4" t="inlineStr">
        <is>
          <t>https://www.tcgplayer.com/product/531974</t>
        </is>
      </c>
    </row>
    <row r="210">
      <c r="A210" s="2" t="inlineStr">
        <is>
          <t>Awakening of the New Era - 1st Anniversary Tournament Pack</t>
        </is>
      </c>
      <c r="B210" s="3">
        <f>IF(I210&lt;&gt;"",I210,IF(J210&lt;&gt;"",J210,IF(K210&lt;&gt;"",K210,L210)))</f>
        <v>65.87</v>
      </c>
      <c r="C210" s="3">
        <f>MEDIAN(I210:L210)</f>
        <v>81.93</v>
      </c>
      <c r="D210" s="3">
        <f>ROUND(C210*(1-Settings!$B$2),2)</f>
        <v>57.35</v>
      </c>
      <c r="E210" s="3">
        <f>ROUND(C210*(1-Settings!$B$3),2)</f>
        <v>57.35</v>
      </c>
      <c r="F210" s="2" t="inlineStr">
        <is>
          <t>One Piece</t>
        </is>
      </c>
      <c r="G210" s="2" t="inlineStr">
        <is>
          <t>Pack</t>
        </is>
      </c>
      <c r="H210" s="2" t="inlineStr">
        <is>
          <t>Awakening of the New Era: 1st Anniversary Tournament Cards</t>
        </is>
      </c>
      <c r="I210" s="3" t="n"/>
      <c r="J210" s="3" t="n">
        <v>65.87</v>
      </c>
      <c r="K210" s="3" t="n"/>
      <c r="L210" s="3" t="n">
        <v>97.98999999999999</v>
      </c>
      <c r="M210" s="2" t="inlineStr">
        <is>
          <t>TCGplayer</t>
        </is>
      </c>
      <c r="O210" s="4" t="inlineStr">
        <is>
          <t>https://www.tcgplayer.com/product/520771</t>
        </is>
      </c>
    </row>
    <row r="211">
      <c r="A211" s="2" t="inlineStr">
        <is>
          <t>Carrying On His Will Booster Pack</t>
        </is>
      </c>
      <c r="B211" s="3">
        <f>IF(I211&lt;&gt;"",I211,IF(J211&lt;&gt;"",J211,IF(K211&lt;&gt;"",K211,L211)))</f>
        <v>11.99</v>
      </c>
      <c r="C211" s="3">
        <f>MEDIAN(I211:L211)</f>
        <v>11.24</v>
      </c>
      <c r="D211" s="3">
        <f>ROUND(C211*(1-Settings!$B$2),2)</f>
        <v>7.87</v>
      </c>
      <c r="E211" s="3">
        <f>ROUND(C211*(1-Settings!$B$3),2)</f>
        <v>7.87</v>
      </c>
      <c r="F211" s="2" t="inlineStr">
        <is>
          <t>One Piece</t>
        </is>
      </c>
      <c r="G211" s="2" t="inlineStr">
        <is>
          <t>Pack</t>
        </is>
      </c>
      <c r="H211" s="2" t="inlineStr">
        <is>
          <t>Carrying On His Will</t>
        </is>
      </c>
      <c r="I211" s="3" t="n">
        <v>11.99</v>
      </c>
      <c r="J211" s="3" t="n">
        <v>11.24</v>
      </c>
      <c r="K211" s="3" t="n"/>
      <c r="L211" s="3" t="n">
        <v>7.99</v>
      </c>
      <c r="M211" s="2" t="inlineStr">
        <is>
          <t>PriceCharting + TCGplayer</t>
        </is>
      </c>
      <c r="N211" s="4" t="inlineStr">
        <is>
          <t>https://www.pricecharting.com/game/one-piece-carrying-on-his-will/booster-pack</t>
        </is>
      </c>
      <c r="O211" s="4" t="inlineStr">
        <is>
          <t>https://www.tcgplayer.com/product/628351</t>
        </is>
      </c>
    </row>
    <row r="212">
      <c r="A212" s="2" t="inlineStr">
        <is>
          <t>Carrying On His Will Sleeved Booster Pack</t>
        </is>
      </c>
      <c r="B212" s="3">
        <f>IF(I212&lt;&gt;"",I212,IF(J212&lt;&gt;"",J212,IF(K212&lt;&gt;"",K212,L212)))</f>
        <v>20.96</v>
      </c>
      <c r="C212" s="3">
        <f>MEDIAN(I212:L212)</f>
        <v>20.51</v>
      </c>
      <c r="D212" s="3">
        <f>ROUND(C212*(1-Settings!$B$2),2)</f>
        <v>14.36</v>
      </c>
      <c r="E212" s="3">
        <f>ROUND(C212*(1-Settings!$B$3),2)</f>
        <v>14.36</v>
      </c>
      <c r="F212" s="2" t="inlineStr">
        <is>
          <t>One Piece</t>
        </is>
      </c>
      <c r="G212" s="2" t="inlineStr">
        <is>
          <t>Pack</t>
        </is>
      </c>
      <c r="H212" s="2" t="inlineStr">
        <is>
          <t>Carrying On His Will</t>
        </is>
      </c>
      <c r="I212" s="3" t="n">
        <v>20.96</v>
      </c>
      <c r="J212" s="3" t="n">
        <v>20.51</v>
      </c>
      <c r="K212" s="3" t="n"/>
      <c r="L212" s="3" t="n">
        <v>7.99</v>
      </c>
      <c r="M212" s="2" t="inlineStr">
        <is>
          <t>PriceCharting + TCGplayer</t>
        </is>
      </c>
      <c r="N212" s="4" t="inlineStr">
        <is>
          <t>https://www.pricecharting.com/game/one-piece-carrying-on-his-will/sleeved-booster-pack</t>
        </is>
      </c>
      <c r="O212" s="4" t="inlineStr">
        <is>
          <t>https://www.tcgplayer.com/product/652643</t>
        </is>
      </c>
    </row>
    <row r="213">
      <c r="A213" s="2" t="inlineStr">
        <is>
          <t>Carrying On His Will - 3rd Anniversary Tournament 3 Brothers Pack</t>
        </is>
      </c>
      <c r="B213" s="3">
        <f>IF(I213&lt;&gt;"",I213,IF(J213&lt;&gt;"",J213,IF(K213&lt;&gt;"",K213,L213)))</f>
        <v>26.24</v>
      </c>
      <c r="C213" s="3">
        <f>MEDIAN(I213:L213)</f>
        <v>22.744999999999997</v>
      </c>
      <c r="D213" s="3">
        <f>ROUND(C213*(1-Settings!$B$2),2)</f>
        <v>15.92</v>
      </c>
      <c r="E213" s="3">
        <f>ROUND(C213*(1-Settings!$B$3),2)</f>
        <v>15.92</v>
      </c>
      <c r="F213" s="2" t="inlineStr">
        <is>
          <t>One Piece</t>
        </is>
      </c>
      <c r="G213" s="2" t="inlineStr">
        <is>
          <t>Pack</t>
        </is>
      </c>
      <c r="H213" s="2" t="inlineStr">
        <is>
          <t>Carrying On His Will: 3rd Anniversary Tournament Cards</t>
        </is>
      </c>
      <c r="I213" s="3" t="n"/>
      <c r="J213" s="3" t="n">
        <v>26.24</v>
      </c>
      <c r="K213" s="3" t="n"/>
      <c r="L213" s="3" t="n">
        <v>19.25</v>
      </c>
      <c r="M213" s="2" t="inlineStr">
        <is>
          <t>TCGplayer</t>
        </is>
      </c>
      <c r="O213" s="4" t="inlineStr">
        <is>
          <t>https://www.tcgplayer.com/product/657797</t>
        </is>
      </c>
    </row>
    <row r="214">
      <c r="A214" s="2" t="inlineStr">
        <is>
          <t>Carrying On His Will - 3rd Anniversary Tournament Pack</t>
        </is>
      </c>
      <c r="B214" s="3">
        <f>IF(I214&lt;&gt;"",I214,IF(J214&lt;&gt;"",J214,IF(K214&lt;&gt;"",K214,L214)))</f>
        <v>6.68</v>
      </c>
      <c r="C214" s="3">
        <f>MEDIAN(I214:L214)</f>
        <v>5.925</v>
      </c>
      <c r="D214" s="3">
        <f>ROUND(C214*(1-Settings!$B$2),2)</f>
        <v>4.15</v>
      </c>
      <c r="E214" s="3">
        <f>ROUND(C214*(1-Settings!$B$3),2)</f>
        <v>4.15</v>
      </c>
      <c r="F214" s="2" t="inlineStr">
        <is>
          <t>One Piece</t>
        </is>
      </c>
      <c r="G214" s="2" t="inlineStr">
        <is>
          <t>Pack</t>
        </is>
      </c>
      <c r="H214" s="2" t="inlineStr">
        <is>
          <t>Carrying On His Will: 3rd Anniversary Tournament Cards</t>
        </is>
      </c>
      <c r="I214" s="3" t="n"/>
      <c r="J214" s="3" t="n">
        <v>6.68</v>
      </c>
      <c r="K214" s="3" t="n"/>
      <c r="L214" s="3" t="n">
        <v>5.17</v>
      </c>
      <c r="M214" s="2" t="inlineStr">
        <is>
          <t>TCGplayer</t>
        </is>
      </c>
      <c r="O214" s="4" t="inlineStr">
        <is>
          <t>https://www.tcgplayer.com/product/657796</t>
        </is>
      </c>
    </row>
    <row r="215">
      <c r="A215" s="2" t="inlineStr">
        <is>
          <t>Emperors in the New World - Booster Pack</t>
        </is>
      </c>
      <c r="B215" s="3">
        <f>IF(I215&lt;&gt;"",I215,IF(J215&lt;&gt;"",J215,IF(K215&lt;&gt;"",K215,L215)))</f>
        <v>18.74</v>
      </c>
      <c r="C215" s="3">
        <f>MEDIAN(I215:L215)</f>
        <v>18.74</v>
      </c>
      <c r="D215" s="3">
        <f>ROUND(C215*(1-Settings!$B$2),2)</f>
        <v>13.12</v>
      </c>
      <c r="E215" s="3">
        <f>ROUND(C215*(1-Settings!$B$3),2)</f>
        <v>13.12</v>
      </c>
      <c r="F215" s="2" t="inlineStr">
        <is>
          <t>One Piece</t>
        </is>
      </c>
      <c r="G215" s="2" t="inlineStr">
        <is>
          <t>Pack</t>
        </is>
      </c>
      <c r="H215" s="2" t="inlineStr">
        <is>
          <t>Emperors in the New World</t>
        </is>
      </c>
      <c r="I215" s="3" t="n">
        <v>18.74</v>
      </c>
      <c r="J215" s="3" t="n">
        <v>18.88</v>
      </c>
      <c r="K215" s="3" t="n"/>
      <c r="L215" s="3" t="n">
        <v>8</v>
      </c>
      <c r="M215" s="2" t="inlineStr">
        <is>
          <t>PriceCharting + TCGplayer</t>
        </is>
      </c>
      <c r="N215" s="4" t="inlineStr">
        <is>
          <t>https://www.pricecharting.com/game/one-piece-emperors-in-the-new-world/booster-pack</t>
        </is>
      </c>
      <c r="O215" s="4" t="inlineStr">
        <is>
          <t>https://www.tcgplayer.com/product/563833</t>
        </is>
      </c>
    </row>
    <row r="216">
      <c r="A216" s="2" t="inlineStr">
        <is>
          <t>Emperors in the New World - Sleeved Booster Pack</t>
        </is>
      </c>
      <c r="B216" s="3">
        <f>IF(I216&lt;&gt;"",I216,IF(J216&lt;&gt;"",J216,IF(K216&lt;&gt;"",K216,L216)))</f>
        <v>37.98</v>
      </c>
      <c r="C216" s="3">
        <f>MEDIAN(I216:L216)</f>
        <v>37.98</v>
      </c>
      <c r="D216" s="3">
        <f>ROUND(C216*(1-Settings!$B$2),2)</f>
        <v>26.59</v>
      </c>
      <c r="E216" s="3">
        <f>ROUND(C216*(1-Settings!$B$3),2)</f>
        <v>26.59</v>
      </c>
      <c r="F216" s="2" t="inlineStr">
        <is>
          <t>One Piece</t>
        </is>
      </c>
      <c r="G216" s="2" t="inlineStr">
        <is>
          <t>Pack</t>
        </is>
      </c>
      <c r="H216" s="2" t="inlineStr">
        <is>
          <t>Emperors in the New World</t>
        </is>
      </c>
      <c r="I216" s="3" t="n">
        <v>37.98</v>
      </c>
      <c r="J216" s="3" t="n">
        <v>38.51</v>
      </c>
      <c r="K216" s="3" t="n"/>
      <c r="L216" s="3" t="n">
        <v>27.96</v>
      </c>
      <c r="M216" s="2" t="inlineStr">
        <is>
          <t>PriceCharting + TCGplayer</t>
        </is>
      </c>
      <c r="N216" s="4" t="inlineStr">
        <is>
          <t>https://www.pricecharting.com/game/one-piece-emperors-in-the-new-world/sleeved-booster-pack</t>
        </is>
      </c>
      <c r="O216" s="4" t="inlineStr">
        <is>
          <t>https://www.tcgplayer.com/product/606604</t>
        </is>
      </c>
    </row>
    <row r="217">
      <c r="A217" s="2" t="inlineStr">
        <is>
          <t>Emperors In The New World Sealed Double Pack DP-06</t>
        </is>
      </c>
      <c r="B217" s="3">
        <f>IF(I217&lt;&gt;"",I217,IF(J217&lt;&gt;"",J217,IF(K217&lt;&gt;"",K217,L217)))</f>
        <v>93.53</v>
      </c>
      <c r="C217" s="3">
        <f>MEDIAN(I217:L217)</f>
        <v>93.53</v>
      </c>
      <c r="D217" s="3">
        <f>ROUND(C217*(1-Settings!$B$2),2)</f>
        <v>65.47</v>
      </c>
      <c r="E217" s="3">
        <f>ROUND(C217*(1-Settings!$B$3),2)</f>
        <v>65.47</v>
      </c>
      <c r="F217" s="2" t="inlineStr">
        <is>
          <t>One Piece</t>
        </is>
      </c>
      <c r="G217" s="2" t="inlineStr">
        <is>
          <t>Pack</t>
        </is>
      </c>
      <c r="H217" s="2" t="inlineStr">
        <is>
          <t>Emperors In The New World</t>
        </is>
      </c>
      <c r="I217" s="3" t="n">
        <v>93.53</v>
      </c>
      <c r="J217" s="3" t="n"/>
      <c r="K217" s="3" t="n"/>
      <c r="L217" s="3" t="n"/>
      <c r="M217" s="2" t="inlineStr">
        <is>
          <t>PriceCharting</t>
        </is>
      </c>
      <c r="N217" s="4" t="inlineStr">
        <is>
          <t>https://www.pricecharting.com/game/one-piece-emperors-in-the-new-world/sealed-double-pack-dp-06</t>
        </is>
      </c>
    </row>
    <row r="218">
      <c r="A218" s="2" t="inlineStr">
        <is>
          <t>Special DON!! Card Pack DP-06</t>
        </is>
      </c>
      <c r="B218" s="3">
        <f>IF(I218&lt;&gt;"",I218,IF(J218&lt;&gt;"",J218,IF(K218&lt;&gt;"",K218,L218)))</f>
        <v>4.76</v>
      </c>
      <c r="C218" s="3">
        <f>MEDIAN(I218:L218)</f>
        <v>4.375</v>
      </c>
      <c r="D218" s="3">
        <f>ROUND(C218*(1-Settings!$B$2),2)</f>
        <v>3.06</v>
      </c>
      <c r="E218" s="3">
        <f>ROUND(C218*(1-Settings!$B$3),2)</f>
        <v>3.06</v>
      </c>
      <c r="F218" s="2" t="inlineStr">
        <is>
          <t>One Piece</t>
        </is>
      </c>
      <c r="G218" s="2" t="inlineStr">
        <is>
          <t>Pack</t>
        </is>
      </c>
      <c r="H218" s="2" t="inlineStr">
        <is>
          <t>Emperors in the New World</t>
        </is>
      </c>
      <c r="I218" s="3" t="n"/>
      <c r="J218" s="3" t="n">
        <v>4.76</v>
      </c>
      <c r="K218" s="3" t="n"/>
      <c r="L218" s="3" t="n">
        <v>3.99</v>
      </c>
      <c r="M218" s="2" t="inlineStr">
        <is>
          <t>TCGplayer</t>
        </is>
      </c>
      <c r="O218" s="4" t="inlineStr">
        <is>
          <t>https://www.tcgplayer.com/product/617844</t>
        </is>
      </c>
    </row>
    <row r="219">
      <c r="A219" s="2" t="inlineStr">
        <is>
          <t>Emperors in the New World - 2nd Anniversary Tournament Pack</t>
        </is>
      </c>
      <c r="B219" s="3">
        <f>IF(I219&lt;&gt;"",I219,IF(J219&lt;&gt;"",J219,IF(K219&lt;&gt;"",K219,L219)))</f>
        <v>13.67</v>
      </c>
      <c r="C219" s="3">
        <f>MEDIAN(I219:L219)</f>
        <v>11.45</v>
      </c>
      <c r="D219" s="3">
        <f>ROUND(C219*(1-Settings!$B$2),2)</f>
        <v>8.02</v>
      </c>
      <c r="E219" s="3">
        <f>ROUND(C219*(1-Settings!$B$3),2)</f>
        <v>8.02</v>
      </c>
      <c r="F219" s="2" t="inlineStr">
        <is>
          <t>One Piece</t>
        </is>
      </c>
      <c r="G219" s="2" t="inlineStr">
        <is>
          <t>Pack</t>
        </is>
      </c>
      <c r="H219" s="2" t="inlineStr">
        <is>
          <t>Emperors in the New World: 2nd Anniversary Tournament Cards</t>
        </is>
      </c>
      <c r="I219" s="3" t="n"/>
      <c r="J219" s="3" t="n">
        <v>13.67</v>
      </c>
      <c r="K219" s="3" t="n"/>
      <c r="L219" s="3" t="n">
        <v>9.23</v>
      </c>
      <c r="M219" s="2" t="inlineStr">
        <is>
          <t>TCGplayer</t>
        </is>
      </c>
      <c r="O219" s="4" t="inlineStr">
        <is>
          <t>https://www.tcgplayer.com/product/600705</t>
        </is>
      </c>
    </row>
    <row r="220">
      <c r="A220" s="2" t="inlineStr">
        <is>
          <t>Extra Booster Anime 25th Collection Booster Pack</t>
        </is>
      </c>
      <c r="B220" s="3">
        <f>IF(I220&lt;&gt;"",I220,IF(J220&lt;&gt;"",J220,IF(K220&lt;&gt;"",K220,L220)))</f>
        <v>20.56</v>
      </c>
      <c r="C220" s="3">
        <f>MEDIAN(I220:L220)</f>
        <v>20.56</v>
      </c>
      <c r="D220" s="3">
        <f>ROUND(C220*(1-Settings!$B$2),2)</f>
        <v>14.39</v>
      </c>
      <c r="E220" s="3">
        <f>ROUND(C220*(1-Settings!$B$3),2)</f>
        <v>14.39</v>
      </c>
      <c r="F220" s="2" t="inlineStr">
        <is>
          <t>One Piece</t>
        </is>
      </c>
      <c r="G220" s="2" t="inlineStr">
        <is>
          <t>Pack</t>
        </is>
      </c>
      <c r="H220" s="2" t="inlineStr">
        <is>
          <t>Extra Booster Anime 25th Collection</t>
        </is>
      </c>
      <c r="I220" s="3" t="n">
        <v>20.56</v>
      </c>
      <c r="J220" s="3" t="n"/>
      <c r="K220" s="3" t="n"/>
      <c r="L220" s="3" t="n"/>
      <c r="M220" s="2" t="inlineStr">
        <is>
          <t>PriceCharting</t>
        </is>
      </c>
      <c r="N220" s="4" t="inlineStr">
        <is>
          <t>https://www.pricecharting.com/game/one-piece-extra-booster-anime-25th-collection/booster-pack</t>
        </is>
      </c>
    </row>
    <row r="221">
      <c r="A221" s="2" t="inlineStr">
        <is>
          <t>Extra Booster Heroines Edition Booster Pack</t>
        </is>
      </c>
      <c r="B221" s="3">
        <f>IF(I221&lt;&gt;"",I221,IF(J221&lt;&gt;"",J221,IF(K221&lt;&gt;"",K221,L221)))</f>
        <v>12.18</v>
      </c>
      <c r="C221" s="3">
        <f>MEDIAN(I221:L221)</f>
        <v>12.18</v>
      </c>
      <c r="D221" s="3">
        <f>ROUND(C221*(1-Settings!$B$2),2)</f>
        <v>8.53</v>
      </c>
      <c r="E221" s="3">
        <f>ROUND(C221*(1-Settings!$B$3),2)</f>
        <v>8.53</v>
      </c>
      <c r="F221" s="2" t="inlineStr">
        <is>
          <t>One Piece</t>
        </is>
      </c>
      <c r="G221" s="2" t="inlineStr">
        <is>
          <t>Pack</t>
        </is>
      </c>
      <c r="H221" s="2" t="inlineStr">
        <is>
          <t>Extra Booster Heroines Edition</t>
        </is>
      </c>
      <c r="I221" s="3" t="n">
        <v>12.18</v>
      </c>
      <c r="J221" s="3" t="n"/>
      <c r="K221" s="3" t="n"/>
      <c r="L221" s="3" t="n"/>
      <c r="M221" s="2" t="inlineStr">
        <is>
          <t>PriceCharting</t>
        </is>
      </c>
      <c r="N221" s="4" t="inlineStr">
        <is>
          <t>https://www.pricecharting.com/game/one-piece-extra-booster-heroines-edition/booster-pack</t>
        </is>
      </c>
    </row>
    <row r="222">
      <c r="A222" s="2" t="inlineStr">
        <is>
          <t>Extra Booster Heroines Edition Sleeved Booster Pack</t>
        </is>
      </c>
      <c r="B222" s="3">
        <f>IF(I222&lt;&gt;"",I222,IF(J222&lt;&gt;"",J222,IF(K222&lt;&gt;"",K222,L222)))</f>
        <v>23.25</v>
      </c>
      <c r="C222" s="3">
        <f>MEDIAN(I222:L222)</f>
        <v>23.25</v>
      </c>
      <c r="D222" s="3">
        <f>ROUND(C222*(1-Settings!$B$2),2)</f>
        <v>16.28</v>
      </c>
      <c r="E222" s="3">
        <f>ROUND(C222*(1-Settings!$B$3),2)</f>
        <v>16.28</v>
      </c>
      <c r="F222" s="2" t="inlineStr">
        <is>
          <t>One Piece</t>
        </is>
      </c>
      <c r="G222" s="2" t="inlineStr">
        <is>
          <t>Pack</t>
        </is>
      </c>
      <c r="H222" s="2" t="inlineStr">
        <is>
          <t>Extra Booster Heroines Edition</t>
        </is>
      </c>
      <c r="I222" s="3" t="n">
        <v>23.25</v>
      </c>
      <c r="J222" s="3" t="n"/>
      <c r="K222" s="3" t="n"/>
      <c r="L222" s="3" t="n"/>
      <c r="M222" s="2" t="inlineStr">
        <is>
          <t>PriceCharting</t>
        </is>
      </c>
      <c r="N222" s="4" t="inlineStr">
        <is>
          <t>https://www.pricecharting.com/game/one-piece-extra-booster-heroines-edition/sleeved-booster-pack</t>
        </is>
      </c>
    </row>
    <row r="223">
      <c r="A223" s="2" t="inlineStr">
        <is>
          <t>Extra Booster Memorial Collection Booster Pack</t>
        </is>
      </c>
      <c r="B223" s="3">
        <f>IF(I223&lt;&gt;"",I223,IF(J223&lt;&gt;"",J223,IF(K223&lt;&gt;"",K223,L223)))</f>
        <v>30.0</v>
      </c>
      <c r="C223" s="3">
        <f>MEDIAN(I223:L223)</f>
        <v>30.0</v>
      </c>
      <c r="D223" s="3">
        <f>ROUND(C223*(1-Settings!$B$2),2)</f>
        <v>21.0</v>
      </c>
      <c r="E223" s="3">
        <f>ROUND(C223*(1-Settings!$B$3),2)</f>
        <v>21.0</v>
      </c>
      <c r="F223" s="2" t="inlineStr">
        <is>
          <t>One Piece</t>
        </is>
      </c>
      <c r="G223" s="2" t="inlineStr">
        <is>
          <t>Pack</t>
        </is>
      </c>
      <c r="H223" s="2" t="inlineStr">
        <is>
          <t>Extra Booster Memorial Collection</t>
        </is>
      </c>
      <c r="I223" s="3" t="n">
        <v>30</v>
      </c>
      <c r="J223" s="3" t="n"/>
      <c r="K223" s="3" t="n"/>
      <c r="L223" s="3" t="n"/>
      <c r="M223" s="2" t="inlineStr">
        <is>
          <t>PriceCharting</t>
        </is>
      </c>
      <c r="N223" s="4" t="inlineStr">
        <is>
          <t>https://www.pricecharting.com/game/one-piece-extra-booster-memorial-collection/booster-pack</t>
        </is>
      </c>
    </row>
    <row r="224">
      <c r="A224" s="2" t="inlineStr">
        <is>
          <t>Extra Booster: One Piece Heroines Edition Pack</t>
        </is>
      </c>
      <c r="B224" s="3">
        <f>IF(I224&lt;&gt;"",I224,IF(J224&lt;&gt;"",J224,IF(K224&lt;&gt;"",K224,L224)))</f>
        <v>11.91</v>
      </c>
      <c r="C224" s="3">
        <f>MEDIAN(I224:L224)</f>
        <v>9.945</v>
      </c>
      <c r="D224" s="3">
        <f>ROUND(C224*(1-Settings!$B$2),2)</f>
        <v>6.96</v>
      </c>
      <c r="E224" s="3">
        <f>ROUND(C224*(1-Settings!$B$3),2)</f>
        <v>6.96</v>
      </c>
      <c r="F224" s="2" t="inlineStr">
        <is>
          <t>One Piece</t>
        </is>
      </c>
      <c r="G224" s="2" t="inlineStr">
        <is>
          <t>Pack</t>
        </is>
      </c>
      <c r="H224" s="2" t="inlineStr">
        <is>
          <t>Extra Booster: One Piece Heroines Edition</t>
        </is>
      </c>
      <c r="I224" s="3" t="n"/>
      <c r="J224" s="3" t="n">
        <v>11.91</v>
      </c>
      <c r="K224" s="3" t="n"/>
      <c r="L224" s="3" t="n">
        <v>7.98</v>
      </c>
      <c r="M224" s="2" t="inlineStr">
        <is>
          <t>TCGplayer</t>
        </is>
      </c>
      <c r="O224" s="4" t="inlineStr">
        <is>
          <t>https://www.tcgplayer.com/product/666727</t>
        </is>
      </c>
    </row>
    <row r="225">
      <c r="A225" s="2" t="inlineStr">
        <is>
          <t>Extra Booster: One Piece Heroines Edition Sleeved Booster Pack</t>
        </is>
      </c>
      <c r="B225" s="3">
        <f>IF(I225&lt;&gt;"",I225,IF(J225&lt;&gt;"",J225,IF(K225&lt;&gt;"",K225,L225)))</f>
        <v>19.47</v>
      </c>
      <c r="C225" s="3">
        <f>MEDIAN(I225:L225)</f>
        <v>18.71</v>
      </c>
      <c r="D225" s="3">
        <f>ROUND(C225*(1-Settings!$B$2),2)</f>
        <v>13.1</v>
      </c>
      <c r="E225" s="3">
        <f>ROUND(C225*(1-Settings!$B$3),2)</f>
        <v>13.1</v>
      </c>
      <c r="F225" s="2" t="inlineStr">
        <is>
          <t>One Piece</t>
        </is>
      </c>
      <c r="G225" s="2" t="inlineStr">
        <is>
          <t>Pack</t>
        </is>
      </c>
      <c r="H225" s="2" t="inlineStr">
        <is>
          <t>Extra Booster: One Piece Heroines Edition</t>
        </is>
      </c>
      <c r="I225" s="3" t="n"/>
      <c r="J225" s="3" t="n">
        <v>19.47</v>
      </c>
      <c r="K225" s="3" t="n"/>
      <c r="L225" s="3" t="n">
        <v>17.95</v>
      </c>
      <c r="M225" s="2" t="inlineStr">
        <is>
          <t>TCGplayer</t>
        </is>
      </c>
      <c r="O225" s="4" t="inlineStr">
        <is>
          <t>https://www.tcgplayer.com/product/679503</t>
        </is>
      </c>
    </row>
    <row r="226">
      <c r="A226" s="2" t="inlineStr">
        <is>
          <t>One Piece Heroines Campaign - Dash Pack</t>
        </is>
      </c>
      <c r="B226" s="3">
        <f>IF(I226&lt;&gt;"",I226,IF(J226&lt;&gt;"",J226,IF(K226&lt;&gt;"",K226,L226)))</f>
        <v>7.0</v>
      </c>
      <c r="C226" s="3">
        <f>MEDIAN(I226:L226)</f>
        <v>6.945</v>
      </c>
      <c r="D226" s="3">
        <f>ROUND(C226*(1-Settings!$B$2),2)</f>
        <v>4.86</v>
      </c>
      <c r="E226" s="3">
        <f>ROUND(C226*(1-Settings!$B$3),2)</f>
        <v>4.86</v>
      </c>
      <c r="F226" s="2" t="inlineStr">
        <is>
          <t>One Piece</t>
        </is>
      </c>
      <c r="G226" s="2" t="inlineStr">
        <is>
          <t>Pack</t>
        </is>
      </c>
      <c r="H226" s="2" t="inlineStr">
        <is>
          <t>Extra Booster: One Piece Heroines Edition</t>
        </is>
      </c>
      <c r="I226" s="3" t="n"/>
      <c r="J226" s="3" t="n">
        <v>7</v>
      </c>
      <c r="K226" s="3" t="n"/>
      <c r="L226" s="3" t="n">
        <v>6.89</v>
      </c>
      <c r="M226" s="2" t="inlineStr">
        <is>
          <t>TCGplayer</t>
        </is>
      </c>
      <c r="O226" s="4" t="inlineStr">
        <is>
          <t>https://www.tcgplayer.com/product/675744</t>
        </is>
      </c>
    </row>
    <row r="227">
      <c r="A227" s="2" t="inlineStr">
        <is>
          <t>Extra Booster: One Piece Heroines Edition Vol.2 - Booster Pack</t>
        </is>
      </c>
      <c r="B227" s="3">
        <f>IF(I227&lt;&gt;"",I227,IF(J227&lt;&gt;"",J227,IF(K227&lt;&gt;"",K227,L227)))</f>
        <v>20.95</v>
      </c>
      <c r="C227" s="3">
        <f>MEDIAN(I227:L227)</f>
        <v>20.45</v>
      </c>
      <c r="D227" s="3">
        <f>ROUND(C227*(1-Settings!$B$2),2)</f>
        <v>14.32</v>
      </c>
      <c r="E227" s="3">
        <f>ROUND(C227*(1-Settings!$B$3),2)</f>
        <v>14.32</v>
      </c>
      <c r="F227" s="2" t="inlineStr">
        <is>
          <t>One Piece</t>
        </is>
      </c>
      <c r="G227" s="2" t="inlineStr">
        <is>
          <t>Pack</t>
        </is>
      </c>
      <c r="H227" s="2" t="inlineStr">
        <is>
          <t>Extra Booster: One Piece Heroines Edition Vol. 2</t>
        </is>
      </c>
      <c r="I227" s="3" t="n"/>
      <c r="J227" s="3" t="n">
        <v>20.95</v>
      </c>
      <c r="K227" s="3" t="n"/>
      <c r="L227" s="3" t="n">
        <v>19.95</v>
      </c>
      <c r="M227" s="2" t="inlineStr">
        <is>
          <t>TCGplayer</t>
        </is>
      </c>
      <c r="O227" s="4" t="inlineStr">
        <is>
          <t>https://www.tcgplayer.com/product/711383</t>
        </is>
      </c>
    </row>
    <row r="228">
      <c r="A228" s="2" t="inlineStr">
        <is>
          <t>Fist Of Divine Speed Booster Pack</t>
        </is>
      </c>
      <c r="B228" s="3">
        <f>IF(I228&lt;&gt;"",I228,IF(J228&lt;&gt;"",J228,IF(K228&lt;&gt;"",K228,L228)))</f>
        <v>11.49</v>
      </c>
      <c r="C228" s="3">
        <f>MEDIAN(I228:L228)</f>
        <v>11.49</v>
      </c>
      <c r="D228" s="3">
        <f>ROUND(C228*(1-Settings!$B$2),2)</f>
        <v>8.04</v>
      </c>
      <c r="E228" s="3">
        <f>ROUND(C228*(1-Settings!$B$3),2)</f>
        <v>8.04</v>
      </c>
      <c r="F228" s="2" t="inlineStr">
        <is>
          <t>One Piece</t>
        </is>
      </c>
      <c r="G228" s="2" t="inlineStr">
        <is>
          <t>Pack</t>
        </is>
      </c>
      <c r="H228" s="2" t="inlineStr">
        <is>
          <t>Fist Of Divine Speed</t>
        </is>
      </c>
      <c r="I228" s="3" t="n">
        <v>11.49</v>
      </c>
      <c r="J228" s="3" t="n"/>
      <c r="K228" s="3" t="n"/>
      <c r="L228" s="3" t="n"/>
      <c r="M228" s="2" t="inlineStr">
        <is>
          <t>PriceCharting</t>
        </is>
      </c>
      <c r="N228" s="4" t="inlineStr">
        <is>
          <t>https://www.pricecharting.com/game/one-piece-fist-of-divine-speed/booster-pack</t>
        </is>
      </c>
    </row>
    <row r="229">
      <c r="A229" s="2" t="inlineStr">
        <is>
          <t>Fist Of Divine Speed Sleeved Booster Pack</t>
        </is>
      </c>
      <c r="B229" s="3">
        <f>IF(I229&lt;&gt;"",I229,IF(J229&lt;&gt;"",J229,IF(K229&lt;&gt;"",K229,L229)))</f>
        <v>35.92</v>
      </c>
      <c r="C229" s="3">
        <f>MEDIAN(I229:L229)</f>
        <v>35.92</v>
      </c>
      <c r="D229" s="3">
        <f>ROUND(C229*(1-Settings!$B$2),2)</f>
        <v>25.14</v>
      </c>
      <c r="E229" s="3">
        <f>ROUND(C229*(1-Settings!$B$3),2)</f>
        <v>25.14</v>
      </c>
      <c r="F229" s="2" t="inlineStr">
        <is>
          <t>One Piece</t>
        </is>
      </c>
      <c r="G229" s="2" t="inlineStr">
        <is>
          <t>Pack</t>
        </is>
      </c>
      <c r="H229" s="2" t="inlineStr">
        <is>
          <t>Fist Of Divine Speed</t>
        </is>
      </c>
      <c r="I229" s="3" t="n">
        <v>35.92</v>
      </c>
      <c r="J229" s="3" t="n"/>
      <c r="K229" s="3" t="n"/>
      <c r="L229" s="3" t="n"/>
      <c r="M229" s="2" t="inlineStr">
        <is>
          <t>PriceCharting</t>
        </is>
      </c>
      <c r="N229" s="4" t="inlineStr">
        <is>
          <t>https://www.pricecharting.com/game/one-piece-fist-of-divine-speed/sleeved-booster-pack</t>
        </is>
      </c>
    </row>
    <row r="230">
      <c r="A230" s="2" t="inlineStr">
        <is>
          <t>Japanese 500 Years In The Future Booster Pack</t>
        </is>
      </c>
      <c r="B230" s="3">
        <f>IF(I230&lt;&gt;"",I230,IF(J230&lt;&gt;"",J230,IF(K230&lt;&gt;"",K230,L230)))</f>
        <v>5.01</v>
      </c>
      <c r="C230" s="3">
        <f>MEDIAN(I230:L230)</f>
        <v>5.01</v>
      </c>
      <c r="D230" s="3">
        <f>ROUND(C230*(1-Settings!$B$2),2)</f>
        <v>3.51</v>
      </c>
      <c r="E230" s="3">
        <f>ROUND(C230*(1-Settings!$B$3),2)</f>
        <v>3.51</v>
      </c>
      <c r="F230" s="2" t="inlineStr">
        <is>
          <t>One Piece</t>
        </is>
      </c>
      <c r="G230" s="2" t="inlineStr">
        <is>
          <t>Pack</t>
        </is>
      </c>
      <c r="H230" s="2" t="inlineStr">
        <is>
          <t>Japanese 500 Years In The Future</t>
        </is>
      </c>
      <c r="I230" s="3" t="n">
        <v>5.01</v>
      </c>
      <c r="J230" s="3" t="n"/>
      <c r="K230" s="3" t="n"/>
      <c r="L230" s="3" t="n"/>
      <c r="M230" s="2" t="inlineStr">
        <is>
          <t>PriceCharting</t>
        </is>
      </c>
      <c r="N230" s="4" t="inlineStr">
        <is>
          <t>https://www.pricecharting.com/game/one-piece-japanese-500-years-in-the-future/booster-pack</t>
        </is>
      </c>
    </row>
    <row r="231">
      <c r="A231" s="2" t="inlineStr">
        <is>
          <t>Japanese Awakening Of The New Era Booster Pack</t>
        </is>
      </c>
      <c r="B231" s="3">
        <f>IF(I231&lt;&gt;"",I231,IF(J231&lt;&gt;"",J231,IF(K231&lt;&gt;"",K231,L231)))</f>
        <v>12.82</v>
      </c>
      <c r="C231" s="3">
        <f>MEDIAN(I231:L231)</f>
        <v>12.82</v>
      </c>
      <c r="D231" s="3">
        <f>ROUND(C231*(1-Settings!$B$2),2)</f>
        <v>8.97</v>
      </c>
      <c r="E231" s="3">
        <f>ROUND(C231*(1-Settings!$B$3),2)</f>
        <v>8.97</v>
      </c>
      <c r="F231" s="2" t="inlineStr">
        <is>
          <t>One Piece</t>
        </is>
      </c>
      <c r="G231" s="2" t="inlineStr">
        <is>
          <t>Pack</t>
        </is>
      </c>
      <c r="H231" s="2" t="inlineStr">
        <is>
          <t>Japanese Awakening Of The New Era</t>
        </is>
      </c>
      <c r="I231" s="3" t="n">
        <v>12.82</v>
      </c>
      <c r="J231" s="3" t="n"/>
      <c r="K231" s="3" t="n"/>
      <c r="L231" s="3" t="n"/>
      <c r="M231" s="2" t="inlineStr">
        <is>
          <t>PriceCharting</t>
        </is>
      </c>
      <c r="N231" s="4" t="inlineStr">
        <is>
          <t>https://www.pricecharting.com/game/one-piece-japanese-awakening-of-the-new-era/booster-pack</t>
        </is>
      </c>
    </row>
    <row r="232">
      <c r="A232" s="2" t="inlineStr">
        <is>
          <t>Japanese Carrying On His Will Booster Pack</t>
        </is>
      </c>
      <c r="B232" s="3">
        <f>IF(I232&lt;&gt;"",I232,IF(J232&lt;&gt;"",J232,IF(K232&lt;&gt;"",K232,L232)))</f>
        <v>21.8</v>
      </c>
      <c r="C232" s="3">
        <f>MEDIAN(I232:L232)</f>
        <v>21.8</v>
      </c>
      <c r="D232" s="3">
        <f>ROUND(C232*(1-Settings!$B$2),2)</f>
        <v>15.26</v>
      </c>
      <c r="E232" s="3">
        <f>ROUND(C232*(1-Settings!$B$3),2)</f>
        <v>15.26</v>
      </c>
      <c r="F232" s="2" t="inlineStr">
        <is>
          <t>One Piece</t>
        </is>
      </c>
      <c r="G232" s="2" t="inlineStr">
        <is>
          <t>Pack</t>
        </is>
      </c>
      <c r="H232" s="2" t="inlineStr">
        <is>
          <t>Japanese Carrying On His Will</t>
        </is>
      </c>
      <c r="I232" s="3" t="n">
        <v>21.8</v>
      </c>
      <c r="J232" s="3" t="n"/>
      <c r="K232" s="3" t="n"/>
      <c r="L232" s="3" t="n"/>
      <c r="M232" s="2" t="inlineStr">
        <is>
          <t>PriceCharting</t>
        </is>
      </c>
      <c r="N232" s="4" t="inlineStr">
        <is>
          <t>https://www.pricecharting.com/game/one-piece-japanese-carrying-on-his-will/booster-pack</t>
        </is>
      </c>
    </row>
    <row r="233">
      <c r="A233" s="2" t="inlineStr">
        <is>
          <t>Japanese Emperors In The New World Booster Pack</t>
        </is>
      </c>
      <c r="B233" s="3">
        <f>IF(I233&lt;&gt;"",I233,IF(J233&lt;&gt;"",J233,IF(K233&lt;&gt;"",K233,L233)))</f>
        <v>16.91</v>
      </c>
      <c r="C233" s="3">
        <f>MEDIAN(I233:L233)</f>
        <v>16.91</v>
      </c>
      <c r="D233" s="3">
        <f>ROUND(C233*(1-Settings!$B$2),2)</f>
        <v>11.84</v>
      </c>
      <c r="E233" s="3">
        <f>ROUND(C233*(1-Settings!$B$3),2)</f>
        <v>11.84</v>
      </c>
      <c r="F233" s="2" t="inlineStr">
        <is>
          <t>One Piece</t>
        </is>
      </c>
      <c r="G233" s="2" t="inlineStr">
        <is>
          <t>Pack</t>
        </is>
      </c>
      <c r="H233" s="2" t="inlineStr">
        <is>
          <t>Japanese Emperors In The New World</t>
        </is>
      </c>
      <c r="I233" s="3" t="n">
        <v>16.91</v>
      </c>
      <c r="J233" s="3" t="n"/>
      <c r="K233" s="3" t="n"/>
      <c r="L233" s="3" t="n"/>
      <c r="M233" s="2" t="inlineStr">
        <is>
          <t>PriceCharting</t>
        </is>
      </c>
      <c r="N233" s="4" t="inlineStr">
        <is>
          <t>https://www.pricecharting.com/game/one-piece-japanese-emperors-in-the-new-world/booster-pack</t>
        </is>
      </c>
    </row>
    <row r="234">
      <c r="A234" s="2" t="inlineStr">
        <is>
          <t>Japanese Extra Booster Anime 25th Collection Booster Pack</t>
        </is>
      </c>
      <c r="B234" s="3">
        <f>IF(I234&lt;&gt;"",I234,IF(J234&lt;&gt;"",J234,IF(K234&lt;&gt;"",K234,L234)))</f>
        <v>14.9</v>
      </c>
      <c r="C234" s="3">
        <f>MEDIAN(I234:L234)</f>
        <v>14.9</v>
      </c>
      <c r="D234" s="3">
        <f>ROUND(C234*(1-Settings!$B$2),2)</f>
        <v>10.43</v>
      </c>
      <c r="E234" s="3">
        <f>ROUND(C234*(1-Settings!$B$3),2)</f>
        <v>10.43</v>
      </c>
      <c r="F234" s="2" t="inlineStr">
        <is>
          <t>One Piece</t>
        </is>
      </c>
      <c r="G234" s="2" t="inlineStr">
        <is>
          <t>Pack</t>
        </is>
      </c>
      <c r="H234" s="2" t="inlineStr">
        <is>
          <t>Japanese Extra Booster Anime 25th Collection</t>
        </is>
      </c>
      <c r="I234" s="3" t="n">
        <v>14.9</v>
      </c>
      <c r="J234" s="3" t="n"/>
      <c r="K234" s="3" t="n"/>
      <c r="L234" s="3" t="n"/>
      <c r="M234" s="2" t="inlineStr">
        <is>
          <t>PriceCharting</t>
        </is>
      </c>
      <c r="N234" s="4" t="inlineStr">
        <is>
          <t>https://www.pricecharting.com/game/one-piece-japanese-extra-booster-anime-25th-collection/booster-pack</t>
        </is>
      </c>
    </row>
    <row r="235">
      <c r="A235" s="2" t="inlineStr">
        <is>
          <t>Japanese Extra Booster Egghead Crisis Booster Pack</t>
        </is>
      </c>
      <c r="B235" s="3">
        <f>IF(I235&lt;&gt;"",I235,IF(J235&lt;&gt;"",J235,IF(K235&lt;&gt;"",K235,L235)))</f>
        <v>20.94</v>
      </c>
      <c r="C235" s="3">
        <f>MEDIAN(I235:L235)</f>
        <v>20.94</v>
      </c>
      <c r="D235" s="3">
        <f>ROUND(C235*(1-Settings!$B$2),2)</f>
        <v>14.66</v>
      </c>
      <c r="E235" s="3">
        <f>ROUND(C235*(1-Settings!$B$3),2)</f>
        <v>14.66</v>
      </c>
      <c r="F235" s="2" t="inlineStr">
        <is>
          <t>One Piece</t>
        </is>
      </c>
      <c r="G235" s="2" t="inlineStr">
        <is>
          <t>Pack</t>
        </is>
      </c>
      <c r="H235" s="2" t="inlineStr">
        <is>
          <t>Japanese Extra Booster Egghead Crisis</t>
        </is>
      </c>
      <c r="I235" s="3" t="n">
        <v>20.94</v>
      </c>
      <c r="J235" s="3" t="n"/>
      <c r="K235" s="3" t="n"/>
      <c r="L235" s="3" t="n"/>
      <c r="M235" s="2" t="inlineStr">
        <is>
          <t>PriceCharting</t>
        </is>
      </c>
      <c r="N235" s="4" t="inlineStr">
        <is>
          <t>https://www.pricecharting.com/game/one-piece-japanese-extra-booster-egghead-crisis/booster-pack</t>
        </is>
      </c>
    </row>
    <row r="236">
      <c r="A236" s="2" t="inlineStr">
        <is>
          <t>Japanese Extra Booster Heroines Edition Booster Pack</t>
        </is>
      </c>
      <c r="B236" s="3">
        <f>IF(I236&lt;&gt;"",I236,IF(J236&lt;&gt;"",J236,IF(K236&lt;&gt;"",K236,L236)))</f>
        <v>13.71</v>
      </c>
      <c r="C236" s="3">
        <f>MEDIAN(I236:L236)</f>
        <v>13.71</v>
      </c>
      <c r="D236" s="3">
        <f>ROUND(C236*(1-Settings!$B$2),2)</f>
        <v>9.6</v>
      </c>
      <c r="E236" s="3">
        <f>ROUND(C236*(1-Settings!$B$3),2)</f>
        <v>9.6</v>
      </c>
      <c r="F236" s="2" t="inlineStr">
        <is>
          <t>One Piece</t>
        </is>
      </c>
      <c r="G236" s="2" t="inlineStr">
        <is>
          <t>Pack</t>
        </is>
      </c>
      <c r="H236" s="2" t="inlineStr">
        <is>
          <t>Japanese Extra Booster Heroines Edition</t>
        </is>
      </c>
      <c r="I236" s="3" t="n">
        <v>13.71</v>
      </c>
      <c r="J236" s="3" t="n"/>
      <c r="K236" s="3" t="n"/>
      <c r="L236" s="3" t="n"/>
      <c r="M236" s="2" t="inlineStr">
        <is>
          <t>PriceCharting</t>
        </is>
      </c>
      <c r="N236" s="4" t="inlineStr">
        <is>
          <t>https://www.pricecharting.com/game/one-piece-japanese-extra-booster-heroines-edition/booster-pack</t>
        </is>
      </c>
    </row>
    <row r="237">
      <c r="A237" s="2" t="inlineStr">
        <is>
          <t>Japanese Extra Booster Memorial Collection Booster Pack</t>
        </is>
      </c>
      <c r="B237" s="3">
        <f>IF(I237&lt;&gt;"",I237,IF(J237&lt;&gt;"",J237,IF(K237&lt;&gt;"",K237,L237)))</f>
        <v>9.84</v>
      </c>
      <c r="C237" s="3">
        <f>MEDIAN(I237:L237)</f>
        <v>9.84</v>
      </c>
      <c r="D237" s="3">
        <f>ROUND(C237*(1-Settings!$B$2),2)</f>
        <v>6.89</v>
      </c>
      <c r="E237" s="3">
        <f>ROUND(C237*(1-Settings!$B$3),2)</f>
        <v>6.89</v>
      </c>
      <c r="F237" s="2" t="inlineStr">
        <is>
          <t>One Piece</t>
        </is>
      </c>
      <c r="G237" s="2" t="inlineStr">
        <is>
          <t>Pack</t>
        </is>
      </c>
      <c r="H237" s="2" t="inlineStr">
        <is>
          <t>Japanese Extra Booster Memorial Collection</t>
        </is>
      </c>
      <c r="I237" s="3" t="n">
        <v>9.84</v>
      </c>
      <c r="J237" s="3" t="n"/>
      <c r="K237" s="3" t="n"/>
      <c r="L237" s="3" t="n"/>
      <c r="M237" s="2" t="inlineStr">
        <is>
          <t>PriceCharting</t>
        </is>
      </c>
      <c r="N237" s="4" t="inlineStr">
        <is>
          <t>https://www.pricecharting.com/game/one-piece-japanese-extra-booster-memorial-collection/booster-pack</t>
        </is>
      </c>
    </row>
    <row r="238">
      <c r="A238" s="2" t="inlineStr">
        <is>
          <t>Japanese Fist Of Divine Speed Booster Pack</t>
        </is>
      </c>
      <c r="B238" s="3">
        <f>IF(I238&lt;&gt;"",I238,IF(J238&lt;&gt;"",J238,IF(K238&lt;&gt;"",K238,L238)))</f>
        <v>11.0</v>
      </c>
      <c r="C238" s="3">
        <f>MEDIAN(I238:L238)</f>
        <v>11.0</v>
      </c>
      <c r="D238" s="3">
        <f>ROUND(C238*(1-Settings!$B$2),2)</f>
        <v>7.7</v>
      </c>
      <c r="E238" s="3">
        <f>ROUND(C238*(1-Settings!$B$3),2)</f>
        <v>7.7</v>
      </c>
      <c r="F238" s="2" t="inlineStr">
        <is>
          <t>One Piece</t>
        </is>
      </c>
      <c r="G238" s="2" t="inlineStr">
        <is>
          <t>Pack</t>
        </is>
      </c>
      <c r="H238" s="2" t="inlineStr">
        <is>
          <t>Japanese Fist Of Divine Speed</t>
        </is>
      </c>
      <c r="I238" s="3" t="n">
        <v>11</v>
      </c>
      <c r="J238" s="3" t="n"/>
      <c r="K238" s="3" t="n"/>
      <c r="L238" s="3" t="n"/>
      <c r="M238" s="2" t="inlineStr">
        <is>
          <t>PriceCharting</t>
        </is>
      </c>
      <c r="N238" s="4" t="inlineStr">
        <is>
          <t>https://www.pricecharting.com/game/one-piece-japanese-fist-of-divine-speed/booster-pack</t>
        </is>
      </c>
    </row>
    <row r="239">
      <c r="A239" s="2" t="inlineStr">
        <is>
          <t>Japanese Kingdoms Of Intrigue Booster Pack</t>
        </is>
      </c>
      <c r="B239" s="3">
        <f>IF(I239&lt;&gt;"",I239,IF(J239&lt;&gt;"",J239,IF(K239&lt;&gt;"",K239,L239)))</f>
        <v>0.99</v>
      </c>
      <c r="C239" s="3">
        <f>MEDIAN(I239:L239)</f>
        <v>0.99</v>
      </c>
      <c r="D239" s="3">
        <f>ROUND(C239*(1-Settings!$B$2),2)</f>
        <v>0.69</v>
      </c>
      <c r="E239" s="3">
        <f>ROUND(C239*(1-Settings!$B$3),2)</f>
        <v>0.69</v>
      </c>
      <c r="F239" s="2" t="inlineStr">
        <is>
          <t>One Piece</t>
        </is>
      </c>
      <c r="G239" s="2" t="inlineStr">
        <is>
          <t>Pack</t>
        </is>
      </c>
      <c r="H239" s="2" t="inlineStr">
        <is>
          <t>Japanese Kingdoms Of Intrigue</t>
        </is>
      </c>
      <c r="I239" s="3" t="n">
        <v>0.99</v>
      </c>
      <c r="J239" s="3" t="n"/>
      <c r="K239" s="3" t="n"/>
      <c r="L239" s="3" t="n"/>
      <c r="M239" s="2" t="inlineStr">
        <is>
          <t>PriceCharting</t>
        </is>
      </c>
      <c r="N239" s="4" t="inlineStr">
        <is>
          <t>https://www.pricecharting.com/game/one-piece-japanese-kingdoms-of-intrigue/booster-pack</t>
        </is>
      </c>
    </row>
    <row r="240">
      <c r="A240" s="2" t="inlineStr">
        <is>
          <t>Japanese Legacy Of The Master Booster Pack</t>
        </is>
      </c>
      <c r="B240" s="3">
        <f>IF(I240&lt;&gt;"",I240,IF(J240&lt;&gt;"",J240,IF(K240&lt;&gt;"",K240,L240)))</f>
        <v>7.01</v>
      </c>
      <c r="C240" s="3">
        <f>MEDIAN(I240:L240)</f>
        <v>7.01</v>
      </c>
      <c r="D240" s="3">
        <f>ROUND(C240*(1-Settings!$B$2),2)</f>
        <v>4.91</v>
      </c>
      <c r="E240" s="3">
        <f>ROUND(C240*(1-Settings!$B$3),2)</f>
        <v>4.91</v>
      </c>
      <c r="F240" s="2" t="inlineStr">
        <is>
          <t>One Piece</t>
        </is>
      </c>
      <c r="G240" s="2" t="inlineStr">
        <is>
          <t>Pack</t>
        </is>
      </c>
      <c r="H240" s="2" t="inlineStr">
        <is>
          <t>Japanese Legacy Of The Master</t>
        </is>
      </c>
      <c r="I240" s="3" t="n">
        <v>7.01</v>
      </c>
      <c r="J240" s="3" t="n"/>
      <c r="K240" s="3" t="n"/>
      <c r="L240" s="3" t="n"/>
      <c r="M240" s="2" t="inlineStr">
        <is>
          <t>PriceCharting</t>
        </is>
      </c>
      <c r="N240" s="4" t="inlineStr">
        <is>
          <t>https://www.pricecharting.com/game/one-piece-japanese-legacy-of-the-master/booster-pack</t>
        </is>
      </c>
    </row>
    <row r="241">
      <c r="A241" s="2" t="inlineStr">
        <is>
          <t>Japanese Paramount War Booster Pack</t>
        </is>
      </c>
      <c r="B241" s="3">
        <f>IF(I241&lt;&gt;"",I241,IF(J241&lt;&gt;"",J241,IF(K241&lt;&gt;"",K241,L241)))</f>
        <v>4.22</v>
      </c>
      <c r="C241" s="3">
        <f>MEDIAN(I241:L241)</f>
        <v>4.22</v>
      </c>
      <c r="D241" s="3">
        <f>ROUND(C241*(1-Settings!$B$2),2)</f>
        <v>2.95</v>
      </c>
      <c r="E241" s="3">
        <f>ROUND(C241*(1-Settings!$B$3),2)</f>
        <v>2.95</v>
      </c>
      <c r="F241" s="2" t="inlineStr">
        <is>
          <t>One Piece</t>
        </is>
      </c>
      <c r="G241" s="2" t="inlineStr">
        <is>
          <t>Pack</t>
        </is>
      </c>
      <c r="H241" s="2" t="inlineStr">
        <is>
          <t>Japanese Paramount War</t>
        </is>
      </c>
      <c r="I241" s="3" t="n">
        <v>4.22</v>
      </c>
      <c r="J241" s="3" t="n"/>
      <c r="K241" s="3" t="n"/>
      <c r="L241" s="3" t="n"/>
      <c r="M241" s="2" t="inlineStr">
        <is>
          <t>PriceCharting</t>
        </is>
      </c>
      <c r="N241" s="4" t="inlineStr">
        <is>
          <t>https://www.pricecharting.com/game/one-piece-japanese-paramount-war/booster-pack</t>
        </is>
      </c>
    </row>
    <row r="242">
      <c r="A242" s="2" t="inlineStr">
        <is>
          <t>Japanese Pillars Of Strength Booster Pack</t>
        </is>
      </c>
      <c r="B242" s="3">
        <f>IF(I242&lt;&gt;"",I242,IF(J242&lt;&gt;"",J242,IF(K242&lt;&gt;"",K242,L242)))</f>
        <v>6.99</v>
      </c>
      <c r="C242" s="3">
        <f>MEDIAN(I242:L242)</f>
        <v>6.99</v>
      </c>
      <c r="D242" s="3">
        <f>ROUND(C242*(1-Settings!$B$2),2)</f>
        <v>4.89</v>
      </c>
      <c r="E242" s="3">
        <f>ROUND(C242*(1-Settings!$B$3),2)</f>
        <v>4.89</v>
      </c>
      <c r="F242" s="2" t="inlineStr">
        <is>
          <t>One Piece</t>
        </is>
      </c>
      <c r="G242" s="2" t="inlineStr">
        <is>
          <t>Pack</t>
        </is>
      </c>
      <c r="H242" s="2" t="inlineStr">
        <is>
          <t>Japanese Pillars Of Strength</t>
        </is>
      </c>
      <c r="I242" s="3" t="n">
        <v>6.99</v>
      </c>
      <c r="J242" s="3" t="n"/>
      <c r="K242" s="3" t="n"/>
      <c r="L242" s="3" t="n"/>
      <c r="M242" s="2" t="inlineStr">
        <is>
          <t>PriceCharting</t>
        </is>
      </c>
      <c r="N242" s="4" t="inlineStr">
        <is>
          <t>https://www.pricecharting.com/game/one-piece-japanese-pillars-of-strength/booster-pack</t>
        </is>
      </c>
    </row>
    <row r="243">
      <c r="A243" s="2" t="inlineStr">
        <is>
          <t>Japanese Premium Booster Booster Pack</t>
        </is>
      </c>
      <c r="B243" s="3">
        <f>IF(I243&lt;&gt;"",I243,IF(J243&lt;&gt;"",J243,IF(K243&lt;&gt;"",K243,L243)))</f>
        <v>10.49</v>
      </c>
      <c r="C243" s="3">
        <f>MEDIAN(I243:L243)</f>
        <v>10.49</v>
      </c>
      <c r="D243" s="3">
        <f>ROUND(C243*(1-Settings!$B$2),2)</f>
        <v>7.34</v>
      </c>
      <c r="E243" s="3">
        <f>ROUND(C243*(1-Settings!$B$3),2)</f>
        <v>7.34</v>
      </c>
      <c r="F243" s="2" t="inlineStr">
        <is>
          <t>One Piece</t>
        </is>
      </c>
      <c r="G243" s="2" t="inlineStr">
        <is>
          <t>Pack</t>
        </is>
      </c>
      <c r="H243" s="2" t="inlineStr">
        <is>
          <t>Japanese Premium Booster</t>
        </is>
      </c>
      <c r="I243" s="3" t="n">
        <v>10.49</v>
      </c>
      <c r="J243" s="3" t="n"/>
      <c r="K243" s="3" t="n"/>
      <c r="L243" s="3" t="n"/>
      <c r="M243" s="2" t="inlineStr">
        <is>
          <t>PriceCharting</t>
        </is>
      </c>
      <c r="N243" s="4" t="inlineStr">
        <is>
          <t>https://www.pricecharting.com/game/one-piece-japanese-premium-booster/booster-pack</t>
        </is>
      </c>
    </row>
    <row r="244">
      <c r="A244" s="2" t="inlineStr">
        <is>
          <t>Japanese Premium Booster 2 Booster Pack</t>
        </is>
      </c>
      <c r="B244" s="3">
        <f>IF(I244&lt;&gt;"",I244,IF(J244&lt;&gt;"",J244,IF(K244&lt;&gt;"",K244,L244)))</f>
        <v>12.66</v>
      </c>
      <c r="C244" s="3">
        <f>MEDIAN(I244:L244)</f>
        <v>12.66</v>
      </c>
      <c r="D244" s="3">
        <f>ROUND(C244*(1-Settings!$B$2),2)</f>
        <v>8.86</v>
      </c>
      <c r="E244" s="3">
        <f>ROUND(C244*(1-Settings!$B$3),2)</f>
        <v>8.86</v>
      </c>
      <c r="F244" s="2" t="inlineStr">
        <is>
          <t>One Piece</t>
        </is>
      </c>
      <c r="G244" s="2" t="inlineStr">
        <is>
          <t>Pack</t>
        </is>
      </c>
      <c r="H244" s="2" t="inlineStr">
        <is>
          <t>Japanese Premium Booster 2</t>
        </is>
      </c>
      <c r="I244" s="3" t="n">
        <v>12.66</v>
      </c>
      <c r="J244" s="3" t="n"/>
      <c r="K244" s="3" t="n"/>
      <c r="L244" s="3" t="n"/>
      <c r="M244" s="2" t="inlineStr">
        <is>
          <t>PriceCharting</t>
        </is>
      </c>
      <c r="N244" s="4" t="inlineStr">
        <is>
          <t>https://www.pricecharting.com/game/one-piece-japanese-premium-booster-2/booster-pack</t>
        </is>
      </c>
    </row>
    <row r="245">
      <c r="A245" s="2" t="inlineStr">
        <is>
          <t>Japanese Promo 4th Anniversary Treasure Campaign Pack</t>
        </is>
      </c>
      <c r="B245" s="3">
        <f>IF(I245&lt;&gt;"",I245,IF(J245&lt;&gt;"",J245,IF(K245&lt;&gt;"",K245,L245)))</f>
        <v>5.0</v>
      </c>
      <c r="C245" s="3">
        <f>MEDIAN(I245:L245)</f>
        <v>5.0</v>
      </c>
      <c r="D245" s="3">
        <f>ROUND(C245*(1-Settings!$B$2),2)</f>
        <v>3.5</v>
      </c>
      <c r="E245" s="3">
        <f>ROUND(C245*(1-Settings!$B$3),2)</f>
        <v>3.5</v>
      </c>
      <c r="F245" s="2" t="inlineStr">
        <is>
          <t>One Piece</t>
        </is>
      </c>
      <c r="G245" s="2" t="inlineStr">
        <is>
          <t>Pack</t>
        </is>
      </c>
      <c r="H245" s="2" t="inlineStr">
        <is>
          <t>Japanese Promo</t>
        </is>
      </c>
      <c r="I245" s="3" t="n">
        <v>5</v>
      </c>
      <c r="J245" s="3" t="n"/>
      <c r="K245" s="3" t="n"/>
      <c r="L245" s="3" t="n"/>
      <c r="M245" s="2" t="inlineStr">
        <is>
          <t>PriceCharting</t>
        </is>
      </c>
      <c r="N245" s="4" t="inlineStr">
        <is>
          <t>https://www.pricecharting.com/game/one-piece-japanese-promo/4th-anniversary-treasure-campaign-pack</t>
        </is>
      </c>
    </row>
    <row r="246">
      <c r="A246" s="2" t="inlineStr">
        <is>
          <t>Japanese Promo McDonald's Promo Pack 2025</t>
        </is>
      </c>
      <c r="B246" s="3">
        <f>IF(I246&lt;&gt;"",I246,IF(J246&lt;&gt;"",J246,IF(K246&lt;&gt;"",K246,L246)))</f>
        <v>20.74</v>
      </c>
      <c r="C246" s="3">
        <f>MEDIAN(I246:L246)</f>
        <v>20.74</v>
      </c>
      <c r="D246" s="3">
        <f>ROUND(C246*(1-Settings!$B$2),2)</f>
        <v>14.52</v>
      </c>
      <c r="E246" s="3">
        <f>ROUND(C246*(1-Settings!$B$3),2)</f>
        <v>14.52</v>
      </c>
      <c r="F246" s="2" t="inlineStr">
        <is>
          <t>One Piece</t>
        </is>
      </c>
      <c r="G246" s="2" t="inlineStr">
        <is>
          <t>Pack</t>
        </is>
      </c>
      <c r="H246" s="2" t="inlineStr">
        <is>
          <t>Japanese Promo</t>
        </is>
      </c>
      <c r="I246" s="3" t="n">
        <v>20.74</v>
      </c>
      <c r="J246" s="3" t="n"/>
      <c r="K246" s="3" t="n"/>
      <c r="L246" s="3" t="n"/>
      <c r="M246" s="2" t="inlineStr">
        <is>
          <t>PriceCharting</t>
        </is>
      </c>
      <c r="N246" s="4" t="inlineStr">
        <is>
          <t>https://www.pricecharting.com/game/one-piece-japanese-promo/mcdonald's-promo-pack-2025</t>
        </is>
      </c>
    </row>
    <row r="247">
      <c r="A247" s="2" t="inlineStr">
        <is>
          <t>Japanese Promo Sealed 3rd Anniversary Treasure Campaign Pack</t>
        </is>
      </c>
      <c r="B247" s="3">
        <f>IF(I247&lt;&gt;"",I247,IF(J247&lt;&gt;"",J247,IF(K247&lt;&gt;"",K247,L247)))</f>
        <v>69.49</v>
      </c>
      <c r="C247" s="3">
        <f>MEDIAN(I247:L247)</f>
        <v>69.49</v>
      </c>
      <c r="D247" s="3">
        <f>ROUND(C247*(1-Settings!$B$2),2)</f>
        <v>48.64</v>
      </c>
      <c r="E247" s="3">
        <f>ROUND(C247*(1-Settings!$B$3),2)</f>
        <v>48.64</v>
      </c>
      <c r="F247" s="2" t="inlineStr">
        <is>
          <t>One Piece</t>
        </is>
      </c>
      <c r="G247" s="2" t="inlineStr">
        <is>
          <t>Pack</t>
        </is>
      </c>
      <c r="H247" s="2" t="inlineStr">
        <is>
          <t>Japanese Promo</t>
        </is>
      </c>
      <c r="I247" s="3" t="n">
        <v>69.48999999999999</v>
      </c>
      <c r="J247" s="3" t="n"/>
      <c r="K247" s="3" t="n"/>
      <c r="L247" s="3" t="n"/>
      <c r="M247" s="2" t="inlineStr">
        <is>
          <t>PriceCharting</t>
        </is>
      </c>
      <c r="N247" s="4" t="inlineStr">
        <is>
          <t>https://www.pricecharting.com/game/one-piece-japanese-promo/sealed-3rd-anniversary-treasure-campaign-pack</t>
        </is>
      </c>
    </row>
    <row r="248">
      <c r="A248" s="2" t="inlineStr">
        <is>
          <t>Japanese Promo Sealed Film Red Uta Promo Pack</t>
        </is>
      </c>
      <c r="B248" s="3">
        <f>IF(I248&lt;&gt;"",I248,IF(J248&lt;&gt;"",J248,IF(K248&lt;&gt;"",K248,L248)))</f>
        <v>18.05</v>
      </c>
      <c r="C248" s="3">
        <f>MEDIAN(I248:L248)</f>
        <v>18.05</v>
      </c>
      <c r="D248" s="3">
        <f>ROUND(C248*(1-Settings!$B$2),2)</f>
        <v>12.64</v>
      </c>
      <c r="E248" s="3">
        <f>ROUND(C248*(1-Settings!$B$3),2)</f>
        <v>12.64</v>
      </c>
      <c r="F248" s="2" t="inlineStr">
        <is>
          <t>One Piece</t>
        </is>
      </c>
      <c r="G248" s="2" t="inlineStr">
        <is>
          <t>Pack</t>
        </is>
      </c>
      <c r="H248" s="2" t="inlineStr">
        <is>
          <t>Japanese Promo</t>
        </is>
      </c>
      <c r="I248" s="3" t="n">
        <v>18.05</v>
      </c>
      <c r="J248" s="3" t="n"/>
      <c r="K248" s="3" t="n"/>
      <c r="L248" s="3" t="n"/>
      <c r="M248" s="2" t="inlineStr">
        <is>
          <t>PriceCharting</t>
        </is>
      </c>
      <c r="N248" s="4" t="inlineStr">
        <is>
          <t>https://www.pricecharting.com/game/one-piece-japanese-promo/sealed-film-red-uta-promo-pack</t>
        </is>
      </c>
    </row>
    <row r="249">
      <c r="A249" s="2" t="inlineStr">
        <is>
          <t>Japanese Promo Sealed Let's Get Started Campaign Promotion Pack</t>
        </is>
      </c>
      <c r="B249" s="3">
        <f>IF(I249&lt;&gt;"",I249,IF(J249&lt;&gt;"",J249,IF(K249&lt;&gt;"",K249,L249)))</f>
        <v>35.91</v>
      </c>
      <c r="C249" s="3">
        <f>MEDIAN(I249:L249)</f>
        <v>35.91</v>
      </c>
      <c r="D249" s="3">
        <f>ROUND(C249*(1-Settings!$B$2),2)</f>
        <v>25.14</v>
      </c>
      <c r="E249" s="3">
        <f>ROUND(C249*(1-Settings!$B$3),2)</f>
        <v>25.14</v>
      </c>
      <c r="F249" s="2" t="inlineStr">
        <is>
          <t>One Piece</t>
        </is>
      </c>
      <c r="G249" s="2" t="inlineStr">
        <is>
          <t>Pack</t>
        </is>
      </c>
      <c r="H249" s="2" t="inlineStr">
        <is>
          <t>Japanese Promo</t>
        </is>
      </c>
      <c r="I249" s="3" t="n">
        <v>35.91</v>
      </c>
      <c r="J249" s="3" t="n"/>
      <c r="K249" s="3" t="n"/>
      <c r="L249" s="3" t="n"/>
      <c r="M249" s="2" t="inlineStr">
        <is>
          <t>PriceCharting</t>
        </is>
      </c>
      <c r="N249" s="4" t="inlineStr">
        <is>
          <t>https://www.pricecharting.com/game/one-piece-japanese-promo/sealed-let's-get-started-campaign-promotion-pack</t>
        </is>
      </c>
    </row>
    <row r="250">
      <c r="A250" s="2" t="inlineStr">
        <is>
          <t>Japanese Promo Sealed Pack [V Jump]</t>
        </is>
      </c>
      <c r="B250" s="3">
        <f>IF(I250&lt;&gt;"",I250,IF(J250&lt;&gt;"",J250,IF(K250&lt;&gt;"",K250,L250)))</f>
        <v>51.85</v>
      </c>
      <c r="C250" s="3">
        <f>MEDIAN(I250:L250)</f>
        <v>51.85</v>
      </c>
      <c r="D250" s="3">
        <f>ROUND(C250*(1-Settings!$B$2),2)</f>
        <v>36.3</v>
      </c>
      <c r="E250" s="3">
        <f>ROUND(C250*(1-Settings!$B$3),2)</f>
        <v>36.3</v>
      </c>
      <c r="F250" s="2" t="inlineStr">
        <is>
          <t>One Piece</t>
        </is>
      </c>
      <c r="G250" s="2" t="inlineStr">
        <is>
          <t>Pack</t>
        </is>
      </c>
      <c r="H250" s="2" t="inlineStr">
        <is>
          <t>Japanese Promo</t>
        </is>
      </c>
      <c r="I250" s="3" t="n">
        <v>51.85</v>
      </c>
      <c r="J250" s="3" t="n"/>
      <c r="K250" s="3" t="n"/>
      <c r="L250" s="3" t="n"/>
      <c r="M250" s="2" t="inlineStr">
        <is>
          <t>PriceCharting</t>
        </is>
      </c>
      <c r="N250" s="4" t="inlineStr">
        <is>
          <t>https://www.pricecharting.com/game/one-piece-japanese-promo/sealed-pack-v-jump</t>
        </is>
      </c>
    </row>
    <row r="251">
      <c r="A251" s="2" t="inlineStr">
        <is>
          <t>Japanese Promo Sealed Promotion Pack 2022</t>
        </is>
      </c>
      <c r="B251" s="3">
        <f>IF(I251&lt;&gt;"",I251,IF(J251&lt;&gt;"",J251,IF(K251&lt;&gt;"",K251,L251)))</f>
        <v>19.49</v>
      </c>
      <c r="C251" s="3">
        <f>MEDIAN(I251:L251)</f>
        <v>19.49</v>
      </c>
      <c r="D251" s="3">
        <f>ROUND(C251*(1-Settings!$B$2),2)</f>
        <v>13.64</v>
      </c>
      <c r="E251" s="3">
        <f>ROUND(C251*(1-Settings!$B$3),2)</f>
        <v>13.64</v>
      </c>
      <c r="F251" s="2" t="inlineStr">
        <is>
          <t>One Piece</t>
        </is>
      </c>
      <c r="G251" s="2" t="inlineStr">
        <is>
          <t>Pack</t>
        </is>
      </c>
      <c r="H251" s="2" t="inlineStr">
        <is>
          <t>Japanese Promo</t>
        </is>
      </c>
      <c r="I251" s="3" t="n">
        <v>19.49</v>
      </c>
      <c r="J251" s="3" t="n"/>
      <c r="K251" s="3" t="n"/>
      <c r="L251" s="3" t="n"/>
      <c r="M251" s="2" t="inlineStr">
        <is>
          <t>PriceCharting</t>
        </is>
      </c>
      <c r="N251" s="4" t="inlineStr">
        <is>
          <t>https://www.pricecharting.com/game/one-piece-japanese-promo/sealed-promotion-pack-2022</t>
        </is>
      </c>
    </row>
    <row r="252">
      <c r="A252" s="2" t="inlineStr">
        <is>
          <t>Japanese Promo Sealed Promotion Pack EX Vol. 1</t>
        </is>
      </c>
      <c r="B252" s="3">
        <f>IF(I252&lt;&gt;"",I252,IF(J252&lt;&gt;"",J252,IF(K252&lt;&gt;"",K252,L252)))</f>
        <v>28.48</v>
      </c>
      <c r="C252" s="3">
        <f>MEDIAN(I252:L252)</f>
        <v>28.48</v>
      </c>
      <c r="D252" s="3">
        <f>ROUND(C252*(1-Settings!$B$2),2)</f>
        <v>19.94</v>
      </c>
      <c r="E252" s="3">
        <f>ROUND(C252*(1-Settings!$B$3),2)</f>
        <v>19.94</v>
      </c>
      <c r="F252" s="2" t="inlineStr">
        <is>
          <t>One Piece</t>
        </is>
      </c>
      <c r="G252" s="2" t="inlineStr">
        <is>
          <t>Pack</t>
        </is>
      </c>
      <c r="H252" s="2" t="inlineStr">
        <is>
          <t>Japanese Promo</t>
        </is>
      </c>
      <c r="I252" s="3" t="n">
        <v>28.48</v>
      </c>
      <c r="J252" s="3" t="n"/>
      <c r="K252" s="3" t="n"/>
      <c r="L252" s="3" t="n"/>
      <c r="M252" s="2" t="inlineStr">
        <is>
          <t>PriceCharting</t>
        </is>
      </c>
      <c r="N252" s="4" t="inlineStr">
        <is>
          <t>https://www.pricecharting.com/game/one-piece-japanese-promo/sealed-promotion-pack-ex-vol-1</t>
        </is>
      </c>
    </row>
    <row r="253">
      <c r="A253" s="2" t="inlineStr">
        <is>
          <t>Japanese Promo Sealed Promotion Pack EX Vol. 2</t>
        </is>
      </c>
      <c r="B253" s="3">
        <f>IF(I253&lt;&gt;"",I253,IF(J253&lt;&gt;"",J253,IF(K253&lt;&gt;"",K253,L253)))</f>
        <v>71.68</v>
      </c>
      <c r="C253" s="3">
        <f>MEDIAN(I253:L253)</f>
        <v>71.68</v>
      </c>
      <c r="D253" s="3">
        <f>ROUND(C253*(1-Settings!$B$2),2)</f>
        <v>50.18</v>
      </c>
      <c r="E253" s="3">
        <f>ROUND(C253*(1-Settings!$B$3),2)</f>
        <v>50.18</v>
      </c>
      <c r="F253" s="2" t="inlineStr">
        <is>
          <t>One Piece</t>
        </is>
      </c>
      <c r="G253" s="2" t="inlineStr">
        <is>
          <t>Pack</t>
        </is>
      </c>
      <c r="H253" s="2" t="inlineStr">
        <is>
          <t>Japanese Promo</t>
        </is>
      </c>
      <c r="I253" s="3" t="n">
        <v>71.68000000000001</v>
      </c>
      <c r="J253" s="3" t="n"/>
      <c r="K253" s="3" t="n"/>
      <c r="L253" s="3" t="n"/>
      <c r="M253" s="2" t="inlineStr">
        <is>
          <t>PriceCharting</t>
        </is>
      </c>
      <c r="N253" s="4" t="inlineStr">
        <is>
          <t>https://www.pricecharting.com/game/one-piece-japanese-promo/sealed-promotion-pack-ex-vol-2</t>
        </is>
      </c>
    </row>
    <row r="254">
      <c r="A254" s="2" t="inlineStr">
        <is>
          <t>Japanese Promo Sealed Promotion Pack EX Vol. 3</t>
        </is>
      </c>
      <c r="B254" s="3">
        <f>IF(I254&lt;&gt;"",I254,IF(J254&lt;&gt;"",J254,IF(K254&lt;&gt;"",K254,L254)))</f>
        <v>92.12</v>
      </c>
      <c r="C254" s="3">
        <f>MEDIAN(I254:L254)</f>
        <v>92.12</v>
      </c>
      <c r="D254" s="3">
        <f>ROUND(C254*(1-Settings!$B$2),2)</f>
        <v>64.48</v>
      </c>
      <c r="E254" s="3">
        <f>ROUND(C254*(1-Settings!$B$3),2)</f>
        <v>64.48</v>
      </c>
      <c r="F254" s="2" t="inlineStr">
        <is>
          <t>One Piece</t>
        </is>
      </c>
      <c r="G254" s="2" t="inlineStr">
        <is>
          <t>Pack</t>
        </is>
      </c>
      <c r="H254" s="2" t="inlineStr">
        <is>
          <t>Japanese Promo</t>
        </is>
      </c>
      <c r="I254" s="3" t="n">
        <v>92.12</v>
      </c>
      <c r="J254" s="3" t="n"/>
      <c r="K254" s="3" t="n"/>
      <c r="L254" s="3" t="n"/>
      <c r="M254" s="2" t="inlineStr">
        <is>
          <t>PriceCharting</t>
        </is>
      </c>
      <c r="N254" s="4" t="inlineStr">
        <is>
          <t>https://www.pricecharting.com/game/one-piece-japanese-promo/sealed-promotion-pack-ex-vol-3</t>
        </is>
      </c>
    </row>
    <row r="255">
      <c r="A255" s="2" t="inlineStr">
        <is>
          <t>Japanese Promo Sealed Promotion Pack EX Vol. 4</t>
        </is>
      </c>
      <c r="B255" s="3">
        <f>IF(I255&lt;&gt;"",I255,IF(J255&lt;&gt;"",J255,IF(K255&lt;&gt;"",K255,L255)))</f>
        <v>327.02</v>
      </c>
      <c r="C255" s="3">
        <f>MEDIAN(I255:L255)</f>
        <v>327.02</v>
      </c>
      <c r="D255" s="3">
        <f>ROUND(C255*(1-Settings!$B$2),2)</f>
        <v>228.91</v>
      </c>
      <c r="E255" s="3">
        <f>ROUND(C255*(1-Settings!$B$3),2)</f>
        <v>228.91</v>
      </c>
      <c r="F255" s="2" t="inlineStr">
        <is>
          <t>One Piece</t>
        </is>
      </c>
      <c r="G255" s="2" t="inlineStr">
        <is>
          <t>Pack</t>
        </is>
      </c>
      <c r="H255" s="2" t="inlineStr">
        <is>
          <t>Japanese Promo</t>
        </is>
      </c>
      <c r="I255" s="3" t="n">
        <v>327.02</v>
      </c>
      <c r="J255" s="3" t="n"/>
      <c r="K255" s="3" t="n"/>
      <c r="L255" s="3" t="n"/>
      <c r="M255" s="2" t="inlineStr">
        <is>
          <t>PriceCharting</t>
        </is>
      </c>
      <c r="N255" s="4" t="inlineStr">
        <is>
          <t>https://www.pricecharting.com/game/one-piece-japanese-promo/sealed-promotion-pack-ex-vol-4</t>
        </is>
      </c>
    </row>
    <row r="256">
      <c r="A256" s="2" t="inlineStr">
        <is>
          <t>Japanese Promo Sealed Promotion Pack Vol. 2</t>
        </is>
      </c>
      <c r="B256" s="3">
        <f>IF(I256&lt;&gt;"",I256,IF(J256&lt;&gt;"",J256,IF(K256&lt;&gt;"",K256,L256)))</f>
        <v>7.0</v>
      </c>
      <c r="C256" s="3">
        <f>MEDIAN(I256:L256)</f>
        <v>7.0</v>
      </c>
      <c r="D256" s="3">
        <f>ROUND(C256*(1-Settings!$B$2),2)</f>
        <v>4.9</v>
      </c>
      <c r="E256" s="3">
        <f>ROUND(C256*(1-Settings!$B$3),2)</f>
        <v>4.9</v>
      </c>
      <c r="F256" s="2" t="inlineStr">
        <is>
          <t>One Piece</t>
        </is>
      </c>
      <c r="G256" s="2" t="inlineStr">
        <is>
          <t>Pack</t>
        </is>
      </c>
      <c r="H256" s="2" t="inlineStr">
        <is>
          <t>Japanese Promo</t>
        </is>
      </c>
      <c r="I256" s="3" t="n">
        <v>7</v>
      </c>
      <c r="J256" s="3" t="n"/>
      <c r="K256" s="3" t="n"/>
      <c r="L256" s="3" t="n"/>
      <c r="M256" s="2" t="inlineStr">
        <is>
          <t>PriceCharting</t>
        </is>
      </c>
      <c r="N256" s="4" t="inlineStr">
        <is>
          <t>https://www.pricecharting.com/game/one-piece-japanese-promo/sealed-promotion-pack-vol-2</t>
        </is>
      </c>
    </row>
    <row r="257">
      <c r="A257" s="2" t="inlineStr">
        <is>
          <t>Japanese Promo Sealed Promotion Pack Vol. 3</t>
        </is>
      </c>
      <c r="B257" s="3">
        <f>IF(I257&lt;&gt;"",I257,IF(J257&lt;&gt;"",J257,IF(K257&lt;&gt;"",K257,L257)))</f>
        <v>8.76</v>
      </c>
      <c r="C257" s="3">
        <f>MEDIAN(I257:L257)</f>
        <v>8.76</v>
      </c>
      <c r="D257" s="3">
        <f>ROUND(C257*(1-Settings!$B$2),2)</f>
        <v>6.13</v>
      </c>
      <c r="E257" s="3">
        <f>ROUND(C257*(1-Settings!$B$3),2)</f>
        <v>6.13</v>
      </c>
      <c r="F257" s="2" t="inlineStr">
        <is>
          <t>One Piece</t>
        </is>
      </c>
      <c r="G257" s="2" t="inlineStr">
        <is>
          <t>Pack</t>
        </is>
      </c>
      <c r="H257" s="2" t="inlineStr">
        <is>
          <t>Japanese Promo</t>
        </is>
      </c>
      <c r="I257" s="3" t="n">
        <v>8.76</v>
      </c>
      <c r="J257" s="3" t="n"/>
      <c r="K257" s="3" t="n"/>
      <c r="L257" s="3" t="n"/>
      <c r="M257" s="2" t="inlineStr">
        <is>
          <t>PriceCharting</t>
        </is>
      </c>
      <c r="N257" s="4" t="inlineStr">
        <is>
          <t>https://www.pricecharting.com/game/one-piece-japanese-promo/sealed-promotion-pack-vol-3</t>
        </is>
      </c>
    </row>
    <row r="258">
      <c r="A258" s="2" t="inlineStr">
        <is>
          <t>Japanese Promo Sealed Promotion Pack Vol. 4</t>
        </is>
      </c>
      <c r="B258" s="3">
        <f>IF(I258&lt;&gt;"",I258,IF(J258&lt;&gt;"",J258,IF(K258&lt;&gt;"",K258,L258)))</f>
        <v>7.6</v>
      </c>
      <c r="C258" s="3">
        <f>MEDIAN(I258:L258)</f>
        <v>7.6</v>
      </c>
      <c r="D258" s="3">
        <f>ROUND(C258*(1-Settings!$B$2),2)</f>
        <v>5.32</v>
      </c>
      <c r="E258" s="3">
        <f>ROUND(C258*(1-Settings!$B$3),2)</f>
        <v>5.32</v>
      </c>
      <c r="F258" s="2" t="inlineStr">
        <is>
          <t>One Piece</t>
        </is>
      </c>
      <c r="G258" s="2" t="inlineStr">
        <is>
          <t>Pack</t>
        </is>
      </c>
      <c r="H258" s="2" t="inlineStr">
        <is>
          <t>Japanese Promo</t>
        </is>
      </c>
      <c r="I258" s="3" t="n">
        <v>7.6</v>
      </c>
      <c r="J258" s="3" t="n"/>
      <c r="K258" s="3" t="n"/>
      <c r="L258" s="3" t="n"/>
      <c r="M258" s="2" t="inlineStr">
        <is>
          <t>PriceCharting</t>
        </is>
      </c>
      <c r="N258" s="4" t="inlineStr">
        <is>
          <t>https://www.pricecharting.com/game/one-piece-japanese-promo/sealed-promotion-pack-vol-4</t>
        </is>
      </c>
    </row>
    <row r="259">
      <c r="A259" s="2" t="inlineStr">
        <is>
          <t>Japanese Promo Sealed Promotion Pack Vol. 5</t>
        </is>
      </c>
      <c r="B259" s="3">
        <f>IF(I259&lt;&gt;"",I259,IF(J259&lt;&gt;"",J259,IF(K259&lt;&gt;"",K259,L259)))</f>
        <v>4.44</v>
      </c>
      <c r="C259" s="3">
        <f>MEDIAN(I259:L259)</f>
        <v>4.44</v>
      </c>
      <c r="D259" s="3">
        <f>ROUND(C259*(1-Settings!$B$2),2)</f>
        <v>3.11</v>
      </c>
      <c r="E259" s="3">
        <f>ROUND(C259*(1-Settings!$B$3),2)</f>
        <v>3.11</v>
      </c>
      <c r="F259" s="2" t="inlineStr">
        <is>
          <t>One Piece</t>
        </is>
      </c>
      <c r="G259" s="2" t="inlineStr">
        <is>
          <t>Pack</t>
        </is>
      </c>
      <c r="H259" s="2" t="inlineStr">
        <is>
          <t>Japanese Promo</t>
        </is>
      </c>
      <c r="I259" s="3" t="n">
        <v>4.44</v>
      </c>
      <c r="J259" s="3" t="n"/>
      <c r="K259" s="3" t="n"/>
      <c r="L259" s="3" t="n"/>
      <c r="M259" s="2" t="inlineStr">
        <is>
          <t>PriceCharting</t>
        </is>
      </c>
      <c r="N259" s="4" t="inlineStr">
        <is>
          <t>https://www.pricecharting.com/game/one-piece-japanese-promo/sealed-promotion-pack-vol-5</t>
        </is>
      </c>
    </row>
    <row r="260">
      <c r="A260" s="2" t="inlineStr">
        <is>
          <t>Japanese Promo Sealed Promotion Pack Vol. 6</t>
        </is>
      </c>
      <c r="B260" s="3">
        <f>IF(I260&lt;&gt;"",I260,IF(J260&lt;&gt;"",J260,IF(K260&lt;&gt;"",K260,L260)))</f>
        <v>6.03</v>
      </c>
      <c r="C260" s="3">
        <f>MEDIAN(I260:L260)</f>
        <v>6.03</v>
      </c>
      <c r="D260" s="3">
        <f>ROUND(C260*(1-Settings!$B$2),2)</f>
        <v>4.22</v>
      </c>
      <c r="E260" s="3">
        <f>ROUND(C260*(1-Settings!$B$3),2)</f>
        <v>4.22</v>
      </c>
      <c r="F260" s="2" t="inlineStr">
        <is>
          <t>One Piece</t>
        </is>
      </c>
      <c r="G260" s="2" t="inlineStr">
        <is>
          <t>Pack</t>
        </is>
      </c>
      <c r="H260" s="2" t="inlineStr">
        <is>
          <t>Japanese Promo</t>
        </is>
      </c>
      <c r="I260" s="3" t="n">
        <v>6.03</v>
      </c>
      <c r="J260" s="3" t="n"/>
      <c r="K260" s="3" t="n"/>
      <c r="L260" s="3" t="n"/>
      <c r="M260" s="2" t="inlineStr">
        <is>
          <t>PriceCharting</t>
        </is>
      </c>
      <c r="N260" s="4" t="inlineStr">
        <is>
          <t>https://www.pricecharting.com/game/one-piece-japanese-promo/sealed-promotion-pack-vol-6</t>
        </is>
      </c>
    </row>
    <row r="261">
      <c r="A261" s="2" t="inlineStr">
        <is>
          <t>Japanese Promo Sealed Promotion Pack Vol. 7</t>
        </is>
      </c>
      <c r="B261" s="3">
        <f>IF(I261&lt;&gt;"",I261,IF(J261&lt;&gt;"",J261,IF(K261&lt;&gt;"",K261,L261)))</f>
        <v>4.15</v>
      </c>
      <c r="C261" s="3">
        <f>MEDIAN(I261:L261)</f>
        <v>4.15</v>
      </c>
      <c r="D261" s="3">
        <f>ROUND(C261*(1-Settings!$B$2),2)</f>
        <v>2.91</v>
      </c>
      <c r="E261" s="3">
        <f>ROUND(C261*(1-Settings!$B$3),2)</f>
        <v>2.91</v>
      </c>
      <c r="F261" s="2" t="inlineStr">
        <is>
          <t>One Piece</t>
        </is>
      </c>
      <c r="G261" s="2" t="inlineStr">
        <is>
          <t>Pack</t>
        </is>
      </c>
      <c r="H261" s="2" t="inlineStr">
        <is>
          <t>Japanese Promo</t>
        </is>
      </c>
      <c r="I261" s="3" t="n">
        <v>4.15</v>
      </c>
      <c r="J261" s="3" t="n"/>
      <c r="K261" s="3" t="n"/>
      <c r="L261" s="3" t="n"/>
      <c r="M261" s="2" t="inlineStr">
        <is>
          <t>PriceCharting</t>
        </is>
      </c>
      <c r="N261" s="4" t="inlineStr">
        <is>
          <t>https://www.pricecharting.com/game/one-piece-japanese-promo/sealed-promotion-pack-vol-7</t>
        </is>
      </c>
    </row>
    <row r="262">
      <c r="A262" s="2" t="inlineStr">
        <is>
          <t>Japanese Promo Sealed Promotion Pack Vol. 8</t>
        </is>
      </c>
      <c r="B262" s="3">
        <f>IF(I262&lt;&gt;"",I262,IF(J262&lt;&gt;"",J262,IF(K262&lt;&gt;"",K262,L262)))</f>
        <v>24.0</v>
      </c>
      <c r="C262" s="3">
        <f>MEDIAN(I262:L262)</f>
        <v>24.0</v>
      </c>
      <c r="D262" s="3">
        <f>ROUND(C262*(1-Settings!$B$2),2)</f>
        <v>16.8</v>
      </c>
      <c r="E262" s="3">
        <f>ROUND(C262*(1-Settings!$B$3),2)</f>
        <v>16.8</v>
      </c>
      <c r="F262" s="2" t="inlineStr">
        <is>
          <t>One Piece</t>
        </is>
      </c>
      <c r="G262" s="2" t="inlineStr">
        <is>
          <t>Pack</t>
        </is>
      </c>
      <c r="H262" s="2" t="inlineStr">
        <is>
          <t>Japanese Promo</t>
        </is>
      </c>
      <c r="I262" s="3" t="n">
        <v>24</v>
      </c>
      <c r="J262" s="3" t="n"/>
      <c r="K262" s="3" t="n"/>
      <c r="L262" s="3" t="n"/>
      <c r="M262" s="2" t="inlineStr">
        <is>
          <t>PriceCharting</t>
        </is>
      </c>
      <c r="N262" s="4" t="inlineStr">
        <is>
          <t>https://www.pricecharting.com/game/one-piece-japanese-promo/sealed-promotion-pack-vol-8</t>
        </is>
      </c>
    </row>
    <row r="263">
      <c r="A263" s="2" t="inlineStr">
        <is>
          <t>Japanese Promo Sealed Promotion Pack Vol. 9</t>
        </is>
      </c>
      <c r="B263" s="3">
        <f>IF(I263&lt;&gt;"",I263,IF(J263&lt;&gt;"",J263,IF(K263&lt;&gt;"",K263,L263)))</f>
        <v>37.44</v>
      </c>
      <c r="C263" s="3">
        <f>MEDIAN(I263:L263)</f>
        <v>37.44</v>
      </c>
      <c r="D263" s="3">
        <f>ROUND(C263*(1-Settings!$B$2),2)</f>
        <v>26.21</v>
      </c>
      <c r="E263" s="3">
        <f>ROUND(C263*(1-Settings!$B$3),2)</f>
        <v>26.21</v>
      </c>
      <c r="F263" s="2" t="inlineStr">
        <is>
          <t>One Piece</t>
        </is>
      </c>
      <c r="G263" s="2" t="inlineStr">
        <is>
          <t>Pack</t>
        </is>
      </c>
      <c r="H263" s="2" t="inlineStr">
        <is>
          <t>Japanese Promo</t>
        </is>
      </c>
      <c r="I263" s="3" t="n">
        <v>37.44</v>
      </c>
      <c r="J263" s="3" t="n"/>
      <c r="K263" s="3" t="n"/>
      <c r="L263" s="3" t="n"/>
      <c r="M263" s="2" t="inlineStr">
        <is>
          <t>PriceCharting</t>
        </is>
      </c>
      <c r="N263" s="4" t="inlineStr">
        <is>
          <t>https://www.pricecharting.com/game/one-piece-japanese-promo/sealed-promotion-pack-vol-9</t>
        </is>
      </c>
    </row>
    <row r="264">
      <c r="A264" s="2" t="inlineStr">
        <is>
          <t>Japanese Promo Sealed Round 1 Pack</t>
        </is>
      </c>
      <c r="B264" s="3">
        <f>IF(I264&lt;&gt;"",I264,IF(J264&lt;&gt;"",J264,IF(K264&lt;&gt;"",K264,L264)))</f>
        <v>54.43</v>
      </c>
      <c r="C264" s="3">
        <f>MEDIAN(I264:L264)</f>
        <v>54.43</v>
      </c>
      <c r="D264" s="3">
        <f>ROUND(C264*(1-Settings!$B$2),2)</f>
        <v>38.1</v>
      </c>
      <c r="E264" s="3">
        <f>ROUND(C264*(1-Settings!$B$3),2)</f>
        <v>38.1</v>
      </c>
      <c r="F264" s="2" t="inlineStr">
        <is>
          <t>One Piece</t>
        </is>
      </c>
      <c r="G264" s="2" t="inlineStr">
        <is>
          <t>Pack</t>
        </is>
      </c>
      <c r="H264" s="2" t="inlineStr">
        <is>
          <t>Japanese Promo</t>
        </is>
      </c>
      <c r="I264" s="3" t="n">
        <v>54.43</v>
      </c>
      <c r="J264" s="3" t="n"/>
      <c r="K264" s="3" t="n"/>
      <c r="L264" s="3" t="n"/>
      <c r="M264" s="2" t="inlineStr">
        <is>
          <t>PriceCharting</t>
        </is>
      </c>
      <c r="N264" s="4" t="inlineStr">
        <is>
          <t>https://www.pricecharting.com/game/one-piece-japanese-promo/sealed-round-1-pack</t>
        </is>
      </c>
    </row>
    <row r="265">
      <c r="A265" s="2" t="inlineStr">
        <is>
          <t>Japanese Promo Sealed Standard Battle Pack Vol. 12</t>
        </is>
      </c>
      <c r="B265" s="3">
        <f>IF(I265&lt;&gt;"",I265,IF(J265&lt;&gt;"",J265,IF(K265&lt;&gt;"",K265,L265)))</f>
        <v>3.85</v>
      </c>
      <c r="C265" s="3">
        <f>MEDIAN(I265:L265)</f>
        <v>3.85</v>
      </c>
      <c r="D265" s="3">
        <f>ROUND(C265*(1-Settings!$B$2),2)</f>
        <v>2.7</v>
      </c>
      <c r="E265" s="3">
        <f>ROUND(C265*(1-Settings!$B$3),2)</f>
        <v>2.7</v>
      </c>
      <c r="F265" s="2" t="inlineStr">
        <is>
          <t>One Piece</t>
        </is>
      </c>
      <c r="G265" s="2" t="inlineStr">
        <is>
          <t>Pack</t>
        </is>
      </c>
      <c r="H265" s="2" t="inlineStr">
        <is>
          <t>Japanese Promo</t>
        </is>
      </c>
      <c r="I265" s="3" t="n">
        <v>3.85</v>
      </c>
      <c r="J265" s="3" t="n"/>
      <c r="K265" s="3" t="n"/>
      <c r="L265" s="3" t="n"/>
      <c r="M265" s="2" t="inlineStr">
        <is>
          <t>PriceCharting</t>
        </is>
      </c>
      <c r="N265" s="4" t="inlineStr">
        <is>
          <t>https://www.pricecharting.com/game/one-piece-japanese-promo/sealed-standard-battle-pack-vol-12</t>
        </is>
      </c>
    </row>
    <row r="266">
      <c r="A266" s="2" t="inlineStr">
        <is>
          <t>Japanese Promo Sealed Standard Battle Pack Vol. 13</t>
        </is>
      </c>
      <c r="B266" s="3">
        <f>IF(I266&lt;&gt;"",I266,IF(J266&lt;&gt;"",J266,IF(K266&lt;&gt;"",K266,L266)))</f>
        <v>4.88</v>
      </c>
      <c r="C266" s="3">
        <f>MEDIAN(I266:L266)</f>
        <v>4.88</v>
      </c>
      <c r="D266" s="3">
        <f>ROUND(C266*(1-Settings!$B$2),2)</f>
        <v>3.42</v>
      </c>
      <c r="E266" s="3">
        <f>ROUND(C266*(1-Settings!$B$3),2)</f>
        <v>3.42</v>
      </c>
      <c r="F266" s="2" t="inlineStr">
        <is>
          <t>One Piece</t>
        </is>
      </c>
      <c r="G266" s="2" t="inlineStr">
        <is>
          <t>Pack</t>
        </is>
      </c>
      <c r="H266" s="2" t="inlineStr">
        <is>
          <t>Japanese Promo</t>
        </is>
      </c>
      <c r="I266" s="3" t="n">
        <v>4.88</v>
      </c>
      <c r="J266" s="3" t="n"/>
      <c r="K266" s="3" t="n"/>
      <c r="L266" s="3" t="n"/>
      <c r="M266" s="2" t="inlineStr">
        <is>
          <t>PriceCharting</t>
        </is>
      </c>
      <c r="N266" s="4" t="inlineStr">
        <is>
          <t>https://www.pricecharting.com/game/one-piece-japanese-promo/sealed-standard-battle-pack-vol-13</t>
        </is>
      </c>
    </row>
    <row r="267">
      <c r="A267" s="2" t="inlineStr">
        <is>
          <t>Japanese Promo Sealed Standard Battle Pack Vol. 16</t>
        </is>
      </c>
      <c r="B267" s="3">
        <f>IF(I267&lt;&gt;"",I267,IF(J267&lt;&gt;"",J267,IF(K267&lt;&gt;"",K267,L267)))</f>
        <v>10.5</v>
      </c>
      <c r="C267" s="3">
        <f>MEDIAN(I267:L267)</f>
        <v>10.5</v>
      </c>
      <c r="D267" s="3">
        <f>ROUND(C267*(1-Settings!$B$2),2)</f>
        <v>7.35</v>
      </c>
      <c r="E267" s="3">
        <f>ROUND(C267*(1-Settings!$B$3),2)</f>
        <v>7.35</v>
      </c>
      <c r="F267" s="2" t="inlineStr">
        <is>
          <t>One Piece</t>
        </is>
      </c>
      <c r="G267" s="2" t="inlineStr">
        <is>
          <t>Pack</t>
        </is>
      </c>
      <c r="H267" s="2" t="inlineStr">
        <is>
          <t>Japanese Promo</t>
        </is>
      </c>
      <c r="I267" s="3" t="n">
        <v>10.5</v>
      </c>
      <c r="J267" s="3" t="n"/>
      <c r="K267" s="3" t="n"/>
      <c r="L267" s="3" t="n"/>
      <c r="M267" s="2" t="inlineStr">
        <is>
          <t>PriceCharting</t>
        </is>
      </c>
      <c r="N267" s="4" t="inlineStr">
        <is>
          <t>https://www.pricecharting.com/game/one-piece-japanese-promo/sealed-standard-battle-pack-vol-16</t>
        </is>
      </c>
    </row>
    <row r="268">
      <c r="A268" s="2" t="inlineStr">
        <is>
          <t>Japanese Promo Sealed Top Strongest Pack</t>
        </is>
      </c>
      <c r="B268" s="3">
        <f>IF(I268&lt;&gt;"",I268,IF(J268&lt;&gt;"",J268,IF(K268&lt;&gt;"",K268,L268)))</f>
        <v>39.99</v>
      </c>
      <c r="C268" s="3">
        <f>MEDIAN(I268:L268)</f>
        <v>39.99</v>
      </c>
      <c r="D268" s="3">
        <f>ROUND(C268*(1-Settings!$B$2),2)</f>
        <v>27.99</v>
      </c>
      <c r="E268" s="3">
        <f>ROUND(C268*(1-Settings!$B$3),2)</f>
        <v>27.99</v>
      </c>
      <c r="F268" s="2" t="inlineStr">
        <is>
          <t>One Piece</t>
        </is>
      </c>
      <c r="G268" s="2" t="inlineStr">
        <is>
          <t>Pack</t>
        </is>
      </c>
      <c r="H268" s="2" t="inlineStr">
        <is>
          <t>Japanese Promo</t>
        </is>
      </c>
      <c r="I268" s="3" t="n">
        <v>39.99</v>
      </c>
      <c r="J268" s="3" t="n"/>
      <c r="K268" s="3" t="n"/>
      <c r="L268" s="3" t="n"/>
      <c r="M268" s="2" t="inlineStr">
        <is>
          <t>PriceCharting</t>
        </is>
      </c>
      <c r="N268" s="4" t="inlineStr">
        <is>
          <t>https://www.pricecharting.com/game/one-piece-japanese-promo/sealed-top-strongest-pack</t>
        </is>
      </c>
    </row>
    <row r="269">
      <c r="A269" s="2" t="inlineStr">
        <is>
          <t>Japanese Promo Sealed Tournament Pack Vol. 4</t>
        </is>
      </c>
      <c r="B269" s="3">
        <f>IF(I269&lt;&gt;"",I269,IF(J269&lt;&gt;"",J269,IF(K269&lt;&gt;"",K269,L269)))</f>
        <v>4.04</v>
      </c>
      <c r="C269" s="3">
        <f>MEDIAN(I269:L269)</f>
        <v>4.04</v>
      </c>
      <c r="D269" s="3">
        <f>ROUND(C269*(1-Settings!$B$2),2)</f>
        <v>2.83</v>
      </c>
      <c r="E269" s="3">
        <f>ROUND(C269*(1-Settings!$B$3),2)</f>
        <v>2.83</v>
      </c>
      <c r="F269" s="2" t="inlineStr">
        <is>
          <t>One Piece</t>
        </is>
      </c>
      <c r="G269" s="2" t="inlineStr">
        <is>
          <t>Pack</t>
        </is>
      </c>
      <c r="H269" s="2" t="inlineStr">
        <is>
          <t>Japanese Promo</t>
        </is>
      </c>
      <c r="I269" s="3" t="n">
        <v>4.04</v>
      </c>
      <c r="J269" s="3" t="n"/>
      <c r="K269" s="3" t="n"/>
      <c r="L269" s="3" t="n"/>
      <c r="M269" s="2" t="inlineStr">
        <is>
          <t>PriceCharting</t>
        </is>
      </c>
      <c r="N269" s="4" t="inlineStr">
        <is>
          <t>https://www.pricecharting.com/game/one-piece-japanese-promo/sealed-tournament-pack-vol-4</t>
        </is>
      </c>
    </row>
    <row r="270">
      <c r="A270" s="2" t="inlineStr">
        <is>
          <t>Japanese Promo Sealed Tournament Pack Vol. 5</t>
        </is>
      </c>
      <c r="B270" s="3">
        <f>IF(I270&lt;&gt;"",I270,IF(J270&lt;&gt;"",J270,IF(K270&lt;&gt;"",K270,L270)))</f>
        <v>7.77</v>
      </c>
      <c r="C270" s="3">
        <f>MEDIAN(I270:L270)</f>
        <v>7.77</v>
      </c>
      <c r="D270" s="3">
        <f>ROUND(C270*(1-Settings!$B$2),2)</f>
        <v>5.44</v>
      </c>
      <c r="E270" s="3">
        <f>ROUND(C270*(1-Settings!$B$3),2)</f>
        <v>5.44</v>
      </c>
      <c r="F270" s="2" t="inlineStr">
        <is>
          <t>One Piece</t>
        </is>
      </c>
      <c r="G270" s="2" t="inlineStr">
        <is>
          <t>Pack</t>
        </is>
      </c>
      <c r="H270" s="2" t="inlineStr">
        <is>
          <t>Japanese Promo</t>
        </is>
      </c>
      <c r="I270" s="3" t="n">
        <v>7.77</v>
      </c>
      <c r="J270" s="3" t="n"/>
      <c r="K270" s="3" t="n"/>
      <c r="L270" s="3" t="n"/>
      <c r="M270" s="2" t="inlineStr">
        <is>
          <t>PriceCharting</t>
        </is>
      </c>
      <c r="N270" s="4" t="inlineStr">
        <is>
          <t>https://www.pricecharting.com/game/one-piece-japanese-promo/sealed-tournament-pack-vol-5</t>
        </is>
      </c>
    </row>
    <row r="271">
      <c r="A271" s="2" t="inlineStr">
        <is>
          <t>Japanese Promo Strongest Three Brothers Pack</t>
        </is>
      </c>
      <c r="B271" s="3">
        <f>IF(I271&lt;&gt;"",I271,IF(J271&lt;&gt;"",J271,IF(K271&lt;&gt;"",K271,L271)))</f>
        <v>98.33</v>
      </c>
      <c r="C271" s="3">
        <f>MEDIAN(I271:L271)</f>
        <v>98.33</v>
      </c>
      <c r="D271" s="3">
        <f>ROUND(C271*(1-Settings!$B$2),2)</f>
        <v>68.83</v>
      </c>
      <c r="E271" s="3">
        <f>ROUND(C271*(1-Settings!$B$3),2)</f>
        <v>68.83</v>
      </c>
      <c r="F271" s="2" t="inlineStr">
        <is>
          <t>One Piece</t>
        </is>
      </c>
      <c r="G271" s="2" t="inlineStr">
        <is>
          <t>Pack</t>
        </is>
      </c>
      <c r="H271" s="2" t="inlineStr">
        <is>
          <t>Japanese Promo</t>
        </is>
      </c>
      <c r="I271" s="3" t="n">
        <v>98.33</v>
      </c>
      <c r="J271" s="3" t="n"/>
      <c r="K271" s="3" t="n"/>
      <c r="L271" s="3" t="n"/>
      <c r="M271" s="2" t="inlineStr">
        <is>
          <t>PriceCharting</t>
        </is>
      </c>
      <c r="N271" s="4" t="inlineStr">
        <is>
          <t>https://www.pricecharting.com/game/one-piece-japanese-promo/strongest-three-brothers-pack</t>
        </is>
      </c>
    </row>
    <row r="272">
      <c r="A272" s="2" t="inlineStr">
        <is>
          <t>Japanese Romance Dawn Booster Pack</t>
        </is>
      </c>
      <c r="B272" s="3">
        <f>IF(I272&lt;&gt;"",I272,IF(J272&lt;&gt;"",J272,IF(K272&lt;&gt;"",K272,L272)))</f>
        <v>5.51</v>
      </c>
      <c r="C272" s="3">
        <f>MEDIAN(I272:L272)</f>
        <v>5.51</v>
      </c>
      <c r="D272" s="3">
        <f>ROUND(C272*(1-Settings!$B$2),2)</f>
        <v>3.86</v>
      </c>
      <c r="E272" s="3">
        <f>ROUND(C272*(1-Settings!$B$3),2)</f>
        <v>3.86</v>
      </c>
      <c r="F272" s="2" t="inlineStr">
        <is>
          <t>One Piece</t>
        </is>
      </c>
      <c r="G272" s="2" t="inlineStr">
        <is>
          <t>Pack</t>
        </is>
      </c>
      <c r="H272" s="2" t="inlineStr">
        <is>
          <t>Japanese Romance Dawn</t>
        </is>
      </c>
      <c r="I272" s="3" t="n">
        <v>5.51</v>
      </c>
      <c r="J272" s="3" t="n"/>
      <c r="K272" s="3" t="n"/>
      <c r="L272" s="3" t="n"/>
      <c r="M272" s="2" t="inlineStr">
        <is>
          <t>PriceCharting</t>
        </is>
      </c>
      <c r="N272" s="4" t="inlineStr">
        <is>
          <t>https://www.pricecharting.com/game/one-piece-japanese-romance-dawn/booster-pack</t>
        </is>
      </c>
    </row>
    <row r="273">
      <c r="A273" s="2" t="inlineStr">
        <is>
          <t>Japanese Royal Blood Booster Pack</t>
        </is>
      </c>
      <c r="B273" s="3">
        <f>IF(I273&lt;&gt;"",I273,IF(J273&lt;&gt;"",J273,IF(K273&lt;&gt;"",K273,L273)))</f>
        <v>8.0</v>
      </c>
      <c r="C273" s="3">
        <f>MEDIAN(I273:L273)</f>
        <v>8.0</v>
      </c>
      <c r="D273" s="3">
        <f>ROUND(C273*(1-Settings!$B$2),2)</f>
        <v>5.6</v>
      </c>
      <c r="E273" s="3">
        <f>ROUND(C273*(1-Settings!$B$3),2)</f>
        <v>5.6</v>
      </c>
      <c r="F273" s="2" t="inlineStr">
        <is>
          <t>One Piece</t>
        </is>
      </c>
      <c r="G273" s="2" t="inlineStr">
        <is>
          <t>Pack</t>
        </is>
      </c>
      <c r="H273" s="2" t="inlineStr">
        <is>
          <t>Japanese Royal Blood</t>
        </is>
      </c>
      <c r="I273" s="3" t="n">
        <v>8</v>
      </c>
      <c r="J273" s="3" t="n"/>
      <c r="K273" s="3" t="n"/>
      <c r="L273" s="3" t="n"/>
      <c r="M273" s="2" t="inlineStr">
        <is>
          <t>PriceCharting</t>
        </is>
      </c>
      <c r="N273" s="4" t="inlineStr">
        <is>
          <t>https://www.pricecharting.com/game/one-piece-japanese-royal-blood/booster-pack</t>
        </is>
      </c>
    </row>
    <row r="274">
      <c r="A274" s="2" t="inlineStr">
        <is>
          <t>Japanese The Time Of Battle Booster Pack</t>
        </is>
      </c>
      <c r="B274" s="3">
        <f>IF(I274&lt;&gt;"",I274,IF(J274&lt;&gt;"",J274,IF(K274&lt;&gt;"",K274,L274)))</f>
        <v>18.0</v>
      </c>
      <c r="C274" s="3">
        <f>MEDIAN(I274:L274)</f>
        <v>18.0</v>
      </c>
      <c r="D274" s="3">
        <f>ROUND(C274*(1-Settings!$B$2),2)</f>
        <v>12.6</v>
      </c>
      <c r="E274" s="3">
        <f>ROUND(C274*(1-Settings!$B$3),2)</f>
        <v>12.6</v>
      </c>
      <c r="F274" s="2" t="inlineStr">
        <is>
          <t>One Piece</t>
        </is>
      </c>
      <c r="G274" s="2" t="inlineStr">
        <is>
          <t>Pack</t>
        </is>
      </c>
      <c r="H274" s="2" t="inlineStr">
        <is>
          <t>Japanese The Time Of Battle</t>
        </is>
      </c>
      <c r="I274" s="3" t="n">
        <v>18</v>
      </c>
      <c r="J274" s="3" t="n"/>
      <c r="K274" s="3" t="n"/>
      <c r="L274" s="3" t="n"/>
      <c r="M274" s="2" t="inlineStr">
        <is>
          <t>PriceCharting</t>
        </is>
      </c>
      <c r="N274" s="4" t="inlineStr">
        <is>
          <t>https://www.pricecharting.com/game/one-piece-japanese-the-time-of-battle/booster-pack</t>
        </is>
      </c>
    </row>
    <row r="275">
      <c r="A275" s="2" t="inlineStr">
        <is>
          <t>Japanese Two Legends Booster Pack</t>
        </is>
      </c>
      <c r="B275" s="3">
        <f>IF(I275&lt;&gt;"",I275,IF(J275&lt;&gt;"",J275,IF(K275&lt;&gt;"",K275,L275)))</f>
        <v>4.13</v>
      </c>
      <c r="C275" s="3">
        <f>MEDIAN(I275:L275)</f>
        <v>4.13</v>
      </c>
      <c r="D275" s="3">
        <f>ROUND(C275*(1-Settings!$B$2),2)</f>
        <v>2.89</v>
      </c>
      <c r="E275" s="3">
        <f>ROUND(C275*(1-Settings!$B$3),2)</f>
        <v>2.89</v>
      </c>
      <c r="F275" s="2" t="inlineStr">
        <is>
          <t>One Piece</t>
        </is>
      </c>
      <c r="G275" s="2" t="inlineStr">
        <is>
          <t>Pack</t>
        </is>
      </c>
      <c r="H275" s="2" t="inlineStr">
        <is>
          <t>Japanese Two Legends</t>
        </is>
      </c>
      <c r="I275" s="3" t="n">
        <v>4.13</v>
      </c>
      <c r="J275" s="3" t="n"/>
      <c r="K275" s="3" t="n"/>
      <c r="L275" s="3" t="n"/>
      <c r="M275" s="2" t="inlineStr">
        <is>
          <t>PriceCharting</t>
        </is>
      </c>
      <c r="N275" s="4" t="inlineStr">
        <is>
          <t>https://www.pricecharting.com/game/one-piece-japanese-two-legends/booster-pack</t>
        </is>
      </c>
    </row>
    <row r="276">
      <c r="A276" s="2" t="inlineStr">
        <is>
          <t>Japanese Ultra Deck The Three Brothers Bonus Pack</t>
        </is>
      </c>
      <c r="B276" s="3">
        <f>IF(I276&lt;&gt;"",I276,IF(J276&lt;&gt;"",J276,IF(K276&lt;&gt;"",K276,L276)))</f>
        <v>37.19</v>
      </c>
      <c r="C276" s="3">
        <f>MEDIAN(I276:L276)</f>
        <v>37.19</v>
      </c>
      <c r="D276" s="3">
        <f>ROUND(C276*(1-Settings!$B$2),2)</f>
        <v>26.03</v>
      </c>
      <c r="E276" s="3">
        <f>ROUND(C276*(1-Settings!$B$3),2)</f>
        <v>26.03</v>
      </c>
      <c r="F276" s="2" t="inlineStr">
        <is>
          <t>One Piece</t>
        </is>
      </c>
      <c r="G276" s="2" t="inlineStr">
        <is>
          <t>Pack</t>
        </is>
      </c>
      <c r="H276" s="2" t="inlineStr">
        <is>
          <t>Japanese Ultra Deck The Three Brothers</t>
        </is>
      </c>
      <c r="I276" s="3" t="n">
        <v>37.19</v>
      </c>
      <c r="J276" s="3" t="n"/>
      <c r="K276" s="3" t="n"/>
      <c r="L276" s="3" t="n"/>
      <c r="M276" s="2" t="inlineStr">
        <is>
          <t>PriceCharting</t>
        </is>
      </c>
      <c r="N276" s="4" t="inlineStr">
        <is>
          <t>https://www.pricecharting.com/game/one-piece-japanese-ultra-deck-the-three-brothers/bonus-pack</t>
        </is>
      </c>
    </row>
    <row r="277">
      <c r="A277" s="2" t="inlineStr">
        <is>
          <t>Japanese Wings Of The Captain Booster Pack</t>
        </is>
      </c>
      <c r="B277" s="3">
        <f>IF(I277&lt;&gt;"",I277,IF(J277&lt;&gt;"",J277,IF(K277&lt;&gt;"",K277,L277)))</f>
        <v>1.54</v>
      </c>
      <c r="C277" s="3">
        <f>MEDIAN(I277:L277)</f>
        <v>1.54</v>
      </c>
      <c r="D277" s="3">
        <f>ROUND(C277*(1-Settings!$B$2),2)</f>
        <v>1.08</v>
      </c>
      <c r="E277" s="3">
        <f>ROUND(C277*(1-Settings!$B$3),2)</f>
        <v>1.08</v>
      </c>
      <c r="F277" s="2" t="inlineStr">
        <is>
          <t>One Piece</t>
        </is>
      </c>
      <c r="G277" s="2" t="inlineStr">
        <is>
          <t>Pack</t>
        </is>
      </c>
      <c r="H277" s="2" t="inlineStr">
        <is>
          <t>Japanese Wings Of The Captain</t>
        </is>
      </c>
      <c r="I277" s="3" t="n">
        <v>1.54</v>
      </c>
      <c r="J277" s="3" t="n"/>
      <c r="K277" s="3" t="n"/>
      <c r="L277" s="3" t="n"/>
      <c r="M277" s="2" t="inlineStr">
        <is>
          <t>PriceCharting</t>
        </is>
      </c>
      <c r="N277" s="4" t="inlineStr">
        <is>
          <t>https://www.pricecharting.com/game/one-piece-japanese-wings-of-the-captain/booster-pack</t>
        </is>
      </c>
    </row>
    <row r="278">
      <c r="A278" s="2" t="inlineStr">
        <is>
          <t>Kingdoms of Intrigue - Booster Pack</t>
        </is>
      </c>
      <c r="B278" s="3">
        <f>IF(I278&lt;&gt;"",I278,IF(J278&lt;&gt;"",J278,IF(K278&lt;&gt;"",K278,L278)))</f>
        <v>49.99</v>
      </c>
      <c r="C278" s="3">
        <f>MEDIAN(I278:L278)</f>
        <v>35.0</v>
      </c>
      <c r="D278" s="3">
        <f>ROUND(C278*(1-Settings!$B$2),2)</f>
        <v>24.5</v>
      </c>
      <c r="E278" s="3">
        <f>ROUND(C278*(1-Settings!$B$3),2)</f>
        <v>24.5</v>
      </c>
      <c r="F278" s="2" t="inlineStr">
        <is>
          <t>One Piece</t>
        </is>
      </c>
      <c r="G278" s="2" t="inlineStr">
        <is>
          <t>Pack</t>
        </is>
      </c>
      <c r="H278" s="2" t="inlineStr">
        <is>
          <t>Kingdoms of Intrigue</t>
        </is>
      </c>
      <c r="I278" s="3" t="n">
        <v>49.99</v>
      </c>
      <c r="J278" s="3" t="n">
        <v>16.14</v>
      </c>
      <c r="K278" s="3" t="n"/>
      <c r="L278" s="3" t="n">
        <v>35</v>
      </c>
      <c r="M278" s="2" t="inlineStr">
        <is>
          <t>PriceCharting + TCGplayer</t>
        </is>
      </c>
      <c r="N278" s="4" t="inlineStr">
        <is>
          <t>https://www.pricecharting.com/game/one-piece-kingdoms-of-intrigue/booster-pack</t>
        </is>
      </c>
      <c r="O278" s="4" t="inlineStr">
        <is>
          <t>https://www.tcgplayer.com/product/485832</t>
        </is>
      </c>
    </row>
    <row r="279">
      <c r="A279" s="2" t="inlineStr">
        <is>
          <t>Kingdoms of Intrigue - Dash Pack</t>
        </is>
      </c>
      <c r="B279" s="3">
        <f>IF(I279&lt;&gt;"",I279,IF(J279&lt;&gt;"",J279,IF(K279&lt;&gt;"",K279,L279)))</f>
        <v>1.11</v>
      </c>
      <c r="C279" s="3">
        <f>MEDIAN(I279:L279)</f>
        <v>4.96</v>
      </c>
      <c r="D279" s="3">
        <f>ROUND(C279*(1-Settings!$B$2),2)</f>
        <v>3.47</v>
      </c>
      <c r="E279" s="3">
        <f>ROUND(C279*(1-Settings!$B$3),2)</f>
        <v>3.47</v>
      </c>
      <c r="F279" s="2" t="inlineStr">
        <is>
          <t>One Piece</t>
        </is>
      </c>
      <c r="G279" s="2" t="inlineStr">
        <is>
          <t>Pack</t>
        </is>
      </c>
      <c r="H279" s="2" t="inlineStr">
        <is>
          <t>Kingdoms of Intrigue</t>
        </is>
      </c>
      <c r="I279" s="3" t="n">
        <v>1.11</v>
      </c>
      <c r="J279" s="3" t="n">
        <v>4.96</v>
      </c>
      <c r="K279" s="3" t="n"/>
      <c r="L279" s="3" t="n">
        <v>4.99</v>
      </c>
      <c r="M279" s="2" t="inlineStr">
        <is>
          <t>PriceCharting + TCGplayer</t>
        </is>
      </c>
      <c r="N279" s="4" t="inlineStr">
        <is>
          <t>https://www.pricecharting.com/game/one-piece-kingdoms-of-intrigue/dash-pack</t>
        </is>
      </c>
      <c r="O279" s="4" t="inlineStr">
        <is>
          <t>https://www.tcgplayer.com/product/516954</t>
        </is>
      </c>
    </row>
    <row r="280">
      <c r="A280" s="2" t="inlineStr">
        <is>
          <t>Kingdoms of Intrigue - Sleeved Booster Pack</t>
        </is>
      </c>
      <c r="B280" s="3">
        <f>IF(I280&lt;&gt;"",I280,IF(J280&lt;&gt;"",J280,IF(K280&lt;&gt;"",K280,L280)))</f>
        <v>50.5</v>
      </c>
      <c r="C280" s="3">
        <f>MEDIAN(I280:L280)</f>
        <v>50.5</v>
      </c>
      <c r="D280" s="3">
        <f>ROUND(C280*(1-Settings!$B$2),2)</f>
        <v>35.35</v>
      </c>
      <c r="E280" s="3">
        <f>ROUND(C280*(1-Settings!$B$3),2)</f>
        <v>35.35</v>
      </c>
      <c r="F280" s="2" t="inlineStr">
        <is>
          <t>One Piece</t>
        </is>
      </c>
      <c r="G280" s="2" t="inlineStr">
        <is>
          <t>Pack</t>
        </is>
      </c>
      <c r="H280" s="2" t="inlineStr">
        <is>
          <t>Kingdoms of Intrigue</t>
        </is>
      </c>
      <c r="I280" s="3" t="n">
        <v>50.5</v>
      </c>
      <c r="J280" s="3" t="n">
        <v>50.11</v>
      </c>
      <c r="K280" s="3" t="n"/>
      <c r="L280" s="3" t="n">
        <v>65</v>
      </c>
      <c r="M280" s="2" t="inlineStr">
        <is>
          <t>PriceCharting + TCGplayer</t>
        </is>
      </c>
      <c r="N280" s="4" t="inlineStr">
        <is>
          <t>https://www.pricecharting.com/game/one-piece-kingdoms-of-intrigue/sleeved-booster-pack</t>
        </is>
      </c>
      <c r="O280" s="4" t="inlineStr">
        <is>
          <t>https://www.tcgplayer.com/product/531777</t>
        </is>
      </c>
    </row>
    <row r="281">
      <c r="A281" s="2" t="inlineStr">
        <is>
          <t>Kingdoms Of Intrigue Double Pack DP-01</t>
        </is>
      </c>
      <c r="B281" s="3">
        <f>IF(I281&lt;&gt;"",I281,IF(J281&lt;&gt;"",J281,IF(K281&lt;&gt;"",K281,L281)))</f>
        <v>72.0</v>
      </c>
      <c r="C281" s="3">
        <f>MEDIAN(I281:L281)</f>
        <v>72.0</v>
      </c>
      <c r="D281" s="3">
        <f>ROUND(C281*(1-Settings!$B$2),2)</f>
        <v>50.4</v>
      </c>
      <c r="E281" s="3">
        <f>ROUND(C281*(1-Settings!$B$3),2)</f>
        <v>50.4</v>
      </c>
      <c r="F281" s="2" t="inlineStr">
        <is>
          <t>One Piece</t>
        </is>
      </c>
      <c r="G281" s="2" t="inlineStr">
        <is>
          <t>Pack</t>
        </is>
      </c>
      <c r="H281" s="2" t="inlineStr">
        <is>
          <t>Kingdoms Of Intrigue</t>
        </is>
      </c>
      <c r="I281" s="3" t="n">
        <v>72</v>
      </c>
      <c r="J281" s="3" t="n"/>
      <c r="K281" s="3" t="n"/>
      <c r="L281" s="3" t="n"/>
      <c r="M281" s="2" t="inlineStr">
        <is>
          <t>PriceCharting</t>
        </is>
      </c>
      <c r="N281" s="4" t="inlineStr">
        <is>
          <t>https://www.pricecharting.com/game/one-piece-kingdoms-of-intrigue/double-pack-dp-01</t>
        </is>
      </c>
    </row>
    <row r="282">
      <c r="A282" s="2" t="inlineStr">
        <is>
          <t>Kingdoms of Intrigue Pre-Release Pack</t>
        </is>
      </c>
      <c r="B282" s="3">
        <f>IF(I282&lt;&gt;"",I282,IF(J282&lt;&gt;"",J282,IF(K282&lt;&gt;"",K282,L282)))</f>
        <v>18.99</v>
      </c>
      <c r="C282" s="3">
        <f>MEDIAN(I282:L282)</f>
        <v>18.99</v>
      </c>
      <c r="D282" s="3">
        <f>ROUND(C282*(1-Settings!$B$2),2)</f>
        <v>13.29</v>
      </c>
      <c r="E282" s="3">
        <f>ROUND(C282*(1-Settings!$B$3),2)</f>
        <v>13.29</v>
      </c>
      <c r="F282" s="2" t="inlineStr">
        <is>
          <t>One Piece</t>
        </is>
      </c>
      <c r="G282" s="2" t="inlineStr">
        <is>
          <t>Pack</t>
        </is>
      </c>
      <c r="H282" s="2" t="inlineStr">
        <is>
          <t>Kingdoms Of Intrigue</t>
        </is>
      </c>
      <c r="I282" s="3" t="n">
        <v>18.99</v>
      </c>
      <c r="J282" s="3" t="n"/>
      <c r="K282" s="3" t="n"/>
      <c r="L282" s="3" t="n"/>
      <c r="M282" s="2" t="inlineStr">
        <is>
          <t>PriceCharting</t>
        </is>
      </c>
      <c r="N282" s="4" t="inlineStr">
        <is>
          <t>https://www.pricecharting.com/game/one-piece-kingdoms-of-intrigue/kingdoms-of-intrigue-pre-release-pack</t>
        </is>
      </c>
    </row>
    <row r="283">
      <c r="A283" s="2" t="inlineStr">
        <is>
          <t>Special DON!! Card Pack DP-01</t>
        </is>
      </c>
      <c r="B283" s="3">
        <f>IF(I283&lt;&gt;"",I283,IF(J283&lt;&gt;"",J283,IF(K283&lt;&gt;"",K283,L283)))</f>
        <v>15.29</v>
      </c>
      <c r="C283" s="3">
        <f>MEDIAN(I283:L283)</f>
        <v>12.64</v>
      </c>
      <c r="D283" s="3">
        <f>ROUND(C283*(1-Settings!$B$2),2)</f>
        <v>8.85</v>
      </c>
      <c r="E283" s="3">
        <f>ROUND(C283*(1-Settings!$B$3),2)</f>
        <v>8.85</v>
      </c>
      <c r="F283" s="2" t="inlineStr">
        <is>
          <t>One Piece</t>
        </is>
      </c>
      <c r="G283" s="2" t="inlineStr">
        <is>
          <t>Pack</t>
        </is>
      </c>
      <c r="H283" s="2" t="inlineStr">
        <is>
          <t>Kingdoms of Intrigue</t>
        </is>
      </c>
      <c r="I283" s="3" t="n"/>
      <c r="J283" s="3" t="n">
        <v>15.29</v>
      </c>
      <c r="K283" s="3" t="n"/>
      <c r="L283" s="3" t="n">
        <v>9.99</v>
      </c>
      <c r="M283" s="2" t="inlineStr">
        <is>
          <t>TCGplayer</t>
        </is>
      </c>
      <c r="O283" s="4" t="inlineStr">
        <is>
          <t>https://www.tcgplayer.com/product/521201</t>
        </is>
      </c>
    </row>
    <row r="284">
      <c r="A284" s="2" t="inlineStr">
        <is>
          <t>Kingdoms of Intrigue - Pre-Release Pack</t>
        </is>
      </c>
      <c r="B284" s="3">
        <f>IF(I284&lt;&gt;"",I284,IF(J284&lt;&gt;"",J284,IF(K284&lt;&gt;"",K284,L284)))</f>
        <v>30.74</v>
      </c>
      <c r="C284" s="3">
        <f>MEDIAN(I284:L284)</f>
        <v>22.865</v>
      </c>
      <c r="D284" s="3">
        <f>ROUND(C284*(1-Settings!$B$2),2)</f>
        <v>16.01</v>
      </c>
      <c r="E284" s="3">
        <f>ROUND(C284*(1-Settings!$B$3),2)</f>
        <v>16.01</v>
      </c>
      <c r="F284" s="2" t="inlineStr">
        <is>
          <t>One Piece</t>
        </is>
      </c>
      <c r="G284" s="2" t="inlineStr">
        <is>
          <t>Pack</t>
        </is>
      </c>
      <c r="H284" s="2" t="inlineStr">
        <is>
          <t>Kingdoms of Intrigue Pre-Release Cards</t>
        </is>
      </c>
      <c r="I284" s="3" t="n"/>
      <c r="J284" s="3" t="n">
        <v>30.74</v>
      </c>
      <c r="K284" s="3" t="n"/>
      <c r="L284" s="3" t="n">
        <v>14.99</v>
      </c>
      <c r="M284" s="2" t="inlineStr">
        <is>
          <t>TCGplayer</t>
        </is>
      </c>
      <c r="O284" s="4" t="inlineStr">
        <is>
          <t>https://www.tcgplayer.com/product/516961</t>
        </is>
      </c>
    </row>
    <row r="285">
      <c r="A285" s="2" t="inlineStr">
        <is>
          <t>Legacy of the Master - Sleeved Booster Pack</t>
        </is>
      </c>
      <c r="B285" s="3">
        <f>IF(I285&lt;&gt;"",I285,IF(J285&lt;&gt;"",J285,IF(K285&lt;&gt;"",K285,L285)))</f>
        <v>16.74</v>
      </c>
      <c r="C285" s="3">
        <f>MEDIAN(I285:L285)</f>
        <v>16.74</v>
      </c>
      <c r="D285" s="3">
        <f>ROUND(C285*(1-Settings!$B$2),2)</f>
        <v>11.72</v>
      </c>
      <c r="E285" s="3">
        <f>ROUND(C285*(1-Settings!$B$3),2)</f>
        <v>11.72</v>
      </c>
      <c r="F285" s="2" t="inlineStr">
        <is>
          <t>One Piece</t>
        </is>
      </c>
      <c r="G285" s="2" t="inlineStr">
        <is>
          <t>Pack</t>
        </is>
      </c>
      <c r="H285" s="2" t="inlineStr">
        <is>
          <t>Legacy of the Master</t>
        </is>
      </c>
      <c r="I285" s="3" t="n">
        <v>16.74</v>
      </c>
      <c r="J285" s="3" t="n">
        <v>16.29</v>
      </c>
      <c r="K285" s="3" t="n"/>
      <c r="L285" s="3" t="n">
        <v>17</v>
      </c>
      <c r="M285" s="2" t="inlineStr">
        <is>
          <t>PriceCharting + TCGplayer</t>
        </is>
      </c>
      <c r="N285" s="4" t="inlineStr">
        <is>
          <t>https://www.pricecharting.com/game/one-piece-legacy-of-the-master/sleeved-booster-pack</t>
        </is>
      </c>
      <c r="O285" s="4" t="inlineStr">
        <is>
          <t>https://www.tcgplayer.com/product/650645</t>
        </is>
      </c>
    </row>
    <row r="286">
      <c r="A286" s="2" t="inlineStr">
        <is>
          <t>Legacy of the Master Booster Pack</t>
        </is>
      </c>
      <c r="B286" s="3">
        <f>IF(I286&lt;&gt;"",I286,IF(J286&lt;&gt;"",J286,IF(K286&lt;&gt;"",K286,L286)))</f>
        <v>8.82</v>
      </c>
      <c r="C286" s="3">
        <f>MEDIAN(I286:L286)</f>
        <v>8.66</v>
      </c>
      <c r="D286" s="3">
        <f>ROUND(C286*(1-Settings!$B$2),2)</f>
        <v>6.06</v>
      </c>
      <c r="E286" s="3">
        <f>ROUND(C286*(1-Settings!$B$3),2)</f>
        <v>6.06</v>
      </c>
      <c r="F286" s="2" t="inlineStr">
        <is>
          <t>One Piece</t>
        </is>
      </c>
      <c r="G286" s="2" t="inlineStr">
        <is>
          <t>Pack</t>
        </is>
      </c>
      <c r="H286" s="2" t="inlineStr">
        <is>
          <t>Legacy of the Master</t>
        </is>
      </c>
      <c r="I286" s="3" t="n">
        <v>8.82</v>
      </c>
      <c r="J286" s="3" t="n">
        <v>8.66</v>
      </c>
      <c r="K286" s="3" t="n"/>
      <c r="L286" s="3" t="n">
        <v>6.5</v>
      </c>
      <c r="M286" s="2" t="inlineStr">
        <is>
          <t>PriceCharting + TCGplayer</t>
        </is>
      </c>
      <c r="N286" s="4" t="inlineStr">
        <is>
          <t>https://www.pricecharting.com/game/one-piece-legacy-of-the-master/booster-pack</t>
        </is>
      </c>
      <c r="O286" s="4" t="inlineStr">
        <is>
          <t>https://www.tcgplayer.com/product/628345</t>
        </is>
      </c>
    </row>
    <row r="287">
      <c r="A287" s="2" t="inlineStr">
        <is>
          <t>Legacy Of The Master Double Pack DP-08</t>
        </is>
      </c>
      <c r="B287" s="3">
        <f>IF(I287&lt;&gt;"",I287,IF(J287&lt;&gt;"",J287,IF(K287&lt;&gt;"",K287,L287)))</f>
        <v>38.99</v>
      </c>
      <c r="C287" s="3">
        <f>MEDIAN(I287:L287)</f>
        <v>38.99</v>
      </c>
      <c r="D287" s="3">
        <f>ROUND(C287*(1-Settings!$B$2),2)</f>
        <v>27.29</v>
      </c>
      <c r="E287" s="3">
        <f>ROUND(C287*(1-Settings!$B$3),2)</f>
        <v>27.29</v>
      </c>
      <c r="F287" s="2" t="inlineStr">
        <is>
          <t>One Piece</t>
        </is>
      </c>
      <c r="G287" s="2" t="inlineStr">
        <is>
          <t>Pack</t>
        </is>
      </c>
      <c r="H287" s="2" t="inlineStr">
        <is>
          <t>Legacy Of The Master</t>
        </is>
      </c>
      <c r="I287" s="3" t="n">
        <v>38.99</v>
      </c>
      <c r="J287" s="3" t="n"/>
      <c r="K287" s="3" t="n"/>
      <c r="L287" s="3" t="n"/>
      <c r="M287" s="2" t="inlineStr">
        <is>
          <t>PriceCharting</t>
        </is>
      </c>
      <c r="N287" s="4" t="inlineStr">
        <is>
          <t>https://www.pricecharting.com/game/one-piece-legacy-of-the-master/double-pack-dp-08</t>
        </is>
      </c>
    </row>
    <row r="288">
      <c r="A288" s="2" t="inlineStr">
        <is>
          <t>Special DON!! Card Pack DP-08</t>
        </is>
      </c>
      <c r="B288" s="3">
        <f>IF(I288&lt;&gt;"",I288,IF(J288&lt;&gt;"",J288,IF(K288&lt;&gt;"",K288,L288)))</f>
        <v>4.08</v>
      </c>
      <c r="C288" s="3">
        <f>MEDIAN(I288:L288)</f>
        <v>3.535</v>
      </c>
      <c r="D288" s="3">
        <f>ROUND(C288*(1-Settings!$B$2),2)</f>
        <v>2.47</v>
      </c>
      <c r="E288" s="3">
        <f>ROUND(C288*(1-Settings!$B$3),2)</f>
        <v>2.47</v>
      </c>
      <c r="F288" s="2" t="inlineStr">
        <is>
          <t>One Piece</t>
        </is>
      </c>
      <c r="G288" s="2" t="inlineStr">
        <is>
          <t>Pack</t>
        </is>
      </c>
      <c r="H288" s="2" t="inlineStr">
        <is>
          <t>Legacy of the Master</t>
        </is>
      </c>
      <c r="I288" s="3" t="n"/>
      <c r="J288" s="3" t="n">
        <v>4.08</v>
      </c>
      <c r="K288" s="3" t="n"/>
      <c r="L288" s="3" t="n">
        <v>2.99</v>
      </c>
      <c r="M288" s="2" t="inlineStr">
        <is>
          <t>TCGplayer</t>
        </is>
      </c>
      <c r="O288" s="4" t="inlineStr">
        <is>
          <t>https://www.tcgplayer.com/product/651980</t>
        </is>
      </c>
    </row>
    <row r="289">
      <c r="A289" s="2" t="inlineStr">
        <is>
          <t>Legacy of the Master - Release Event Pack</t>
        </is>
      </c>
      <c r="B289" s="3">
        <f>IF(I289&lt;&gt;"",I289,IF(J289&lt;&gt;"",J289,IF(K289&lt;&gt;"",K289,L289)))</f>
        <v>5.24</v>
      </c>
      <c r="C289" s="3">
        <f>MEDIAN(I289:L289)</f>
        <v>5.24</v>
      </c>
      <c r="D289" s="3">
        <f>ROUND(C289*(1-Settings!$B$2),2)</f>
        <v>3.67</v>
      </c>
      <c r="E289" s="3">
        <f>ROUND(C289*(1-Settings!$B$3),2)</f>
        <v>3.67</v>
      </c>
      <c r="F289" s="2" t="inlineStr">
        <is>
          <t>One Piece</t>
        </is>
      </c>
      <c r="G289" s="2" t="inlineStr">
        <is>
          <t>Pack</t>
        </is>
      </c>
      <c r="H289" s="2" t="inlineStr">
        <is>
          <t>Legacy of the Master Release Event Cards</t>
        </is>
      </c>
      <c r="I289" s="3" t="n"/>
      <c r="J289" s="3" t="n">
        <v>5.24</v>
      </c>
      <c r="K289" s="3" t="n"/>
      <c r="L289" s="3" t="n">
        <v>5.24</v>
      </c>
      <c r="M289" s="2" t="inlineStr">
        <is>
          <t>TCGplayer</t>
        </is>
      </c>
      <c r="O289" s="4" t="inlineStr">
        <is>
          <t>https://www.tcgplayer.com/product/649244</t>
        </is>
      </c>
    </row>
    <row r="290">
      <c r="A290" s="2" t="inlineStr">
        <is>
          <t>1st Anniversary DON!! Card Pack</t>
        </is>
      </c>
      <c r="B290" s="3">
        <f>IF(I290&lt;&gt;"",I290,IF(J290&lt;&gt;"",J290,IF(K290&lt;&gt;"",K290,L290)))</f>
        <v>34.93</v>
      </c>
      <c r="C290" s="3">
        <f>MEDIAN(I290:L290)</f>
        <v>34.46</v>
      </c>
      <c r="D290" s="3">
        <f>ROUND(C290*(1-Settings!$B$2),2)</f>
        <v>24.12</v>
      </c>
      <c r="E290" s="3">
        <f>ROUND(C290*(1-Settings!$B$3),2)</f>
        <v>24.12</v>
      </c>
      <c r="F290" s="2" t="inlineStr">
        <is>
          <t>One Piece</t>
        </is>
      </c>
      <c r="G290" s="2" t="inlineStr">
        <is>
          <t>Pack</t>
        </is>
      </c>
      <c r="H290" s="2" t="inlineStr">
        <is>
          <t>One Piece Promotion Cards</t>
        </is>
      </c>
      <c r="I290" s="3" t="n"/>
      <c r="J290" s="3" t="n">
        <v>34.93</v>
      </c>
      <c r="K290" s="3" t="n"/>
      <c r="L290" s="3" t="n">
        <v>33.99</v>
      </c>
      <c r="M290" s="2" t="inlineStr">
        <is>
          <t>TCGplayer</t>
        </is>
      </c>
      <c r="O290" s="4" t="inlineStr">
        <is>
          <t>https://www.tcgplayer.com/product/545700</t>
        </is>
      </c>
    </row>
    <row r="291">
      <c r="A291" s="2" t="inlineStr">
        <is>
          <t>3rd Anniversary One Piece Card Game Treasure Campaign Pack</t>
        </is>
      </c>
      <c r="B291" s="3">
        <f>IF(I291&lt;&gt;"",I291,IF(J291&lt;&gt;"",J291,IF(K291&lt;&gt;"",K291,L291)))</f>
        <v>42.02</v>
      </c>
      <c r="C291" s="3">
        <f>MEDIAN(I291:L291)</f>
        <v>35.005</v>
      </c>
      <c r="D291" s="3">
        <f>ROUND(C291*(1-Settings!$B$2),2)</f>
        <v>24.5</v>
      </c>
      <c r="E291" s="3">
        <f>ROUND(C291*(1-Settings!$B$3),2)</f>
        <v>24.5</v>
      </c>
      <c r="F291" s="2" t="inlineStr">
        <is>
          <t>One Piece</t>
        </is>
      </c>
      <c r="G291" s="2" t="inlineStr">
        <is>
          <t>Pack</t>
        </is>
      </c>
      <c r="H291" s="2" t="inlineStr">
        <is>
          <t>One Piece Promotion Cards</t>
        </is>
      </c>
      <c r="I291" s="3" t="n"/>
      <c r="J291" s="3" t="n">
        <v>42.02</v>
      </c>
      <c r="K291" s="3" t="n"/>
      <c r="L291" s="3" t="n">
        <v>27.99</v>
      </c>
      <c r="M291" s="2" t="inlineStr">
        <is>
          <t>TCGplayer</t>
        </is>
      </c>
      <c r="O291" s="4" t="inlineStr">
        <is>
          <t>https://www.tcgplayer.com/product/661447</t>
        </is>
      </c>
    </row>
    <row r="292">
      <c r="A292" s="2" t="inlineStr">
        <is>
          <t>4th Anniversary One Piece Card Game Treasure Campaign Pack</t>
        </is>
      </c>
      <c r="B292" s="3">
        <f>IF(I292&lt;&gt;"",I292,IF(J292&lt;&gt;"",J292,IF(K292&lt;&gt;"",K292,L292)))</f>
        <v>5.46</v>
      </c>
      <c r="C292" s="3">
        <f>MEDIAN(I292:L292)</f>
        <v>4.98</v>
      </c>
      <c r="D292" s="3">
        <f>ROUND(C292*(1-Settings!$B$2),2)</f>
        <v>3.49</v>
      </c>
      <c r="E292" s="3">
        <f>ROUND(C292*(1-Settings!$B$3),2)</f>
        <v>3.49</v>
      </c>
      <c r="F292" s="2" t="inlineStr">
        <is>
          <t>One Piece</t>
        </is>
      </c>
      <c r="G292" s="2" t="inlineStr">
        <is>
          <t>Pack</t>
        </is>
      </c>
      <c r="H292" s="2" t="inlineStr">
        <is>
          <t>One Piece Promotion Cards</t>
        </is>
      </c>
      <c r="I292" s="3" t="n"/>
      <c r="J292" s="3" t="n">
        <v>5.46</v>
      </c>
      <c r="K292" s="3" t="n"/>
      <c r="L292" s="3" t="n">
        <v>4.5</v>
      </c>
      <c r="M292" s="2" t="inlineStr">
        <is>
          <t>TCGplayer</t>
        </is>
      </c>
      <c r="O292" s="4" t="inlineStr">
        <is>
          <t>https://www.tcgplayer.com/product/714348</t>
        </is>
      </c>
    </row>
    <row r="293">
      <c r="A293" s="2" t="inlineStr">
        <is>
          <t>CS 2024 Celebration Pack</t>
        </is>
      </c>
      <c r="B293" s="3">
        <f>IF(I293&lt;&gt;"",I293,IF(J293&lt;&gt;"",J293,IF(K293&lt;&gt;"",K293,L293)))</f>
        <v>500.0</v>
      </c>
      <c r="C293" s="3">
        <f>MEDIAN(I293:L293)</f>
        <v>500.0</v>
      </c>
      <c r="D293" s="3">
        <f>ROUND(C293*(1-Settings!$B$2),2)</f>
        <v>350.0</v>
      </c>
      <c r="E293" s="3">
        <f>ROUND(C293*(1-Settings!$B$3),2)</f>
        <v>350.0</v>
      </c>
      <c r="F293" s="2" t="inlineStr">
        <is>
          <t>One Piece</t>
        </is>
      </c>
      <c r="G293" s="2" t="inlineStr">
        <is>
          <t>Pack</t>
        </is>
      </c>
      <c r="H293" s="2" t="inlineStr">
        <is>
          <t>One Piece Promotion Cards</t>
        </is>
      </c>
      <c r="I293" s="3" t="n"/>
      <c r="J293" s="3" t="n"/>
      <c r="K293" s="3" t="n"/>
      <c r="L293" s="3" t="n">
        <v>500</v>
      </c>
      <c r="M293" s="2" t="inlineStr">
        <is>
          <t>TCGplayer</t>
        </is>
      </c>
      <c r="O293" s="4" t="inlineStr">
        <is>
          <t>https://www.tcgplayer.com/product/580054</t>
        </is>
      </c>
    </row>
    <row r="294">
      <c r="A294" s="2" t="inlineStr">
        <is>
          <t>CS 2024 Event Pack</t>
        </is>
      </c>
      <c r="B294" s="3">
        <f>IF(I294&lt;&gt;"",I294,IF(J294&lt;&gt;"",J294,IF(K294&lt;&gt;"",K294,L294)))</f>
        <v>662.4</v>
      </c>
      <c r="C294" s="3">
        <f>MEDIAN(I294:L294)</f>
        <v>631.135</v>
      </c>
      <c r="D294" s="3">
        <f>ROUND(C294*(1-Settings!$B$2),2)</f>
        <v>441.79</v>
      </c>
      <c r="E294" s="3">
        <f>ROUND(C294*(1-Settings!$B$3),2)</f>
        <v>441.79</v>
      </c>
      <c r="F294" s="2" t="inlineStr">
        <is>
          <t>One Piece</t>
        </is>
      </c>
      <c r="G294" s="2" t="inlineStr">
        <is>
          <t>Pack</t>
        </is>
      </c>
      <c r="H294" s="2" t="inlineStr">
        <is>
          <t>One Piece Promotion Cards</t>
        </is>
      </c>
      <c r="I294" s="3" t="n"/>
      <c r="J294" s="3" t="n">
        <v>662.4</v>
      </c>
      <c r="K294" s="3" t="n"/>
      <c r="L294" s="3" t="n">
        <v>599.87</v>
      </c>
      <c r="M294" s="2" t="inlineStr">
        <is>
          <t>TCGplayer</t>
        </is>
      </c>
      <c r="O294" s="4" t="inlineStr">
        <is>
          <t>https://www.tcgplayer.com/product/579991</t>
        </is>
      </c>
    </row>
    <row r="295">
      <c r="A295" s="2" t="inlineStr">
        <is>
          <t>CS 25-26 Celebration Pack</t>
        </is>
      </c>
      <c r="B295" s="3">
        <f>IF(I295&lt;&gt;"",I295,IF(J295&lt;&gt;"",J295,IF(K295&lt;&gt;"",K295,L295)))</f>
        <v>90.0</v>
      </c>
      <c r="C295" s="3">
        <f>MEDIAN(I295:L295)</f>
        <v>295.0</v>
      </c>
      <c r="D295" s="3">
        <f>ROUND(C295*(1-Settings!$B$2),2)</f>
        <v>206.5</v>
      </c>
      <c r="E295" s="3">
        <f>ROUND(C295*(1-Settings!$B$3),2)</f>
        <v>206.5</v>
      </c>
      <c r="F295" s="2" t="inlineStr">
        <is>
          <t>One Piece</t>
        </is>
      </c>
      <c r="G295" s="2" t="inlineStr">
        <is>
          <t>Pack</t>
        </is>
      </c>
      <c r="H295" s="2" t="inlineStr">
        <is>
          <t>One Piece Promotion Cards</t>
        </is>
      </c>
      <c r="I295" s="3" t="n"/>
      <c r="J295" s="3" t="n">
        <v>90</v>
      </c>
      <c r="K295" s="3" t="n"/>
      <c r="L295" s="3" t="n">
        <v>500</v>
      </c>
      <c r="M295" s="2" t="inlineStr">
        <is>
          <t>TCGplayer</t>
        </is>
      </c>
      <c r="O295" s="4" t="inlineStr">
        <is>
          <t>https://www.tcgplayer.com/product/649629</t>
        </is>
      </c>
    </row>
    <row r="296">
      <c r="A296" s="2" t="inlineStr">
        <is>
          <t>CS 25-26 Event Pack</t>
        </is>
      </c>
      <c r="B296" s="3">
        <f>IF(I296&lt;&gt;"",I296,IF(J296&lt;&gt;"",J296,IF(K296&lt;&gt;"",K296,L296)))</f>
        <v>193.0</v>
      </c>
      <c r="C296" s="3">
        <f>MEDIAN(I296:L296)</f>
        <v>281.5</v>
      </c>
      <c r="D296" s="3">
        <f>ROUND(C296*(1-Settings!$B$2),2)</f>
        <v>197.05</v>
      </c>
      <c r="E296" s="3">
        <f>ROUND(C296*(1-Settings!$B$3),2)</f>
        <v>197.05</v>
      </c>
      <c r="F296" s="2" t="inlineStr">
        <is>
          <t>One Piece</t>
        </is>
      </c>
      <c r="G296" s="2" t="inlineStr">
        <is>
          <t>Pack</t>
        </is>
      </c>
      <c r="H296" s="2" t="inlineStr">
        <is>
          <t>One Piece Promotion Cards</t>
        </is>
      </c>
      <c r="I296" s="3" t="n"/>
      <c r="J296" s="3" t="n">
        <v>193</v>
      </c>
      <c r="K296" s="3" t="n"/>
      <c r="L296" s="3" t="n">
        <v>370</v>
      </c>
      <c r="M296" s="2" t="inlineStr">
        <is>
          <t>TCGplayer</t>
        </is>
      </c>
      <c r="O296" s="4" t="inlineStr">
        <is>
          <t>https://www.tcgplayer.com/product/649617</t>
        </is>
      </c>
    </row>
    <row r="297">
      <c r="A297" s="2" t="inlineStr">
        <is>
          <t>CS 26-27 Celebration Pack</t>
        </is>
      </c>
      <c r="B297" s="3">
        <f>IF(I297&lt;&gt;"",I297,IF(J297&lt;&gt;"",J297,IF(K297&lt;&gt;"",K297,L297)))</f>
        <v>694.69</v>
      </c>
      <c r="C297" s="3">
        <f>MEDIAN(I297:L297)</f>
        <v>694.69</v>
      </c>
      <c r="D297" s="3">
        <f>ROUND(C297*(1-Settings!$B$2),2)</f>
        <v>486.28</v>
      </c>
      <c r="E297" s="3">
        <f>ROUND(C297*(1-Settings!$B$3),2)</f>
        <v>486.28</v>
      </c>
      <c r="F297" s="2" t="inlineStr">
        <is>
          <t>One Piece</t>
        </is>
      </c>
      <c r="G297" s="2" t="inlineStr">
        <is>
          <t>Pack</t>
        </is>
      </c>
      <c r="H297" s="2" t="inlineStr">
        <is>
          <t>One Piece Promotion Cards</t>
        </is>
      </c>
      <c r="I297" s="3" t="n"/>
      <c r="J297" s="3" t="n"/>
      <c r="K297" s="3" t="n"/>
      <c r="L297" s="3" t="n">
        <v>694.6900000000001</v>
      </c>
      <c r="M297" s="2" t="inlineStr">
        <is>
          <t>TCGplayer</t>
        </is>
      </c>
      <c r="O297" s="4" t="inlineStr">
        <is>
          <t>https://www.tcgplayer.com/product/710246</t>
        </is>
      </c>
    </row>
    <row r="298">
      <c r="A298" s="2" t="inlineStr">
        <is>
          <t>CS 26-27 Event Pack</t>
        </is>
      </c>
      <c r="B298" s="3">
        <f>IF(I298&lt;&gt;"",I298,IF(J298&lt;&gt;"",J298,IF(K298&lt;&gt;"",K298,L298)))</f>
        <v>139.9</v>
      </c>
      <c r="C298" s="3">
        <f>MEDIAN(I298:L298)</f>
        <v>139.9</v>
      </c>
      <c r="D298" s="3">
        <f>ROUND(C298*(1-Settings!$B$2),2)</f>
        <v>97.93</v>
      </c>
      <c r="E298" s="3">
        <f>ROUND(C298*(1-Settings!$B$3),2)</f>
        <v>97.93</v>
      </c>
      <c r="F298" s="2" t="inlineStr">
        <is>
          <t>One Piece</t>
        </is>
      </c>
      <c r="G298" s="2" t="inlineStr">
        <is>
          <t>Pack</t>
        </is>
      </c>
      <c r="H298" s="2" t="inlineStr">
        <is>
          <t>One Piece Promotion Cards</t>
        </is>
      </c>
      <c r="I298" s="3" t="n"/>
      <c r="J298" s="3" t="n"/>
      <c r="K298" s="3" t="n"/>
      <c r="L298" s="3" t="n">
        <v>139.9</v>
      </c>
      <c r="M298" s="2" t="inlineStr">
        <is>
          <t>TCGplayer</t>
        </is>
      </c>
      <c r="O298" s="4" t="inlineStr">
        <is>
          <t>https://www.tcgplayer.com/product/710211</t>
        </is>
      </c>
    </row>
    <row r="299">
      <c r="A299" s="2" t="inlineStr">
        <is>
          <t>CS 26-27 Top Player Pack Vol. 1</t>
        </is>
      </c>
      <c r="B299" s="3">
        <f>IF(I299&lt;&gt;"",I299,IF(J299&lt;&gt;"",J299,IF(K299&lt;&gt;"",K299,L299)))</f>
        <v>700.0</v>
      </c>
      <c r="C299" s="3">
        <f>MEDIAN(I299:L299)</f>
        <v>700.0</v>
      </c>
      <c r="D299" s="3">
        <f>ROUND(C299*(1-Settings!$B$2),2)</f>
        <v>490.0</v>
      </c>
      <c r="E299" s="3">
        <f>ROUND(C299*(1-Settings!$B$3),2)</f>
        <v>490.0</v>
      </c>
      <c r="F299" s="2" t="inlineStr">
        <is>
          <t>One Piece</t>
        </is>
      </c>
      <c r="G299" s="2" t="inlineStr">
        <is>
          <t>Pack</t>
        </is>
      </c>
      <c r="H299" s="2" t="inlineStr">
        <is>
          <t>One Piece Promotion Cards</t>
        </is>
      </c>
      <c r="I299" s="3" t="n"/>
      <c r="J299" s="3" t="n"/>
      <c r="K299" s="3" t="n"/>
      <c r="L299" s="3" t="n">
        <v>700</v>
      </c>
      <c r="M299" s="2" t="inlineStr">
        <is>
          <t>TCGplayer</t>
        </is>
      </c>
      <c r="O299" s="4" t="inlineStr">
        <is>
          <t>https://www.tcgplayer.com/product/710247</t>
        </is>
      </c>
    </row>
    <row r="300">
      <c r="A300" s="2" t="inlineStr">
        <is>
          <t>Dash Pack 2025</t>
        </is>
      </c>
      <c r="B300" s="3">
        <f>IF(I300&lt;&gt;"",I300,IF(J300&lt;&gt;"",J300,IF(K300&lt;&gt;"",K300,L300)))</f>
        <v>53.43</v>
      </c>
      <c r="C300" s="3">
        <f>MEDIAN(I300:L300)</f>
        <v>49.21</v>
      </c>
      <c r="D300" s="3">
        <f>ROUND(C300*(1-Settings!$B$2),2)</f>
        <v>34.45</v>
      </c>
      <c r="E300" s="3">
        <f>ROUND(C300*(1-Settings!$B$3),2)</f>
        <v>34.45</v>
      </c>
      <c r="F300" s="2" t="inlineStr">
        <is>
          <t>One Piece</t>
        </is>
      </c>
      <c r="G300" s="2" t="inlineStr">
        <is>
          <t>Pack</t>
        </is>
      </c>
      <c r="H300" s="2" t="inlineStr">
        <is>
          <t>One Piece Promotion Cards</t>
        </is>
      </c>
      <c r="I300" s="3" t="n"/>
      <c r="J300" s="3" t="n">
        <v>53.43</v>
      </c>
      <c r="K300" s="3" t="n"/>
      <c r="L300" s="3" t="n">
        <v>44.99</v>
      </c>
      <c r="M300" s="2" t="inlineStr">
        <is>
          <t>TCGplayer</t>
        </is>
      </c>
      <c r="O300" s="4" t="inlineStr">
        <is>
          <t>https://www.tcgplayer.com/product/660407</t>
        </is>
      </c>
    </row>
    <row r="301">
      <c r="A301" s="2" t="inlineStr">
        <is>
          <t>DON!! Card Pack Vol. 1</t>
        </is>
      </c>
      <c r="B301" s="3">
        <f>IF(I301&lt;&gt;"",I301,IF(J301&lt;&gt;"",J301,IF(K301&lt;&gt;"",K301,L301)))</f>
        <v>49.99</v>
      </c>
      <c r="C301" s="3">
        <f>MEDIAN(I301:L301)</f>
        <v>49.99</v>
      </c>
      <c r="D301" s="3">
        <f>ROUND(C301*(1-Settings!$B$2),2)</f>
        <v>34.99</v>
      </c>
      <c r="E301" s="3">
        <f>ROUND(C301*(1-Settings!$B$3),2)</f>
        <v>34.99</v>
      </c>
      <c r="F301" s="2" t="inlineStr">
        <is>
          <t>One Piece</t>
        </is>
      </c>
      <c r="G301" s="2" t="inlineStr">
        <is>
          <t>Pack</t>
        </is>
      </c>
      <c r="H301" s="2" t="inlineStr">
        <is>
          <t>One Piece Promotion Cards</t>
        </is>
      </c>
      <c r="I301" s="3" t="n"/>
      <c r="J301" s="3" t="n"/>
      <c r="K301" s="3" t="n"/>
      <c r="L301" s="3" t="n">
        <v>49.99</v>
      </c>
      <c r="M301" s="2" t="inlineStr">
        <is>
          <t>TCGplayer</t>
        </is>
      </c>
      <c r="O301" s="4" t="inlineStr">
        <is>
          <t>https://www.tcgplayer.com/product/493339</t>
        </is>
      </c>
    </row>
    <row r="302">
      <c r="A302" s="2" t="inlineStr">
        <is>
          <t>DON!! Card Pack Vol. 2</t>
        </is>
      </c>
      <c r="B302" s="3">
        <f>IF(I302&lt;&gt;"",I302,IF(J302&lt;&gt;"",J302,IF(K302&lt;&gt;"",K302,L302)))</f>
        <v>99.99</v>
      </c>
      <c r="C302" s="3">
        <f>MEDIAN(I302:L302)</f>
        <v>99.99</v>
      </c>
      <c r="D302" s="3">
        <f>ROUND(C302*(1-Settings!$B$2),2)</f>
        <v>69.99</v>
      </c>
      <c r="E302" s="3">
        <f>ROUND(C302*(1-Settings!$B$3),2)</f>
        <v>69.99</v>
      </c>
      <c r="F302" s="2" t="inlineStr">
        <is>
          <t>One Piece</t>
        </is>
      </c>
      <c r="G302" s="2" t="inlineStr">
        <is>
          <t>Pack</t>
        </is>
      </c>
      <c r="H302" s="2" t="inlineStr">
        <is>
          <t>One Piece Promotion Cards</t>
        </is>
      </c>
      <c r="I302" s="3" t="n"/>
      <c r="J302" s="3" t="n"/>
      <c r="K302" s="3" t="n"/>
      <c r="L302" s="3" t="n">
        <v>99.98999999999999</v>
      </c>
      <c r="M302" s="2" t="inlineStr">
        <is>
          <t>TCGplayer</t>
        </is>
      </c>
      <c r="O302" s="4" t="inlineStr">
        <is>
          <t>https://www.tcgplayer.com/product/483165</t>
        </is>
      </c>
    </row>
    <row r="303">
      <c r="A303" s="2" t="inlineStr">
        <is>
          <t>Event Pack Vol. 1</t>
        </is>
      </c>
      <c r="B303" s="3">
        <f>IF(I303&lt;&gt;"",I303,IF(J303&lt;&gt;"",J303,IF(K303&lt;&gt;"",K303,L303)))</f>
        <v>44.99</v>
      </c>
      <c r="C303" s="3">
        <f>MEDIAN(I303:L303)</f>
        <v>46.97</v>
      </c>
      <c r="D303" s="3">
        <f>ROUND(C303*(1-Settings!$B$2),2)</f>
        <v>32.88</v>
      </c>
      <c r="E303" s="3">
        <f>ROUND(C303*(1-Settings!$B$3),2)</f>
        <v>32.88</v>
      </c>
      <c r="F303" s="2" t="inlineStr">
        <is>
          <t>One Piece</t>
        </is>
      </c>
      <c r="G303" s="2" t="inlineStr">
        <is>
          <t>Pack</t>
        </is>
      </c>
      <c r="H303" s="2" t="inlineStr">
        <is>
          <t>One Piece Promotion Cards</t>
        </is>
      </c>
      <c r="I303" s="3" t="n"/>
      <c r="J303" s="3" t="n">
        <v>44.99</v>
      </c>
      <c r="K303" s="3" t="n"/>
      <c r="L303" s="3" t="n">
        <v>48.95</v>
      </c>
      <c r="M303" s="2" t="inlineStr">
        <is>
          <t>TCGplayer</t>
        </is>
      </c>
      <c r="O303" s="4" t="inlineStr">
        <is>
          <t>https://www.tcgplayer.com/product/483166</t>
        </is>
      </c>
    </row>
    <row r="304">
      <c r="A304" s="2" t="inlineStr">
        <is>
          <t>Event Pack Vol. 2</t>
        </is>
      </c>
      <c r="B304" s="3">
        <f>IF(I304&lt;&gt;"",I304,IF(J304&lt;&gt;"",J304,IF(K304&lt;&gt;"",K304,L304)))</f>
        <v>152.22</v>
      </c>
      <c r="C304" s="3">
        <f>MEDIAN(I304:L304)</f>
        <v>173.10500000000002</v>
      </c>
      <c r="D304" s="3">
        <f>ROUND(C304*(1-Settings!$B$2),2)</f>
        <v>121.17</v>
      </c>
      <c r="E304" s="3">
        <f>ROUND(C304*(1-Settings!$B$3),2)</f>
        <v>121.17</v>
      </c>
      <c r="F304" s="2" t="inlineStr">
        <is>
          <t>One Piece</t>
        </is>
      </c>
      <c r="G304" s="2" t="inlineStr">
        <is>
          <t>Pack</t>
        </is>
      </c>
      <c r="H304" s="2" t="inlineStr">
        <is>
          <t>One Piece Promotion Cards</t>
        </is>
      </c>
      <c r="I304" s="3" t="n"/>
      <c r="J304" s="3" t="n">
        <v>152.22</v>
      </c>
      <c r="K304" s="3" t="n"/>
      <c r="L304" s="3" t="n">
        <v>193.99</v>
      </c>
      <c r="M304" s="2" t="inlineStr">
        <is>
          <t>TCGplayer</t>
        </is>
      </c>
      <c r="O304" s="4" t="inlineStr">
        <is>
          <t>https://www.tcgplayer.com/product/509458</t>
        </is>
      </c>
    </row>
    <row r="305">
      <c r="A305" s="2" t="inlineStr">
        <is>
          <t>Event Pack Vol. 3</t>
        </is>
      </c>
      <c r="B305" s="3">
        <f>IF(I305&lt;&gt;"",I305,IF(J305&lt;&gt;"",J305,IF(K305&lt;&gt;"",K305,L305)))</f>
        <v>48.96</v>
      </c>
      <c r="C305" s="3">
        <f>MEDIAN(I305:L305)</f>
        <v>48.230000000000004</v>
      </c>
      <c r="D305" s="3">
        <f>ROUND(C305*(1-Settings!$B$2),2)</f>
        <v>33.76</v>
      </c>
      <c r="E305" s="3">
        <f>ROUND(C305*(1-Settings!$B$3),2)</f>
        <v>33.76</v>
      </c>
      <c r="F305" s="2" t="inlineStr">
        <is>
          <t>One Piece</t>
        </is>
      </c>
      <c r="G305" s="2" t="inlineStr">
        <is>
          <t>Pack</t>
        </is>
      </c>
      <c r="H305" s="2" t="inlineStr">
        <is>
          <t>One Piece Promotion Cards</t>
        </is>
      </c>
      <c r="I305" s="3" t="n"/>
      <c r="J305" s="3" t="n">
        <v>48.96</v>
      </c>
      <c r="K305" s="3" t="n"/>
      <c r="L305" s="3" t="n">
        <v>47.5</v>
      </c>
      <c r="M305" s="2" t="inlineStr">
        <is>
          <t>TCGplayer</t>
        </is>
      </c>
      <c r="O305" s="4" t="inlineStr">
        <is>
          <t>https://www.tcgplayer.com/product/539179</t>
        </is>
      </c>
    </row>
    <row r="306">
      <c r="A306" s="2" t="inlineStr">
        <is>
          <t>Event Pack Vol. 4</t>
        </is>
      </c>
      <c r="B306" s="3">
        <f>IF(I306&lt;&gt;"",I306,IF(J306&lt;&gt;"",J306,IF(K306&lt;&gt;"",K306,L306)))</f>
        <v>4.26</v>
      </c>
      <c r="C306" s="3">
        <f>MEDIAN(I306:L306)</f>
        <v>4.215</v>
      </c>
      <c r="D306" s="3">
        <f>ROUND(C306*(1-Settings!$B$2),2)</f>
        <v>2.95</v>
      </c>
      <c r="E306" s="3">
        <f>ROUND(C306*(1-Settings!$B$3),2)</f>
        <v>2.95</v>
      </c>
      <c r="F306" s="2" t="inlineStr">
        <is>
          <t>One Piece</t>
        </is>
      </c>
      <c r="G306" s="2" t="inlineStr">
        <is>
          <t>Pack</t>
        </is>
      </c>
      <c r="H306" s="2" t="inlineStr">
        <is>
          <t>One Piece Promotion Cards</t>
        </is>
      </c>
      <c r="I306" s="3" t="n"/>
      <c r="J306" s="3" t="n">
        <v>4.26</v>
      </c>
      <c r="K306" s="3" t="n"/>
      <c r="L306" s="3" t="n">
        <v>4.17</v>
      </c>
      <c r="M306" s="2" t="inlineStr">
        <is>
          <t>TCGplayer</t>
        </is>
      </c>
      <c r="O306" s="4" t="inlineStr">
        <is>
          <t>https://www.tcgplayer.com/product/544798</t>
        </is>
      </c>
    </row>
    <row r="307">
      <c r="A307" s="2" t="inlineStr">
        <is>
          <t>Event Pack Vol. 5</t>
        </is>
      </c>
      <c r="B307" s="3">
        <f>IF(I307&lt;&gt;"",I307,IF(J307&lt;&gt;"",J307,IF(K307&lt;&gt;"",K307,L307)))</f>
        <v>59.42</v>
      </c>
      <c r="C307" s="3">
        <f>MEDIAN(I307:L307)</f>
        <v>379.71</v>
      </c>
      <c r="D307" s="3">
        <f>ROUND(C307*(1-Settings!$B$2),2)</f>
        <v>265.8</v>
      </c>
      <c r="E307" s="3">
        <f>ROUND(C307*(1-Settings!$B$3),2)</f>
        <v>265.8</v>
      </c>
      <c r="F307" s="2" t="inlineStr">
        <is>
          <t>One Piece</t>
        </is>
      </c>
      <c r="G307" s="2" t="inlineStr">
        <is>
          <t>Pack</t>
        </is>
      </c>
      <c r="H307" s="2" t="inlineStr">
        <is>
          <t>One Piece Promotion Cards</t>
        </is>
      </c>
      <c r="I307" s="3" t="n"/>
      <c r="J307" s="3" t="n">
        <v>59.42</v>
      </c>
      <c r="K307" s="3" t="n"/>
      <c r="L307" s="3" t="n">
        <v>700</v>
      </c>
      <c r="M307" s="2" t="inlineStr">
        <is>
          <t>TCGplayer</t>
        </is>
      </c>
      <c r="O307" s="4" t="inlineStr">
        <is>
          <t>https://www.tcgplayer.com/product/583733</t>
        </is>
      </c>
    </row>
    <row r="308">
      <c r="A308" s="2" t="inlineStr">
        <is>
          <t>Event Pack Vol. 6</t>
        </is>
      </c>
      <c r="B308" s="3">
        <f>IF(I308&lt;&gt;"",I308,IF(J308&lt;&gt;"",J308,IF(K308&lt;&gt;"",K308,L308)))</f>
        <v>3.54</v>
      </c>
      <c r="C308" s="3">
        <f>MEDIAN(I308:L308)</f>
        <v>2.775</v>
      </c>
      <c r="D308" s="3">
        <f>ROUND(C308*(1-Settings!$B$2),2)</f>
        <v>1.94</v>
      </c>
      <c r="E308" s="3">
        <f>ROUND(C308*(1-Settings!$B$3),2)</f>
        <v>1.94</v>
      </c>
      <c r="F308" s="2" t="inlineStr">
        <is>
          <t>One Piece</t>
        </is>
      </c>
      <c r="G308" s="2" t="inlineStr">
        <is>
          <t>Pack</t>
        </is>
      </c>
      <c r="H308" s="2" t="inlineStr">
        <is>
          <t>One Piece Promotion Cards</t>
        </is>
      </c>
      <c r="I308" s="3" t="n"/>
      <c r="J308" s="3" t="n">
        <v>3.54</v>
      </c>
      <c r="K308" s="3" t="n"/>
      <c r="L308" s="3" t="n">
        <v>2.01</v>
      </c>
      <c r="M308" s="2" t="inlineStr">
        <is>
          <t>TCGplayer</t>
        </is>
      </c>
      <c r="O308" s="4" t="inlineStr">
        <is>
          <t>https://www.tcgplayer.com/product/619193</t>
        </is>
      </c>
    </row>
    <row r="309">
      <c r="A309" s="2" t="inlineStr">
        <is>
          <t>Event Pack Vol. 7</t>
        </is>
      </c>
      <c r="B309" s="3">
        <f>IF(I309&lt;&gt;"",I309,IF(J309&lt;&gt;"",J309,IF(K309&lt;&gt;"",K309,L309)))</f>
        <v>14.15</v>
      </c>
      <c r="C309" s="3">
        <f>MEDIAN(I309:L309)</f>
        <v>14.57</v>
      </c>
      <c r="D309" s="3">
        <f>ROUND(C309*(1-Settings!$B$2),2)</f>
        <v>10.2</v>
      </c>
      <c r="E309" s="3">
        <f>ROUND(C309*(1-Settings!$B$3),2)</f>
        <v>10.2</v>
      </c>
      <c r="F309" s="2" t="inlineStr">
        <is>
          <t>One Piece</t>
        </is>
      </c>
      <c r="G309" s="2" t="inlineStr">
        <is>
          <t>Pack</t>
        </is>
      </c>
      <c r="H309" s="2" t="inlineStr">
        <is>
          <t>One Piece Promotion Cards</t>
        </is>
      </c>
      <c r="I309" s="3" t="n"/>
      <c r="J309" s="3" t="n">
        <v>14.15</v>
      </c>
      <c r="K309" s="3" t="n"/>
      <c r="L309" s="3" t="n">
        <v>14.99</v>
      </c>
      <c r="M309" s="2" t="inlineStr">
        <is>
          <t>TCGplayer</t>
        </is>
      </c>
      <c r="O309" s="4" t="inlineStr">
        <is>
          <t>https://www.tcgplayer.com/product/646736</t>
        </is>
      </c>
    </row>
    <row r="310">
      <c r="A310" s="2" t="inlineStr">
        <is>
          <t>Event Pack Vol. 8</t>
        </is>
      </c>
      <c r="B310" s="3">
        <f>IF(I310&lt;&gt;"",I310,IF(J310&lt;&gt;"",J310,IF(K310&lt;&gt;"",K310,L310)))</f>
        <v>42.4</v>
      </c>
      <c r="C310" s="3">
        <f>MEDIAN(I310:L310)</f>
        <v>29.165</v>
      </c>
      <c r="D310" s="3">
        <f>ROUND(C310*(1-Settings!$B$2),2)</f>
        <v>20.42</v>
      </c>
      <c r="E310" s="3">
        <f>ROUND(C310*(1-Settings!$B$3),2)</f>
        <v>20.42</v>
      </c>
      <c r="F310" s="2" t="inlineStr">
        <is>
          <t>One Piece</t>
        </is>
      </c>
      <c r="G310" s="2" t="inlineStr">
        <is>
          <t>Pack</t>
        </is>
      </c>
      <c r="H310" s="2" t="inlineStr">
        <is>
          <t>One Piece Promotion Cards</t>
        </is>
      </c>
      <c r="I310" s="3" t="n"/>
      <c r="J310" s="3" t="n">
        <v>42.4</v>
      </c>
      <c r="K310" s="3" t="n"/>
      <c r="L310" s="3" t="n">
        <v>15.93</v>
      </c>
      <c r="M310" s="2" t="inlineStr">
        <is>
          <t>TCGplayer</t>
        </is>
      </c>
      <c r="O310" s="4" t="inlineStr">
        <is>
          <t>https://www.tcgplayer.com/product/675734</t>
        </is>
      </c>
    </row>
    <row r="311">
      <c r="A311" s="2" t="inlineStr">
        <is>
          <t>Event Pack Vol. 9</t>
        </is>
      </c>
      <c r="B311" s="3">
        <f>IF(I311&lt;&gt;"",I311,IF(J311&lt;&gt;"",J311,IF(K311&lt;&gt;"",K311,L311)))</f>
        <v>20.47</v>
      </c>
      <c r="C311" s="3">
        <f>MEDIAN(I311:L311)</f>
        <v>13.735</v>
      </c>
      <c r="D311" s="3">
        <f>ROUND(C311*(1-Settings!$B$2),2)</f>
        <v>9.61</v>
      </c>
      <c r="E311" s="3">
        <f>ROUND(C311*(1-Settings!$B$3),2)</f>
        <v>9.61</v>
      </c>
      <c r="F311" s="2" t="inlineStr">
        <is>
          <t>One Piece</t>
        </is>
      </c>
      <c r="G311" s="2" t="inlineStr">
        <is>
          <t>Pack</t>
        </is>
      </c>
      <c r="H311" s="2" t="inlineStr">
        <is>
          <t>One Piece Promotion Cards</t>
        </is>
      </c>
      <c r="I311" s="3" t="n"/>
      <c r="J311" s="3" t="n">
        <v>20.47</v>
      </c>
      <c r="K311" s="3" t="n"/>
      <c r="L311" s="3" t="n">
        <v>7</v>
      </c>
      <c r="M311" s="2" t="inlineStr">
        <is>
          <t>TCGplayer</t>
        </is>
      </c>
      <c r="O311" s="4" t="inlineStr">
        <is>
          <t>https://www.tcgplayer.com/product/709534</t>
        </is>
      </c>
    </row>
    <row r="312">
      <c r="A312" s="2" t="inlineStr">
        <is>
          <t>Heroines Battle Pack</t>
        </is>
      </c>
      <c r="B312" s="3">
        <f>IF(I312&lt;&gt;"",I312,IF(J312&lt;&gt;"",J312,IF(K312&lt;&gt;"",K312,L312)))</f>
        <v>9.92</v>
      </c>
      <c r="C312" s="3">
        <f>MEDIAN(I312:L312)</f>
        <v>8.965</v>
      </c>
      <c r="D312" s="3">
        <f>ROUND(C312*(1-Settings!$B$2),2)</f>
        <v>6.28</v>
      </c>
      <c r="E312" s="3">
        <f>ROUND(C312*(1-Settings!$B$3),2)</f>
        <v>6.28</v>
      </c>
      <c r="F312" s="2" t="inlineStr">
        <is>
          <t>One Piece</t>
        </is>
      </c>
      <c r="G312" s="2" t="inlineStr">
        <is>
          <t>Pack</t>
        </is>
      </c>
      <c r="H312" s="2" t="inlineStr">
        <is>
          <t>One Piece Promotion Cards</t>
        </is>
      </c>
      <c r="I312" s="3" t="n"/>
      <c r="J312" s="3" t="n">
        <v>9.92</v>
      </c>
      <c r="K312" s="3" t="n"/>
      <c r="L312" s="3" t="n">
        <v>8.01</v>
      </c>
      <c r="M312" s="2" t="inlineStr">
        <is>
          <t>TCGplayer</t>
        </is>
      </c>
      <c r="O312" s="4" t="inlineStr">
        <is>
          <t>https://www.tcgplayer.com/product/676678</t>
        </is>
      </c>
    </row>
    <row r="313">
      <c r="A313" s="2" t="inlineStr">
        <is>
          <t>Judge Pack Vol. 1</t>
        </is>
      </c>
      <c r="B313" s="3">
        <f>IF(I313&lt;&gt;"",I313,IF(J313&lt;&gt;"",J313,IF(K313&lt;&gt;"",K313,L313)))</f>
        <v>28.16</v>
      </c>
      <c r="C313" s="3">
        <f>MEDIAN(I313:L313)</f>
        <v>24.075</v>
      </c>
      <c r="D313" s="3">
        <f>ROUND(C313*(1-Settings!$B$2),2)</f>
        <v>16.85</v>
      </c>
      <c r="E313" s="3">
        <f>ROUND(C313*(1-Settings!$B$3),2)</f>
        <v>16.85</v>
      </c>
      <c r="F313" s="2" t="inlineStr">
        <is>
          <t>One Piece</t>
        </is>
      </c>
      <c r="G313" s="2" t="inlineStr">
        <is>
          <t>Pack</t>
        </is>
      </c>
      <c r="H313" s="2" t="inlineStr">
        <is>
          <t>One Piece Promotion Cards</t>
        </is>
      </c>
      <c r="I313" s="3" t="n"/>
      <c r="J313" s="3" t="n">
        <v>28.16</v>
      </c>
      <c r="K313" s="3" t="n"/>
      <c r="L313" s="3" t="n">
        <v>19.99</v>
      </c>
      <c r="M313" s="2" t="inlineStr">
        <is>
          <t>TCGplayer</t>
        </is>
      </c>
      <c r="O313" s="4" t="inlineStr">
        <is>
          <t>https://www.tcgplayer.com/product/502570</t>
        </is>
      </c>
    </row>
    <row r="314">
      <c r="A314" s="2" t="inlineStr">
        <is>
          <t>Judge Pack Vol. 2</t>
        </is>
      </c>
      <c r="B314" s="3">
        <f>IF(I314&lt;&gt;"",I314,IF(J314&lt;&gt;"",J314,IF(K314&lt;&gt;"",K314,L314)))</f>
        <v>33.63</v>
      </c>
      <c r="C314" s="3">
        <f>MEDIAN(I314:L314)</f>
        <v>27.445</v>
      </c>
      <c r="D314" s="3">
        <f>ROUND(C314*(1-Settings!$B$2),2)</f>
        <v>19.21</v>
      </c>
      <c r="E314" s="3">
        <f>ROUND(C314*(1-Settings!$B$3),2)</f>
        <v>19.21</v>
      </c>
      <c r="F314" s="2" t="inlineStr">
        <is>
          <t>One Piece</t>
        </is>
      </c>
      <c r="G314" s="2" t="inlineStr">
        <is>
          <t>Pack</t>
        </is>
      </c>
      <c r="H314" s="2" t="inlineStr">
        <is>
          <t>One Piece Promotion Cards</t>
        </is>
      </c>
      <c r="I314" s="3" t="n"/>
      <c r="J314" s="3" t="n">
        <v>33.63</v>
      </c>
      <c r="K314" s="3" t="n"/>
      <c r="L314" s="3" t="n">
        <v>21.26</v>
      </c>
      <c r="M314" s="2" t="inlineStr">
        <is>
          <t>TCGplayer</t>
        </is>
      </c>
      <c r="O314" s="4" t="inlineStr">
        <is>
          <t>https://www.tcgplayer.com/product/536257</t>
        </is>
      </c>
    </row>
    <row r="315">
      <c r="A315" s="2" t="inlineStr">
        <is>
          <t>Judge Pack Vol. 3</t>
        </is>
      </c>
      <c r="B315" s="3">
        <f>IF(I315&lt;&gt;"",I315,IF(J315&lt;&gt;"",J315,IF(K315&lt;&gt;"",K315,L315)))</f>
        <v>12.68</v>
      </c>
      <c r="C315" s="3">
        <f>MEDIAN(I315:L315)</f>
        <v>9.33</v>
      </c>
      <c r="D315" s="3">
        <f>ROUND(C315*(1-Settings!$B$2),2)</f>
        <v>6.53</v>
      </c>
      <c r="E315" s="3">
        <f>ROUND(C315*(1-Settings!$B$3),2)</f>
        <v>6.53</v>
      </c>
      <c r="F315" s="2" t="inlineStr">
        <is>
          <t>One Piece</t>
        </is>
      </c>
      <c r="G315" s="2" t="inlineStr">
        <is>
          <t>Pack</t>
        </is>
      </c>
      <c r="H315" s="2" t="inlineStr">
        <is>
          <t>One Piece Promotion Cards</t>
        </is>
      </c>
      <c r="I315" s="3" t="n"/>
      <c r="J315" s="3" t="n">
        <v>12.68</v>
      </c>
      <c r="K315" s="3" t="n"/>
      <c r="L315" s="3" t="n">
        <v>5.98</v>
      </c>
      <c r="M315" s="2" t="inlineStr">
        <is>
          <t>TCGplayer</t>
        </is>
      </c>
      <c r="O315" s="4" t="inlineStr">
        <is>
          <t>https://www.tcgplayer.com/product/544799</t>
        </is>
      </c>
    </row>
    <row r="316">
      <c r="A316" s="2" t="inlineStr">
        <is>
          <t>Judge Pack Vol. 4</t>
        </is>
      </c>
      <c r="B316" s="3">
        <f>IF(I316&lt;&gt;"",I316,IF(J316&lt;&gt;"",J316,IF(K316&lt;&gt;"",K316,L316)))</f>
        <v>8.16</v>
      </c>
      <c r="C316" s="3">
        <f>MEDIAN(I316:L316)</f>
        <v>8.504999999999999</v>
      </c>
      <c r="D316" s="3">
        <f>ROUND(C316*(1-Settings!$B$2),2)</f>
        <v>5.95</v>
      </c>
      <c r="E316" s="3">
        <f>ROUND(C316*(1-Settings!$B$3),2)</f>
        <v>5.95</v>
      </c>
      <c r="F316" s="2" t="inlineStr">
        <is>
          <t>One Piece</t>
        </is>
      </c>
      <c r="G316" s="2" t="inlineStr">
        <is>
          <t>Pack</t>
        </is>
      </c>
      <c r="H316" s="2" t="inlineStr">
        <is>
          <t>One Piece Promotion Cards</t>
        </is>
      </c>
      <c r="I316" s="3" t="n"/>
      <c r="J316" s="3" t="n">
        <v>8.16</v>
      </c>
      <c r="K316" s="3" t="n"/>
      <c r="L316" s="3" t="n">
        <v>8.85</v>
      </c>
      <c r="M316" s="2" t="inlineStr">
        <is>
          <t>TCGplayer</t>
        </is>
      </c>
      <c r="O316" s="4" t="inlineStr">
        <is>
          <t>https://www.tcgplayer.com/product/583744</t>
        </is>
      </c>
    </row>
    <row r="317">
      <c r="A317" s="2" t="inlineStr">
        <is>
          <t>Judge Pack Vol. 5</t>
        </is>
      </c>
      <c r="B317" s="3">
        <f>IF(I317&lt;&gt;"",I317,IF(J317&lt;&gt;"",J317,IF(K317&lt;&gt;"",K317,L317)))</f>
        <v>9.09</v>
      </c>
      <c r="C317" s="3">
        <f>MEDIAN(I317:L317)</f>
        <v>8.045</v>
      </c>
      <c r="D317" s="3">
        <f>ROUND(C317*(1-Settings!$B$2),2)</f>
        <v>5.63</v>
      </c>
      <c r="E317" s="3">
        <f>ROUND(C317*(1-Settings!$B$3),2)</f>
        <v>5.63</v>
      </c>
      <c r="F317" s="2" t="inlineStr">
        <is>
          <t>One Piece</t>
        </is>
      </c>
      <c r="G317" s="2" t="inlineStr">
        <is>
          <t>Pack</t>
        </is>
      </c>
      <c r="H317" s="2" t="inlineStr">
        <is>
          <t>One Piece Promotion Cards</t>
        </is>
      </c>
      <c r="I317" s="3" t="n"/>
      <c r="J317" s="3" t="n">
        <v>9.09</v>
      </c>
      <c r="K317" s="3" t="n"/>
      <c r="L317" s="3" t="n">
        <v>7</v>
      </c>
      <c r="M317" s="2" t="inlineStr">
        <is>
          <t>TCGplayer</t>
        </is>
      </c>
      <c r="O317" s="4" t="inlineStr">
        <is>
          <t>https://www.tcgplayer.com/product/619194</t>
        </is>
      </c>
    </row>
    <row r="318">
      <c r="A318" s="2" t="inlineStr">
        <is>
          <t>Judge Pack Vol. 6</t>
        </is>
      </c>
      <c r="B318" s="3">
        <f>IF(I318&lt;&gt;"",I318,IF(J318&lt;&gt;"",J318,IF(K318&lt;&gt;"",K318,L318)))</f>
        <v>17.16</v>
      </c>
      <c r="C318" s="3">
        <f>MEDIAN(I318:L318)</f>
        <v>12.08</v>
      </c>
      <c r="D318" s="3">
        <f>ROUND(C318*(1-Settings!$B$2),2)</f>
        <v>8.46</v>
      </c>
      <c r="E318" s="3">
        <f>ROUND(C318*(1-Settings!$B$3),2)</f>
        <v>8.46</v>
      </c>
      <c r="F318" s="2" t="inlineStr">
        <is>
          <t>One Piece</t>
        </is>
      </c>
      <c r="G318" s="2" t="inlineStr">
        <is>
          <t>Pack</t>
        </is>
      </c>
      <c r="H318" s="2" t="inlineStr">
        <is>
          <t>One Piece Promotion Cards</t>
        </is>
      </c>
      <c r="I318" s="3" t="n"/>
      <c r="J318" s="3" t="n">
        <v>17.16</v>
      </c>
      <c r="K318" s="3" t="n"/>
      <c r="L318" s="3" t="n">
        <v>7</v>
      </c>
      <c r="M318" s="2" t="inlineStr">
        <is>
          <t>TCGplayer</t>
        </is>
      </c>
      <c r="O318" s="4" t="inlineStr">
        <is>
          <t>https://www.tcgplayer.com/product/641217</t>
        </is>
      </c>
    </row>
    <row r="319">
      <c r="A319" s="2" t="inlineStr">
        <is>
          <t>Judge Pack Vol. 7</t>
        </is>
      </c>
      <c r="B319" s="3">
        <f>IF(I319&lt;&gt;"",I319,IF(J319&lt;&gt;"",J319,IF(K319&lt;&gt;"",K319,L319)))</f>
        <v>4.28</v>
      </c>
      <c r="C319" s="3">
        <f>MEDIAN(I319:L319)</f>
        <v>4.215</v>
      </c>
      <c r="D319" s="3">
        <f>ROUND(C319*(1-Settings!$B$2),2)</f>
        <v>2.95</v>
      </c>
      <c r="E319" s="3">
        <f>ROUND(C319*(1-Settings!$B$3),2)</f>
        <v>2.95</v>
      </c>
      <c r="F319" s="2" t="inlineStr">
        <is>
          <t>One Piece</t>
        </is>
      </c>
      <c r="G319" s="2" t="inlineStr">
        <is>
          <t>Pack</t>
        </is>
      </c>
      <c r="H319" s="2" t="inlineStr">
        <is>
          <t>One Piece Promotion Cards</t>
        </is>
      </c>
      <c r="I319" s="3" t="n"/>
      <c r="J319" s="3" t="n">
        <v>4.28</v>
      </c>
      <c r="K319" s="3" t="n"/>
      <c r="L319" s="3" t="n">
        <v>4.15</v>
      </c>
      <c r="M319" s="2" t="inlineStr">
        <is>
          <t>TCGplayer</t>
        </is>
      </c>
      <c r="O319" s="4" t="inlineStr">
        <is>
          <t>https://www.tcgplayer.com/product/668191</t>
        </is>
      </c>
    </row>
    <row r="320">
      <c r="A320" s="2" t="inlineStr">
        <is>
          <t>Judge Pack Vol. 8</t>
        </is>
      </c>
      <c r="B320" s="3">
        <f>IF(I320&lt;&gt;"",I320,IF(J320&lt;&gt;"",J320,IF(K320&lt;&gt;"",K320,L320)))</f>
        <v>17.5</v>
      </c>
      <c r="C320" s="3">
        <f>MEDIAN(I320:L320)</f>
        <v>16.25</v>
      </c>
      <c r="D320" s="3">
        <f>ROUND(C320*(1-Settings!$B$2),2)</f>
        <v>11.38</v>
      </c>
      <c r="E320" s="3">
        <f>ROUND(C320*(1-Settings!$B$3),2)</f>
        <v>11.38</v>
      </c>
      <c r="F320" s="2" t="inlineStr">
        <is>
          <t>One Piece</t>
        </is>
      </c>
      <c r="G320" s="2" t="inlineStr">
        <is>
          <t>Pack</t>
        </is>
      </c>
      <c r="H320" s="2" t="inlineStr">
        <is>
          <t>One Piece Promotion Cards</t>
        </is>
      </c>
      <c r="I320" s="3" t="n"/>
      <c r="J320" s="3" t="n">
        <v>17.5</v>
      </c>
      <c r="K320" s="3" t="n"/>
      <c r="L320" s="3" t="n">
        <v>15</v>
      </c>
      <c r="M320" s="2" t="inlineStr">
        <is>
          <t>TCGplayer</t>
        </is>
      </c>
      <c r="O320" s="4" t="inlineStr">
        <is>
          <t>https://www.tcgplayer.com/product/717406</t>
        </is>
      </c>
    </row>
    <row r="321">
      <c r="A321" s="2" t="inlineStr">
        <is>
          <t>Offline Regional Participation Pack 2024 Vol. 1</t>
        </is>
      </c>
      <c r="B321" s="3">
        <f>IF(I321&lt;&gt;"",I321,IF(J321&lt;&gt;"",J321,IF(K321&lt;&gt;"",K321,L321)))</f>
        <v>39.04</v>
      </c>
      <c r="C321" s="3">
        <f>MEDIAN(I321:L321)</f>
        <v>42.01</v>
      </c>
      <c r="D321" s="3">
        <f>ROUND(C321*(1-Settings!$B$2),2)</f>
        <v>29.41</v>
      </c>
      <c r="E321" s="3">
        <f>ROUND(C321*(1-Settings!$B$3),2)</f>
        <v>29.41</v>
      </c>
      <c r="F321" s="2" t="inlineStr">
        <is>
          <t>One Piece</t>
        </is>
      </c>
      <c r="G321" s="2" t="inlineStr">
        <is>
          <t>Pack</t>
        </is>
      </c>
      <c r="H321" s="2" t="inlineStr">
        <is>
          <t>One Piece Promotion Cards</t>
        </is>
      </c>
      <c r="I321" s="3" t="n"/>
      <c r="J321" s="3" t="n">
        <v>39.04</v>
      </c>
      <c r="K321" s="3" t="n"/>
      <c r="L321" s="3" t="n">
        <v>44.98</v>
      </c>
      <c r="M321" s="2" t="inlineStr">
        <is>
          <t>TCGplayer</t>
        </is>
      </c>
      <c r="O321" s="4" t="inlineStr">
        <is>
          <t>https://www.tcgplayer.com/product/539204</t>
        </is>
      </c>
    </row>
    <row r="322">
      <c r="A322" s="2" t="inlineStr">
        <is>
          <t>Offline Regional Participation Pack 2024 Vol. 2</t>
        </is>
      </c>
      <c r="B322" s="3">
        <f>IF(I322&lt;&gt;"",I322,IF(J322&lt;&gt;"",J322,IF(K322&lt;&gt;"",K322,L322)))</f>
        <v>95.0</v>
      </c>
      <c r="C322" s="3">
        <f>MEDIAN(I322:L322)</f>
        <v>92.99000000000001</v>
      </c>
      <c r="D322" s="3">
        <f>ROUND(C322*(1-Settings!$B$2),2)</f>
        <v>65.09</v>
      </c>
      <c r="E322" s="3">
        <f>ROUND(C322*(1-Settings!$B$3),2)</f>
        <v>65.09</v>
      </c>
      <c r="F322" s="2" t="inlineStr">
        <is>
          <t>One Piece</t>
        </is>
      </c>
      <c r="G322" s="2" t="inlineStr">
        <is>
          <t>Pack</t>
        </is>
      </c>
      <c r="H322" s="2" t="inlineStr">
        <is>
          <t>One Piece Promotion Cards</t>
        </is>
      </c>
      <c r="I322" s="3" t="n"/>
      <c r="J322" s="3" t="n">
        <v>95</v>
      </c>
      <c r="K322" s="3" t="n"/>
      <c r="L322" s="3" t="n">
        <v>90.98</v>
      </c>
      <c r="M322" s="2" t="inlineStr">
        <is>
          <t>TCGplayer</t>
        </is>
      </c>
      <c r="O322" s="4" t="inlineStr">
        <is>
          <t>https://www.tcgplayer.com/product/544801</t>
        </is>
      </c>
    </row>
    <row r="323">
      <c r="A323" s="2" t="inlineStr">
        <is>
          <t>Offline Regional Participation Pack 2024 Vol. 3</t>
        </is>
      </c>
      <c r="B323" s="3">
        <f>IF(I323&lt;&gt;"",I323,IF(J323&lt;&gt;"",J323,IF(K323&lt;&gt;"",K323,L323)))</f>
        <v>50.0</v>
      </c>
      <c r="C323" s="3">
        <f>MEDIAN(I323:L323)</f>
        <v>500.0</v>
      </c>
      <c r="D323" s="3">
        <f>ROUND(C323*(1-Settings!$B$2),2)</f>
        <v>350.0</v>
      </c>
      <c r="E323" s="3">
        <f>ROUND(C323*(1-Settings!$B$3),2)</f>
        <v>350.0</v>
      </c>
      <c r="F323" s="2" t="inlineStr">
        <is>
          <t>One Piece</t>
        </is>
      </c>
      <c r="G323" s="2" t="inlineStr">
        <is>
          <t>Pack</t>
        </is>
      </c>
      <c r="H323" s="2" t="inlineStr">
        <is>
          <t>One Piece Promotion Cards</t>
        </is>
      </c>
      <c r="I323" s="3" t="n"/>
      <c r="J323" s="3" t="n">
        <v>50</v>
      </c>
      <c r="K323" s="3" t="n"/>
      <c r="L323" s="3" t="n">
        <v>950</v>
      </c>
      <c r="M323" s="2" t="inlineStr">
        <is>
          <t>TCGplayer</t>
        </is>
      </c>
      <c r="O323" s="4" t="inlineStr">
        <is>
          <t>https://www.tcgplayer.com/product/586031</t>
        </is>
      </c>
    </row>
    <row r="324">
      <c r="A324" s="2" t="inlineStr">
        <is>
          <t>Offline Regional Participation Pack 2025 Vol. 1</t>
        </is>
      </c>
      <c r="B324" s="3">
        <f>IF(I324&lt;&gt;"",I324,IF(J324&lt;&gt;"",J324,IF(K324&lt;&gt;"",K324,L324)))</f>
        <v>41.4</v>
      </c>
      <c r="C324" s="3">
        <f>MEDIAN(I324:L324)</f>
        <v>43.2</v>
      </c>
      <c r="D324" s="3">
        <f>ROUND(C324*(1-Settings!$B$2),2)</f>
        <v>30.24</v>
      </c>
      <c r="E324" s="3">
        <f>ROUND(C324*(1-Settings!$B$3),2)</f>
        <v>30.24</v>
      </c>
      <c r="F324" s="2" t="inlineStr">
        <is>
          <t>One Piece</t>
        </is>
      </c>
      <c r="G324" s="2" t="inlineStr">
        <is>
          <t>Pack</t>
        </is>
      </c>
      <c r="H324" s="2" t="inlineStr">
        <is>
          <t>One Piece Promotion Cards</t>
        </is>
      </c>
      <c r="I324" s="3" t="n"/>
      <c r="J324" s="3" t="n">
        <v>41.4</v>
      </c>
      <c r="K324" s="3" t="n"/>
      <c r="L324" s="3" t="n">
        <v>45</v>
      </c>
      <c r="M324" s="2" t="inlineStr">
        <is>
          <t>TCGplayer</t>
        </is>
      </c>
      <c r="O324" s="4" t="inlineStr">
        <is>
          <t>https://www.tcgplayer.com/product/619192</t>
        </is>
      </c>
    </row>
    <row r="325">
      <c r="A325" s="2" t="inlineStr">
        <is>
          <t>Offline Regional Participation Pack 2025 Vol. 2</t>
        </is>
      </c>
      <c r="B325" s="3">
        <f>IF(I325&lt;&gt;"",I325,IF(J325&lt;&gt;"",J325,IF(K325&lt;&gt;"",K325,L325)))</f>
        <v>42.18</v>
      </c>
      <c r="C325" s="3">
        <f>MEDIAN(I325:L325)</f>
        <v>56.235</v>
      </c>
      <c r="D325" s="3">
        <f>ROUND(C325*(1-Settings!$B$2),2)</f>
        <v>39.36</v>
      </c>
      <c r="E325" s="3">
        <f>ROUND(C325*(1-Settings!$B$3),2)</f>
        <v>39.36</v>
      </c>
      <c r="F325" s="2" t="inlineStr">
        <is>
          <t>One Piece</t>
        </is>
      </c>
      <c r="G325" s="2" t="inlineStr">
        <is>
          <t>Pack</t>
        </is>
      </c>
      <c r="H325" s="2" t="inlineStr">
        <is>
          <t>One Piece Promotion Cards</t>
        </is>
      </c>
      <c r="I325" s="3" t="n"/>
      <c r="J325" s="3" t="n">
        <v>42.18</v>
      </c>
      <c r="K325" s="3" t="n"/>
      <c r="L325" s="3" t="n">
        <v>70.29000000000001</v>
      </c>
      <c r="M325" s="2" t="inlineStr">
        <is>
          <t>TCGplayer</t>
        </is>
      </c>
      <c r="O325" s="4" t="inlineStr">
        <is>
          <t>https://www.tcgplayer.com/product/646715</t>
        </is>
      </c>
    </row>
    <row r="326">
      <c r="A326" s="2" t="inlineStr">
        <is>
          <t>Offline Regional Participation Pack Vol. 2</t>
        </is>
      </c>
      <c r="B326" s="3">
        <f>IF(I326&lt;&gt;"",I326,IF(J326&lt;&gt;"",J326,IF(K326&lt;&gt;"",K326,L326)))</f>
        <v>200.0</v>
      </c>
      <c r="C326" s="3">
        <f>MEDIAN(I326:L326)</f>
        <v>200.0</v>
      </c>
      <c r="D326" s="3">
        <f>ROUND(C326*(1-Settings!$B$2),2)</f>
        <v>140.0</v>
      </c>
      <c r="E326" s="3">
        <f>ROUND(C326*(1-Settings!$B$3),2)</f>
        <v>140.0</v>
      </c>
      <c r="F326" s="2" t="inlineStr">
        <is>
          <t>One Piece</t>
        </is>
      </c>
      <c r="G326" s="2" t="inlineStr">
        <is>
          <t>Pack</t>
        </is>
      </c>
      <c r="H326" s="2" t="inlineStr">
        <is>
          <t>One Piece Promotion Cards</t>
        </is>
      </c>
      <c r="I326" s="3" t="n"/>
      <c r="J326" s="3" t="n"/>
      <c r="K326" s="3" t="n"/>
      <c r="L326" s="3" t="n">
        <v>200</v>
      </c>
      <c r="M326" s="2" t="inlineStr">
        <is>
          <t>TCGplayer</t>
        </is>
      </c>
      <c r="O326" s="4" t="inlineStr">
        <is>
          <t>https://www.tcgplayer.com/product/514200</t>
        </is>
      </c>
    </row>
    <row r="327">
      <c r="A327" s="2" t="inlineStr">
        <is>
          <t>One Piece Film Red Uta Promo Pack</t>
        </is>
      </c>
      <c r="B327" s="3">
        <f>IF(I327&lt;&gt;"",I327,IF(J327&lt;&gt;"",J327,IF(K327&lt;&gt;"",K327,L327)))</f>
        <v>29.77</v>
      </c>
      <c r="C327" s="3">
        <f>MEDIAN(I327:L327)</f>
        <v>29.884999999999998</v>
      </c>
      <c r="D327" s="3">
        <f>ROUND(C327*(1-Settings!$B$2),2)</f>
        <v>20.92</v>
      </c>
      <c r="E327" s="3">
        <f>ROUND(C327*(1-Settings!$B$3),2)</f>
        <v>20.92</v>
      </c>
      <c r="F327" s="2" t="inlineStr">
        <is>
          <t>One Piece</t>
        </is>
      </c>
      <c r="G327" s="2" t="inlineStr">
        <is>
          <t>Pack</t>
        </is>
      </c>
      <c r="H327" s="2" t="inlineStr">
        <is>
          <t>One Piece Promotion Cards</t>
        </is>
      </c>
      <c r="I327" s="3" t="n"/>
      <c r="J327" s="3" t="n">
        <v>29.77</v>
      </c>
      <c r="K327" s="3" t="n"/>
      <c r="L327" s="3" t="n">
        <v>30</v>
      </c>
      <c r="M327" s="2" t="inlineStr">
        <is>
          <t>TCGplayer</t>
        </is>
      </c>
      <c r="O327" s="4" t="inlineStr">
        <is>
          <t>https://www.tcgplayer.com/product/488903</t>
        </is>
      </c>
    </row>
    <row r="328">
      <c r="A328" s="2" t="inlineStr">
        <is>
          <t>Online Regional Participation Pack 2024 Vol. 1</t>
        </is>
      </c>
      <c r="B328" s="3">
        <f>IF(I328&lt;&gt;"",I328,IF(J328&lt;&gt;"",J328,IF(K328&lt;&gt;"",K328,L328)))</f>
        <v>500.0</v>
      </c>
      <c r="C328" s="3">
        <f>MEDIAN(I328:L328)</f>
        <v>500.0</v>
      </c>
      <c r="D328" s="3">
        <f>ROUND(C328*(1-Settings!$B$2),2)</f>
        <v>350.0</v>
      </c>
      <c r="E328" s="3">
        <f>ROUND(C328*(1-Settings!$B$3),2)</f>
        <v>350.0</v>
      </c>
      <c r="F328" s="2" t="inlineStr">
        <is>
          <t>One Piece</t>
        </is>
      </c>
      <c r="G328" s="2" t="inlineStr">
        <is>
          <t>Pack</t>
        </is>
      </c>
      <c r="H328" s="2" t="inlineStr">
        <is>
          <t>One Piece Promotion Cards</t>
        </is>
      </c>
      <c r="I328" s="3" t="n"/>
      <c r="J328" s="3" t="n"/>
      <c r="K328" s="3" t="n"/>
      <c r="L328" s="3" t="n">
        <v>500</v>
      </c>
      <c r="M328" s="2" t="inlineStr">
        <is>
          <t>TCGplayer</t>
        </is>
      </c>
      <c r="O328" s="4" t="inlineStr">
        <is>
          <t>https://www.tcgplayer.com/product/539178</t>
        </is>
      </c>
    </row>
    <row r="329">
      <c r="A329" s="2" t="inlineStr">
        <is>
          <t>Online Regional Participation Pack 2024 Vol. 2</t>
        </is>
      </c>
      <c r="B329" s="3">
        <f>IF(I329&lt;&gt;"",I329,IF(J329&lt;&gt;"",J329,IF(K329&lt;&gt;"",K329,L329)))</f>
        <v>148.99</v>
      </c>
      <c r="C329" s="3">
        <f>MEDIAN(I329:L329)</f>
        <v>148.99</v>
      </c>
      <c r="D329" s="3">
        <f>ROUND(C329*(1-Settings!$B$2),2)</f>
        <v>104.29</v>
      </c>
      <c r="E329" s="3">
        <f>ROUND(C329*(1-Settings!$B$3),2)</f>
        <v>104.29</v>
      </c>
      <c r="F329" s="2" t="inlineStr">
        <is>
          <t>One Piece</t>
        </is>
      </c>
      <c r="G329" s="2" t="inlineStr">
        <is>
          <t>Pack</t>
        </is>
      </c>
      <c r="H329" s="2" t="inlineStr">
        <is>
          <t>One Piece Promotion Cards</t>
        </is>
      </c>
      <c r="I329" s="3" t="n"/>
      <c r="J329" s="3" t="n"/>
      <c r="K329" s="3" t="n"/>
      <c r="L329" s="3" t="n">
        <v>148.99</v>
      </c>
      <c r="M329" s="2" t="inlineStr">
        <is>
          <t>TCGplayer</t>
        </is>
      </c>
      <c r="O329" s="4" t="inlineStr">
        <is>
          <t>https://www.tcgplayer.com/product/544800</t>
        </is>
      </c>
    </row>
    <row r="330">
      <c r="A330" s="2" t="inlineStr">
        <is>
          <t>Online Regional Participation Pack 2024 Vol. 3</t>
        </is>
      </c>
      <c r="B330" s="3">
        <f>IF(I330&lt;&gt;"",I330,IF(J330&lt;&gt;"",J330,IF(K330&lt;&gt;"",K330,L330)))</f>
        <v>169.99</v>
      </c>
      <c r="C330" s="3">
        <f>MEDIAN(I330:L330)</f>
        <v>584.995</v>
      </c>
      <c r="D330" s="3">
        <f>ROUND(C330*(1-Settings!$B$2),2)</f>
        <v>409.5</v>
      </c>
      <c r="E330" s="3">
        <f>ROUND(C330*(1-Settings!$B$3),2)</f>
        <v>409.5</v>
      </c>
      <c r="F330" s="2" t="inlineStr">
        <is>
          <t>One Piece</t>
        </is>
      </c>
      <c r="G330" s="2" t="inlineStr">
        <is>
          <t>Pack</t>
        </is>
      </c>
      <c r="H330" s="2" t="inlineStr">
        <is>
          <t>One Piece Promotion Cards</t>
        </is>
      </c>
      <c r="I330" s="3" t="n"/>
      <c r="J330" s="3" t="n">
        <v>169.99</v>
      </c>
      <c r="K330" s="3" t="n"/>
      <c r="L330" s="3" t="n">
        <v>1000</v>
      </c>
      <c r="M330" s="2" t="inlineStr">
        <is>
          <t>TCGplayer</t>
        </is>
      </c>
      <c r="O330" s="4" t="inlineStr">
        <is>
          <t>https://www.tcgplayer.com/product/585580</t>
        </is>
      </c>
    </row>
    <row r="331">
      <c r="A331" s="2" t="inlineStr">
        <is>
          <t>Online Regional Participation Pack 2025 Vol. 1</t>
        </is>
      </c>
      <c r="B331" s="3">
        <f>IF(I331&lt;&gt;"",I331,IF(J331&lt;&gt;"",J331,IF(K331&lt;&gt;"",K331,L331)))</f>
        <v>149.99</v>
      </c>
      <c r="C331" s="3">
        <f>MEDIAN(I331:L331)</f>
        <v>149.99</v>
      </c>
      <c r="D331" s="3">
        <f>ROUND(C331*(1-Settings!$B$2),2)</f>
        <v>104.99</v>
      </c>
      <c r="E331" s="3">
        <f>ROUND(C331*(1-Settings!$B$3),2)</f>
        <v>104.99</v>
      </c>
      <c r="F331" s="2" t="inlineStr">
        <is>
          <t>One Piece</t>
        </is>
      </c>
      <c r="G331" s="2" t="inlineStr">
        <is>
          <t>Pack</t>
        </is>
      </c>
      <c r="H331" s="2" t="inlineStr">
        <is>
          <t>One Piece Promotion Cards</t>
        </is>
      </c>
      <c r="I331" s="3" t="n"/>
      <c r="J331" s="3" t="n"/>
      <c r="K331" s="3" t="n"/>
      <c r="L331" s="3" t="n">
        <v>149.99</v>
      </c>
      <c r="M331" s="2" t="inlineStr">
        <is>
          <t>TCGplayer</t>
        </is>
      </c>
      <c r="O331" s="4" t="inlineStr">
        <is>
          <t>https://www.tcgplayer.com/product/666567</t>
        </is>
      </c>
    </row>
    <row r="332">
      <c r="A332" s="2" t="inlineStr">
        <is>
          <t>Online Regional Participation Pack 2025 Vol.2</t>
        </is>
      </c>
      <c r="B332" s="3">
        <f>IF(I332&lt;&gt;"",I332,IF(J332&lt;&gt;"",J332,IF(K332&lt;&gt;"",K332,L332)))</f>
        <v>70.0</v>
      </c>
      <c r="C332" s="3">
        <f>MEDIAN(I332:L332)</f>
        <v>134.5</v>
      </c>
      <c r="D332" s="3">
        <f>ROUND(C332*(1-Settings!$B$2),2)</f>
        <v>94.15</v>
      </c>
      <c r="E332" s="3">
        <f>ROUND(C332*(1-Settings!$B$3),2)</f>
        <v>94.15</v>
      </c>
      <c r="F332" s="2" t="inlineStr">
        <is>
          <t>One Piece</t>
        </is>
      </c>
      <c r="G332" s="2" t="inlineStr">
        <is>
          <t>Pack</t>
        </is>
      </c>
      <c r="H332" s="2" t="inlineStr">
        <is>
          <t>One Piece Promotion Cards</t>
        </is>
      </c>
      <c r="I332" s="3" t="n"/>
      <c r="J332" s="3" t="n">
        <v>70</v>
      </c>
      <c r="K332" s="3" t="n"/>
      <c r="L332" s="3" t="n">
        <v>199</v>
      </c>
      <c r="M332" s="2" t="inlineStr">
        <is>
          <t>TCGplayer</t>
        </is>
      </c>
      <c r="O332" s="4" t="inlineStr">
        <is>
          <t>https://www.tcgplayer.com/product/649735</t>
        </is>
      </c>
    </row>
    <row r="333">
      <c r="A333" s="2" t="inlineStr">
        <is>
          <t>Promotion Pack 2022</t>
        </is>
      </c>
      <c r="B333" s="3">
        <f>IF(I333&lt;&gt;"",I333,IF(J333&lt;&gt;"",J333,IF(K333&lt;&gt;"",K333,L333)))</f>
        <v>62.23</v>
      </c>
      <c r="C333" s="3">
        <f>MEDIAN(I333:L333)</f>
        <v>61.114999999999995</v>
      </c>
      <c r="D333" s="3">
        <f>ROUND(C333*(1-Settings!$B$2),2)</f>
        <v>42.78</v>
      </c>
      <c r="E333" s="3">
        <f>ROUND(C333*(1-Settings!$B$3),2)</f>
        <v>42.78</v>
      </c>
      <c r="F333" s="2" t="inlineStr">
        <is>
          <t>One Piece</t>
        </is>
      </c>
      <c r="G333" s="2" t="inlineStr">
        <is>
          <t>Pack</t>
        </is>
      </c>
      <c r="H333" s="2" t="inlineStr">
        <is>
          <t>One Piece Promotion Cards</t>
        </is>
      </c>
      <c r="I333" s="3" t="n"/>
      <c r="J333" s="3" t="n">
        <v>62.23</v>
      </c>
      <c r="K333" s="3" t="n"/>
      <c r="L333" s="3" t="n">
        <v>60</v>
      </c>
      <c r="M333" s="2" t="inlineStr">
        <is>
          <t>TCGplayer</t>
        </is>
      </c>
      <c r="O333" s="4" t="inlineStr">
        <is>
          <t>https://www.tcgplayer.com/product/457043</t>
        </is>
      </c>
    </row>
    <row r="334">
      <c r="A334" s="2" t="inlineStr">
        <is>
          <t>Promotion Pack 2023 Vol. 1</t>
        </is>
      </c>
      <c r="B334" s="3">
        <f>IF(I334&lt;&gt;"",I334,IF(J334&lt;&gt;"",J334,IF(K334&lt;&gt;"",K334,L334)))</f>
        <v>13.86</v>
      </c>
      <c r="C334" s="3">
        <f>MEDIAN(I334:L334)</f>
        <v>11.934999999999999</v>
      </c>
      <c r="D334" s="3">
        <f>ROUND(C334*(1-Settings!$B$2),2)</f>
        <v>8.35</v>
      </c>
      <c r="E334" s="3">
        <f>ROUND(C334*(1-Settings!$B$3),2)</f>
        <v>8.35</v>
      </c>
      <c r="F334" s="2" t="inlineStr">
        <is>
          <t>One Piece</t>
        </is>
      </c>
      <c r="G334" s="2" t="inlineStr">
        <is>
          <t>Pack</t>
        </is>
      </c>
      <c r="H334" s="2" t="inlineStr">
        <is>
          <t>One Piece Promotion Cards</t>
        </is>
      </c>
      <c r="I334" s="3" t="n"/>
      <c r="J334" s="3" t="n">
        <v>13.86</v>
      </c>
      <c r="K334" s="3" t="n"/>
      <c r="L334" s="3" t="n">
        <v>10.01</v>
      </c>
      <c r="M334" s="2" t="inlineStr">
        <is>
          <t>TCGplayer</t>
        </is>
      </c>
      <c r="O334" s="4" t="inlineStr">
        <is>
          <t>https://www.tcgplayer.com/product/483109</t>
        </is>
      </c>
    </row>
    <row r="335">
      <c r="A335" s="2" t="inlineStr">
        <is>
          <t>Round 1 Promotion Pack</t>
        </is>
      </c>
      <c r="B335" s="3">
        <f>IF(I335&lt;&gt;"",I335,IF(J335&lt;&gt;"",J335,IF(K335&lt;&gt;"",K335,L335)))</f>
        <v>22.88</v>
      </c>
      <c r="C335" s="3">
        <f>MEDIAN(I335:L335)</f>
        <v>18.935</v>
      </c>
      <c r="D335" s="3">
        <f>ROUND(C335*(1-Settings!$B$2),2)</f>
        <v>13.25</v>
      </c>
      <c r="E335" s="3">
        <f>ROUND(C335*(1-Settings!$B$3),2)</f>
        <v>13.25</v>
      </c>
      <c r="F335" s="2" t="inlineStr">
        <is>
          <t>One Piece</t>
        </is>
      </c>
      <c r="G335" s="2" t="inlineStr">
        <is>
          <t>Pack</t>
        </is>
      </c>
      <c r="H335" s="2" t="inlineStr">
        <is>
          <t>One Piece Promotion Cards</t>
        </is>
      </c>
      <c r="I335" s="3" t="n"/>
      <c r="J335" s="3" t="n">
        <v>22.88</v>
      </c>
      <c r="K335" s="3" t="n"/>
      <c r="L335" s="3" t="n">
        <v>14.99</v>
      </c>
      <c r="M335" s="2" t="inlineStr">
        <is>
          <t>TCGplayer</t>
        </is>
      </c>
      <c r="O335" s="4" t="inlineStr">
        <is>
          <t>https://www.tcgplayer.com/product/708202</t>
        </is>
      </c>
    </row>
    <row r="336">
      <c r="A336" s="2" t="inlineStr">
        <is>
          <t>ST15 - ST20 Release Event Pack</t>
        </is>
      </c>
      <c r="B336" s="3">
        <f>IF(I336&lt;&gt;"",I336,IF(J336&lt;&gt;"",J336,IF(K336&lt;&gt;"",K336,L336)))</f>
        <v>9.45</v>
      </c>
      <c r="C336" s="3">
        <f>MEDIAN(I336:L336)</f>
        <v>8.715</v>
      </c>
      <c r="D336" s="3">
        <f>ROUND(C336*(1-Settings!$B$2),2)</f>
        <v>6.1</v>
      </c>
      <c r="E336" s="3">
        <f>ROUND(C336*(1-Settings!$B$3),2)</f>
        <v>6.1</v>
      </c>
      <c r="F336" s="2" t="inlineStr">
        <is>
          <t>One Piece</t>
        </is>
      </c>
      <c r="G336" s="2" t="inlineStr">
        <is>
          <t>Pack</t>
        </is>
      </c>
      <c r="H336" s="2" t="inlineStr">
        <is>
          <t>One Piece Promotion Cards</t>
        </is>
      </c>
      <c r="I336" s="3" t="n"/>
      <c r="J336" s="3" t="n">
        <v>9.449999999999999</v>
      </c>
      <c r="K336" s="3" t="n"/>
      <c r="L336" s="3" t="n">
        <v>7.98</v>
      </c>
      <c r="M336" s="2" t="inlineStr">
        <is>
          <t>TCGplayer</t>
        </is>
      </c>
      <c r="O336" s="4" t="inlineStr">
        <is>
          <t>https://www.tcgplayer.com/product/588184</t>
        </is>
      </c>
    </row>
    <row r="337">
      <c r="A337" s="2" t="inlineStr">
        <is>
          <t>Store Championship 2023 Participation Pack Vol.1</t>
        </is>
      </c>
      <c r="B337" s="3">
        <f>IF(I337&lt;&gt;"",I337,IF(J337&lt;&gt;"",J337,IF(K337&lt;&gt;"",K337,L337)))</f>
        <v>149.99</v>
      </c>
      <c r="C337" s="3">
        <f>MEDIAN(I337:L337)</f>
        <v>132.49</v>
      </c>
      <c r="D337" s="3">
        <f>ROUND(C337*(1-Settings!$B$2),2)</f>
        <v>92.74</v>
      </c>
      <c r="E337" s="3">
        <f>ROUND(C337*(1-Settings!$B$3),2)</f>
        <v>92.74</v>
      </c>
      <c r="F337" s="2" t="inlineStr">
        <is>
          <t>One Piece</t>
        </is>
      </c>
      <c r="G337" s="2" t="inlineStr">
        <is>
          <t>Pack</t>
        </is>
      </c>
      <c r="H337" s="2" t="inlineStr">
        <is>
          <t>One Piece Promotion Cards</t>
        </is>
      </c>
      <c r="I337" s="3" t="n"/>
      <c r="J337" s="3" t="n">
        <v>149.99</v>
      </c>
      <c r="K337" s="3" t="n"/>
      <c r="L337" s="3" t="n">
        <v>114.99</v>
      </c>
      <c r="M337" s="2" t="inlineStr">
        <is>
          <t>TCGplayer</t>
        </is>
      </c>
      <c r="O337" s="4" t="inlineStr">
        <is>
          <t>https://www.tcgplayer.com/product/696826</t>
        </is>
      </c>
    </row>
    <row r="338">
      <c r="A338" s="2" t="inlineStr">
        <is>
          <t>Tournament Pack 2024 Oct.-Dec.</t>
        </is>
      </c>
      <c r="B338" s="3">
        <f>IF(I338&lt;&gt;"",I338,IF(J338&lt;&gt;"",J338,IF(K338&lt;&gt;"",K338,L338)))</f>
        <v>2.32</v>
      </c>
      <c r="C338" s="3">
        <f>MEDIAN(I338:L338)</f>
        <v>2.13</v>
      </c>
      <c r="D338" s="3">
        <f>ROUND(C338*(1-Settings!$B$2),2)</f>
        <v>1.49</v>
      </c>
      <c r="E338" s="3">
        <f>ROUND(C338*(1-Settings!$B$3),2)</f>
        <v>1.49</v>
      </c>
      <c r="F338" s="2" t="inlineStr">
        <is>
          <t>One Piece</t>
        </is>
      </c>
      <c r="G338" s="2" t="inlineStr">
        <is>
          <t>Pack</t>
        </is>
      </c>
      <c r="H338" s="2" t="inlineStr">
        <is>
          <t>One Piece Promotion Cards</t>
        </is>
      </c>
      <c r="I338" s="3" t="n"/>
      <c r="J338" s="3" t="n">
        <v>2.32</v>
      </c>
      <c r="K338" s="3" t="n"/>
      <c r="L338" s="3" t="n">
        <v>1.94</v>
      </c>
      <c r="M338" s="2" t="inlineStr">
        <is>
          <t>TCGplayer</t>
        </is>
      </c>
      <c r="O338" s="4" t="inlineStr">
        <is>
          <t>https://www.tcgplayer.com/product/583731</t>
        </is>
      </c>
    </row>
    <row r="339">
      <c r="A339" s="2" t="inlineStr">
        <is>
          <t>Tournament Pack 2025 Vol. 1</t>
        </is>
      </c>
      <c r="B339" s="3">
        <f>IF(I339&lt;&gt;"",I339,IF(J339&lt;&gt;"",J339,IF(K339&lt;&gt;"",K339,L339)))</f>
        <v>1.82</v>
      </c>
      <c r="C339" s="3">
        <f>MEDIAN(I339:L339)</f>
        <v>1.4500000000000002</v>
      </c>
      <c r="D339" s="3">
        <f>ROUND(C339*(1-Settings!$B$2),2)</f>
        <v>1.02</v>
      </c>
      <c r="E339" s="3">
        <f>ROUND(C339*(1-Settings!$B$3),2)</f>
        <v>1.02</v>
      </c>
      <c r="F339" s="2" t="inlineStr">
        <is>
          <t>One Piece</t>
        </is>
      </c>
      <c r="G339" s="2" t="inlineStr">
        <is>
          <t>Pack</t>
        </is>
      </c>
      <c r="H339" s="2" t="inlineStr">
        <is>
          <t>One Piece Promotion Cards</t>
        </is>
      </c>
      <c r="I339" s="3" t="n"/>
      <c r="J339" s="3" t="n">
        <v>1.82</v>
      </c>
      <c r="K339" s="3" t="n"/>
      <c r="L339" s="3" t="n">
        <v>1.08</v>
      </c>
      <c r="M339" s="2" t="inlineStr">
        <is>
          <t>TCGplayer</t>
        </is>
      </c>
      <c r="O339" s="4" t="inlineStr">
        <is>
          <t>https://www.tcgplayer.com/product/609714</t>
        </is>
      </c>
    </row>
    <row r="340">
      <c r="A340" s="2" t="inlineStr">
        <is>
          <t>Tournament Pack 2025 Vol. 2</t>
        </is>
      </c>
      <c r="B340" s="3">
        <f>IF(I340&lt;&gt;"",I340,IF(J340&lt;&gt;"",J340,IF(K340&lt;&gt;"",K340,L340)))</f>
        <v>1.88</v>
      </c>
      <c r="C340" s="3">
        <f>MEDIAN(I340:L340)</f>
        <v>1.4249999999999998</v>
      </c>
      <c r="D340" s="3">
        <f>ROUND(C340*(1-Settings!$B$2),2)</f>
        <v>1.0</v>
      </c>
      <c r="E340" s="3">
        <f>ROUND(C340*(1-Settings!$B$3),2)</f>
        <v>1.0</v>
      </c>
      <c r="F340" s="2" t="inlineStr">
        <is>
          <t>One Piece</t>
        </is>
      </c>
      <c r="G340" s="2" t="inlineStr">
        <is>
          <t>Pack</t>
        </is>
      </c>
      <c r="H340" s="2" t="inlineStr">
        <is>
          <t>One Piece Promotion Cards</t>
        </is>
      </c>
      <c r="I340" s="3" t="n"/>
      <c r="J340" s="3" t="n">
        <v>1.88</v>
      </c>
      <c r="K340" s="3" t="n"/>
      <c r="L340" s="3" t="n">
        <v>0.97</v>
      </c>
      <c r="M340" s="2" t="inlineStr">
        <is>
          <t>TCGplayer</t>
        </is>
      </c>
      <c r="O340" s="4" t="inlineStr">
        <is>
          <t>https://www.tcgplayer.com/product/622589</t>
        </is>
      </c>
    </row>
    <row r="341">
      <c r="A341" s="2" t="inlineStr">
        <is>
          <t>Tournament Pack 2025 Vol. 3</t>
        </is>
      </c>
      <c r="B341" s="3">
        <f>IF(I341&lt;&gt;"",I341,IF(J341&lt;&gt;"",J341,IF(K341&lt;&gt;"",K341,L341)))</f>
        <v>2.09</v>
      </c>
      <c r="C341" s="3">
        <f>MEDIAN(I341:L341)</f>
        <v>1.64</v>
      </c>
      <c r="D341" s="3">
        <f>ROUND(C341*(1-Settings!$B$2),2)</f>
        <v>1.15</v>
      </c>
      <c r="E341" s="3">
        <f>ROUND(C341*(1-Settings!$B$3),2)</f>
        <v>1.15</v>
      </c>
      <c r="F341" s="2" t="inlineStr">
        <is>
          <t>One Piece</t>
        </is>
      </c>
      <c r="G341" s="2" t="inlineStr">
        <is>
          <t>Pack</t>
        </is>
      </c>
      <c r="H341" s="2" t="inlineStr">
        <is>
          <t>One Piece Promotion Cards</t>
        </is>
      </c>
      <c r="I341" s="3" t="n"/>
      <c r="J341" s="3" t="n">
        <v>2.09</v>
      </c>
      <c r="K341" s="3" t="n"/>
      <c r="L341" s="3" t="n">
        <v>1.19</v>
      </c>
      <c r="M341" s="2" t="inlineStr">
        <is>
          <t>TCGplayer</t>
        </is>
      </c>
      <c r="O341" s="4" t="inlineStr">
        <is>
          <t>https://www.tcgplayer.com/product/641169</t>
        </is>
      </c>
    </row>
    <row r="342">
      <c r="A342" s="2" t="inlineStr">
        <is>
          <t>Tournament Pack 2025 Vol. 4</t>
        </is>
      </c>
      <c r="B342" s="3">
        <f>IF(I342&lt;&gt;"",I342,IF(J342&lt;&gt;"",J342,IF(K342&lt;&gt;"",K342,L342)))</f>
        <v>1.74</v>
      </c>
      <c r="C342" s="3">
        <f>MEDIAN(I342:L342)</f>
        <v>1.4649999999999999</v>
      </c>
      <c r="D342" s="3">
        <f>ROUND(C342*(1-Settings!$B$2),2)</f>
        <v>1.03</v>
      </c>
      <c r="E342" s="3">
        <f>ROUND(C342*(1-Settings!$B$3),2)</f>
        <v>1.03</v>
      </c>
      <c r="F342" s="2" t="inlineStr">
        <is>
          <t>One Piece</t>
        </is>
      </c>
      <c r="G342" s="2" t="inlineStr">
        <is>
          <t>Pack</t>
        </is>
      </c>
      <c r="H342" s="2" t="inlineStr">
        <is>
          <t>One Piece Promotion Cards</t>
        </is>
      </c>
      <c r="I342" s="3" t="n"/>
      <c r="J342" s="3" t="n">
        <v>1.74</v>
      </c>
      <c r="K342" s="3" t="n"/>
      <c r="L342" s="3" t="n">
        <v>1.19</v>
      </c>
      <c r="M342" s="2" t="inlineStr">
        <is>
          <t>TCGplayer</t>
        </is>
      </c>
      <c r="O342" s="4" t="inlineStr">
        <is>
          <t>https://www.tcgplayer.com/product/655958</t>
        </is>
      </c>
    </row>
    <row r="343">
      <c r="A343" s="2" t="inlineStr">
        <is>
          <t>Tournament Pack 2026 Vol. 1</t>
        </is>
      </c>
      <c r="B343" s="3">
        <f>IF(I343&lt;&gt;"",I343,IF(J343&lt;&gt;"",J343,IF(K343&lt;&gt;"",K343,L343)))</f>
        <v>2.19</v>
      </c>
      <c r="C343" s="3">
        <f>MEDIAN(I343:L343)</f>
        <v>1.595</v>
      </c>
      <c r="D343" s="3">
        <f>ROUND(C343*(1-Settings!$B$2),2)</f>
        <v>1.12</v>
      </c>
      <c r="E343" s="3">
        <f>ROUND(C343*(1-Settings!$B$3),2)</f>
        <v>1.12</v>
      </c>
      <c r="F343" s="2" t="inlineStr">
        <is>
          <t>One Piece</t>
        </is>
      </c>
      <c r="G343" s="2" t="inlineStr">
        <is>
          <t>Pack</t>
        </is>
      </c>
      <c r="H343" s="2" t="inlineStr">
        <is>
          <t>One Piece Promotion Cards</t>
        </is>
      </c>
      <c r="I343" s="3" t="n"/>
      <c r="J343" s="3" t="n">
        <v>2.19</v>
      </c>
      <c r="K343" s="3" t="n"/>
      <c r="L343" s="3" t="n">
        <v>1</v>
      </c>
      <c r="M343" s="2" t="inlineStr">
        <is>
          <t>TCGplayer</t>
        </is>
      </c>
      <c r="O343" s="4" t="inlineStr">
        <is>
          <t>https://www.tcgplayer.com/product/668163</t>
        </is>
      </c>
    </row>
    <row r="344">
      <c r="A344" s="2" t="inlineStr">
        <is>
          <t>Tournament Pack 2026 Vol. 2</t>
        </is>
      </c>
      <c r="B344" s="3">
        <f>IF(I344&lt;&gt;"",I344,IF(J344&lt;&gt;"",J344,IF(K344&lt;&gt;"",K344,L344)))</f>
        <v>1.9</v>
      </c>
      <c r="C344" s="3">
        <f>MEDIAN(I344:L344)</f>
        <v>1.545</v>
      </c>
      <c r="D344" s="3">
        <f>ROUND(C344*(1-Settings!$B$2),2)</f>
        <v>1.08</v>
      </c>
      <c r="E344" s="3">
        <f>ROUND(C344*(1-Settings!$B$3),2)</f>
        <v>1.08</v>
      </c>
      <c r="F344" s="2" t="inlineStr">
        <is>
          <t>One Piece</t>
        </is>
      </c>
      <c r="G344" s="2" t="inlineStr">
        <is>
          <t>Pack</t>
        </is>
      </c>
      <c r="H344" s="2" t="inlineStr">
        <is>
          <t>One Piece Promotion Cards</t>
        </is>
      </c>
      <c r="I344" s="3" t="n"/>
      <c r="J344" s="3" t="n">
        <v>1.9</v>
      </c>
      <c r="K344" s="3" t="n"/>
      <c r="L344" s="3" t="n">
        <v>1.19</v>
      </c>
      <c r="M344" s="2" t="inlineStr">
        <is>
          <t>TCGplayer</t>
        </is>
      </c>
      <c r="O344" s="4" t="inlineStr">
        <is>
          <t>https://www.tcgplayer.com/product/684308</t>
        </is>
      </c>
    </row>
    <row r="345">
      <c r="A345" s="2" t="inlineStr">
        <is>
          <t>Tournament Pack 2026 Vol. 3</t>
        </is>
      </c>
      <c r="B345" s="3">
        <f>IF(I345&lt;&gt;"",I345,IF(J345&lt;&gt;"",J345,IF(K345&lt;&gt;"",K345,L345)))</f>
        <v>1.33</v>
      </c>
      <c r="C345" s="3">
        <f>MEDIAN(I345:L345)</f>
        <v>1.1600000000000001</v>
      </c>
      <c r="D345" s="3">
        <f>ROUND(C345*(1-Settings!$B$2),2)</f>
        <v>0.81</v>
      </c>
      <c r="E345" s="3">
        <f>ROUND(C345*(1-Settings!$B$3),2)</f>
        <v>0.81</v>
      </c>
      <c r="F345" s="2" t="inlineStr">
        <is>
          <t>One Piece</t>
        </is>
      </c>
      <c r="G345" s="2" t="inlineStr">
        <is>
          <t>Pack</t>
        </is>
      </c>
      <c r="H345" s="2" t="inlineStr">
        <is>
          <t>One Piece Promotion Cards</t>
        </is>
      </c>
      <c r="I345" s="3" t="n"/>
      <c r="J345" s="3" t="n">
        <v>1.33</v>
      </c>
      <c r="K345" s="3" t="n"/>
      <c r="L345" s="3" t="n">
        <v>0.99</v>
      </c>
      <c r="M345" s="2" t="inlineStr">
        <is>
          <t>TCGplayer</t>
        </is>
      </c>
      <c r="O345" s="4" t="inlineStr">
        <is>
          <t>https://www.tcgplayer.com/product/708460</t>
        </is>
      </c>
    </row>
    <row r="346">
      <c r="A346" s="2" t="inlineStr">
        <is>
          <t>Tournament Pack 2026 Vol. 4</t>
        </is>
      </c>
      <c r="B346" s="3">
        <f>IF(I346&lt;&gt;"",I346,IF(J346&lt;&gt;"",J346,IF(K346&lt;&gt;"",K346,L346)))</f>
        <v>2.25</v>
      </c>
      <c r="C346" s="3">
        <f>MEDIAN(I346:L346)</f>
        <v>2.25</v>
      </c>
      <c r="D346" s="3">
        <f>ROUND(C346*(1-Settings!$B$2),2)</f>
        <v>1.58</v>
      </c>
      <c r="E346" s="3">
        <f>ROUND(C346*(1-Settings!$B$3),2)</f>
        <v>1.58</v>
      </c>
      <c r="F346" s="2" t="inlineStr">
        <is>
          <t>One Piece</t>
        </is>
      </c>
      <c r="G346" s="2" t="inlineStr">
        <is>
          <t>Pack</t>
        </is>
      </c>
      <c r="H346" s="2" t="inlineStr">
        <is>
          <t>One Piece Promotion Cards</t>
        </is>
      </c>
      <c r="I346" s="3" t="n"/>
      <c r="J346" s="3" t="n"/>
      <c r="K346" s="3" t="n"/>
      <c r="L346" s="3" t="n">
        <v>2.25</v>
      </c>
      <c r="M346" s="2" t="inlineStr">
        <is>
          <t>TCGplayer</t>
        </is>
      </c>
      <c r="O346" s="4" t="inlineStr">
        <is>
          <t>https://www.tcgplayer.com/product/722628</t>
        </is>
      </c>
    </row>
    <row r="347">
      <c r="A347" s="2" t="inlineStr">
        <is>
          <t>Tournament Pack Vol. 1</t>
        </is>
      </c>
      <c r="B347" s="3">
        <f>IF(I347&lt;&gt;"",I347,IF(J347&lt;&gt;"",J347,IF(K347&lt;&gt;"",K347,L347)))</f>
        <v>16.0</v>
      </c>
      <c r="C347" s="3">
        <f>MEDIAN(I347:L347)</f>
        <v>15.475</v>
      </c>
      <c r="D347" s="3">
        <f>ROUND(C347*(1-Settings!$B$2),2)</f>
        <v>10.83</v>
      </c>
      <c r="E347" s="3">
        <f>ROUND(C347*(1-Settings!$B$3),2)</f>
        <v>10.83</v>
      </c>
      <c r="F347" s="2" t="inlineStr">
        <is>
          <t>One Piece</t>
        </is>
      </c>
      <c r="G347" s="2" t="inlineStr">
        <is>
          <t>Pack</t>
        </is>
      </c>
      <c r="H347" s="2" t="inlineStr">
        <is>
          <t>One Piece Promotion Cards</t>
        </is>
      </c>
      <c r="I347" s="3" t="n"/>
      <c r="J347" s="3" t="n">
        <v>16</v>
      </c>
      <c r="K347" s="3" t="n"/>
      <c r="L347" s="3" t="n">
        <v>14.95</v>
      </c>
      <c r="M347" s="2" t="inlineStr">
        <is>
          <t>TCGplayer</t>
        </is>
      </c>
      <c r="O347" s="4" t="inlineStr">
        <is>
          <t>https://www.tcgplayer.com/product/457013</t>
        </is>
      </c>
    </row>
    <row r="348">
      <c r="A348" s="2" t="inlineStr">
        <is>
          <t>Tournament Pack Vol. 2</t>
        </is>
      </c>
      <c r="B348" s="3">
        <f>IF(I348&lt;&gt;"",I348,IF(J348&lt;&gt;"",J348,IF(K348&lt;&gt;"",K348,L348)))</f>
        <v>5.36</v>
      </c>
      <c r="C348" s="3">
        <f>MEDIAN(I348:L348)</f>
        <v>4.41</v>
      </c>
      <c r="D348" s="3">
        <f>ROUND(C348*(1-Settings!$B$2),2)</f>
        <v>3.09</v>
      </c>
      <c r="E348" s="3">
        <f>ROUND(C348*(1-Settings!$B$3),2)</f>
        <v>3.09</v>
      </c>
      <c r="F348" s="2" t="inlineStr">
        <is>
          <t>One Piece</t>
        </is>
      </c>
      <c r="G348" s="2" t="inlineStr">
        <is>
          <t>Pack</t>
        </is>
      </c>
      <c r="H348" s="2" t="inlineStr">
        <is>
          <t>One Piece Promotion Cards</t>
        </is>
      </c>
      <c r="I348" s="3" t="n"/>
      <c r="J348" s="3" t="n">
        <v>5.36</v>
      </c>
      <c r="K348" s="3" t="n"/>
      <c r="L348" s="3" t="n">
        <v>3.46</v>
      </c>
      <c r="M348" s="2" t="inlineStr">
        <is>
          <t>TCGplayer</t>
        </is>
      </c>
      <c r="O348" s="4" t="inlineStr">
        <is>
          <t>https://www.tcgplayer.com/product/483112</t>
        </is>
      </c>
    </row>
    <row r="349">
      <c r="A349" s="2" t="inlineStr">
        <is>
          <t>Tournament Pack Vol. 3</t>
        </is>
      </c>
      <c r="B349" s="3">
        <f>IF(I349&lt;&gt;"",I349,IF(J349&lt;&gt;"",J349,IF(K349&lt;&gt;"",K349,L349)))</f>
        <v>5.28</v>
      </c>
      <c r="C349" s="3">
        <f>MEDIAN(I349:L349)</f>
        <v>4.390000000000001</v>
      </c>
      <c r="D349" s="3">
        <f>ROUND(C349*(1-Settings!$B$2),2)</f>
        <v>3.07</v>
      </c>
      <c r="E349" s="3">
        <f>ROUND(C349*(1-Settings!$B$3),2)</f>
        <v>3.07</v>
      </c>
      <c r="F349" s="2" t="inlineStr">
        <is>
          <t>One Piece</t>
        </is>
      </c>
      <c r="G349" s="2" t="inlineStr">
        <is>
          <t>Pack</t>
        </is>
      </c>
      <c r="H349" s="2" t="inlineStr">
        <is>
          <t>One Piece Promotion Cards</t>
        </is>
      </c>
      <c r="I349" s="3" t="n"/>
      <c r="J349" s="3" t="n">
        <v>5.28</v>
      </c>
      <c r="K349" s="3" t="n"/>
      <c r="L349" s="3" t="n">
        <v>3.5</v>
      </c>
      <c r="M349" s="2" t="inlineStr">
        <is>
          <t>TCGplayer</t>
        </is>
      </c>
      <c r="O349" s="4" t="inlineStr">
        <is>
          <t>https://www.tcgplayer.com/product/497007</t>
        </is>
      </c>
    </row>
    <row r="350">
      <c r="A350" s="2" t="inlineStr">
        <is>
          <t>Tournament Pack Vol. 4</t>
        </is>
      </c>
      <c r="B350" s="3">
        <f>IF(I350&lt;&gt;"",I350,IF(J350&lt;&gt;"",J350,IF(K350&lt;&gt;"",K350,L350)))</f>
        <v>2.86</v>
      </c>
      <c r="C350" s="3">
        <f>MEDIAN(I350:L350)</f>
        <v>2.03</v>
      </c>
      <c r="D350" s="3">
        <f>ROUND(C350*(1-Settings!$B$2),2)</f>
        <v>1.42</v>
      </c>
      <c r="E350" s="3">
        <f>ROUND(C350*(1-Settings!$B$3),2)</f>
        <v>1.42</v>
      </c>
      <c r="F350" s="2" t="inlineStr">
        <is>
          <t>One Piece</t>
        </is>
      </c>
      <c r="G350" s="2" t="inlineStr">
        <is>
          <t>Pack</t>
        </is>
      </c>
      <c r="H350" s="2" t="inlineStr">
        <is>
          <t>One Piece Promotion Cards</t>
        </is>
      </c>
      <c r="I350" s="3" t="n"/>
      <c r="J350" s="3" t="n">
        <v>2.86</v>
      </c>
      <c r="K350" s="3" t="n"/>
      <c r="L350" s="3" t="n">
        <v>1.2</v>
      </c>
      <c r="M350" s="2" t="inlineStr">
        <is>
          <t>TCGplayer</t>
        </is>
      </c>
      <c r="O350" s="4" t="inlineStr">
        <is>
          <t>https://www.tcgplayer.com/product/503251</t>
        </is>
      </c>
    </row>
    <row r="351">
      <c r="A351" s="2" t="inlineStr">
        <is>
          <t>Tournament Pack Vol. 5</t>
        </is>
      </c>
      <c r="B351" s="3">
        <f>IF(I351&lt;&gt;"",I351,IF(J351&lt;&gt;"",J351,IF(K351&lt;&gt;"",K351,L351)))</f>
        <v>6.5</v>
      </c>
      <c r="C351" s="3">
        <f>MEDIAN(I351:L351)</f>
        <v>4.7</v>
      </c>
      <c r="D351" s="3">
        <f>ROUND(C351*(1-Settings!$B$2),2)</f>
        <v>3.29</v>
      </c>
      <c r="E351" s="3">
        <f>ROUND(C351*(1-Settings!$B$3),2)</f>
        <v>3.29</v>
      </c>
      <c r="F351" s="2" t="inlineStr">
        <is>
          <t>One Piece</t>
        </is>
      </c>
      <c r="G351" s="2" t="inlineStr">
        <is>
          <t>Pack</t>
        </is>
      </c>
      <c r="H351" s="2" t="inlineStr">
        <is>
          <t>One Piece Promotion Cards</t>
        </is>
      </c>
      <c r="I351" s="3" t="n"/>
      <c r="J351" s="3" t="n">
        <v>6.5</v>
      </c>
      <c r="K351" s="3" t="n"/>
      <c r="L351" s="3" t="n">
        <v>2.9</v>
      </c>
      <c r="M351" s="2" t="inlineStr">
        <is>
          <t>TCGplayer</t>
        </is>
      </c>
      <c r="O351" s="4" t="inlineStr">
        <is>
          <t>https://www.tcgplayer.com/product/519829</t>
        </is>
      </c>
    </row>
    <row r="352">
      <c r="A352" s="2" t="inlineStr">
        <is>
          <t>Tournament Pack Vol. 6</t>
        </is>
      </c>
      <c r="B352" s="3">
        <f>IF(I352&lt;&gt;"",I352,IF(J352&lt;&gt;"",J352,IF(K352&lt;&gt;"",K352,L352)))</f>
        <v>2.45</v>
      </c>
      <c r="C352" s="3">
        <f>MEDIAN(I352:L352)</f>
        <v>2.1</v>
      </c>
      <c r="D352" s="3">
        <f>ROUND(C352*(1-Settings!$B$2),2)</f>
        <v>1.47</v>
      </c>
      <c r="E352" s="3">
        <f>ROUND(C352*(1-Settings!$B$3),2)</f>
        <v>1.47</v>
      </c>
      <c r="F352" s="2" t="inlineStr">
        <is>
          <t>One Piece</t>
        </is>
      </c>
      <c r="G352" s="2" t="inlineStr">
        <is>
          <t>Pack</t>
        </is>
      </c>
      <c r="H352" s="2" t="inlineStr">
        <is>
          <t>One Piece Promotion Cards</t>
        </is>
      </c>
      <c r="I352" s="3" t="n"/>
      <c r="J352" s="3" t="n">
        <v>2.45</v>
      </c>
      <c r="K352" s="3" t="n"/>
      <c r="L352" s="3" t="n">
        <v>1.75</v>
      </c>
      <c r="M352" s="2" t="inlineStr">
        <is>
          <t>TCGplayer</t>
        </is>
      </c>
      <c r="O352" s="4" t="inlineStr">
        <is>
          <t>https://www.tcgplayer.com/product/537448</t>
        </is>
      </c>
    </row>
    <row r="353">
      <c r="A353" s="2" t="inlineStr">
        <is>
          <t>Tournament Pack Vol. 7</t>
        </is>
      </c>
      <c r="B353" s="3">
        <f>IF(I353&lt;&gt;"",I353,IF(J353&lt;&gt;"",J353,IF(K353&lt;&gt;"",K353,L353)))</f>
        <v>1.95</v>
      </c>
      <c r="C353" s="3">
        <f>MEDIAN(I353:L353)</f>
        <v>1.7149999999999999</v>
      </c>
      <c r="D353" s="3">
        <f>ROUND(C353*(1-Settings!$B$2),2)</f>
        <v>1.2</v>
      </c>
      <c r="E353" s="3">
        <f>ROUND(C353*(1-Settings!$B$3),2)</f>
        <v>1.2</v>
      </c>
      <c r="F353" s="2" t="inlineStr">
        <is>
          <t>One Piece</t>
        </is>
      </c>
      <c r="G353" s="2" t="inlineStr">
        <is>
          <t>Pack</t>
        </is>
      </c>
      <c r="H353" s="2" t="inlineStr">
        <is>
          <t>One Piece Promotion Cards</t>
        </is>
      </c>
      <c r="I353" s="3" t="n"/>
      <c r="J353" s="3" t="n">
        <v>1.95</v>
      </c>
      <c r="K353" s="3" t="n"/>
      <c r="L353" s="3" t="n">
        <v>1.48</v>
      </c>
      <c r="M353" s="2" t="inlineStr">
        <is>
          <t>TCGplayer</t>
        </is>
      </c>
      <c r="O353" s="4" t="inlineStr">
        <is>
          <t>https://www.tcgplayer.com/product/548440</t>
        </is>
      </c>
    </row>
    <row r="354">
      <c r="A354" s="2" t="inlineStr">
        <is>
          <t>Welcome Pack 2026 Vol.1</t>
        </is>
      </c>
      <c r="B354" s="3">
        <f>IF(I354&lt;&gt;"",I354,IF(J354&lt;&gt;"",J354,IF(K354&lt;&gt;"",K354,L354)))</f>
        <v>4.47</v>
      </c>
      <c r="C354" s="3">
        <f>MEDIAN(I354:L354)</f>
        <v>4.08</v>
      </c>
      <c r="D354" s="3">
        <f>ROUND(C354*(1-Settings!$B$2),2)</f>
        <v>2.86</v>
      </c>
      <c r="E354" s="3">
        <f>ROUND(C354*(1-Settings!$B$3),2)</f>
        <v>2.86</v>
      </c>
      <c r="F354" s="2" t="inlineStr">
        <is>
          <t>One Piece</t>
        </is>
      </c>
      <c r="G354" s="2" t="inlineStr">
        <is>
          <t>Pack</t>
        </is>
      </c>
      <c r="H354" s="2" t="inlineStr">
        <is>
          <t>One Piece Promotion Cards</t>
        </is>
      </c>
      <c r="I354" s="3" t="n"/>
      <c r="J354" s="3" t="n">
        <v>4.47</v>
      </c>
      <c r="K354" s="3" t="n"/>
      <c r="L354" s="3" t="n">
        <v>3.69</v>
      </c>
      <c r="M354" s="2" t="inlineStr">
        <is>
          <t>TCGplayer</t>
        </is>
      </c>
      <c r="O354" s="4" t="inlineStr">
        <is>
          <t>https://www.tcgplayer.com/product/683970</t>
        </is>
      </c>
    </row>
    <row r="355">
      <c r="A355" s="2" t="inlineStr">
        <is>
          <t>Welcome Pack Vol. 1</t>
        </is>
      </c>
      <c r="B355" s="3">
        <f>IF(I355&lt;&gt;"",I355,IF(J355&lt;&gt;"",J355,IF(K355&lt;&gt;"",K355,L355)))</f>
        <v>2.84</v>
      </c>
      <c r="C355" s="3">
        <f>MEDIAN(I355:L355)</f>
        <v>2.42</v>
      </c>
      <c r="D355" s="3">
        <f>ROUND(C355*(1-Settings!$B$2),2)</f>
        <v>1.69</v>
      </c>
      <c r="E355" s="3">
        <f>ROUND(C355*(1-Settings!$B$3),2)</f>
        <v>1.69</v>
      </c>
      <c r="F355" s="2" t="inlineStr">
        <is>
          <t>One Piece</t>
        </is>
      </c>
      <c r="G355" s="2" t="inlineStr">
        <is>
          <t>Pack</t>
        </is>
      </c>
      <c r="H355" s="2" t="inlineStr">
        <is>
          <t>One Piece Promotion Cards</t>
        </is>
      </c>
      <c r="I355" s="3" t="n"/>
      <c r="J355" s="3" t="n">
        <v>2.84</v>
      </c>
      <c r="K355" s="3" t="n"/>
      <c r="L355" s="3" t="n">
        <v>2</v>
      </c>
      <c r="M355" s="2" t="inlineStr">
        <is>
          <t>TCGplayer</t>
        </is>
      </c>
      <c r="O355" s="4" t="inlineStr">
        <is>
          <t>https://www.tcgplayer.com/product/558742</t>
        </is>
      </c>
    </row>
    <row r="356">
      <c r="A356" s="2" t="inlineStr">
        <is>
          <t>Welcome Pack Vol. 2</t>
        </is>
      </c>
      <c r="B356" s="3">
        <f>IF(I356&lt;&gt;"",I356,IF(J356&lt;&gt;"",J356,IF(K356&lt;&gt;"",K356,L356)))</f>
        <v>6.6</v>
      </c>
      <c r="C356" s="3">
        <f>MEDIAN(I356:L356)</f>
        <v>5.14</v>
      </c>
      <c r="D356" s="3">
        <f>ROUND(C356*(1-Settings!$B$2),2)</f>
        <v>3.6</v>
      </c>
      <c r="E356" s="3">
        <f>ROUND(C356*(1-Settings!$B$3),2)</f>
        <v>3.6</v>
      </c>
      <c r="F356" s="2" t="inlineStr">
        <is>
          <t>One Piece</t>
        </is>
      </c>
      <c r="G356" s="2" t="inlineStr">
        <is>
          <t>Pack</t>
        </is>
      </c>
      <c r="H356" s="2" t="inlineStr">
        <is>
          <t>One Piece Promotion Cards</t>
        </is>
      </c>
      <c r="I356" s="3" t="n"/>
      <c r="J356" s="3" t="n">
        <v>6.6</v>
      </c>
      <c r="K356" s="3" t="n"/>
      <c r="L356" s="3" t="n">
        <v>3.68</v>
      </c>
      <c r="M356" s="2" t="inlineStr">
        <is>
          <t>TCGplayer</t>
        </is>
      </c>
      <c r="O356" s="4" t="inlineStr">
        <is>
          <t>https://www.tcgplayer.com/product/653799</t>
        </is>
      </c>
    </row>
    <row r="357">
      <c r="A357" s="2" t="inlineStr">
        <is>
          <t>Winner Pack 2024 Oct.-Dec.</t>
        </is>
      </c>
      <c r="B357" s="3">
        <f>IF(I357&lt;&gt;"",I357,IF(J357&lt;&gt;"",J357,IF(K357&lt;&gt;"",K357,L357)))</f>
        <v>22.83</v>
      </c>
      <c r="C357" s="3">
        <f>MEDIAN(I357:L357)</f>
        <v>23.04</v>
      </c>
      <c r="D357" s="3">
        <f>ROUND(C357*(1-Settings!$B$2),2)</f>
        <v>16.13</v>
      </c>
      <c r="E357" s="3">
        <f>ROUND(C357*(1-Settings!$B$3),2)</f>
        <v>16.13</v>
      </c>
      <c r="F357" s="2" t="inlineStr">
        <is>
          <t>One Piece</t>
        </is>
      </c>
      <c r="G357" s="2" t="inlineStr">
        <is>
          <t>Pack</t>
        </is>
      </c>
      <c r="H357" s="2" t="inlineStr">
        <is>
          <t>One Piece Promotion Cards</t>
        </is>
      </c>
      <c r="I357" s="3" t="n"/>
      <c r="J357" s="3" t="n">
        <v>22.83</v>
      </c>
      <c r="K357" s="3" t="n"/>
      <c r="L357" s="3" t="n">
        <v>23.25</v>
      </c>
      <c r="M357" s="2" t="inlineStr">
        <is>
          <t>TCGplayer</t>
        </is>
      </c>
      <c r="O357" s="4" t="inlineStr">
        <is>
          <t>https://www.tcgplayer.com/product/583732</t>
        </is>
      </c>
    </row>
    <row r="358">
      <c r="A358" s="2" t="inlineStr">
        <is>
          <t>Winner Pack 2025 Vol. 1</t>
        </is>
      </c>
      <c r="B358" s="3">
        <f>IF(I358&lt;&gt;"",I358,IF(J358&lt;&gt;"",J358,IF(K358&lt;&gt;"",K358,L358)))</f>
        <v>20.44</v>
      </c>
      <c r="C358" s="3">
        <f>MEDIAN(I358:L358)</f>
        <v>20.215</v>
      </c>
      <c r="D358" s="3">
        <f>ROUND(C358*(1-Settings!$B$2),2)</f>
        <v>14.15</v>
      </c>
      <c r="E358" s="3">
        <f>ROUND(C358*(1-Settings!$B$3),2)</f>
        <v>14.15</v>
      </c>
      <c r="F358" s="2" t="inlineStr">
        <is>
          <t>One Piece</t>
        </is>
      </c>
      <c r="G358" s="2" t="inlineStr">
        <is>
          <t>Pack</t>
        </is>
      </c>
      <c r="H358" s="2" t="inlineStr">
        <is>
          <t>One Piece Promotion Cards</t>
        </is>
      </c>
      <c r="I358" s="3" t="n"/>
      <c r="J358" s="3" t="n">
        <v>20.44</v>
      </c>
      <c r="K358" s="3" t="n"/>
      <c r="L358" s="3" t="n">
        <v>19.99</v>
      </c>
      <c r="M358" s="2" t="inlineStr">
        <is>
          <t>TCGplayer</t>
        </is>
      </c>
      <c r="O358" s="4" t="inlineStr">
        <is>
          <t>https://www.tcgplayer.com/product/609715</t>
        </is>
      </c>
    </row>
    <row r="359">
      <c r="A359" s="2" t="inlineStr">
        <is>
          <t>Winner Pack 2025 Vol. 2</t>
        </is>
      </c>
      <c r="B359" s="3">
        <f>IF(I359&lt;&gt;"",I359,IF(J359&lt;&gt;"",J359,IF(K359&lt;&gt;"",K359,L359)))</f>
        <v>12.04</v>
      </c>
      <c r="C359" s="3">
        <f>MEDIAN(I359:L359)</f>
        <v>11.315</v>
      </c>
      <c r="D359" s="3">
        <f>ROUND(C359*(1-Settings!$B$2),2)</f>
        <v>7.92</v>
      </c>
      <c r="E359" s="3">
        <f>ROUND(C359*(1-Settings!$B$3),2)</f>
        <v>7.92</v>
      </c>
      <c r="F359" s="2" t="inlineStr">
        <is>
          <t>One Piece</t>
        </is>
      </c>
      <c r="G359" s="2" t="inlineStr">
        <is>
          <t>Pack</t>
        </is>
      </c>
      <c r="H359" s="2" t="inlineStr">
        <is>
          <t>One Piece Promotion Cards</t>
        </is>
      </c>
      <c r="I359" s="3" t="n"/>
      <c r="J359" s="3" t="n">
        <v>12.04</v>
      </c>
      <c r="K359" s="3" t="n"/>
      <c r="L359" s="3" t="n">
        <v>10.59</v>
      </c>
      <c r="M359" s="2" t="inlineStr">
        <is>
          <t>TCGplayer</t>
        </is>
      </c>
      <c r="O359" s="4" t="inlineStr">
        <is>
          <t>https://www.tcgplayer.com/product/622590</t>
        </is>
      </c>
    </row>
    <row r="360">
      <c r="A360" s="2" t="inlineStr">
        <is>
          <t>Winner Pack 2025 Vol. 3</t>
        </is>
      </c>
      <c r="B360" s="3">
        <f>IF(I360&lt;&gt;"",I360,IF(J360&lt;&gt;"",J360,IF(K360&lt;&gt;"",K360,L360)))</f>
        <v>25.89</v>
      </c>
      <c r="C360" s="3">
        <f>MEDIAN(I360:L360)</f>
        <v>23.945</v>
      </c>
      <c r="D360" s="3">
        <f>ROUND(C360*(1-Settings!$B$2),2)</f>
        <v>16.76</v>
      </c>
      <c r="E360" s="3">
        <f>ROUND(C360*(1-Settings!$B$3),2)</f>
        <v>16.76</v>
      </c>
      <c r="F360" s="2" t="inlineStr">
        <is>
          <t>One Piece</t>
        </is>
      </c>
      <c r="G360" s="2" t="inlineStr">
        <is>
          <t>Pack</t>
        </is>
      </c>
      <c r="H360" s="2" t="inlineStr">
        <is>
          <t>One Piece Promotion Cards</t>
        </is>
      </c>
      <c r="I360" s="3" t="n"/>
      <c r="J360" s="3" t="n">
        <v>25.89</v>
      </c>
      <c r="K360" s="3" t="n"/>
      <c r="L360" s="3" t="n">
        <v>22</v>
      </c>
      <c r="M360" s="2" t="inlineStr">
        <is>
          <t>TCGplayer</t>
        </is>
      </c>
      <c r="O360" s="4" t="inlineStr">
        <is>
          <t>https://www.tcgplayer.com/product/641167</t>
        </is>
      </c>
    </row>
    <row r="361">
      <c r="A361" s="2" t="inlineStr">
        <is>
          <t>Winner Pack 2025 Vol. 4</t>
        </is>
      </c>
      <c r="B361" s="3">
        <f>IF(I361&lt;&gt;"",I361,IF(J361&lt;&gt;"",J361,IF(K361&lt;&gt;"",K361,L361)))</f>
        <v>9.02</v>
      </c>
      <c r="C361" s="3">
        <f>MEDIAN(I361:L361)</f>
        <v>8.26</v>
      </c>
      <c r="D361" s="3">
        <f>ROUND(C361*(1-Settings!$B$2),2)</f>
        <v>5.78</v>
      </c>
      <c r="E361" s="3">
        <f>ROUND(C361*(1-Settings!$B$3),2)</f>
        <v>5.78</v>
      </c>
      <c r="F361" s="2" t="inlineStr">
        <is>
          <t>One Piece</t>
        </is>
      </c>
      <c r="G361" s="2" t="inlineStr">
        <is>
          <t>Pack</t>
        </is>
      </c>
      <c r="H361" s="2" t="inlineStr">
        <is>
          <t>One Piece Promotion Cards</t>
        </is>
      </c>
      <c r="I361" s="3" t="n"/>
      <c r="J361" s="3" t="n">
        <v>9.02</v>
      </c>
      <c r="K361" s="3" t="n"/>
      <c r="L361" s="3" t="n">
        <v>7.5</v>
      </c>
      <c r="M361" s="2" t="inlineStr">
        <is>
          <t>TCGplayer</t>
        </is>
      </c>
      <c r="O361" s="4" t="inlineStr">
        <is>
          <t>https://www.tcgplayer.com/product/655959</t>
        </is>
      </c>
    </row>
    <row r="362">
      <c r="A362" s="2" t="inlineStr">
        <is>
          <t>Winner Pack 2026 Vol. 1</t>
        </is>
      </c>
      <c r="B362" s="3">
        <f>IF(I362&lt;&gt;"",I362,IF(J362&lt;&gt;"",J362,IF(K362&lt;&gt;"",K362,L362)))</f>
        <v>8.37</v>
      </c>
      <c r="C362" s="3">
        <f>MEDIAN(I362:L362)</f>
        <v>8.184999999999999</v>
      </c>
      <c r="D362" s="3">
        <f>ROUND(C362*(1-Settings!$B$2),2)</f>
        <v>5.73</v>
      </c>
      <c r="E362" s="3">
        <f>ROUND(C362*(1-Settings!$B$3),2)</f>
        <v>5.73</v>
      </c>
      <c r="F362" s="2" t="inlineStr">
        <is>
          <t>One Piece</t>
        </is>
      </c>
      <c r="G362" s="2" t="inlineStr">
        <is>
          <t>Pack</t>
        </is>
      </c>
      <c r="H362" s="2" t="inlineStr">
        <is>
          <t>One Piece Promotion Cards</t>
        </is>
      </c>
      <c r="I362" s="3" t="n"/>
      <c r="J362" s="3" t="n">
        <v>8.369999999999999</v>
      </c>
      <c r="K362" s="3" t="n"/>
      <c r="L362" s="3" t="n">
        <v>8</v>
      </c>
      <c r="M362" s="2" t="inlineStr">
        <is>
          <t>TCGplayer</t>
        </is>
      </c>
      <c r="O362" s="4" t="inlineStr">
        <is>
          <t>https://www.tcgplayer.com/product/668184</t>
        </is>
      </c>
    </row>
    <row r="363">
      <c r="A363" s="2" t="inlineStr">
        <is>
          <t>Winner Pack 2026 Vol. 2</t>
        </is>
      </c>
      <c r="B363" s="3">
        <f>IF(I363&lt;&gt;"",I363,IF(J363&lt;&gt;"",J363,IF(K363&lt;&gt;"",K363,L363)))</f>
        <v>36.77</v>
      </c>
      <c r="C363" s="3">
        <f>MEDIAN(I363:L363)</f>
        <v>25.990000000000002</v>
      </c>
      <c r="D363" s="3">
        <f>ROUND(C363*(1-Settings!$B$2),2)</f>
        <v>18.19</v>
      </c>
      <c r="E363" s="3">
        <f>ROUND(C363*(1-Settings!$B$3),2)</f>
        <v>18.19</v>
      </c>
      <c r="F363" s="2" t="inlineStr">
        <is>
          <t>One Piece</t>
        </is>
      </c>
      <c r="G363" s="2" t="inlineStr">
        <is>
          <t>Pack</t>
        </is>
      </c>
      <c r="H363" s="2" t="inlineStr">
        <is>
          <t>One Piece Promotion Cards</t>
        </is>
      </c>
      <c r="I363" s="3" t="n"/>
      <c r="J363" s="3" t="n">
        <v>36.77</v>
      </c>
      <c r="K363" s="3" t="n"/>
      <c r="L363" s="3" t="n">
        <v>15.21</v>
      </c>
      <c r="M363" s="2" t="inlineStr">
        <is>
          <t>TCGplayer</t>
        </is>
      </c>
      <c r="O363" s="4" t="inlineStr">
        <is>
          <t>https://www.tcgplayer.com/product/684301</t>
        </is>
      </c>
    </row>
    <row r="364">
      <c r="A364" s="2" t="inlineStr">
        <is>
          <t>Winner Pack 2026 Vol. 3</t>
        </is>
      </c>
      <c r="B364" s="3">
        <f>IF(I364&lt;&gt;"",I364,IF(J364&lt;&gt;"",J364,IF(K364&lt;&gt;"",K364,L364)))</f>
        <v>19.14</v>
      </c>
      <c r="C364" s="3">
        <f>MEDIAN(I364:L364)</f>
        <v>15.065000000000001</v>
      </c>
      <c r="D364" s="3">
        <f>ROUND(C364*(1-Settings!$B$2),2)</f>
        <v>10.55</v>
      </c>
      <c r="E364" s="3">
        <f>ROUND(C364*(1-Settings!$B$3),2)</f>
        <v>10.55</v>
      </c>
      <c r="F364" s="2" t="inlineStr">
        <is>
          <t>One Piece</t>
        </is>
      </c>
      <c r="G364" s="2" t="inlineStr">
        <is>
          <t>Pack</t>
        </is>
      </c>
      <c r="H364" s="2" t="inlineStr">
        <is>
          <t>One Piece Promotion Cards</t>
        </is>
      </c>
      <c r="I364" s="3" t="n"/>
      <c r="J364" s="3" t="n">
        <v>19.14</v>
      </c>
      <c r="K364" s="3" t="n"/>
      <c r="L364" s="3" t="n">
        <v>10.99</v>
      </c>
      <c r="M364" s="2" t="inlineStr">
        <is>
          <t>TCGplayer</t>
        </is>
      </c>
      <c r="O364" s="4" t="inlineStr">
        <is>
          <t>https://www.tcgplayer.com/product/708461</t>
        </is>
      </c>
    </row>
    <row r="365">
      <c r="A365" s="2" t="inlineStr">
        <is>
          <t>Winner Pack 2026 Vol. 4</t>
        </is>
      </c>
      <c r="B365" s="3">
        <f>IF(I365&lt;&gt;"",I365,IF(J365&lt;&gt;"",J365,IF(K365&lt;&gt;"",K365,L365)))</f>
        <v>39.95</v>
      </c>
      <c r="C365" s="3">
        <f>MEDIAN(I365:L365)</f>
        <v>34.975</v>
      </c>
      <c r="D365" s="3">
        <f>ROUND(C365*(1-Settings!$B$2),2)</f>
        <v>24.48</v>
      </c>
      <c r="E365" s="3">
        <f>ROUND(C365*(1-Settings!$B$3),2)</f>
        <v>24.48</v>
      </c>
      <c r="F365" s="2" t="inlineStr">
        <is>
          <t>One Piece</t>
        </is>
      </c>
      <c r="G365" s="2" t="inlineStr">
        <is>
          <t>Pack</t>
        </is>
      </c>
      <c r="H365" s="2" t="inlineStr">
        <is>
          <t>One Piece Promotion Cards</t>
        </is>
      </c>
      <c r="I365" s="3" t="n"/>
      <c r="J365" s="3" t="n">
        <v>39.95</v>
      </c>
      <c r="K365" s="3" t="n"/>
      <c r="L365" s="3" t="n">
        <v>30</v>
      </c>
      <c r="M365" s="2" t="inlineStr">
        <is>
          <t>TCGplayer</t>
        </is>
      </c>
      <c r="O365" s="4" t="inlineStr">
        <is>
          <t>https://www.tcgplayer.com/product/722629</t>
        </is>
      </c>
    </row>
    <row r="366">
      <c r="A366" s="2" t="inlineStr">
        <is>
          <t>Winner Pack Vol. 1</t>
        </is>
      </c>
      <c r="B366" s="3">
        <f>IF(I366&lt;&gt;"",I366,IF(J366&lt;&gt;"",J366,IF(K366&lt;&gt;"",K366,L366)))</f>
        <v>103.79</v>
      </c>
      <c r="C366" s="3">
        <f>MEDIAN(I366:L366)</f>
        <v>126.89000000000001</v>
      </c>
      <c r="D366" s="3">
        <f>ROUND(C366*(1-Settings!$B$2),2)</f>
        <v>88.82</v>
      </c>
      <c r="E366" s="3">
        <f>ROUND(C366*(1-Settings!$B$3),2)</f>
        <v>88.82</v>
      </c>
      <c r="F366" s="2" t="inlineStr">
        <is>
          <t>One Piece</t>
        </is>
      </c>
      <c r="G366" s="2" t="inlineStr">
        <is>
          <t>Pack</t>
        </is>
      </c>
      <c r="H366" s="2" t="inlineStr">
        <is>
          <t>One Piece Promotion Cards</t>
        </is>
      </c>
      <c r="I366" s="3" t="n"/>
      <c r="J366" s="3" t="n">
        <v>103.79</v>
      </c>
      <c r="K366" s="3" t="n"/>
      <c r="L366" s="3" t="n">
        <v>149.99</v>
      </c>
      <c r="M366" s="2" t="inlineStr">
        <is>
          <t>TCGplayer</t>
        </is>
      </c>
      <c r="O366" s="4" t="inlineStr">
        <is>
          <t>https://www.tcgplayer.com/product/457017</t>
        </is>
      </c>
    </row>
    <row r="367">
      <c r="A367" s="2" t="inlineStr">
        <is>
          <t>Winner Pack Vol. 2</t>
        </is>
      </c>
      <c r="B367" s="3">
        <f>IF(I367&lt;&gt;"",I367,IF(J367&lt;&gt;"",J367,IF(K367&lt;&gt;"",K367,L367)))</f>
        <v>27.22</v>
      </c>
      <c r="C367" s="3">
        <f>MEDIAN(I367:L367)</f>
        <v>24.61</v>
      </c>
      <c r="D367" s="3">
        <f>ROUND(C367*(1-Settings!$B$2),2)</f>
        <v>17.23</v>
      </c>
      <c r="E367" s="3">
        <f>ROUND(C367*(1-Settings!$B$3),2)</f>
        <v>17.23</v>
      </c>
      <c r="F367" s="2" t="inlineStr">
        <is>
          <t>One Piece</t>
        </is>
      </c>
      <c r="G367" s="2" t="inlineStr">
        <is>
          <t>Pack</t>
        </is>
      </c>
      <c r="H367" s="2" t="inlineStr">
        <is>
          <t>One Piece Promotion Cards</t>
        </is>
      </c>
      <c r="I367" s="3" t="n"/>
      <c r="J367" s="3" t="n">
        <v>27.22</v>
      </c>
      <c r="K367" s="3" t="n"/>
      <c r="L367" s="3" t="n">
        <v>22</v>
      </c>
      <c r="M367" s="2" t="inlineStr">
        <is>
          <t>TCGplayer</t>
        </is>
      </c>
      <c r="O367" s="4" t="inlineStr">
        <is>
          <t>https://www.tcgplayer.com/product/483164</t>
        </is>
      </c>
    </row>
    <row r="368">
      <c r="A368" s="2" t="inlineStr">
        <is>
          <t>Winner Pack Vol. 3</t>
        </is>
      </c>
      <c r="B368" s="3">
        <f>IF(I368&lt;&gt;"",I368,IF(J368&lt;&gt;"",J368,IF(K368&lt;&gt;"",K368,L368)))</f>
        <v>89.16</v>
      </c>
      <c r="C368" s="3">
        <f>MEDIAN(I368:L368)</f>
        <v>84.58</v>
      </c>
      <c r="D368" s="3">
        <f>ROUND(C368*(1-Settings!$B$2),2)</f>
        <v>59.21</v>
      </c>
      <c r="E368" s="3">
        <f>ROUND(C368*(1-Settings!$B$3),2)</f>
        <v>59.21</v>
      </c>
      <c r="F368" s="2" t="inlineStr">
        <is>
          <t>One Piece</t>
        </is>
      </c>
      <c r="G368" s="2" t="inlineStr">
        <is>
          <t>Pack</t>
        </is>
      </c>
      <c r="H368" s="2" t="inlineStr">
        <is>
          <t>One Piece Promotion Cards</t>
        </is>
      </c>
      <c r="I368" s="3" t="n"/>
      <c r="J368" s="3" t="n">
        <v>89.16</v>
      </c>
      <c r="K368" s="3" t="n"/>
      <c r="L368" s="3" t="n">
        <v>80</v>
      </c>
      <c r="M368" s="2" t="inlineStr">
        <is>
          <t>TCGplayer</t>
        </is>
      </c>
      <c r="O368" s="4" t="inlineStr">
        <is>
          <t>https://www.tcgplayer.com/product/497008</t>
        </is>
      </c>
    </row>
    <row r="369">
      <c r="A369" s="2" t="inlineStr">
        <is>
          <t>Winner Pack Vol. 5</t>
        </is>
      </c>
      <c r="B369" s="3">
        <f>IF(I369&lt;&gt;"",I369,IF(J369&lt;&gt;"",J369,IF(K369&lt;&gt;"",K369,L369)))</f>
        <v>45.06</v>
      </c>
      <c r="C369" s="3">
        <f>MEDIAN(I369:L369)</f>
        <v>47.44</v>
      </c>
      <c r="D369" s="3">
        <f>ROUND(C369*(1-Settings!$B$2),2)</f>
        <v>33.21</v>
      </c>
      <c r="E369" s="3">
        <f>ROUND(C369*(1-Settings!$B$3),2)</f>
        <v>33.21</v>
      </c>
      <c r="F369" s="2" t="inlineStr">
        <is>
          <t>One Piece</t>
        </is>
      </c>
      <c r="G369" s="2" t="inlineStr">
        <is>
          <t>Pack</t>
        </is>
      </c>
      <c r="H369" s="2" t="inlineStr">
        <is>
          <t>One Piece Promotion Cards</t>
        </is>
      </c>
      <c r="I369" s="3" t="n"/>
      <c r="J369" s="3" t="n">
        <v>45.06</v>
      </c>
      <c r="K369" s="3" t="n"/>
      <c r="L369" s="3" t="n">
        <v>49.82</v>
      </c>
      <c r="M369" s="2" t="inlineStr">
        <is>
          <t>TCGplayer</t>
        </is>
      </c>
      <c r="O369" s="4" t="inlineStr">
        <is>
          <t>https://www.tcgplayer.com/product/519831</t>
        </is>
      </c>
    </row>
    <row r="370">
      <c r="A370" s="2" t="inlineStr">
        <is>
          <t>Winner Pack Vol. 6</t>
        </is>
      </c>
      <c r="B370" s="3">
        <f>IF(I370&lt;&gt;"",I370,IF(J370&lt;&gt;"",J370,IF(K370&lt;&gt;"",K370,L370)))</f>
        <v>16.1</v>
      </c>
      <c r="C370" s="3">
        <f>MEDIAN(I370:L370)</f>
        <v>16.0</v>
      </c>
      <c r="D370" s="3">
        <f>ROUND(C370*(1-Settings!$B$2),2)</f>
        <v>11.2</v>
      </c>
      <c r="E370" s="3">
        <f>ROUND(C370*(1-Settings!$B$3),2)</f>
        <v>11.2</v>
      </c>
      <c r="F370" s="2" t="inlineStr">
        <is>
          <t>One Piece</t>
        </is>
      </c>
      <c r="G370" s="2" t="inlineStr">
        <is>
          <t>Pack</t>
        </is>
      </c>
      <c r="H370" s="2" t="inlineStr">
        <is>
          <t>One Piece Promotion Cards</t>
        </is>
      </c>
      <c r="I370" s="3" t="n"/>
      <c r="J370" s="3" t="n">
        <v>16.1</v>
      </c>
      <c r="K370" s="3" t="n"/>
      <c r="L370" s="3" t="n">
        <v>15.9</v>
      </c>
      <c r="M370" s="2" t="inlineStr">
        <is>
          <t>TCGplayer</t>
        </is>
      </c>
      <c r="O370" s="4" t="inlineStr">
        <is>
          <t>https://www.tcgplayer.com/product/537449</t>
        </is>
      </c>
    </row>
    <row r="371">
      <c r="A371" s="2" t="inlineStr">
        <is>
          <t>Winner Pack Vol. 7</t>
        </is>
      </c>
      <c r="B371" s="3">
        <f>IF(I371&lt;&gt;"",I371,IF(J371&lt;&gt;"",J371,IF(K371&lt;&gt;"",K371,L371)))</f>
        <v>11.84</v>
      </c>
      <c r="C371" s="3">
        <f>MEDIAN(I371:L371)</f>
        <v>11.385</v>
      </c>
      <c r="D371" s="3">
        <f>ROUND(C371*(1-Settings!$B$2),2)</f>
        <v>7.97</v>
      </c>
      <c r="E371" s="3">
        <f>ROUND(C371*(1-Settings!$B$3),2)</f>
        <v>7.97</v>
      </c>
      <c r="F371" s="2" t="inlineStr">
        <is>
          <t>One Piece</t>
        </is>
      </c>
      <c r="G371" s="2" t="inlineStr">
        <is>
          <t>Pack</t>
        </is>
      </c>
      <c r="H371" s="2" t="inlineStr">
        <is>
          <t>One Piece Promotion Cards</t>
        </is>
      </c>
      <c r="I371" s="3" t="n"/>
      <c r="J371" s="3" t="n">
        <v>11.84</v>
      </c>
      <c r="K371" s="3" t="n"/>
      <c r="L371" s="3" t="n">
        <v>10.93</v>
      </c>
      <c r="M371" s="2" t="inlineStr">
        <is>
          <t>TCGplayer</t>
        </is>
      </c>
      <c r="O371" s="4" t="inlineStr">
        <is>
          <t>https://www.tcgplayer.com/product/548441</t>
        </is>
      </c>
    </row>
    <row r="372">
      <c r="A372" s="2" t="inlineStr">
        <is>
          <t>Paramount War - Booster Pack</t>
        </is>
      </c>
      <c r="B372" s="3">
        <f>IF(I372&lt;&gt;"",I372,IF(J372&lt;&gt;"",J372,IF(K372&lt;&gt;"",K372,L372)))</f>
        <v>32.55</v>
      </c>
      <c r="C372" s="3">
        <f>MEDIAN(I372:L372)</f>
        <v>26.15</v>
      </c>
      <c r="D372" s="3">
        <f>ROUND(C372*(1-Settings!$B$2),2)</f>
        <v>18.31</v>
      </c>
      <c r="E372" s="3">
        <f>ROUND(C372*(1-Settings!$B$3),2)</f>
        <v>18.31</v>
      </c>
      <c r="F372" s="2" t="inlineStr">
        <is>
          <t>One Piece</t>
        </is>
      </c>
      <c r="G372" s="2" t="inlineStr">
        <is>
          <t>Pack</t>
        </is>
      </c>
      <c r="H372" s="2" t="inlineStr">
        <is>
          <t>Paramount War</t>
        </is>
      </c>
      <c r="I372" s="3" t="n">
        <v>32.55</v>
      </c>
      <c r="J372" s="3" t="n">
        <v>26.15</v>
      </c>
      <c r="K372" s="3" t="n"/>
      <c r="L372" s="3" t="n">
        <v>24.99</v>
      </c>
      <c r="M372" s="2" t="inlineStr">
        <is>
          <t>PriceCharting + TCGplayer</t>
        </is>
      </c>
      <c r="N372" s="4" t="inlineStr">
        <is>
          <t>https://www.pricecharting.com/game/one-piece-paramount-war/booster-pack</t>
        </is>
      </c>
      <c r="O372" s="4" t="inlineStr">
        <is>
          <t>https://www.tcgplayer.com/product/455865</t>
        </is>
      </c>
    </row>
    <row r="373">
      <c r="A373" s="2" t="inlineStr">
        <is>
          <t>Paramount War - Sleeved Booster Pack</t>
        </is>
      </c>
      <c r="B373" s="3">
        <f>IF(I373&lt;&gt;"",I373,IF(J373&lt;&gt;"",J373,IF(K373&lt;&gt;"",K373,L373)))</f>
        <v>32.53</v>
      </c>
      <c r="C373" s="3">
        <f>MEDIAN(I373:L373)</f>
        <v>32.53</v>
      </c>
      <c r="D373" s="3">
        <f>ROUND(C373*(1-Settings!$B$2),2)</f>
        <v>22.77</v>
      </c>
      <c r="E373" s="3">
        <f>ROUND(C373*(1-Settings!$B$3),2)</f>
        <v>22.77</v>
      </c>
      <c r="F373" s="2" t="inlineStr">
        <is>
          <t>One Piece</t>
        </is>
      </c>
      <c r="G373" s="2" t="inlineStr">
        <is>
          <t>Pack</t>
        </is>
      </c>
      <c r="H373" s="2" t="inlineStr">
        <is>
          <t>Paramount War</t>
        </is>
      </c>
      <c r="I373" s="3" t="n">
        <v>32.53</v>
      </c>
      <c r="J373" s="3" t="n">
        <v>31.86</v>
      </c>
      <c r="K373" s="3" t="n"/>
      <c r="L373" s="3" t="n">
        <v>33.17</v>
      </c>
      <c r="M373" s="2" t="inlineStr">
        <is>
          <t>PriceCharting + TCGplayer</t>
        </is>
      </c>
      <c r="N373" s="4" t="inlineStr">
        <is>
          <t>https://www.pricecharting.com/game/one-piece-paramount-war/sleeved-booster-pack</t>
        </is>
      </c>
      <c r="O373" s="4" t="inlineStr">
        <is>
          <t>https://www.tcgplayer.com/product/531775</t>
        </is>
      </c>
    </row>
    <row r="374">
      <c r="A374" s="2" t="inlineStr">
        <is>
          <t>Paramount War Pre-Release Pack</t>
        </is>
      </c>
      <c r="B374" s="3">
        <f>IF(I374&lt;&gt;"",I374,IF(J374&lt;&gt;"",J374,IF(K374&lt;&gt;"",K374,L374)))</f>
        <v>19.03</v>
      </c>
      <c r="C374" s="3">
        <f>MEDIAN(I374:L374)</f>
        <v>19.03</v>
      </c>
      <c r="D374" s="3">
        <f>ROUND(C374*(1-Settings!$B$2),2)</f>
        <v>13.32</v>
      </c>
      <c r="E374" s="3">
        <f>ROUND(C374*(1-Settings!$B$3),2)</f>
        <v>13.32</v>
      </c>
      <c r="F374" s="2" t="inlineStr">
        <is>
          <t>One Piece</t>
        </is>
      </c>
      <c r="G374" s="2" t="inlineStr">
        <is>
          <t>Pack</t>
        </is>
      </c>
      <c r="H374" s="2" t="inlineStr">
        <is>
          <t>Paramount War</t>
        </is>
      </c>
      <c r="I374" s="3" t="n">
        <v>19.03</v>
      </c>
      <c r="J374" s="3" t="n"/>
      <c r="K374" s="3" t="n"/>
      <c r="L374" s="3" t="n"/>
      <c r="M374" s="2" t="inlineStr">
        <is>
          <t>PriceCharting</t>
        </is>
      </c>
      <c r="N374" s="4" t="inlineStr">
        <is>
          <t>https://www.pricecharting.com/game/one-piece-paramount-war/paramount-war-pre-release-pack</t>
        </is>
      </c>
    </row>
    <row r="375">
      <c r="A375" s="2" t="inlineStr">
        <is>
          <t>Revision Pack</t>
        </is>
      </c>
      <c r="B375" s="3">
        <f>IF(I375&lt;&gt;"",I375,IF(J375&lt;&gt;"",J375,IF(K375&lt;&gt;"",K375,L375)))</f>
        <v>8.79</v>
      </c>
      <c r="C375" s="3">
        <f>MEDIAN(I375:L375)</f>
        <v>8.79</v>
      </c>
      <c r="D375" s="3">
        <f>ROUND(C375*(1-Settings!$B$2),2)</f>
        <v>6.15</v>
      </c>
      <c r="E375" s="3">
        <f>ROUND(C375*(1-Settings!$B$3),2)</f>
        <v>6.15</v>
      </c>
      <c r="F375" s="2" t="inlineStr">
        <is>
          <t>One Piece</t>
        </is>
      </c>
      <c r="G375" s="2" t="inlineStr">
        <is>
          <t>Pack</t>
        </is>
      </c>
      <c r="H375" s="2" t="inlineStr">
        <is>
          <t>Paramount War</t>
        </is>
      </c>
      <c r="I375" s="3" t="n">
        <v>8.789999999999999</v>
      </c>
      <c r="J375" s="3" t="n">
        <v>8.92</v>
      </c>
      <c r="K375" s="3" t="n"/>
      <c r="L375" s="3" t="n">
        <v>3</v>
      </c>
      <c r="M375" s="2" t="inlineStr">
        <is>
          <t>PriceCharting + TCGplayer</t>
        </is>
      </c>
      <c r="N375" s="4" t="inlineStr">
        <is>
          <t>https://www.pricecharting.com/game/one-piece-paramount-war/revision-pack</t>
        </is>
      </c>
      <c r="O375" s="4" t="inlineStr">
        <is>
          <t>https://www.tcgplayer.com/product/487126</t>
        </is>
      </c>
    </row>
    <row r="376">
      <c r="A376" s="2" t="inlineStr">
        <is>
          <t>Paramount War - Pre-Release Pack</t>
        </is>
      </c>
      <c r="B376" s="3">
        <f>IF(I376&lt;&gt;"",I376,IF(J376&lt;&gt;"",J376,IF(K376&lt;&gt;"",K376,L376)))</f>
        <v>50.43</v>
      </c>
      <c r="C376" s="3">
        <f>MEDIAN(I376:L376)</f>
        <v>44.715</v>
      </c>
      <c r="D376" s="3">
        <f>ROUND(C376*(1-Settings!$B$2),2)</f>
        <v>31.3</v>
      </c>
      <c r="E376" s="3">
        <f>ROUND(C376*(1-Settings!$B$3),2)</f>
        <v>31.3</v>
      </c>
      <c r="F376" s="2" t="inlineStr">
        <is>
          <t>One Piece</t>
        </is>
      </c>
      <c r="G376" s="2" t="inlineStr">
        <is>
          <t>Pack</t>
        </is>
      </c>
      <c r="H376" s="2" t="inlineStr">
        <is>
          <t>Paramount War Pre-Release Cards</t>
        </is>
      </c>
      <c r="I376" s="3" t="n"/>
      <c r="J376" s="3" t="n">
        <v>50.43</v>
      </c>
      <c r="K376" s="3" t="n"/>
      <c r="L376" s="3" t="n">
        <v>39</v>
      </c>
      <c r="M376" s="2" t="inlineStr">
        <is>
          <t>TCGplayer</t>
        </is>
      </c>
      <c r="O376" s="4" t="inlineStr">
        <is>
          <t>https://www.tcgplayer.com/product/482217</t>
        </is>
      </c>
    </row>
    <row r="377">
      <c r="A377" s="2" t="inlineStr">
        <is>
          <t>Pillars of Strength - Booster Pack</t>
        </is>
      </c>
      <c r="B377" s="3">
        <f>IF(I377&lt;&gt;"",I377,IF(J377&lt;&gt;"",J377,IF(K377&lt;&gt;"",K377,L377)))</f>
        <v>35.33</v>
      </c>
      <c r="C377" s="3">
        <f>MEDIAN(I377:L377)</f>
        <v>13.86</v>
      </c>
      <c r="D377" s="3">
        <f>ROUND(C377*(1-Settings!$B$2),2)</f>
        <v>9.7</v>
      </c>
      <c r="E377" s="3">
        <f>ROUND(C377*(1-Settings!$B$3),2)</f>
        <v>9.7</v>
      </c>
      <c r="F377" s="2" t="inlineStr">
        <is>
          <t>One Piece</t>
        </is>
      </c>
      <c r="G377" s="2" t="inlineStr">
        <is>
          <t>Pack</t>
        </is>
      </c>
      <c r="H377" s="2" t="inlineStr">
        <is>
          <t>Pillars of Strength</t>
        </is>
      </c>
      <c r="I377" s="3" t="n">
        <v>35.33</v>
      </c>
      <c r="J377" s="3" t="n">
        <v>13.86</v>
      </c>
      <c r="K377" s="3" t="n"/>
      <c r="L377" s="3" t="n">
        <v>9.99</v>
      </c>
      <c r="M377" s="2" t="inlineStr">
        <is>
          <t>PriceCharting + TCGplayer</t>
        </is>
      </c>
      <c r="N377" s="4" t="inlineStr">
        <is>
          <t>https://www.pricecharting.com/game/one-piece-pillars-of-strength/booster-pack</t>
        </is>
      </c>
      <c r="O377" s="4" t="inlineStr">
        <is>
          <t>https://www.tcgplayer.com/product/477175</t>
        </is>
      </c>
    </row>
    <row r="378">
      <c r="A378" s="2" t="inlineStr">
        <is>
          <t>Pillars of Strength - Sleeved Booster Pack</t>
        </is>
      </c>
      <c r="B378" s="3">
        <f>IF(I378&lt;&gt;"",I378,IF(J378&lt;&gt;"",J378,IF(K378&lt;&gt;"",K378,L378)))</f>
        <v>35.33</v>
      </c>
      <c r="C378" s="3">
        <f>MEDIAN(I378:L378)</f>
        <v>38.54</v>
      </c>
      <c r="D378" s="3">
        <f>ROUND(C378*(1-Settings!$B$2),2)</f>
        <v>26.98</v>
      </c>
      <c r="E378" s="3">
        <f>ROUND(C378*(1-Settings!$B$3),2)</f>
        <v>26.98</v>
      </c>
      <c r="F378" s="2" t="inlineStr">
        <is>
          <t>One Piece</t>
        </is>
      </c>
      <c r="G378" s="2" t="inlineStr">
        <is>
          <t>Pack</t>
        </is>
      </c>
      <c r="H378" s="2" t="inlineStr">
        <is>
          <t>Pillars of Strength</t>
        </is>
      </c>
      <c r="I378" s="3" t="n">
        <v>35.33</v>
      </c>
      <c r="J378" s="3" t="n">
        <v>38.54</v>
      </c>
      <c r="K378" s="3" t="n"/>
      <c r="L378" s="3" t="n">
        <v>49.97</v>
      </c>
      <c r="M378" s="2" t="inlineStr">
        <is>
          <t>PriceCharting + TCGplayer</t>
        </is>
      </c>
      <c r="N378" s="4" t="inlineStr">
        <is>
          <t>https://www.pricecharting.com/game/one-piece-pillars-of-strength/sleeved-booster-pack</t>
        </is>
      </c>
      <c r="O378" s="4" t="inlineStr">
        <is>
          <t>https://www.tcgplayer.com/product/531776</t>
        </is>
      </c>
    </row>
    <row r="379">
      <c r="A379" s="2" t="inlineStr">
        <is>
          <t>Pillars of Strength Pre-Release Pack</t>
        </is>
      </c>
      <c r="B379" s="3">
        <f>IF(I379&lt;&gt;"",I379,IF(J379&lt;&gt;"",J379,IF(K379&lt;&gt;"",K379,L379)))</f>
        <v>44.74</v>
      </c>
      <c r="C379" s="3">
        <f>MEDIAN(I379:L379)</f>
        <v>44.74</v>
      </c>
      <c r="D379" s="3">
        <f>ROUND(C379*(1-Settings!$B$2),2)</f>
        <v>31.32</v>
      </c>
      <c r="E379" s="3">
        <f>ROUND(C379*(1-Settings!$B$3),2)</f>
        <v>31.32</v>
      </c>
      <c r="F379" s="2" t="inlineStr">
        <is>
          <t>One Piece</t>
        </is>
      </c>
      <c r="G379" s="2" t="inlineStr">
        <is>
          <t>Pack</t>
        </is>
      </c>
      <c r="H379" s="2" t="inlineStr">
        <is>
          <t>Pillars Of Strength</t>
        </is>
      </c>
      <c r="I379" s="3" t="n">
        <v>44.74</v>
      </c>
      <c r="J379" s="3" t="n"/>
      <c r="K379" s="3" t="n"/>
      <c r="L379" s="3" t="n"/>
      <c r="M379" s="2" t="inlineStr">
        <is>
          <t>PriceCharting</t>
        </is>
      </c>
      <c r="N379" s="4" t="inlineStr">
        <is>
          <t>https://www.pricecharting.com/game/one-piece-pillars-of-strength/pillars-of-strength-pre-release-pack</t>
        </is>
      </c>
    </row>
    <row r="380">
      <c r="A380" s="2" t="inlineStr">
        <is>
          <t>Pillars of Strength - Pre-Release Pack</t>
        </is>
      </c>
      <c r="B380" s="3">
        <f>IF(I380&lt;&gt;"",I380,IF(J380&lt;&gt;"",J380,IF(K380&lt;&gt;"",K380,L380)))</f>
        <v>19.18</v>
      </c>
      <c r="C380" s="3">
        <f>MEDIAN(I380:L380)</f>
        <v>17.58</v>
      </c>
      <c r="D380" s="3">
        <f>ROUND(C380*(1-Settings!$B$2),2)</f>
        <v>12.31</v>
      </c>
      <c r="E380" s="3">
        <f>ROUND(C380*(1-Settings!$B$3),2)</f>
        <v>12.31</v>
      </c>
      <c r="F380" s="2" t="inlineStr">
        <is>
          <t>One Piece</t>
        </is>
      </c>
      <c r="G380" s="2" t="inlineStr">
        <is>
          <t>Pack</t>
        </is>
      </c>
      <c r="H380" s="2" t="inlineStr">
        <is>
          <t>Pillars of Strength Pre-Release Cards</t>
        </is>
      </c>
      <c r="I380" s="3" t="n"/>
      <c r="J380" s="3" t="n">
        <v>19.18</v>
      </c>
      <c r="K380" s="3" t="n"/>
      <c r="L380" s="3" t="n">
        <v>15.98</v>
      </c>
      <c r="M380" s="2" t="inlineStr">
        <is>
          <t>TCGplayer</t>
        </is>
      </c>
      <c r="O380" s="4" t="inlineStr">
        <is>
          <t>https://www.tcgplayer.com/product/502624</t>
        </is>
      </c>
    </row>
    <row r="381">
      <c r="A381" s="2" t="inlineStr">
        <is>
          <t>Premium Booster Pack [PRB01]</t>
        </is>
      </c>
      <c r="B381" s="3">
        <f>IF(I381&lt;&gt;"",I381,IF(J381&lt;&gt;"",J381,IF(K381&lt;&gt;"",K381,L381)))</f>
        <v>33.59</v>
      </c>
      <c r="C381" s="3">
        <f>MEDIAN(I381:L381)</f>
        <v>33.59</v>
      </c>
      <c r="D381" s="3">
        <f>ROUND(C381*(1-Settings!$B$2),2)</f>
        <v>23.51</v>
      </c>
      <c r="E381" s="3">
        <f>ROUND(C381*(1-Settings!$B$3),2)</f>
        <v>23.51</v>
      </c>
      <c r="F381" s="2" t="inlineStr">
        <is>
          <t>One Piece</t>
        </is>
      </c>
      <c r="G381" s="2" t="inlineStr">
        <is>
          <t>Pack</t>
        </is>
      </c>
      <c r="H381" s="2" t="inlineStr">
        <is>
          <t>Premium Booster</t>
        </is>
      </c>
      <c r="I381" s="3" t="n">
        <v>33.59</v>
      </c>
      <c r="J381" s="3" t="n"/>
      <c r="K381" s="3" t="n"/>
      <c r="L381" s="3" t="n"/>
      <c r="M381" s="2" t="inlineStr">
        <is>
          <t>PriceCharting</t>
        </is>
      </c>
      <c r="N381" s="4" t="inlineStr">
        <is>
          <t>https://www.pricecharting.com/game/one-piece-premium-booster/premium-booster-pack-prb01</t>
        </is>
      </c>
    </row>
    <row r="382">
      <c r="A382" s="2" t="inlineStr">
        <is>
          <t>Premium Booster Sleeved Booster Pack</t>
        </is>
      </c>
      <c r="B382" s="3">
        <f>IF(I382&lt;&gt;"",I382,IF(J382&lt;&gt;"",J382,IF(K382&lt;&gt;"",K382,L382)))</f>
        <v>54.94</v>
      </c>
      <c r="C382" s="3">
        <f>MEDIAN(I382:L382)</f>
        <v>54.94</v>
      </c>
      <c r="D382" s="3">
        <f>ROUND(C382*(1-Settings!$B$2),2)</f>
        <v>38.46</v>
      </c>
      <c r="E382" s="3">
        <f>ROUND(C382*(1-Settings!$B$3),2)</f>
        <v>38.46</v>
      </c>
      <c r="F382" s="2" t="inlineStr">
        <is>
          <t>One Piece</t>
        </is>
      </c>
      <c r="G382" s="2" t="inlineStr">
        <is>
          <t>Pack</t>
        </is>
      </c>
      <c r="H382" s="2" t="inlineStr">
        <is>
          <t>Premium Booster</t>
        </is>
      </c>
      <c r="I382" s="3" t="n">
        <v>54.94</v>
      </c>
      <c r="J382" s="3" t="n"/>
      <c r="K382" s="3" t="n"/>
      <c r="L382" s="3" t="n"/>
      <c r="M382" s="2" t="inlineStr">
        <is>
          <t>PriceCharting</t>
        </is>
      </c>
      <c r="N382" s="4" t="inlineStr">
        <is>
          <t>https://www.pricecharting.com/game/one-piece-premium-booster/sleeved-booster-pack</t>
        </is>
      </c>
    </row>
    <row r="383">
      <c r="A383" s="2" t="inlineStr">
        <is>
          <t>Premium Booster - Booster Pack</t>
        </is>
      </c>
      <c r="B383" s="3">
        <f>IF(I383&lt;&gt;"",I383,IF(J383&lt;&gt;"",J383,IF(K383&lt;&gt;"",K383,L383)))</f>
        <v>32.63</v>
      </c>
      <c r="C383" s="3">
        <f>MEDIAN(I383:L383)</f>
        <v>23.815</v>
      </c>
      <c r="D383" s="3">
        <f>ROUND(C383*(1-Settings!$B$2),2)</f>
        <v>16.67</v>
      </c>
      <c r="E383" s="3">
        <f>ROUND(C383*(1-Settings!$B$3),2)</f>
        <v>16.67</v>
      </c>
      <c r="F383" s="2" t="inlineStr">
        <is>
          <t>One Piece</t>
        </is>
      </c>
      <c r="G383" s="2" t="inlineStr">
        <is>
          <t>Pack</t>
        </is>
      </c>
      <c r="H383" s="2" t="inlineStr">
        <is>
          <t>Premium Booster -The Best-</t>
        </is>
      </c>
      <c r="I383" s="3" t="n"/>
      <c r="J383" s="3" t="n">
        <v>32.63</v>
      </c>
      <c r="K383" s="3" t="n"/>
      <c r="L383" s="3" t="n">
        <v>15</v>
      </c>
      <c r="M383" s="2" t="inlineStr">
        <is>
          <t>TCGplayer</t>
        </is>
      </c>
      <c r="O383" s="4" t="inlineStr">
        <is>
          <t>https://www.tcgplayer.com/product/545398</t>
        </is>
      </c>
    </row>
    <row r="384">
      <c r="A384" s="2" t="inlineStr">
        <is>
          <t>Premium Booster - Sleeved Booster Pack</t>
        </is>
      </c>
      <c r="B384" s="3">
        <f>IF(I384&lt;&gt;"",I384,IF(J384&lt;&gt;"",J384,IF(K384&lt;&gt;"",K384,L384)))</f>
        <v>56.72</v>
      </c>
      <c r="C384" s="3">
        <f>MEDIAN(I384:L384)</f>
        <v>60.355000000000004</v>
      </c>
      <c r="D384" s="3">
        <f>ROUND(C384*(1-Settings!$B$2),2)</f>
        <v>42.25</v>
      </c>
      <c r="E384" s="3">
        <f>ROUND(C384*(1-Settings!$B$3),2)</f>
        <v>42.25</v>
      </c>
      <c r="F384" s="2" t="inlineStr">
        <is>
          <t>One Piece</t>
        </is>
      </c>
      <c r="G384" s="2" t="inlineStr">
        <is>
          <t>Pack</t>
        </is>
      </c>
      <c r="H384" s="2" t="inlineStr">
        <is>
          <t>Premium Booster -The Best-</t>
        </is>
      </c>
      <c r="I384" s="3" t="n"/>
      <c r="J384" s="3" t="n">
        <v>56.72</v>
      </c>
      <c r="K384" s="3" t="n"/>
      <c r="L384" s="3" t="n">
        <v>63.99</v>
      </c>
      <c r="M384" s="2" t="inlineStr">
        <is>
          <t>TCGplayer</t>
        </is>
      </c>
      <c r="O384" s="4" t="inlineStr">
        <is>
          <t>https://www.tcgplayer.com/product/622980</t>
        </is>
      </c>
    </row>
    <row r="385">
      <c r="A385" s="2" t="inlineStr">
        <is>
          <t>Premium Booster Vol. 2 - Booster Pack</t>
        </is>
      </c>
      <c r="B385" s="3">
        <f>IF(I385&lt;&gt;"",I385,IF(J385&lt;&gt;"",J385,IF(K385&lt;&gt;"",K385,L385)))</f>
        <v>13.2</v>
      </c>
      <c r="C385" s="3">
        <f>MEDIAN(I385:L385)</f>
        <v>10.504999999999999</v>
      </c>
      <c r="D385" s="3">
        <f>ROUND(C385*(1-Settings!$B$2),2)</f>
        <v>7.35</v>
      </c>
      <c r="E385" s="3">
        <f>ROUND(C385*(1-Settings!$B$3),2)</f>
        <v>7.35</v>
      </c>
      <c r="F385" s="2" t="inlineStr">
        <is>
          <t>One Piece</t>
        </is>
      </c>
      <c r="G385" s="2" t="inlineStr">
        <is>
          <t>Pack</t>
        </is>
      </c>
      <c r="H385" s="2" t="inlineStr">
        <is>
          <t>Premium Booster -The Best- Vol. 2</t>
        </is>
      </c>
      <c r="I385" s="3" t="n"/>
      <c r="J385" s="3" t="n">
        <v>13.2</v>
      </c>
      <c r="K385" s="3" t="n"/>
      <c r="L385" s="3" t="n">
        <v>7.81</v>
      </c>
      <c r="M385" s="2" t="inlineStr">
        <is>
          <t>TCGplayer</t>
        </is>
      </c>
      <c r="O385" s="4" t="inlineStr">
        <is>
          <t>https://www.tcgplayer.com/product/628451</t>
        </is>
      </c>
    </row>
    <row r="386">
      <c r="A386" s="2" t="inlineStr">
        <is>
          <t>Premium Booster Vol. 2 - Sleeved Booster Pack</t>
        </is>
      </c>
      <c r="B386" s="3">
        <f>IF(I386&lt;&gt;"",I386,IF(J386&lt;&gt;"",J386,IF(K386&lt;&gt;"",K386,L386)))</f>
        <v>27.01</v>
      </c>
      <c r="C386" s="3">
        <f>MEDIAN(I386:L386)</f>
        <v>26.905</v>
      </c>
      <c r="D386" s="3">
        <f>ROUND(C386*(1-Settings!$B$2),2)</f>
        <v>18.83</v>
      </c>
      <c r="E386" s="3">
        <f>ROUND(C386*(1-Settings!$B$3),2)</f>
        <v>18.83</v>
      </c>
      <c r="F386" s="2" t="inlineStr">
        <is>
          <t>One Piece</t>
        </is>
      </c>
      <c r="G386" s="2" t="inlineStr">
        <is>
          <t>Pack</t>
        </is>
      </c>
      <c r="H386" s="2" t="inlineStr">
        <is>
          <t>Premium Booster -The Best- Vol. 2</t>
        </is>
      </c>
      <c r="I386" s="3" t="n"/>
      <c r="J386" s="3" t="n">
        <v>27.01</v>
      </c>
      <c r="K386" s="3" t="n"/>
      <c r="L386" s="3" t="n">
        <v>26.8</v>
      </c>
      <c r="M386" s="2" t="inlineStr">
        <is>
          <t>TCGplayer</t>
        </is>
      </c>
      <c r="O386" s="4" t="inlineStr">
        <is>
          <t>https://www.tcgplayer.com/product/657211</t>
        </is>
      </c>
    </row>
    <row r="387">
      <c r="A387" s="2" t="inlineStr">
        <is>
          <t>Premium Booster 2 Booster Pack</t>
        </is>
      </c>
      <c r="B387" s="3">
        <f>IF(I387&lt;&gt;"",I387,IF(J387&lt;&gt;"",J387,IF(K387&lt;&gt;"",K387,L387)))</f>
        <v>26.8</v>
      </c>
      <c r="C387" s="3">
        <f>MEDIAN(I387:L387)</f>
        <v>26.8</v>
      </c>
      <c r="D387" s="3">
        <f>ROUND(C387*(1-Settings!$B$2),2)</f>
        <v>18.76</v>
      </c>
      <c r="E387" s="3">
        <f>ROUND(C387*(1-Settings!$B$3),2)</f>
        <v>18.76</v>
      </c>
      <c r="F387" s="2" t="inlineStr">
        <is>
          <t>One Piece</t>
        </is>
      </c>
      <c r="G387" s="2" t="inlineStr">
        <is>
          <t>Pack</t>
        </is>
      </c>
      <c r="H387" s="2" t="inlineStr">
        <is>
          <t>Premium Booster 2</t>
        </is>
      </c>
      <c r="I387" s="3" t="n">
        <v>26.8</v>
      </c>
      <c r="J387" s="3" t="n"/>
      <c r="K387" s="3" t="n"/>
      <c r="L387" s="3" t="n"/>
      <c r="M387" s="2" t="inlineStr">
        <is>
          <t>PriceCharting</t>
        </is>
      </c>
      <c r="N387" s="4" t="inlineStr">
        <is>
          <t>https://www.pricecharting.com/game/one-piece-premium-booster-2/booster-pack</t>
        </is>
      </c>
    </row>
    <row r="388">
      <c r="A388" s="2" t="inlineStr">
        <is>
          <t>Premium Booster 2 Sleeved Booster Pack</t>
        </is>
      </c>
      <c r="B388" s="3">
        <f>IF(I388&lt;&gt;"",I388,IF(J388&lt;&gt;"",J388,IF(K388&lt;&gt;"",K388,L388)))</f>
        <v>26.82</v>
      </c>
      <c r="C388" s="3">
        <f>MEDIAN(I388:L388)</f>
        <v>26.82</v>
      </c>
      <c r="D388" s="3">
        <f>ROUND(C388*(1-Settings!$B$2),2)</f>
        <v>18.77</v>
      </c>
      <c r="E388" s="3">
        <f>ROUND(C388*(1-Settings!$B$3),2)</f>
        <v>18.77</v>
      </c>
      <c r="F388" s="2" t="inlineStr">
        <is>
          <t>One Piece</t>
        </is>
      </c>
      <c r="G388" s="2" t="inlineStr">
        <is>
          <t>Pack</t>
        </is>
      </c>
      <c r="H388" s="2" t="inlineStr">
        <is>
          <t>Premium Booster 2</t>
        </is>
      </c>
      <c r="I388" s="3" t="n">
        <v>26.82</v>
      </c>
      <c r="J388" s="3" t="n"/>
      <c r="K388" s="3" t="n"/>
      <c r="L388" s="3" t="n"/>
      <c r="M388" s="2" t="inlineStr">
        <is>
          <t>PriceCharting</t>
        </is>
      </c>
      <c r="N388" s="4" t="inlineStr">
        <is>
          <t>https://www.pricecharting.com/game/one-piece-premium-booster-2/sleeved-booster-pack</t>
        </is>
      </c>
    </row>
    <row r="389">
      <c r="A389" s="2" t="inlineStr">
        <is>
          <t>Promo Double Pack [DP-07]</t>
        </is>
      </c>
      <c r="B389" s="3">
        <f>IF(I389&lt;&gt;"",I389,IF(J389&lt;&gt;"",J389,IF(K389&lt;&gt;"",K389,L389)))</f>
        <v>73.64</v>
      </c>
      <c r="C389" s="3">
        <f>MEDIAN(I389:L389)</f>
        <v>73.64</v>
      </c>
      <c r="D389" s="3">
        <f>ROUND(C389*(1-Settings!$B$2),2)</f>
        <v>51.55</v>
      </c>
      <c r="E389" s="3">
        <f>ROUND(C389*(1-Settings!$B$3),2)</f>
        <v>51.55</v>
      </c>
      <c r="F389" s="2" t="inlineStr">
        <is>
          <t>One Piece</t>
        </is>
      </c>
      <c r="G389" s="2" t="inlineStr">
        <is>
          <t>Pack</t>
        </is>
      </c>
      <c r="H389" s="2" t="inlineStr">
        <is>
          <t>Promo</t>
        </is>
      </c>
      <c r="I389" s="3" t="n">
        <v>73.64</v>
      </c>
      <c r="J389" s="3" t="n"/>
      <c r="K389" s="3" t="n"/>
      <c r="L389" s="3" t="n"/>
      <c r="M389" s="2" t="inlineStr">
        <is>
          <t>PriceCharting</t>
        </is>
      </c>
      <c r="N389" s="4" t="inlineStr">
        <is>
          <t>https://www.pricecharting.com/game/one-piece-promo/double-pack-dp-07</t>
        </is>
      </c>
    </row>
    <row r="390">
      <c r="A390" s="2" t="inlineStr">
        <is>
          <t>Promo Monkey.D.Luffy 3rd Anniversary Winner Sealed Pack</t>
        </is>
      </c>
      <c r="B390" s="3">
        <f>IF(I390&lt;&gt;"",I390,IF(J390&lt;&gt;"",J390,IF(K390&lt;&gt;"",K390,L390)))</f>
        <v>109.45</v>
      </c>
      <c r="C390" s="3">
        <f>MEDIAN(I390:L390)</f>
        <v>109.45</v>
      </c>
      <c r="D390" s="3">
        <f>ROUND(C390*(1-Settings!$B$2),2)</f>
        <v>76.62</v>
      </c>
      <c r="E390" s="3">
        <f>ROUND(C390*(1-Settings!$B$3),2)</f>
        <v>76.62</v>
      </c>
      <c r="F390" s="2" t="inlineStr">
        <is>
          <t>One Piece</t>
        </is>
      </c>
      <c r="G390" s="2" t="inlineStr">
        <is>
          <t>Pack</t>
        </is>
      </c>
      <c r="H390" s="2" t="inlineStr">
        <is>
          <t>Promo</t>
        </is>
      </c>
      <c r="I390" s="3" t="n">
        <v>109.45</v>
      </c>
      <c r="J390" s="3" t="n"/>
      <c r="K390" s="3" t="n"/>
      <c r="L390" s="3" t="n"/>
      <c r="M390" s="2" t="inlineStr">
        <is>
          <t>PriceCharting</t>
        </is>
      </c>
      <c r="N390" s="4" t="inlineStr">
        <is>
          <t>https://www.pricecharting.com/game/one-piece-promo/monkeydluffy-3rd-anniversary-winner-sealed-pack</t>
        </is>
      </c>
    </row>
    <row r="391">
      <c r="A391" s="2" t="inlineStr">
        <is>
          <t>Promo Sealed Event Pack Vol. 1</t>
        </is>
      </c>
      <c r="B391" s="3">
        <f>IF(I391&lt;&gt;"",I391,IF(J391&lt;&gt;"",J391,IF(K391&lt;&gt;"",K391,L391)))</f>
        <v>43.47</v>
      </c>
      <c r="C391" s="3">
        <f>MEDIAN(I391:L391)</f>
        <v>43.47</v>
      </c>
      <c r="D391" s="3">
        <f>ROUND(C391*(1-Settings!$B$2),2)</f>
        <v>30.43</v>
      </c>
      <c r="E391" s="3">
        <f>ROUND(C391*(1-Settings!$B$3),2)</f>
        <v>30.43</v>
      </c>
      <c r="F391" s="2" t="inlineStr">
        <is>
          <t>One Piece</t>
        </is>
      </c>
      <c r="G391" s="2" t="inlineStr">
        <is>
          <t>Pack</t>
        </is>
      </c>
      <c r="H391" s="2" t="inlineStr">
        <is>
          <t>Promo</t>
        </is>
      </c>
      <c r="I391" s="3" t="n">
        <v>43.47</v>
      </c>
      <c r="J391" s="3" t="n"/>
      <c r="K391" s="3" t="n"/>
      <c r="L391" s="3" t="n"/>
      <c r="M391" s="2" t="inlineStr">
        <is>
          <t>PriceCharting</t>
        </is>
      </c>
      <c r="N391" s="4" t="inlineStr">
        <is>
          <t>https://www.pricecharting.com/game/one-piece-promo/sealed-event-pack-vol-1</t>
        </is>
      </c>
    </row>
    <row r="392">
      <c r="A392" s="2" t="inlineStr">
        <is>
          <t>Promo Sealed Event Pack Vol. 2</t>
        </is>
      </c>
      <c r="B392" s="3">
        <f>IF(I392&lt;&gt;"",I392,IF(J392&lt;&gt;"",J392,IF(K392&lt;&gt;"",K392,L392)))</f>
        <v>22.44</v>
      </c>
      <c r="C392" s="3">
        <f>MEDIAN(I392:L392)</f>
        <v>22.44</v>
      </c>
      <c r="D392" s="3">
        <f>ROUND(C392*(1-Settings!$B$2),2)</f>
        <v>15.71</v>
      </c>
      <c r="E392" s="3">
        <f>ROUND(C392*(1-Settings!$B$3),2)</f>
        <v>15.71</v>
      </c>
      <c r="F392" s="2" t="inlineStr">
        <is>
          <t>One Piece</t>
        </is>
      </c>
      <c r="G392" s="2" t="inlineStr">
        <is>
          <t>Pack</t>
        </is>
      </c>
      <c r="H392" s="2" t="inlineStr">
        <is>
          <t>Promo</t>
        </is>
      </c>
      <c r="I392" s="3" t="n">
        <v>22.44</v>
      </c>
      <c r="J392" s="3" t="n"/>
      <c r="K392" s="3" t="n"/>
      <c r="L392" s="3" t="n"/>
      <c r="M392" s="2" t="inlineStr">
        <is>
          <t>PriceCharting</t>
        </is>
      </c>
      <c r="N392" s="4" t="inlineStr">
        <is>
          <t>https://www.pricecharting.com/game/one-piece-promo/sealed-event-pack-vol-2</t>
        </is>
      </c>
    </row>
    <row r="393">
      <c r="A393" s="2" t="inlineStr">
        <is>
          <t>Promo Sealed Event Pack Vol. 5</t>
        </is>
      </c>
      <c r="B393" s="3">
        <f>IF(I393&lt;&gt;"",I393,IF(J393&lt;&gt;"",J393,IF(K393&lt;&gt;"",K393,L393)))</f>
        <v>55.98</v>
      </c>
      <c r="C393" s="3">
        <f>MEDIAN(I393:L393)</f>
        <v>55.98</v>
      </c>
      <c r="D393" s="3">
        <f>ROUND(C393*(1-Settings!$B$2),2)</f>
        <v>39.19</v>
      </c>
      <c r="E393" s="3">
        <f>ROUND(C393*(1-Settings!$B$3),2)</f>
        <v>39.19</v>
      </c>
      <c r="F393" s="2" t="inlineStr">
        <is>
          <t>One Piece</t>
        </is>
      </c>
      <c r="G393" s="2" t="inlineStr">
        <is>
          <t>Pack</t>
        </is>
      </c>
      <c r="H393" s="2" t="inlineStr">
        <is>
          <t>Promo</t>
        </is>
      </c>
      <c r="I393" s="3" t="n">
        <v>55.98</v>
      </c>
      <c r="J393" s="3" t="n"/>
      <c r="K393" s="3" t="n"/>
      <c r="L393" s="3" t="n"/>
      <c r="M393" s="2" t="inlineStr">
        <is>
          <t>PriceCharting</t>
        </is>
      </c>
      <c r="N393" s="4" t="inlineStr">
        <is>
          <t>https://www.pricecharting.com/game/one-piece-promo/sealed-event-pack-vol-5</t>
        </is>
      </c>
    </row>
    <row r="394">
      <c r="A394" s="2" t="inlineStr">
        <is>
          <t>Promo Sealed Film Red Uta Promo Pack</t>
        </is>
      </c>
      <c r="B394" s="3">
        <f>IF(I394&lt;&gt;"",I394,IF(J394&lt;&gt;"",J394,IF(K394&lt;&gt;"",K394,L394)))</f>
        <v>26.49</v>
      </c>
      <c r="C394" s="3">
        <f>MEDIAN(I394:L394)</f>
        <v>26.49</v>
      </c>
      <c r="D394" s="3">
        <f>ROUND(C394*(1-Settings!$B$2),2)</f>
        <v>18.54</v>
      </c>
      <c r="E394" s="3">
        <f>ROUND(C394*(1-Settings!$B$3),2)</f>
        <v>18.54</v>
      </c>
      <c r="F394" s="2" t="inlineStr">
        <is>
          <t>One Piece</t>
        </is>
      </c>
      <c r="G394" s="2" t="inlineStr">
        <is>
          <t>Pack</t>
        </is>
      </c>
      <c r="H394" s="2" t="inlineStr">
        <is>
          <t>Promo</t>
        </is>
      </c>
      <c r="I394" s="3" t="n">
        <v>26.49</v>
      </c>
      <c r="J394" s="3" t="n"/>
      <c r="K394" s="3" t="n"/>
      <c r="L394" s="3" t="n"/>
      <c r="M394" s="2" t="inlineStr">
        <is>
          <t>PriceCharting</t>
        </is>
      </c>
      <c r="N394" s="4" t="inlineStr">
        <is>
          <t>https://www.pricecharting.com/game/one-piece-promo/sealed-film-red-uta-promo-pack</t>
        </is>
      </c>
    </row>
    <row r="395">
      <c r="A395" s="2" t="inlineStr">
        <is>
          <t>Promo Sealed Judge Pack Vol. 1</t>
        </is>
      </c>
      <c r="B395" s="3">
        <f>IF(I395&lt;&gt;"",I395,IF(J395&lt;&gt;"",J395,IF(K395&lt;&gt;"",K395,L395)))</f>
        <v>9.04</v>
      </c>
      <c r="C395" s="3">
        <f>MEDIAN(I395:L395)</f>
        <v>9.04</v>
      </c>
      <c r="D395" s="3">
        <f>ROUND(C395*(1-Settings!$B$2),2)</f>
        <v>6.33</v>
      </c>
      <c r="E395" s="3">
        <f>ROUND(C395*(1-Settings!$B$3),2)</f>
        <v>6.33</v>
      </c>
      <c r="F395" s="2" t="inlineStr">
        <is>
          <t>One Piece</t>
        </is>
      </c>
      <c r="G395" s="2" t="inlineStr">
        <is>
          <t>Pack</t>
        </is>
      </c>
      <c r="H395" s="2" t="inlineStr">
        <is>
          <t>Promo</t>
        </is>
      </c>
      <c r="I395" s="3" t="n">
        <v>9.039999999999999</v>
      </c>
      <c r="J395" s="3" t="n"/>
      <c r="K395" s="3" t="n"/>
      <c r="L395" s="3" t="n"/>
      <c r="M395" s="2" t="inlineStr">
        <is>
          <t>PriceCharting</t>
        </is>
      </c>
      <c r="N395" s="4" t="inlineStr">
        <is>
          <t>https://www.pricecharting.com/game/one-piece-promo/sealed-judge-pack-vol-1</t>
        </is>
      </c>
    </row>
    <row r="396">
      <c r="A396" s="2" t="inlineStr">
        <is>
          <t>Promo Sealed Promotion Pack 2022</t>
        </is>
      </c>
      <c r="B396" s="3">
        <f>IF(I396&lt;&gt;"",I396,IF(J396&lt;&gt;"",J396,IF(K396&lt;&gt;"",K396,L396)))</f>
        <v>66.63</v>
      </c>
      <c r="C396" s="3">
        <f>MEDIAN(I396:L396)</f>
        <v>66.63</v>
      </c>
      <c r="D396" s="3">
        <f>ROUND(C396*(1-Settings!$B$2),2)</f>
        <v>46.64</v>
      </c>
      <c r="E396" s="3">
        <f>ROUND(C396*(1-Settings!$B$3),2)</f>
        <v>46.64</v>
      </c>
      <c r="F396" s="2" t="inlineStr">
        <is>
          <t>One Piece</t>
        </is>
      </c>
      <c r="G396" s="2" t="inlineStr">
        <is>
          <t>Pack</t>
        </is>
      </c>
      <c r="H396" s="2" t="inlineStr">
        <is>
          <t>Promo</t>
        </is>
      </c>
      <c r="I396" s="3" t="n">
        <v>66.63</v>
      </c>
      <c r="J396" s="3" t="n"/>
      <c r="K396" s="3" t="n"/>
      <c r="L396" s="3" t="n"/>
      <c r="M396" s="2" t="inlineStr">
        <is>
          <t>PriceCharting</t>
        </is>
      </c>
      <c r="N396" s="4" t="inlineStr">
        <is>
          <t>https://www.pricecharting.com/game/one-piece-promo/sealed-promotion-pack-2022</t>
        </is>
      </c>
    </row>
    <row r="397">
      <c r="A397" s="2" t="inlineStr">
        <is>
          <t>Promo Sealed Promotion Pack 2023</t>
        </is>
      </c>
      <c r="B397" s="3">
        <f>IF(I397&lt;&gt;"",I397,IF(J397&lt;&gt;"",J397,IF(K397&lt;&gt;"",K397,L397)))</f>
        <v>100.0</v>
      </c>
      <c r="C397" s="3">
        <f>MEDIAN(I397:L397)</f>
        <v>100.0</v>
      </c>
      <c r="D397" s="3">
        <f>ROUND(C397*(1-Settings!$B$2),2)</f>
        <v>70.0</v>
      </c>
      <c r="E397" s="3">
        <f>ROUND(C397*(1-Settings!$B$3),2)</f>
        <v>70.0</v>
      </c>
      <c r="F397" s="2" t="inlineStr">
        <is>
          <t>One Piece</t>
        </is>
      </c>
      <c r="G397" s="2" t="inlineStr">
        <is>
          <t>Pack</t>
        </is>
      </c>
      <c r="H397" s="2" t="inlineStr">
        <is>
          <t>Promo</t>
        </is>
      </c>
      <c r="I397" s="3" t="n">
        <v>100</v>
      </c>
      <c r="J397" s="3" t="n"/>
      <c r="K397" s="3" t="n"/>
      <c r="L397" s="3" t="n"/>
      <c r="M397" s="2" t="inlineStr">
        <is>
          <t>PriceCharting</t>
        </is>
      </c>
      <c r="N397" s="4" t="inlineStr">
        <is>
          <t>https://www.pricecharting.com/game/one-piece-promo/sealed-promotion-pack-2023</t>
        </is>
      </c>
    </row>
    <row r="398">
      <c r="A398" s="2" t="inlineStr">
        <is>
          <t>Promo Sealed Round 1 Pack</t>
        </is>
      </c>
      <c r="B398" s="3">
        <f>IF(I398&lt;&gt;"",I398,IF(J398&lt;&gt;"",J398,IF(K398&lt;&gt;"",K398,L398)))</f>
        <v>47.99</v>
      </c>
      <c r="C398" s="3">
        <f>MEDIAN(I398:L398)</f>
        <v>47.99</v>
      </c>
      <c r="D398" s="3">
        <f>ROUND(C398*(1-Settings!$B$2),2)</f>
        <v>33.59</v>
      </c>
      <c r="E398" s="3">
        <f>ROUND(C398*(1-Settings!$B$3),2)</f>
        <v>33.59</v>
      </c>
      <c r="F398" s="2" t="inlineStr">
        <is>
          <t>One Piece</t>
        </is>
      </c>
      <c r="G398" s="2" t="inlineStr">
        <is>
          <t>Pack</t>
        </is>
      </c>
      <c r="H398" s="2" t="inlineStr">
        <is>
          <t>Promo</t>
        </is>
      </c>
      <c r="I398" s="3" t="n">
        <v>47.99</v>
      </c>
      <c r="J398" s="3" t="n"/>
      <c r="K398" s="3" t="n"/>
      <c r="L398" s="3" t="n"/>
      <c r="M398" s="2" t="inlineStr">
        <is>
          <t>PriceCharting</t>
        </is>
      </c>
      <c r="N398" s="4" t="inlineStr">
        <is>
          <t>https://www.pricecharting.com/game/one-piece-promo/sealed-round-1-pack</t>
        </is>
      </c>
    </row>
    <row r="399">
      <c r="A399" s="2" t="inlineStr">
        <is>
          <t>Promo Sealed Tournament Pack Vol. 1</t>
        </is>
      </c>
      <c r="B399" s="3">
        <f>IF(I399&lt;&gt;"",I399,IF(J399&lt;&gt;"",J399,IF(K399&lt;&gt;"",K399,L399)))</f>
        <v>27.14</v>
      </c>
      <c r="C399" s="3">
        <f>MEDIAN(I399:L399)</f>
        <v>27.14</v>
      </c>
      <c r="D399" s="3">
        <f>ROUND(C399*(1-Settings!$B$2),2)</f>
        <v>19.0</v>
      </c>
      <c r="E399" s="3">
        <f>ROUND(C399*(1-Settings!$B$3),2)</f>
        <v>19.0</v>
      </c>
      <c r="F399" s="2" t="inlineStr">
        <is>
          <t>One Piece</t>
        </is>
      </c>
      <c r="G399" s="2" t="inlineStr">
        <is>
          <t>Pack</t>
        </is>
      </c>
      <c r="H399" s="2" t="inlineStr">
        <is>
          <t>Promo</t>
        </is>
      </c>
      <c r="I399" s="3" t="n">
        <v>27.14</v>
      </c>
      <c r="J399" s="3" t="n"/>
      <c r="K399" s="3" t="n"/>
      <c r="L399" s="3" t="n"/>
      <c r="M399" s="2" t="inlineStr">
        <is>
          <t>PriceCharting</t>
        </is>
      </c>
      <c r="N399" s="4" t="inlineStr">
        <is>
          <t>https://www.pricecharting.com/game/one-piece-promo/sealed-tournament-pack-vol-1</t>
        </is>
      </c>
    </row>
    <row r="400">
      <c r="A400" s="2" t="inlineStr">
        <is>
          <t>Promo Sealed Tournament Pack Vol. 2</t>
        </is>
      </c>
      <c r="B400" s="3">
        <f>IF(I400&lt;&gt;"",I400,IF(J400&lt;&gt;"",J400,IF(K400&lt;&gt;"",K400,L400)))</f>
        <v>15.5</v>
      </c>
      <c r="C400" s="3">
        <f>MEDIAN(I400:L400)</f>
        <v>15.5</v>
      </c>
      <c r="D400" s="3">
        <f>ROUND(C400*(1-Settings!$B$2),2)</f>
        <v>10.85</v>
      </c>
      <c r="E400" s="3">
        <f>ROUND(C400*(1-Settings!$B$3),2)</f>
        <v>10.85</v>
      </c>
      <c r="F400" s="2" t="inlineStr">
        <is>
          <t>One Piece</t>
        </is>
      </c>
      <c r="G400" s="2" t="inlineStr">
        <is>
          <t>Pack</t>
        </is>
      </c>
      <c r="H400" s="2" t="inlineStr">
        <is>
          <t>Promo</t>
        </is>
      </c>
      <c r="I400" s="3" t="n">
        <v>15.5</v>
      </c>
      <c r="J400" s="3" t="n"/>
      <c r="K400" s="3" t="n"/>
      <c r="L400" s="3" t="n"/>
      <c r="M400" s="2" t="inlineStr">
        <is>
          <t>PriceCharting</t>
        </is>
      </c>
      <c r="N400" s="4" t="inlineStr">
        <is>
          <t>https://www.pricecharting.com/game/one-piece-promo/sealed-tournament-pack-vol-2</t>
        </is>
      </c>
    </row>
    <row r="401">
      <c r="A401" s="2" t="inlineStr">
        <is>
          <t>Promo Sealed Tournament Pack Vol. 3</t>
        </is>
      </c>
      <c r="B401" s="3">
        <f>IF(I401&lt;&gt;"",I401,IF(J401&lt;&gt;"",J401,IF(K401&lt;&gt;"",K401,L401)))</f>
        <v>17.56</v>
      </c>
      <c r="C401" s="3">
        <f>MEDIAN(I401:L401)</f>
        <v>17.56</v>
      </c>
      <c r="D401" s="3">
        <f>ROUND(C401*(1-Settings!$B$2),2)</f>
        <v>12.29</v>
      </c>
      <c r="E401" s="3">
        <f>ROUND(C401*(1-Settings!$B$3),2)</f>
        <v>12.29</v>
      </c>
      <c r="F401" s="2" t="inlineStr">
        <is>
          <t>One Piece</t>
        </is>
      </c>
      <c r="G401" s="2" t="inlineStr">
        <is>
          <t>Pack</t>
        </is>
      </c>
      <c r="H401" s="2" t="inlineStr">
        <is>
          <t>Promo</t>
        </is>
      </c>
      <c r="I401" s="3" t="n">
        <v>17.56</v>
      </c>
      <c r="J401" s="3" t="n"/>
      <c r="K401" s="3" t="n"/>
      <c r="L401" s="3" t="n"/>
      <c r="M401" s="2" t="inlineStr">
        <is>
          <t>PriceCharting</t>
        </is>
      </c>
      <c r="N401" s="4" t="inlineStr">
        <is>
          <t>https://www.pricecharting.com/game/one-piece-promo/sealed-tournament-pack-vol-3</t>
        </is>
      </c>
    </row>
    <row r="402">
      <c r="A402" s="2" t="inlineStr">
        <is>
          <t>Promo Sealed Tournament Pack Vol. 4</t>
        </is>
      </c>
      <c r="B402" s="3">
        <f>IF(I402&lt;&gt;"",I402,IF(J402&lt;&gt;"",J402,IF(K402&lt;&gt;"",K402,L402)))</f>
        <v>17.97</v>
      </c>
      <c r="C402" s="3">
        <f>MEDIAN(I402:L402)</f>
        <v>17.97</v>
      </c>
      <c r="D402" s="3">
        <f>ROUND(C402*(1-Settings!$B$2),2)</f>
        <v>12.58</v>
      </c>
      <c r="E402" s="3">
        <f>ROUND(C402*(1-Settings!$B$3),2)</f>
        <v>12.58</v>
      </c>
      <c r="F402" s="2" t="inlineStr">
        <is>
          <t>One Piece</t>
        </is>
      </c>
      <c r="G402" s="2" t="inlineStr">
        <is>
          <t>Pack</t>
        </is>
      </c>
      <c r="H402" s="2" t="inlineStr">
        <is>
          <t>Promo</t>
        </is>
      </c>
      <c r="I402" s="3" t="n">
        <v>17.97</v>
      </c>
      <c r="J402" s="3" t="n"/>
      <c r="K402" s="3" t="n"/>
      <c r="L402" s="3" t="n"/>
      <c r="M402" s="2" t="inlineStr">
        <is>
          <t>PriceCharting</t>
        </is>
      </c>
      <c r="N402" s="4" t="inlineStr">
        <is>
          <t>https://www.pricecharting.com/game/one-piece-promo/sealed-tournament-pack-vol-4</t>
        </is>
      </c>
    </row>
    <row r="403">
      <c r="A403" s="2" t="inlineStr">
        <is>
          <t>Promo Sealed Tournament Pack Vol. 5</t>
        </is>
      </c>
      <c r="B403" s="3">
        <f>IF(I403&lt;&gt;"",I403,IF(J403&lt;&gt;"",J403,IF(K403&lt;&gt;"",K403,L403)))</f>
        <v>11.0</v>
      </c>
      <c r="C403" s="3">
        <f>MEDIAN(I403:L403)</f>
        <v>11.0</v>
      </c>
      <c r="D403" s="3">
        <f>ROUND(C403*(1-Settings!$B$2),2)</f>
        <v>7.7</v>
      </c>
      <c r="E403" s="3">
        <f>ROUND(C403*(1-Settings!$B$3),2)</f>
        <v>7.7</v>
      </c>
      <c r="F403" s="2" t="inlineStr">
        <is>
          <t>One Piece</t>
        </is>
      </c>
      <c r="G403" s="2" t="inlineStr">
        <is>
          <t>Pack</t>
        </is>
      </c>
      <c r="H403" s="2" t="inlineStr">
        <is>
          <t>Promo</t>
        </is>
      </c>
      <c r="I403" s="3" t="n">
        <v>11</v>
      </c>
      <c r="J403" s="3" t="n"/>
      <c r="K403" s="3" t="n"/>
      <c r="L403" s="3" t="n"/>
      <c r="M403" s="2" t="inlineStr">
        <is>
          <t>PriceCharting</t>
        </is>
      </c>
      <c r="N403" s="4" t="inlineStr">
        <is>
          <t>https://www.pricecharting.com/game/one-piece-promo/sealed-tournament-pack-vol-5</t>
        </is>
      </c>
    </row>
    <row r="404">
      <c r="A404" s="2" t="inlineStr">
        <is>
          <t>Promo Sealed Winner Pack Vol. 1</t>
        </is>
      </c>
      <c r="B404" s="3">
        <f>IF(I404&lt;&gt;"",I404,IF(J404&lt;&gt;"",J404,IF(K404&lt;&gt;"",K404,L404)))</f>
        <v>17.5</v>
      </c>
      <c r="C404" s="3">
        <f>MEDIAN(I404:L404)</f>
        <v>17.5</v>
      </c>
      <c r="D404" s="3">
        <f>ROUND(C404*(1-Settings!$B$2),2)</f>
        <v>12.25</v>
      </c>
      <c r="E404" s="3">
        <f>ROUND(C404*(1-Settings!$B$3),2)</f>
        <v>12.25</v>
      </c>
      <c r="F404" s="2" t="inlineStr">
        <is>
          <t>One Piece</t>
        </is>
      </c>
      <c r="G404" s="2" t="inlineStr">
        <is>
          <t>Pack</t>
        </is>
      </c>
      <c r="H404" s="2" t="inlineStr">
        <is>
          <t>Promo</t>
        </is>
      </c>
      <c r="I404" s="3" t="n">
        <v>17.5</v>
      </c>
      <c r="J404" s="3" t="n"/>
      <c r="K404" s="3" t="n"/>
      <c r="L404" s="3" t="n"/>
      <c r="M404" s="2" t="inlineStr">
        <is>
          <t>PriceCharting</t>
        </is>
      </c>
      <c r="N404" s="4" t="inlineStr">
        <is>
          <t>https://www.pricecharting.com/game/one-piece-promo/sealed-winner-pack-vol-1</t>
        </is>
      </c>
    </row>
    <row r="405">
      <c r="A405" s="2" t="inlineStr">
        <is>
          <t>Promo Sealed Winner Pack Vol. 2</t>
        </is>
      </c>
      <c r="B405" s="3">
        <f>IF(I405&lt;&gt;"",I405,IF(J405&lt;&gt;"",J405,IF(K405&lt;&gt;"",K405,L405)))</f>
        <v>31.0</v>
      </c>
      <c r="C405" s="3">
        <f>MEDIAN(I405:L405)</f>
        <v>31.0</v>
      </c>
      <c r="D405" s="3">
        <f>ROUND(C405*(1-Settings!$B$2),2)</f>
        <v>21.7</v>
      </c>
      <c r="E405" s="3">
        <f>ROUND(C405*(1-Settings!$B$3),2)</f>
        <v>21.7</v>
      </c>
      <c r="F405" s="2" t="inlineStr">
        <is>
          <t>One Piece</t>
        </is>
      </c>
      <c r="G405" s="2" t="inlineStr">
        <is>
          <t>Pack</t>
        </is>
      </c>
      <c r="H405" s="2" t="inlineStr">
        <is>
          <t>Promo</t>
        </is>
      </c>
      <c r="I405" s="3" t="n">
        <v>31</v>
      </c>
      <c r="J405" s="3" t="n"/>
      <c r="K405" s="3" t="n"/>
      <c r="L405" s="3" t="n"/>
      <c r="M405" s="2" t="inlineStr">
        <is>
          <t>PriceCharting</t>
        </is>
      </c>
      <c r="N405" s="4" t="inlineStr">
        <is>
          <t>https://www.pricecharting.com/game/one-piece-promo/sealed-winner-pack-vol-2</t>
        </is>
      </c>
    </row>
    <row r="406">
      <c r="A406" s="2" t="inlineStr">
        <is>
          <t>Promo Sealed Winner Pack Vol. 3</t>
        </is>
      </c>
      <c r="B406" s="3">
        <f>IF(I406&lt;&gt;"",I406,IF(J406&lt;&gt;"",J406,IF(K406&lt;&gt;"",K406,L406)))</f>
        <v>20.78</v>
      </c>
      <c r="C406" s="3">
        <f>MEDIAN(I406:L406)</f>
        <v>20.78</v>
      </c>
      <c r="D406" s="3">
        <f>ROUND(C406*(1-Settings!$B$2),2)</f>
        <v>14.55</v>
      </c>
      <c r="E406" s="3">
        <f>ROUND(C406*(1-Settings!$B$3),2)</f>
        <v>14.55</v>
      </c>
      <c r="F406" s="2" t="inlineStr">
        <is>
          <t>One Piece</t>
        </is>
      </c>
      <c r="G406" s="2" t="inlineStr">
        <is>
          <t>Pack</t>
        </is>
      </c>
      <c r="H406" s="2" t="inlineStr">
        <is>
          <t>Promo</t>
        </is>
      </c>
      <c r="I406" s="3" t="n">
        <v>20.78</v>
      </c>
      <c r="J406" s="3" t="n"/>
      <c r="K406" s="3" t="n"/>
      <c r="L406" s="3" t="n"/>
      <c r="M406" s="2" t="inlineStr">
        <is>
          <t>PriceCharting</t>
        </is>
      </c>
      <c r="N406" s="4" t="inlineStr">
        <is>
          <t>https://www.pricecharting.com/game/one-piece-promo/sealed-winner-pack-vol-3</t>
        </is>
      </c>
    </row>
    <row r="407">
      <c r="A407" s="2" t="inlineStr">
        <is>
          <t>Promo Sealed Winner Pack Vol. 4</t>
        </is>
      </c>
      <c r="B407" s="3">
        <f>IF(I407&lt;&gt;"",I407,IF(J407&lt;&gt;"",J407,IF(K407&lt;&gt;"",K407,L407)))</f>
        <v>22.87</v>
      </c>
      <c r="C407" s="3">
        <f>MEDIAN(I407:L407)</f>
        <v>22.87</v>
      </c>
      <c r="D407" s="3">
        <f>ROUND(C407*(1-Settings!$B$2),2)</f>
        <v>16.01</v>
      </c>
      <c r="E407" s="3">
        <f>ROUND(C407*(1-Settings!$B$3),2)</f>
        <v>16.01</v>
      </c>
      <c r="F407" s="2" t="inlineStr">
        <is>
          <t>One Piece</t>
        </is>
      </c>
      <c r="G407" s="2" t="inlineStr">
        <is>
          <t>Pack</t>
        </is>
      </c>
      <c r="H407" s="2" t="inlineStr">
        <is>
          <t>Promo</t>
        </is>
      </c>
      <c r="I407" s="3" t="n">
        <v>22.87</v>
      </c>
      <c r="J407" s="3" t="n"/>
      <c r="K407" s="3" t="n"/>
      <c r="L407" s="3" t="n"/>
      <c r="M407" s="2" t="inlineStr">
        <is>
          <t>PriceCharting</t>
        </is>
      </c>
      <c r="N407" s="4" t="inlineStr">
        <is>
          <t>https://www.pricecharting.com/game/one-piece-promo/sealed-winner-pack-vol-4</t>
        </is>
      </c>
    </row>
    <row r="408">
      <c r="A408" s="2" t="inlineStr">
        <is>
          <t>Promo Sealed Winner Pack Vol. 5</t>
        </is>
      </c>
      <c r="B408" s="3">
        <f>IF(I408&lt;&gt;"",I408,IF(J408&lt;&gt;"",J408,IF(K408&lt;&gt;"",K408,L408)))</f>
        <v>30.0</v>
      </c>
      <c r="C408" s="3">
        <f>MEDIAN(I408:L408)</f>
        <v>30.0</v>
      </c>
      <c r="D408" s="3">
        <f>ROUND(C408*(1-Settings!$B$2),2)</f>
        <v>21.0</v>
      </c>
      <c r="E408" s="3">
        <f>ROUND(C408*(1-Settings!$B$3),2)</f>
        <v>21.0</v>
      </c>
      <c r="F408" s="2" t="inlineStr">
        <is>
          <t>One Piece</t>
        </is>
      </c>
      <c r="G408" s="2" t="inlineStr">
        <is>
          <t>Pack</t>
        </is>
      </c>
      <c r="H408" s="2" t="inlineStr">
        <is>
          <t>Promo</t>
        </is>
      </c>
      <c r="I408" s="3" t="n">
        <v>30</v>
      </c>
      <c r="J408" s="3" t="n"/>
      <c r="K408" s="3" t="n"/>
      <c r="L408" s="3" t="n"/>
      <c r="M408" s="2" t="inlineStr">
        <is>
          <t>PriceCharting</t>
        </is>
      </c>
      <c r="N408" s="4" t="inlineStr">
        <is>
          <t>https://www.pricecharting.com/game/one-piece-promo/sealed-winner-pack-vol-5</t>
        </is>
      </c>
    </row>
    <row r="409">
      <c r="A409" s="2" t="inlineStr">
        <is>
          <t>Romance Dawn - Booster Pack</t>
        </is>
      </c>
      <c r="B409" s="3">
        <f>IF(I409&lt;&gt;"",I409,IF(J409&lt;&gt;"",J409,IF(K409&lt;&gt;"",K409,L409)))</f>
        <v>69.24</v>
      </c>
      <c r="C409" s="3">
        <f>MEDIAN(I409:L409)</f>
        <v>66.53</v>
      </c>
      <c r="D409" s="3">
        <f>ROUND(C409*(1-Settings!$B$2),2)</f>
        <v>46.57</v>
      </c>
      <c r="E409" s="3">
        <f>ROUND(C409*(1-Settings!$B$3),2)</f>
        <v>46.57</v>
      </c>
      <c r="F409" s="2" t="inlineStr">
        <is>
          <t>One Piece</t>
        </is>
      </c>
      <c r="G409" s="2" t="inlineStr">
        <is>
          <t>Pack</t>
        </is>
      </c>
      <c r="H409" s="2" t="inlineStr">
        <is>
          <t>Romance Dawn</t>
        </is>
      </c>
      <c r="I409" s="3" t="n">
        <v>69.23999999999999</v>
      </c>
      <c r="J409" s="3" t="n">
        <v>66.53</v>
      </c>
      <c r="K409" s="3" t="n"/>
      <c r="L409" s="3" t="n">
        <v>21</v>
      </c>
      <c r="M409" s="2" t="inlineStr">
        <is>
          <t>PriceCharting + TCGplayer</t>
        </is>
      </c>
      <c r="N409" s="4" t="inlineStr">
        <is>
          <t>https://www.pricecharting.com/game/one-piece-romance-dawn/booster-pack</t>
        </is>
      </c>
      <c r="O409" s="4" t="inlineStr">
        <is>
          <t>https://www.tcgplayer.com/product/450085</t>
        </is>
      </c>
    </row>
    <row r="410">
      <c r="A410" s="2" t="inlineStr">
        <is>
          <t>Romance Dawn - Sleeved Booster Pack</t>
        </is>
      </c>
      <c r="B410" s="3">
        <f>IF(I410&lt;&gt;"",I410,IF(J410&lt;&gt;"",J410,IF(K410&lt;&gt;"",K410,L410)))</f>
        <v>139.0</v>
      </c>
      <c r="C410" s="3">
        <f>MEDIAN(I410:L410)</f>
        <v>139.0</v>
      </c>
      <c r="D410" s="3">
        <f>ROUND(C410*(1-Settings!$B$2),2)</f>
        <v>97.3</v>
      </c>
      <c r="E410" s="3">
        <f>ROUND(C410*(1-Settings!$B$3),2)</f>
        <v>97.3</v>
      </c>
      <c r="F410" s="2" t="inlineStr">
        <is>
          <t>One Piece</t>
        </is>
      </c>
      <c r="G410" s="2" t="inlineStr">
        <is>
          <t>Pack</t>
        </is>
      </c>
      <c r="H410" s="2" t="inlineStr">
        <is>
          <t>Romance Dawn</t>
        </is>
      </c>
      <c r="I410" s="3" t="n">
        <v>139</v>
      </c>
      <c r="J410" s="3" t="n">
        <v>144.85</v>
      </c>
      <c r="K410" s="3" t="n"/>
      <c r="L410" s="3" t="n">
        <v>100</v>
      </c>
      <c r="M410" s="2" t="inlineStr">
        <is>
          <t>PriceCharting + TCGplayer</t>
        </is>
      </c>
      <c r="N410" s="4" t="inlineStr">
        <is>
          <t>https://www.pricecharting.com/game/one-piece-romance-dawn/sleeved-booster-pack</t>
        </is>
      </c>
      <c r="O410" s="4" t="inlineStr">
        <is>
          <t>https://www.tcgplayer.com/product/531774</t>
        </is>
      </c>
    </row>
    <row r="411">
      <c r="A411" s="2" t="inlineStr">
        <is>
          <t>Royal Blood - Sleeved Booster Pack</t>
        </is>
      </c>
      <c r="B411" s="3">
        <f>IF(I411&lt;&gt;"",I411,IF(J411&lt;&gt;"",J411,IF(K411&lt;&gt;"",K411,L411)))</f>
        <v>9.84</v>
      </c>
      <c r="C411" s="3">
        <f>MEDIAN(I411:L411)</f>
        <v>9.84</v>
      </c>
      <c r="D411" s="3">
        <f>ROUND(C411*(1-Settings!$B$2),2)</f>
        <v>6.89</v>
      </c>
      <c r="E411" s="3">
        <f>ROUND(C411*(1-Settings!$B$3),2)</f>
        <v>6.89</v>
      </c>
      <c r="F411" s="2" t="inlineStr">
        <is>
          <t>One Piece</t>
        </is>
      </c>
      <c r="G411" s="2" t="inlineStr">
        <is>
          <t>Pack</t>
        </is>
      </c>
      <c r="H411" s="2" t="inlineStr">
        <is>
          <t>Royal Blood</t>
        </is>
      </c>
      <c r="I411" s="3" t="n">
        <v>9.84</v>
      </c>
      <c r="J411" s="3" t="n">
        <v>9.84</v>
      </c>
      <c r="K411" s="3" t="n"/>
      <c r="L411" s="3" t="n">
        <v>9.84</v>
      </c>
      <c r="M411" s="2" t="inlineStr">
        <is>
          <t>PriceCharting + TCGplayer</t>
        </is>
      </c>
      <c r="N411" s="4" t="inlineStr">
        <is>
          <t>https://www.pricecharting.com/game/one-piece-royal-blood/sleeved-booster-pack</t>
        </is>
      </c>
      <c r="O411" s="4" t="inlineStr">
        <is>
          <t>https://www.tcgplayer.com/product/624523</t>
        </is>
      </c>
    </row>
    <row r="412">
      <c r="A412" s="2" t="inlineStr">
        <is>
          <t>Royal Blood Booster Pack</t>
        </is>
      </c>
      <c r="B412" s="3">
        <f>IF(I412&lt;&gt;"",I412,IF(J412&lt;&gt;"",J412,IF(K412&lt;&gt;"",K412,L412)))</f>
        <v>10.39</v>
      </c>
      <c r="C412" s="3">
        <f>MEDIAN(I412:L412)</f>
        <v>10.39</v>
      </c>
      <c r="D412" s="3">
        <f>ROUND(C412*(1-Settings!$B$2),2)</f>
        <v>7.27</v>
      </c>
      <c r="E412" s="3">
        <f>ROUND(C412*(1-Settings!$B$3),2)</f>
        <v>7.27</v>
      </c>
      <c r="F412" s="2" t="inlineStr">
        <is>
          <t>One Piece</t>
        </is>
      </c>
      <c r="G412" s="2" t="inlineStr">
        <is>
          <t>Pack</t>
        </is>
      </c>
      <c r="H412" s="2" t="inlineStr">
        <is>
          <t>Royal Blood</t>
        </is>
      </c>
      <c r="I412" s="3" t="n">
        <v>10.39</v>
      </c>
      <c r="J412" s="3" t="n">
        <v>10.39</v>
      </c>
      <c r="K412" s="3" t="n"/>
      <c r="L412" s="3" t="n">
        <v>7.45</v>
      </c>
      <c r="M412" s="2" t="inlineStr">
        <is>
          <t>PriceCharting + TCGplayer</t>
        </is>
      </c>
      <c r="N412" s="4" t="inlineStr">
        <is>
          <t>https://www.pricecharting.com/game/one-piece-royal-blood/booster-pack</t>
        </is>
      </c>
      <c r="O412" s="4" t="inlineStr">
        <is>
          <t>https://www.tcgplayer.com/product/586670</t>
        </is>
      </c>
    </row>
    <row r="413">
      <c r="A413" s="2" t="inlineStr">
        <is>
          <t>Royal Blood - Release Event Pack</t>
        </is>
      </c>
      <c r="B413" s="3">
        <f>IF(I413&lt;&gt;"",I413,IF(J413&lt;&gt;"",J413,IF(K413&lt;&gt;"",K413,L413)))</f>
        <v>7.77</v>
      </c>
      <c r="C413" s="3">
        <f>MEDIAN(I413:L413)</f>
        <v>7.33</v>
      </c>
      <c r="D413" s="3">
        <f>ROUND(C413*(1-Settings!$B$2),2)</f>
        <v>5.13</v>
      </c>
      <c r="E413" s="3">
        <f>ROUND(C413*(1-Settings!$B$3),2)</f>
        <v>5.13</v>
      </c>
      <c r="F413" s="2" t="inlineStr">
        <is>
          <t>One Piece</t>
        </is>
      </c>
      <c r="G413" s="2" t="inlineStr">
        <is>
          <t>Pack</t>
        </is>
      </c>
      <c r="H413" s="2" t="inlineStr">
        <is>
          <t>Royal Blood Release Event Cards</t>
        </is>
      </c>
      <c r="I413" s="3" t="n"/>
      <c r="J413" s="3" t="n">
        <v>7.77</v>
      </c>
      <c r="K413" s="3" t="n"/>
      <c r="L413" s="3" t="n">
        <v>6.89</v>
      </c>
      <c r="M413" s="2" t="inlineStr">
        <is>
          <t>TCGplayer</t>
        </is>
      </c>
      <c r="O413" s="4" t="inlineStr">
        <is>
          <t>https://www.tcgplayer.com/product/620841</t>
        </is>
      </c>
    </row>
    <row r="414">
      <c r="A414" s="2" t="inlineStr">
        <is>
          <t>Starter Deck 29 Egghead Sealed Bonus Pack</t>
        </is>
      </c>
      <c r="B414" s="3">
        <f>IF(I414&lt;&gt;"",I414,IF(J414&lt;&gt;"",J414,IF(K414&lt;&gt;"",K414,L414)))</f>
        <v>28.05</v>
      </c>
      <c r="C414" s="3">
        <f>MEDIAN(I414:L414)</f>
        <v>28.05</v>
      </c>
      <c r="D414" s="3">
        <f>ROUND(C414*(1-Settings!$B$2),2)</f>
        <v>19.64</v>
      </c>
      <c r="E414" s="3">
        <f>ROUND(C414*(1-Settings!$B$3),2)</f>
        <v>19.64</v>
      </c>
      <c r="F414" s="2" t="inlineStr">
        <is>
          <t>One Piece</t>
        </is>
      </c>
      <c r="G414" s="2" t="inlineStr">
        <is>
          <t>Pack</t>
        </is>
      </c>
      <c r="H414" s="2" t="inlineStr">
        <is>
          <t>Starter Deck 29 Egghead</t>
        </is>
      </c>
      <c r="I414" s="3" t="n">
        <v>28.05</v>
      </c>
      <c r="J414" s="3" t="n"/>
      <c r="K414" s="3" t="n"/>
      <c r="L414" s="3" t="n"/>
      <c r="M414" s="2" t="inlineStr">
        <is>
          <t>PriceCharting</t>
        </is>
      </c>
      <c r="N414" s="4" t="inlineStr">
        <is>
          <t>https://www.pricecharting.com/game/one-piece-starter-deck-29-egghead/sealed-bonus-pack</t>
        </is>
      </c>
    </row>
    <row r="415">
      <c r="A415" s="2" t="inlineStr">
        <is>
          <t>Special DON!! Card Pack DP-09</t>
        </is>
      </c>
      <c r="B415" s="3">
        <f>IF(I415&lt;&gt;"",I415,IF(J415&lt;&gt;"",J415,IF(K415&lt;&gt;"",K415,L415)))</f>
        <v>4.53</v>
      </c>
      <c r="C415" s="3">
        <f>MEDIAN(I415:L415)</f>
        <v>3.6900000000000004</v>
      </c>
      <c r="D415" s="3">
        <f>ROUND(C415*(1-Settings!$B$2),2)</f>
        <v>2.58</v>
      </c>
      <c r="E415" s="3">
        <f>ROUND(C415*(1-Settings!$B$3),2)</f>
        <v>2.58</v>
      </c>
      <c r="F415" s="2" t="inlineStr">
        <is>
          <t>One Piece</t>
        </is>
      </c>
      <c r="G415" s="2" t="inlineStr">
        <is>
          <t>Pack</t>
        </is>
      </c>
      <c r="H415" s="2" t="inlineStr">
        <is>
          <t>The Azure Sea's Seven</t>
        </is>
      </c>
      <c r="I415" s="3" t="n"/>
      <c r="J415" s="3" t="n">
        <v>4.53</v>
      </c>
      <c r="K415" s="3" t="n"/>
      <c r="L415" s="3" t="n">
        <v>2.85</v>
      </c>
      <c r="M415" s="2" t="inlineStr">
        <is>
          <t>TCGplayer</t>
        </is>
      </c>
      <c r="O415" s="4" t="inlineStr">
        <is>
          <t>https://www.tcgplayer.com/product/675812</t>
        </is>
      </c>
    </row>
    <row r="416">
      <c r="A416" s="2" t="inlineStr">
        <is>
          <t>The Azure Sea's Seven - Dash Pack</t>
        </is>
      </c>
      <c r="B416" s="3">
        <f>IF(I416&lt;&gt;"",I416,IF(J416&lt;&gt;"",J416,IF(K416&lt;&gt;"",K416,L416)))</f>
        <v>2.6</v>
      </c>
      <c r="C416" s="3">
        <f>MEDIAN(I416:L416)</f>
        <v>1.795</v>
      </c>
      <c r="D416" s="3">
        <f>ROUND(C416*(1-Settings!$B$2),2)</f>
        <v>1.26</v>
      </c>
      <c r="E416" s="3">
        <f>ROUND(C416*(1-Settings!$B$3),2)</f>
        <v>1.26</v>
      </c>
      <c r="F416" s="2" t="inlineStr">
        <is>
          <t>One Piece</t>
        </is>
      </c>
      <c r="G416" s="2" t="inlineStr">
        <is>
          <t>Pack</t>
        </is>
      </c>
      <c r="H416" s="2" t="inlineStr">
        <is>
          <t>The Azure Sea's Seven</t>
        </is>
      </c>
      <c r="I416" s="3" t="n"/>
      <c r="J416" s="3" t="n">
        <v>2.6</v>
      </c>
      <c r="K416" s="3" t="n"/>
      <c r="L416" s="3" t="n">
        <v>0.99</v>
      </c>
      <c r="M416" s="2" t="inlineStr">
        <is>
          <t>TCGplayer</t>
        </is>
      </c>
      <c r="O416" s="4" t="inlineStr">
        <is>
          <t>https://www.tcgplayer.com/product/672372</t>
        </is>
      </c>
    </row>
    <row r="417">
      <c r="A417" s="2" t="inlineStr">
        <is>
          <t>The Azure Sea's Seven Booster Pack</t>
        </is>
      </c>
      <c r="B417" s="3">
        <f>IF(I417&lt;&gt;"",I417,IF(J417&lt;&gt;"",J417,IF(K417&lt;&gt;"",K417,L417)))</f>
        <v>8.58</v>
      </c>
      <c r="C417" s="3">
        <f>MEDIAN(I417:L417)</f>
        <v>6.785</v>
      </c>
      <c r="D417" s="3">
        <f>ROUND(C417*(1-Settings!$B$2),2)</f>
        <v>4.75</v>
      </c>
      <c r="E417" s="3">
        <f>ROUND(C417*(1-Settings!$B$3),2)</f>
        <v>4.75</v>
      </c>
      <c r="F417" s="2" t="inlineStr">
        <is>
          <t>One Piece</t>
        </is>
      </c>
      <c r="G417" s="2" t="inlineStr">
        <is>
          <t>Pack</t>
        </is>
      </c>
      <c r="H417" s="2" t="inlineStr">
        <is>
          <t>The Azure Sea's Seven</t>
        </is>
      </c>
      <c r="I417" s="3" t="n"/>
      <c r="J417" s="3" t="n">
        <v>8.58</v>
      </c>
      <c r="K417" s="3" t="n"/>
      <c r="L417" s="3" t="n">
        <v>4.99</v>
      </c>
      <c r="M417" s="2" t="inlineStr">
        <is>
          <t>TCGplayer</t>
        </is>
      </c>
      <c r="O417" s="4" t="inlineStr">
        <is>
          <t>https://www.tcgplayer.com/product/666577</t>
        </is>
      </c>
    </row>
    <row r="418">
      <c r="A418" s="2" t="inlineStr">
        <is>
          <t>The Azure Sea's Seven Sleeved Booster Pack</t>
        </is>
      </c>
      <c r="B418" s="3">
        <f>IF(I418&lt;&gt;"",I418,IF(J418&lt;&gt;"",J418,IF(K418&lt;&gt;"",K418,L418)))</f>
        <v>13.36</v>
      </c>
      <c r="C418" s="3">
        <f>MEDIAN(I418:L418)</f>
        <v>12.18</v>
      </c>
      <c r="D418" s="3">
        <f>ROUND(C418*(1-Settings!$B$2),2)</f>
        <v>8.53</v>
      </c>
      <c r="E418" s="3">
        <f>ROUND(C418*(1-Settings!$B$3),2)</f>
        <v>8.53</v>
      </c>
      <c r="F418" s="2" t="inlineStr">
        <is>
          <t>One Piece</t>
        </is>
      </c>
      <c r="G418" s="2" t="inlineStr">
        <is>
          <t>Pack</t>
        </is>
      </c>
      <c r="H418" s="2" t="inlineStr">
        <is>
          <t>The Azure Sea's Seven</t>
        </is>
      </c>
      <c r="I418" s="3" t="n"/>
      <c r="J418" s="3" t="n">
        <v>13.36</v>
      </c>
      <c r="K418" s="3" t="n"/>
      <c r="L418" s="3" t="n">
        <v>11</v>
      </c>
      <c r="M418" s="2" t="inlineStr">
        <is>
          <t>TCGplayer</t>
        </is>
      </c>
      <c r="O418" s="4" t="inlineStr">
        <is>
          <t>https://www.tcgplayer.com/product/666576</t>
        </is>
      </c>
    </row>
    <row r="419">
      <c r="A419" s="2" t="inlineStr">
        <is>
          <t>The Azure Sea's Seven - Release Event Pack</t>
        </is>
      </c>
      <c r="B419" s="3">
        <f>IF(I419&lt;&gt;"",I419,IF(J419&lt;&gt;"",J419,IF(K419&lt;&gt;"",K419,L419)))</f>
        <v>5.18</v>
      </c>
      <c r="C419" s="3">
        <f>MEDIAN(I419:L419)</f>
        <v>5.18</v>
      </c>
      <c r="D419" s="3">
        <f>ROUND(C419*(1-Settings!$B$2),2)</f>
        <v>3.63</v>
      </c>
      <c r="E419" s="3">
        <f>ROUND(C419*(1-Settings!$B$3),2)</f>
        <v>3.63</v>
      </c>
      <c r="F419" s="2" t="inlineStr">
        <is>
          <t>One Piece</t>
        </is>
      </c>
      <c r="G419" s="2" t="inlineStr">
        <is>
          <t>Pack</t>
        </is>
      </c>
      <c r="H419" s="2" t="inlineStr">
        <is>
          <t>The Azure Sea's Seven Release Event Cards</t>
        </is>
      </c>
      <c r="I419" s="3" t="n"/>
      <c r="J419" s="3" t="n">
        <v>5.18</v>
      </c>
      <c r="K419" s="3" t="n"/>
      <c r="L419" s="3" t="n">
        <v>5.18</v>
      </c>
      <c r="M419" s="2" t="inlineStr">
        <is>
          <t>TCGplayer</t>
        </is>
      </c>
      <c r="O419" s="4" t="inlineStr">
        <is>
          <t>https://www.tcgplayer.com/product/671882</t>
        </is>
      </c>
    </row>
    <row r="420">
      <c r="A420" s="2" t="inlineStr">
        <is>
          <t>The Dominance of God Booster Pack</t>
        </is>
      </c>
      <c r="B420" s="3">
        <f>IF(I420&lt;&gt;"",I420,IF(J420&lt;&gt;"",J420,IF(K420&lt;&gt;"",K420,L420)))</f>
        <v>24.95</v>
      </c>
      <c r="C420" s="3">
        <f>MEDIAN(I420:L420)</f>
        <v>24.95</v>
      </c>
      <c r="D420" s="3">
        <f>ROUND(C420*(1-Settings!$B$2),2)</f>
        <v>17.47</v>
      </c>
      <c r="E420" s="3">
        <f>ROUND(C420*(1-Settings!$B$3),2)</f>
        <v>17.47</v>
      </c>
      <c r="F420" s="2" t="inlineStr">
        <is>
          <t>One Piece</t>
        </is>
      </c>
      <c r="G420" s="2" t="inlineStr">
        <is>
          <t>Pack</t>
        </is>
      </c>
      <c r="H420" s="2" t="inlineStr">
        <is>
          <t>The Dominance of God</t>
        </is>
      </c>
      <c r="I420" s="3" t="n"/>
      <c r="J420" s="3" t="n">
        <v>24.95</v>
      </c>
      <c r="K420" s="3" t="n"/>
      <c r="L420" s="3" t="n">
        <v>24.95</v>
      </c>
      <c r="M420" s="2" t="inlineStr">
        <is>
          <t>TCGplayer</t>
        </is>
      </c>
      <c r="O420" s="4" t="inlineStr">
        <is>
          <t>https://www.tcgplayer.com/product/712904</t>
        </is>
      </c>
    </row>
    <row r="421">
      <c r="A421" s="2" t="inlineStr">
        <is>
          <t>The Dominance of God Sleeved Booster Pack</t>
        </is>
      </c>
      <c r="B421" s="3">
        <f>IF(I421&lt;&gt;"",I421,IF(J421&lt;&gt;"",J421,IF(K421&lt;&gt;"",K421,L421)))</f>
        <v>39.99</v>
      </c>
      <c r="C421" s="3">
        <f>MEDIAN(I421:L421)</f>
        <v>39.99</v>
      </c>
      <c r="D421" s="3">
        <f>ROUND(C421*(1-Settings!$B$2),2)</f>
        <v>27.99</v>
      </c>
      <c r="E421" s="3">
        <f>ROUND(C421*(1-Settings!$B$3),2)</f>
        <v>27.99</v>
      </c>
      <c r="F421" s="2" t="inlineStr">
        <is>
          <t>One Piece</t>
        </is>
      </c>
      <c r="G421" s="2" t="inlineStr">
        <is>
          <t>Pack</t>
        </is>
      </c>
      <c r="H421" s="2" t="inlineStr">
        <is>
          <t>The Dominance of God</t>
        </is>
      </c>
      <c r="I421" s="3" t="n"/>
      <c r="J421" s="3" t="n"/>
      <c r="K421" s="3" t="n"/>
      <c r="L421" s="3" t="n">
        <v>39.99</v>
      </c>
      <c r="M421" s="2" t="inlineStr">
        <is>
          <t>TCGplayer</t>
        </is>
      </c>
      <c r="O421" s="4" t="inlineStr">
        <is>
          <t>https://www.tcgplayer.com/product/712903</t>
        </is>
      </c>
    </row>
    <row r="422">
      <c r="A422" s="2" t="inlineStr">
        <is>
          <t>Special DON!! Card Pack DP-11</t>
        </is>
      </c>
      <c r="B422" s="3">
        <f>IF(I422&lt;&gt;"",I422,IF(J422&lt;&gt;"",J422,IF(K422&lt;&gt;"",K422,L422)))</f>
        <v>5.85</v>
      </c>
      <c r="C422" s="3">
        <f>MEDIAN(I422:L422)</f>
        <v>5.3</v>
      </c>
      <c r="D422" s="3">
        <f>ROUND(C422*(1-Settings!$B$2),2)</f>
        <v>3.71</v>
      </c>
      <c r="E422" s="3">
        <f>ROUND(C422*(1-Settings!$B$3),2)</f>
        <v>3.71</v>
      </c>
      <c r="F422" s="2" t="inlineStr">
        <is>
          <t>One Piece</t>
        </is>
      </c>
      <c r="G422" s="2" t="inlineStr">
        <is>
          <t>Pack</t>
        </is>
      </c>
      <c r="H422" s="2" t="inlineStr">
        <is>
          <t>The Time of Battle</t>
        </is>
      </c>
      <c r="I422" s="3" t="n"/>
      <c r="J422" s="3" t="n">
        <v>5.85</v>
      </c>
      <c r="K422" s="3" t="n"/>
      <c r="L422" s="3" t="n">
        <v>4.75</v>
      </c>
      <c r="M422" s="2" t="inlineStr">
        <is>
          <t>TCGplayer</t>
        </is>
      </c>
      <c r="O422" s="4" t="inlineStr">
        <is>
          <t>https://www.tcgplayer.com/product/701593</t>
        </is>
      </c>
    </row>
    <row r="423">
      <c r="A423" s="2" t="inlineStr">
        <is>
          <t>The Time of Battle Booster Pack</t>
        </is>
      </c>
      <c r="B423" s="3">
        <f>IF(I423&lt;&gt;"",I423,IF(J423&lt;&gt;"",J423,IF(K423&lt;&gt;"",K423,L423)))</f>
        <v>7.28</v>
      </c>
      <c r="C423" s="3">
        <f>MEDIAN(I423:L423)</f>
        <v>7.04</v>
      </c>
      <c r="D423" s="3">
        <f>ROUND(C423*(1-Settings!$B$2),2)</f>
        <v>4.93</v>
      </c>
      <c r="E423" s="3">
        <f>ROUND(C423*(1-Settings!$B$3),2)</f>
        <v>4.93</v>
      </c>
      <c r="F423" s="2" t="inlineStr">
        <is>
          <t>One Piece</t>
        </is>
      </c>
      <c r="G423" s="2" t="inlineStr">
        <is>
          <t>Pack</t>
        </is>
      </c>
      <c r="H423" s="2" t="inlineStr">
        <is>
          <t>The Time of Battle</t>
        </is>
      </c>
      <c r="I423" s="3" t="n">
        <v>7.28</v>
      </c>
      <c r="J423" s="3" t="n">
        <v>7.04</v>
      </c>
      <c r="K423" s="3" t="n"/>
      <c r="L423" s="3" t="n">
        <v>1.5</v>
      </c>
      <c r="M423" s="2" t="inlineStr">
        <is>
          <t>PriceCharting + TCGplayer</t>
        </is>
      </c>
      <c r="N423" s="4" t="inlineStr">
        <is>
          <t>https://www.pricecharting.com/game/one-piece-the-time-of-battle/booster-pack</t>
        </is>
      </c>
      <c r="O423" s="4" t="inlineStr">
        <is>
          <t>https://www.tcgplayer.com/product/689341</t>
        </is>
      </c>
    </row>
    <row r="424">
      <c r="A424" s="2" t="inlineStr">
        <is>
          <t>The Time Of Battle Sealed Double Pack</t>
        </is>
      </c>
      <c r="B424" s="3">
        <f>IF(I424&lt;&gt;"",I424,IF(J424&lt;&gt;"",J424,IF(K424&lt;&gt;"",K424,L424)))</f>
        <v>30.49</v>
      </c>
      <c r="C424" s="3">
        <f>MEDIAN(I424:L424)</f>
        <v>30.49</v>
      </c>
      <c r="D424" s="3">
        <f>ROUND(C424*(1-Settings!$B$2),2)</f>
        <v>21.34</v>
      </c>
      <c r="E424" s="3">
        <f>ROUND(C424*(1-Settings!$B$3),2)</f>
        <v>21.34</v>
      </c>
      <c r="F424" s="2" t="inlineStr">
        <is>
          <t>One Piece</t>
        </is>
      </c>
      <c r="G424" s="2" t="inlineStr">
        <is>
          <t>Pack</t>
        </is>
      </c>
      <c r="H424" s="2" t="inlineStr">
        <is>
          <t>The Time Of Battle</t>
        </is>
      </c>
      <c r="I424" s="3" t="n">
        <v>30.49</v>
      </c>
      <c r="J424" s="3" t="n"/>
      <c r="K424" s="3" t="n"/>
      <c r="L424" s="3" t="n"/>
      <c r="M424" s="2" t="inlineStr">
        <is>
          <t>PriceCharting</t>
        </is>
      </c>
      <c r="N424" s="4" t="inlineStr">
        <is>
          <t>https://www.pricecharting.com/game/one-piece-the-time-of-battle/sealed-double-pack</t>
        </is>
      </c>
    </row>
    <row r="425">
      <c r="A425" s="2" t="inlineStr">
        <is>
          <t>The Time of Battle Sleeved Booster Pack</t>
        </is>
      </c>
      <c r="B425" s="3">
        <f>IF(I425&lt;&gt;"",I425,IF(J425&lt;&gt;"",J425,IF(K425&lt;&gt;"",K425,L425)))</f>
        <v>10.75</v>
      </c>
      <c r="C425" s="3">
        <f>MEDIAN(I425:L425)</f>
        <v>10.27</v>
      </c>
      <c r="D425" s="3">
        <f>ROUND(C425*(1-Settings!$B$2),2)</f>
        <v>7.19</v>
      </c>
      <c r="E425" s="3">
        <f>ROUND(C425*(1-Settings!$B$3),2)</f>
        <v>7.19</v>
      </c>
      <c r="F425" s="2" t="inlineStr">
        <is>
          <t>One Piece</t>
        </is>
      </c>
      <c r="G425" s="2" t="inlineStr">
        <is>
          <t>Pack</t>
        </is>
      </c>
      <c r="H425" s="2" t="inlineStr">
        <is>
          <t>The Time of Battle</t>
        </is>
      </c>
      <c r="I425" s="3" t="n">
        <v>10.75</v>
      </c>
      <c r="J425" s="3" t="n">
        <v>10.27</v>
      </c>
      <c r="K425" s="3" t="n"/>
      <c r="L425" s="3" t="n">
        <v>9.390000000000001</v>
      </c>
      <c r="M425" s="2" t="inlineStr">
        <is>
          <t>PriceCharting + TCGplayer</t>
        </is>
      </c>
      <c r="N425" s="4" t="inlineStr">
        <is>
          <t>https://www.pricecharting.com/game/one-piece-the-time-of-battle/sleeved-booster-pack</t>
        </is>
      </c>
      <c r="O425" s="4" t="inlineStr">
        <is>
          <t>https://www.tcgplayer.com/product/689347</t>
        </is>
      </c>
    </row>
    <row r="426">
      <c r="A426" s="2" t="inlineStr">
        <is>
          <t>The Time of Battle - Release Event Pack</t>
        </is>
      </c>
      <c r="B426" s="3">
        <f>IF(I426&lt;&gt;"",I426,IF(J426&lt;&gt;"",J426,IF(K426&lt;&gt;"",K426,L426)))</f>
        <v>6.4</v>
      </c>
      <c r="C426" s="3">
        <f>MEDIAN(I426:L426)</f>
        <v>5.99</v>
      </c>
      <c r="D426" s="3">
        <f>ROUND(C426*(1-Settings!$B$2),2)</f>
        <v>4.19</v>
      </c>
      <c r="E426" s="3">
        <f>ROUND(C426*(1-Settings!$B$3),2)</f>
        <v>4.19</v>
      </c>
      <c r="F426" s="2" t="inlineStr">
        <is>
          <t>One Piece</t>
        </is>
      </c>
      <c r="G426" s="2" t="inlineStr">
        <is>
          <t>Pack</t>
        </is>
      </c>
      <c r="H426" s="2" t="inlineStr">
        <is>
          <t>The Time of Battle Release Event Cards</t>
        </is>
      </c>
      <c r="I426" s="3" t="n"/>
      <c r="J426" s="3" t="n">
        <v>6.4</v>
      </c>
      <c r="K426" s="3" t="n"/>
      <c r="L426" s="3" t="n">
        <v>5.58</v>
      </c>
      <c r="M426" s="2" t="inlineStr">
        <is>
          <t>TCGplayer</t>
        </is>
      </c>
      <c r="O426" s="4" t="inlineStr">
        <is>
          <t>https://www.tcgplayer.com/product/697491</t>
        </is>
      </c>
    </row>
    <row r="427">
      <c r="A427" s="2" t="inlineStr">
        <is>
          <t>The World's Strongest Warriors Booster Pack</t>
        </is>
      </c>
      <c r="B427" s="3">
        <f>IF(I427&lt;&gt;"",I427,IF(J427&lt;&gt;"",J427,IF(K427&lt;&gt;"",K427,L427)))</f>
        <v>10.1</v>
      </c>
      <c r="C427" s="3">
        <f>MEDIAN(I427:L427)</f>
        <v>7.05</v>
      </c>
      <c r="D427" s="3">
        <f>ROUND(C427*(1-Settings!$B$2),2)</f>
        <v>4.94</v>
      </c>
      <c r="E427" s="3">
        <f>ROUND(C427*(1-Settings!$B$3),2)</f>
        <v>4.94</v>
      </c>
      <c r="F427" s="2" t="inlineStr">
        <is>
          <t>One Piece</t>
        </is>
      </c>
      <c r="G427" s="2" t="inlineStr">
        <is>
          <t>Pack</t>
        </is>
      </c>
      <c r="H427" s="2" t="inlineStr">
        <is>
          <t>The World's Strongest Warriors</t>
        </is>
      </c>
      <c r="I427" s="3" t="n"/>
      <c r="J427" s="3" t="n">
        <v>10.1</v>
      </c>
      <c r="K427" s="3" t="n"/>
      <c r="L427" s="3" t="n">
        <v>4</v>
      </c>
      <c r="M427" s="2" t="inlineStr">
        <is>
          <t>TCGplayer</t>
        </is>
      </c>
      <c r="O427" s="4" t="inlineStr">
        <is>
          <t>https://www.tcgplayer.com/product/704756</t>
        </is>
      </c>
    </row>
    <row r="428">
      <c r="A428" s="2" t="inlineStr">
        <is>
          <t>The World's Strongest Warriors Sleeved Booster Pack</t>
        </is>
      </c>
      <c r="B428" s="3">
        <f>IF(I428&lt;&gt;"",I428,IF(J428&lt;&gt;"",J428,IF(K428&lt;&gt;"",K428,L428)))</f>
        <v>12.82</v>
      </c>
      <c r="C428" s="3">
        <f>MEDIAN(I428:L428)</f>
        <v>11.405000000000001</v>
      </c>
      <c r="D428" s="3">
        <f>ROUND(C428*(1-Settings!$B$2),2)</f>
        <v>7.98</v>
      </c>
      <c r="E428" s="3">
        <f>ROUND(C428*(1-Settings!$B$3),2)</f>
        <v>7.98</v>
      </c>
      <c r="F428" s="2" t="inlineStr">
        <is>
          <t>One Piece</t>
        </is>
      </c>
      <c r="G428" s="2" t="inlineStr">
        <is>
          <t>Pack</t>
        </is>
      </c>
      <c r="H428" s="2" t="inlineStr">
        <is>
          <t>The World's Strongest Warriors</t>
        </is>
      </c>
      <c r="I428" s="3" t="n"/>
      <c r="J428" s="3" t="n">
        <v>12.82</v>
      </c>
      <c r="K428" s="3" t="n"/>
      <c r="L428" s="3" t="n">
        <v>9.99</v>
      </c>
      <c r="M428" s="2" t="inlineStr">
        <is>
          <t>TCGplayer</t>
        </is>
      </c>
      <c r="O428" s="4" t="inlineStr">
        <is>
          <t>https://www.tcgplayer.com/product/704755</t>
        </is>
      </c>
    </row>
    <row r="429">
      <c r="A429" s="2" t="inlineStr">
        <is>
          <t>The World's Strongest Warriors - 4th Anniversary Tournament Pack</t>
        </is>
      </c>
      <c r="B429" s="3">
        <f>IF(I429&lt;&gt;"",I429,IF(J429&lt;&gt;"",J429,IF(K429&lt;&gt;"",K429,L429)))</f>
        <v>6.32</v>
      </c>
      <c r="C429" s="3">
        <f>MEDIAN(I429:L429)</f>
        <v>5.66</v>
      </c>
      <c r="D429" s="3">
        <f>ROUND(C429*(1-Settings!$B$2),2)</f>
        <v>3.96</v>
      </c>
      <c r="E429" s="3">
        <f>ROUND(C429*(1-Settings!$B$3),2)</f>
        <v>3.96</v>
      </c>
      <c r="F429" s="2" t="inlineStr">
        <is>
          <t>One Piece</t>
        </is>
      </c>
      <c r="G429" s="2" t="inlineStr">
        <is>
          <t>Pack</t>
        </is>
      </c>
      <c r="H429" s="2" t="inlineStr">
        <is>
          <t>The World's Strongest Warriors Release Event Cards</t>
        </is>
      </c>
      <c r="I429" s="3" t="n"/>
      <c r="J429" s="3" t="n">
        <v>6.32</v>
      </c>
      <c r="K429" s="3" t="n"/>
      <c r="L429" s="3" t="n">
        <v>5</v>
      </c>
      <c r="M429" s="2" t="inlineStr">
        <is>
          <t>TCGplayer</t>
        </is>
      </c>
      <c r="O429" s="4" t="inlineStr">
        <is>
          <t>https://www.tcgplayer.com/product/712741</t>
        </is>
      </c>
    </row>
    <row r="430">
      <c r="A430" s="2" t="inlineStr">
        <is>
          <t>Special DON!! Card Pack DP-05</t>
        </is>
      </c>
      <c r="B430" s="3">
        <f>IF(I430&lt;&gt;"",I430,IF(J430&lt;&gt;"",J430,IF(K430&lt;&gt;"",K430,L430)))</f>
        <v>6.22</v>
      </c>
      <c r="C430" s="3">
        <f>MEDIAN(I430:L430)</f>
        <v>5.609999999999999</v>
      </c>
      <c r="D430" s="3">
        <f>ROUND(C430*(1-Settings!$B$2),2)</f>
        <v>3.93</v>
      </c>
      <c r="E430" s="3">
        <f>ROUND(C430*(1-Settings!$B$3),2)</f>
        <v>3.93</v>
      </c>
      <c r="F430" s="2" t="inlineStr">
        <is>
          <t>One Piece</t>
        </is>
      </c>
      <c r="G430" s="2" t="inlineStr">
        <is>
          <t>Pack</t>
        </is>
      </c>
      <c r="H430" s="2" t="inlineStr">
        <is>
          <t>Two Legends</t>
        </is>
      </c>
      <c r="I430" s="3" t="n"/>
      <c r="J430" s="3" t="n">
        <v>6.22</v>
      </c>
      <c r="K430" s="3" t="n"/>
      <c r="L430" s="3" t="n">
        <v>5</v>
      </c>
      <c r="M430" s="2" t="inlineStr">
        <is>
          <t>TCGplayer</t>
        </is>
      </c>
      <c r="O430" s="4" t="inlineStr">
        <is>
          <t>https://www.tcgplayer.com/product/586061</t>
        </is>
      </c>
    </row>
    <row r="431">
      <c r="A431" s="2" t="inlineStr">
        <is>
          <t>Two Legends - Booster Pack</t>
        </is>
      </c>
      <c r="B431" s="3">
        <f>IF(I431&lt;&gt;"",I431,IF(J431&lt;&gt;"",J431,IF(K431&lt;&gt;"",K431,L431)))</f>
        <v>8.8</v>
      </c>
      <c r="C431" s="3">
        <f>MEDIAN(I431:L431)</f>
        <v>8.8</v>
      </c>
      <c r="D431" s="3">
        <f>ROUND(C431*(1-Settings!$B$2),2)</f>
        <v>6.16</v>
      </c>
      <c r="E431" s="3">
        <f>ROUND(C431*(1-Settings!$B$3),2)</f>
        <v>6.16</v>
      </c>
      <c r="F431" s="2" t="inlineStr">
        <is>
          <t>One Piece</t>
        </is>
      </c>
      <c r="G431" s="2" t="inlineStr">
        <is>
          <t>Pack</t>
        </is>
      </c>
      <c r="H431" s="2" t="inlineStr">
        <is>
          <t>Two Legends</t>
        </is>
      </c>
      <c r="I431" s="3" t="n">
        <v>8.800000000000001</v>
      </c>
      <c r="J431" s="3" t="n">
        <v>8.85</v>
      </c>
      <c r="K431" s="3" t="n"/>
      <c r="L431" s="3" t="n">
        <v>5.78</v>
      </c>
      <c r="M431" s="2" t="inlineStr">
        <is>
          <t>PriceCharting + TCGplayer</t>
        </is>
      </c>
      <c r="N431" s="4" t="inlineStr">
        <is>
          <t>https://www.pricecharting.com/game/one-piece-two-legends/booster-pack</t>
        </is>
      </c>
      <c r="O431" s="4" t="inlineStr">
        <is>
          <t>https://www.tcgplayer.com/product/542502</t>
        </is>
      </c>
    </row>
    <row r="432">
      <c r="A432" s="2" t="inlineStr">
        <is>
          <t>Two Legends - Sleeved Booster Pack</t>
        </is>
      </c>
      <c r="B432" s="3">
        <f>IF(I432&lt;&gt;"",I432,IF(J432&lt;&gt;"",J432,IF(K432&lt;&gt;"",K432,L432)))</f>
        <v>16.77</v>
      </c>
      <c r="C432" s="3">
        <f>MEDIAN(I432:L432)</f>
        <v>16.77</v>
      </c>
      <c r="D432" s="3">
        <f>ROUND(C432*(1-Settings!$B$2),2)</f>
        <v>11.74</v>
      </c>
      <c r="E432" s="3">
        <f>ROUND(C432*(1-Settings!$B$3),2)</f>
        <v>11.74</v>
      </c>
      <c r="F432" s="2" t="inlineStr">
        <is>
          <t>One Piece</t>
        </is>
      </c>
      <c r="G432" s="2" t="inlineStr">
        <is>
          <t>Pack</t>
        </is>
      </c>
      <c r="H432" s="2" t="inlineStr">
        <is>
          <t>Two Legends</t>
        </is>
      </c>
      <c r="I432" s="3" t="n">
        <v>16.77</v>
      </c>
      <c r="J432" s="3" t="n">
        <v>16.77</v>
      </c>
      <c r="K432" s="3" t="n"/>
      <c r="L432" s="3" t="n">
        <v>14</v>
      </c>
      <c r="M432" s="2" t="inlineStr">
        <is>
          <t>PriceCharting + TCGplayer</t>
        </is>
      </c>
      <c r="N432" s="4" t="inlineStr">
        <is>
          <t>https://www.pricecharting.com/game/one-piece-two-legends/sleeved-booster-pack</t>
        </is>
      </c>
      <c r="O432" s="4" t="inlineStr">
        <is>
          <t>https://www.tcgplayer.com/product/542503</t>
        </is>
      </c>
    </row>
    <row r="433">
      <c r="A433" s="2" t="inlineStr">
        <is>
          <t>Two Legends Double Pack DP-05</t>
        </is>
      </c>
      <c r="B433" s="3">
        <f>IF(I433&lt;&gt;"",I433,IF(J433&lt;&gt;"",J433,IF(K433&lt;&gt;"",K433,L433)))</f>
        <v>50.55</v>
      </c>
      <c r="C433" s="3">
        <f>MEDIAN(I433:L433)</f>
        <v>50.55</v>
      </c>
      <c r="D433" s="3">
        <f>ROUND(C433*(1-Settings!$B$2),2)</f>
        <v>35.39</v>
      </c>
      <c r="E433" s="3">
        <f>ROUND(C433*(1-Settings!$B$3),2)</f>
        <v>35.39</v>
      </c>
      <c r="F433" s="2" t="inlineStr">
        <is>
          <t>One Piece</t>
        </is>
      </c>
      <c r="G433" s="2" t="inlineStr">
        <is>
          <t>Pack</t>
        </is>
      </c>
      <c r="H433" s="2" t="inlineStr">
        <is>
          <t>Two Legends</t>
        </is>
      </c>
      <c r="I433" s="3" t="n">
        <v>50.55</v>
      </c>
      <c r="J433" s="3" t="n"/>
      <c r="K433" s="3" t="n"/>
      <c r="L433" s="3" t="n"/>
      <c r="M433" s="2" t="inlineStr">
        <is>
          <t>PriceCharting</t>
        </is>
      </c>
      <c r="N433" s="4" t="inlineStr">
        <is>
          <t>https://www.pricecharting.com/game/one-piece-two-legends/double-pack-dp-05</t>
        </is>
      </c>
    </row>
    <row r="434">
      <c r="A434" s="2" t="inlineStr">
        <is>
          <t>Two Legends Pre-Release Pack</t>
        </is>
      </c>
      <c r="B434" s="3">
        <f>IF(I434&lt;&gt;"",I434,IF(J434&lt;&gt;"",J434,IF(K434&lt;&gt;"",K434,L434)))</f>
        <v>6.3</v>
      </c>
      <c r="C434" s="3">
        <f>MEDIAN(I434:L434)</f>
        <v>6.3</v>
      </c>
      <c r="D434" s="3">
        <f>ROUND(C434*(1-Settings!$B$2),2)</f>
        <v>4.41</v>
      </c>
      <c r="E434" s="3">
        <f>ROUND(C434*(1-Settings!$B$3),2)</f>
        <v>4.41</v>
      </c>
      <c r="F434" s="2" t="inlineStr">
        <is>
          <t>One Piece</t>
        </is>
      </c>
      <c r="G434" s="2" t="inlineStr">
        <is>
          <t>Pack</t>
        </is>
      </c>
      <c r="H434" s="2" t="inlineStr">
        <is>
          <t>Two Legends</t>
        </is>
      </c>
      <c r="I434" s="3" t="n">
        <v>6.3</v>
      </c>
      <c r="J434" s="3" t="n"/>
      <c r="K434" s="3" t="n"/>
      <c r="L434" s="3" t="n"/>
      <c r="M434" s="2" t="inlineStr">
        <is>
          <t>PriceCharting</t>
        </is>
      </c>
      <c r="N434" s="4" t="inlineStr">
        <is>
          <t>https://www.pricecharting.com/game/one-piece-two-legends/pre-release-pack</t>
        </is>
      </c>
    </row>
    <row r="435">
      <c r="A435" s="2" t="inlineStr">
        <is>
          <t>Two Legends - Pre-Release Pack</t>
        </is>
      </c>
      <c r="B435" s="3">
        <f>IF(I435&lt;&gt;"",I435,IF(J435&lt;&gt;"",J435,IF(K435&lt;&gt;"",K435,L435)))</f>
        <v>6.29</v>
      </c>
      <c r="C435" s="3">
        <f>MEDIAN(I435:L435)</f>
        <v>5.76</v>
      </c>
      <c r="D435" s="3">
        <f>ROUND(C435*(1-Settings!$B$2),2)</f>
        <v>4.03</v>
      </c>
      <c r="E435" s="3">
        <f>ROUND(C435*(1-Settings!$B$3),2)</f>
        <v>4.03</v>
      </c>
      <c r="F435" s="2" t="inlineStr">
        <is>
          <t>One Piece</t>
        </is>
      </c>
      <c r="G435" s="2" t="inlineStr">
        <is>
          <t>Pack</t>
        </is>
      </c>
      <c r="H435" s="2" t="inlineStr">
        <is>
          <t>Two Legends Pre-Release Cards</t>
        </is>
      </c>
      <c r="I435" s="3" t="n"/>
      <c r="J435" s="3" t="n">
        <v>6.29</v>
      </c>
      <c r="K435" s="3" t="n"/>
      <c r="L435" s="3" t="n">
        <v>5.23</v>
      </c>
      <c r="M435" s="2" t="inlineStr">
        <is>
          <t>TCGplayer</t>
        </is>
      </c>
      <c r="O435" s="4" t="inlineStr">
        <is>
          <t>https://www.tcgplayer.com/product/577144</t>
        </is>
      </c>
    </row>
    <row r="436">
      <c r="A436" s="2" t="inlineStr">
        <is>
          <t>Ultra Deck The Three Brothers Bonus Pack</t>
        </is>
      </c>
      <c r="B436" s="3">
        <f>IF(I436&lt;&gt;"",I436,IF(J436&lt;&gt;"",J436,IF(K436&lt;&gt;"",K436,L436)))</f>
        <v>37.5</v>
      </c>
      <c r="C436" s="3">
        <f>MEDIAN(I436:L436)</f>
        <v>37.5</v>
      </c>
      <c r="D436" s="3">
        <f>ROUND(C436*(1-Settings!$B$2),2)</f>
        <v>26.25</v>
      </c>
      <c r="E436" s="3">
        <f>ROUND(C436*(1-Settings!$B$3),2)</f>
        <v>26.25</v>
      </c>
      <c r="F436" s="2" t="inlineStr">
        <is>
          <t>One Piece</t>
        </is>
      </c>
      <c r="G436" s="2" t="inlineStr">
        <is>
          <t>Pack</t>
        </is>
      </c>
      <c r="H436" s="2" t="inlineStr">
        <is>
          <t>Ultra Deck The Three Brothers</t>
        </is>
      </c>
      <c r="I436" s="3" t="n">
        <v>37.5</v>
      </c>
      <c r="J436" s="3" t="n"/>
      <c r="K436" s="3" t="n"/>
      <c r="L436" s="3" t="n"/>
      <c r="M436" s="2" t="inlineStr">
        <is>
          <t>PriceCharting</t>
        </is>
      </c>
      <c r="N436" s="4" t="inlineStr">
        <is>
          <t>https://www.pricecharting.com/game/one-piece-ultra-deck-the-three-brothers/bonus-pack</t>
        </is>
      </c>
    </row>
    <row r="437">
      <c r="A437" s="2" t="inlineStr">
        <is>
          <t>Special DON!! Card Pack DP-03</t>
        </is>
      </c>
      <c r="B437" s="3">
        <f>IF(I437&lt;&gt;"",I437,IF(J437&lt;&gt;"",J437,IF(K437&lt;&gt;"",K437,L437)))</f>
        <v>3.89</v>
      </c>
      <c r="C437" s="3">
        <f>MEDIAN(I437:L437)</f>
        <v>3.45</v>
      </c>
      <c r="D437" s="3">
        <f>ROUND(C437*(1-Settings!$B$2),2)</f>
        <v>2.42</v>
      </c>
      <c r="E437" s="3">
        <f>ROUND(C437*(1-Settings!$B$3),2)</f>
        <v>2.42</v>
      </c>
      <c r="F437" s="2" t="inlineStr">
        <is>
          <t>One Piece</t>
        </is>
      </c>
      <c r="G437" s="2" t="inlineStr">
        <is>
          <t>Pack</t>
        </is>
      </c>
      <c r="H437" s="2" t="inlineStr">
        <is>
          <t>Wings of the Captain</t>
        </is>
      </c>
      <c r="I437" s="3" t="n"/>
      <c r="J437" s="3" t="n">
        <v>3.89</v>
      </c>
      <c r="K437" s="3" t="n"/>
      <c r="L437" s="3" t="n">
        <v>3.01</v>
      </c>
      <c r="M437" s="2" t="inlineStr">
        <is>
          <t>TCGplayer</t>
        </is>
      </c>
      <c r="O437" s="4" t="inlineStr">
        <is>
          <t>https://www.tcgplayer.com/product/543906</t>
        </is>
      </c>
    </row>
    <row r="438">
      <c r="A438" s="2" t="inlineStr">
        <is>
          <t>Wings of the Captain - Booster Pack</t>
        </is>
      </c>
      <c r="B438" s="3">
        <f>IF(I438&lt;&gt;"",I438,IF(J438&lt;&gt;"",J438,IF(K438&lt;&gt;"",K438,L438)))</f>
        <v>24.99</v>
      </c>
      <c r="C438" s="3">
        <f>MEDIAN(I438:L438)</f>
        <v>14.64</v>
      </c>
      <c r="D438" s="3">
        <f>ROUND(C438*(1-Settings!$B$2),2)</f>
        <v>10.25</v>
      </c>
      <c r="E438" s="3">
        <f>ROUND(C438*(1-Settings!$B$3),2)</f>
        <v>10.25</v>
      </c>
      <c r="F438" s="2" t="inlineStr">
        <is>
          <t>One Piece</t>
        </is>
      </c>
      <c r="G438" s="2" t="inlineStr">
        <is>
          <t>Pack</t>
        </is>
      </c>
      <c r="H438" s="2" t="inlineStr">
        <is>
          <t>Wings of the Captain</t>
        </is>
      </c>
      <c r="I438" s="3" t="n">
        <v>24.99</v>
      </c>
      <c r="J438" s="3" t="n">
        <v>14.64</v>
      </c>
      <c r="K438" s="3" t="n"/>
      <c r="L438" s="3" t="n">
        <v>14</v>
      </c>
      <c r="M438" s="2" t="inlineStr">
        <is>
          <t>PriceCharting + TCGplayer</t>
        </is>
      </c>
      <c r="N438" s="4" t="inlineStr">
        <is>
          <t>https://www.pricecharting.com/game/one-piece-wings-of-the-captain/booster-pack</t>
        </is>
      </c>
      <c r="O438" s="4" t="inlineStr">
        <is>
          <t>https://www.tcgplayer.com/product/515077</t>
        </is>
      </c>
    </row>
    <row r="439">
      <c r="A439" s="2" t="inlineStr">
        <is>
          <t>Wings of the Captain - Sleeved Booster Pack</t>
        </is>
      </c>
      <c r="B439" s="3">
        <f>IF(I439&lt;&gt;"",I439,IF(J439&lt;&gt;"",J439,IF(K439&lt;&gt;"",K439,L439)))</f>
        <v>25.3</v>
      </c>
      <c r="C439" s="3">
        <f>MEDIAN(I439:L439)</f>
        <v>25.3</v>
      </c>
      <c r="D439" s="3">
        <f>ROUND(C439*(1-Settings!$B$2),2)</f>
        <v>17.71</v>
      </c>
      <c r="E439" s="3">
        <f>ROUND(C439*(1-Settings!$B$3),2)</f>
        <v>17.71</v>
      </c>
      <c r="F439" s="2" t="inlineStr">
        <is>
          <t>One Piece</t>
        </is>
      </c>
      <c r="G439" s="2" t="inlineStr">
        <is>
          <t>Pack</t>
        </is>
      </c>
      <c r="H439" s="2" t="inlineStr">
        <is>
          <t>Wings of the Captain</t>
        </is>
      </c>
      <c r="I439" s="3" t="n">
        <v>25.3</v>
      </c>
      <c r="J439" s="3" t="n">
        <v>26.09</v>
      </c>
      <c r="K439" s="3" t="n"/>
      <c r="L439" s="3" t="n">
        <v>24</v>
      </c>
      <c r="M439" s="2" t="inlineStr">
        <is>
          <t>PriceCharting + TCGplayer</t>
        </is>
      </c>
      <c r="N439" s="4" t="inlineStr">
        <is>
          <t>https://www.pricecharting.com/game/one-piece-wings-of-the-captain/sleeved-booster-pack</t>
        </is>
      </c>
      <c r="O439" s="4" t="inlineStr">
        <is>
          <t>https://www.tcgplayer.com/product/543371</t>
        </is>
      </c>
    </row>
    <row r="440">
      <c r="A440" s="2" t="inlineStr">
        <is>
          <t>Wings Of The Captain Double Pack DP-03</t>
        </is>
      </c>
      <c r="B440" s="3">
        <f>IF(I440&lt;&gt;"",I440,IF(J440&lt;&gt;"",J440,IF(K440&lt;&gt;"",K440,L440)))</f>
        <v>66.0</v>
      </c>
      <c r="C440" s="3">
        <f>MEDIAN(I440:L440)</f>
        <v>66.0</v>
      </c>
      <c r="D440" s="3">
        <f>ROUND(C440*(1-Settings!$B$2),2)</f>
        <v>46.2</v>
      </c>
      <c r="E440" s="3">
        <f>ROUND(C440*(1-Settings!$B$3),2)</f>
        <v>46.2</v>
      </c>
      <c r="F440" s="2" t="inlineStr">
        <is>
          <t>One Piece</t>
        </is>
      </c>
      <c r="G440" s="2" t="inlineStr">
        <is>
          <t>Pack</t>
        </is>
      </c>
      <c r="H440" s="2" t="inlineStr">
        <is>
          <t>Wings Of The Captain</t>
        </is>
      </c>
      <c r="I440" s="3" t="n">
        <v>66</v>
      </c>
      <c r="J440" s="3" t="n"/>
      <c r="K440" s="3" t="n"/>
      <c r="L440" s="3" t="n"/>
      <c r="M440" s="2" t="inlineStr">
        <is>
          <t>PriceCharting</t>
        </is>
      </c>
      <c r="N440" s="4" t="inlineStr">
        <is>
          <t>https://www.pricecharting.com/game/one-piece-wings-of-the-captain/double-pack-dp-03</t>
        </is>
      </c>
    </row>
    <row r="441">
      <c r="A441" s="2" t="inlineStr">
        <is>
          <t>Wings of the Captain - Pre-Release Pack</t>
        </is>
      </c>
      <c r="B441" s="3">
        <f>IF(I441&lt;&gt;"",I441,IF(J441&lt;&gt;"",J441,IF(K441&lt;&gt;"",K441,L441)))</f>
        <v>5.67</v>
      </c>
      <c r="C441" s="3">
        <f>MEDIAN(I441:L441)</f>
        <v>5.45</v>
      </c>
      <c r="D441" s="3">
        <f>ROUND(C441*(1-Settings!$B$2),2)</f>
        <v>3.82</v>
      </c>
      <c r="E441" s="3">
        <f>ROUND(C441*(1-Settings!$B$3),2)</f>
        <v>3.82</v>
      </c>
      <c r="F441" s="2" t="inlineStr">
        <is>
          <t>One Piece</t>
        </is>
      </c>
      <c r="G441" s="2" t="inlineStr">
        <is>
          <t>Pack</t>
        </is>
      </c>
      <c r="H441" s="2" t="inlineStr">
        <is>
          <t>Wings of the Captain Pre-Release Cards</t>
        </is>
      </c>
      <c r="I441" s="3" t="n"/>
      <c r="J441" s="3" t="n">
        <v>5.67</v>
      </c>
      <c r="K441" s="3" t="n"/>
      <c r="L441" s="3" t="n">
        <v>5.23</v>
      </c>
      <c r="M441" s="2" t="inlineStr">
        <is>
          <t>TCGplayer</t>
        </is>
      </c>
      <c r="O441" s="4" t="inlineStr">
        <is>
          <t>https://www.tcgplayer.com/product/537437</t>
        </is>
      </c>
    </row>
    <row r="442">
      <c r="A442" s="2" t="inlineStr">
        <is>
          <t>1999 Topps Movie Booster Box</t>
        </is>
      </c>
      <c r="B442" s="3">
        <f>IF(I442&lt;&gt;"",I442,IF(J442&lt;&gt;"",J442,IF(K442&lt;&gt;"",K442,L442)))</f>
        <v>2050.0</v>
      </c>
      <c r="C442" s="3">
        <f>MEDIAN(I442:L442)</f>
        <v>2050.0</v>
      </c>
      <c r="D442" s="3">
        <f>ROUND(C442*(1-Settings!$B$2),2)</f>
        <v>1435.0</v>
      </c>
      <c r="E442" s="3">
        <f>ROUND(C442*(1-Settings!$B$3),2)</f>
        <v>1435.0</v>
      </c>
      <c r="F442" s="2" t="inlineStr">
        <is>
          <t>Pokemon</t>
        </is>
      </c>
      <c r="G442" s="2" t="inlineStr">
        <is>
          <t>Box</t>
        </is>
      </c>
      <c r="H442" s="2" t="inlineStr">
        <is>
          <t>1999 Topps Movie</t>
        </is>
      </c>
      <c r="I442" s="3" t="n">
        <v>2050</v>
      </c>
      <c r="J442" s="3" t="n"/>
      <c r="K442" s="3" t="n"/>
      <c r="L442" s="3" t="n"/>
      <c r="M442" s="2" t="inlineStr">
        <is>
          <t>PriceCharting</t>
        </is>
      </c>
      <c r="N442" s="4" t="inlineStr">
        <is>
          <t>https://www.pricecharting.com/game/pokemon-1999-topps-movie/booster-box</t>
        </is>
      </c>
    </row>
    <row r="443">
      <c r="A443" s="2" t="inlineStr">
        <is>
          <t>1999 Topps Movie Booster Box [Black Logo]</t>
        </is>
      </c>
      <c r="B443" s="3">
        <f>IF(I443&lt;&gt;"",I443,IF(J443&lt;&gt;"",J443,IF(K443&lt;&gt;"",K443,L443)))</f>
        <v>712.86</v>
      </c>
      <c r="C443" s="3">
        <f>MEDIAN(I443:L443)</f>
        <v>712.86</v>
      </c>
      <c r="D443" s="3">
        <f>ROUND(C443*(1-Settings!$B$2),2)</f>
        <v>499.0</v>
      </c>
      <c r="E443" s="3">
        <f>ROUND(C443*(1-Settings!$B$3),2)</f>
        <v>499.0</v>
      </c>
      <c r="F443" s="2" t="inlineStr">
        <is>
          <t>Pokemon</t>
        </is>
      </c>
      <c r="G443" s="2" t="inlineStr">
        <is>
          <t>Box</t>
        </is>
      </c>
      <c r="H443" s="2" t="inlineStr">
        <is>
          <t>1999 Topps Movie</t>
        </is>
      </c>
      <c r="I443" s="3" t="n">
        <v>712.86</v>
      </c>
      <c r="J443" s="3" t="n"/>
      <c r="K443" s="3" t="n"/>
      <c r="L443" s="3" t="n"/>
      <c r="M443" s="2" t="inlineStr">
        <is>
          <t>PriceCharting</t>
        </is>
      </c>
      <c r="N443" s="4" t="inlineStr">
        <is>
          <t>https://www.pricecharting.com/game/pokemon-1999-topps-movie/booster-box-black-logo</t>
        </is>
      </c>
    </row>
    <row r="444">
      <c r="A444" s="2" t="inlineStr">
        <is>
          <t>1999 Topps Tv Booster Box</t>
        </is>
      </c>
      <c r="B444" s="3">
        <f>IF(I444&lt;&gt;"",I444,IF(J444&lt;&gt;"",J444,IF(K444&lt;&gt;"",K444,L444)))</f>
        <v>2378.0</v>
      </c>
      <c r="C444" s="3">
        <f>MEDIAN(I444:L444)</f>
        <v>2378.0</v>
      </c>
      <c r="D444" s="3">
        <f>ROUND(C444*(1-Settings!$B$2),2)</f>
        <v>1664.6</v>
      </c>
      <c r="E444" s="3">
        <f>ROUND(C444*(1-Settings!$B$3),2)</f>
        <v>1664.6</v>
      </c>
      <c r="F444" s="2" t="inlineStr">
        <is>
          <t>Pokemon</t>
        </is>
      </c>
      <c r="G444" s="2" t="inlineStr">
        <is>
          <t>Box</t>
        </is>
      </c>
      <c r="H444" s="2" t="inlineStr">
        <is>
          <t>1999 Topps Tv</t>
        </is>
      </c>
      <c r="I444" s="3" t="n">
        <v>2378</v>
      </c>
      <c r="J444" s="3" t="n"/>
      <c r="K444" s="3" t="n"/>
      <c r="L444" s="3" t="n"/>
      <c r="M444" s="2" t="inlineStr">
        <is>
          <t>PriceCharting</t>
        </is>
      </c>
      <c r="N444" s="4" t="inlineStr">
        <is>
          <t>https://www.pricecharting.com/game/pokemon-1999-topps-tv/booster-box</t>
        </is>
      </c>
    </row>
    <row r="445">
      <c r="A445" s="2" t="inlineStr">
        <is>
          <t>2000 Topps Tv Booster Box [Series 2]</t>
        </is>
      </c>
      <c r="B445" s="3">
        <f>IF(I445&lt;&gt;"",I445,IF(J445&lt;&gt;"",J445,IF(K445&lt;&gt;"",K445,L445)))</f>
        <v>2699.0</v>
      </c>
      <c r="C445" s="3">
        <f>MEDIAN(I445:L445)</f>
        <v>2699.0</v>
      </c>
      <c r="D445" s="3">
        <f>ROUND(C445*(1-Settings!$B$2),2)</f>
        <v>1889.3</v>
      </c>
      <c r="E445" s="3">
        <f>ROUND(C445*(1-Settings!$B$3),2)</f>
        <v>1889.3</v>
      </c>
      <c r="F445" s="2" t="inlineStr">
        <is>
          <t>Pokemon</t>
        </is>
      </c>
      <c r="G445" s="2" t="inlineStr">
        <is>
          <t>Box</t>
        </is>
      </c>
      <c r="H445" s="2" t="inlineStr">
        <is>
          <t>2000 Topps Tv</t>
        </is>
      </c>
      <c r="I445" s="3" t="n">
        <v>2699</v>
      </c>
      <c r="J445" s="3" t="n"/>
      <c r="K445" s="3" t="n"/>
      <c r="L445" s="3" t="n"/>
      <c r="M445" s="2" t="inlineStr">
        <is>
          <t>PriceCharting</t>
        </is>
      </c>
      <c r="N445" s="4" t="inlineStr">
        <is>
          <t>https://www.pricecharting.com/game/pokemon-2000-topps-tv/booster-box-series-2</t>
        </is>
      </c>
    </row>
    <row r="446">
      <c r="A446" s="2" t="inlineStr">
        <is>
          <t>2000 Topps Tv Booster Box [Series 3]</t>
        </is>
      </c>
      <c r="B446" s="3">
        <f>IF(I446&lt;&gt;"",I446,IF(J446&lt;&gt;"",J446,IF(K446&lt;&gt;"",K446,L446)))</f>
        <v>5400.0</v>
      </c>
      <c r="C446" s="3">
        <f>MEDIAN(I446:L446)</f>
        <v>5400.0</v>
      </c>
      <c r="D446" s="3">
        <f>ROUND(C446*(1-Settings!$B$2),2)</f>
        <v>3780.0</v>
      </c>
      <c r="E446" s="3">
        <f>ROUND(C446*(1-Settings!$B$3),2)</f>
        <v>3780.0</v>
      </c>
      <c r="F446" s="2" t="inlineStr">
        <is>
          <t>Pokemon</t>
        </is>
      </c>
      <c r="G446" s="2" t="inlineStr">
        <is>
          <t>Box</t>
        </is>
      </c>
      <c r="H446" s="2" t="inlineStr">
        <is>
          <t>2000 Topps Tv</t>
        </is>
      </c>
      <c r="I446" s="3" t="n">
        <v>5400</v>
      </c>
      <c r="J446" s="3" t="n"/>
      <c r="K446" s="3" t="n"/>
      <c r="L446" s="3" t="n"/>
      <c r="M446" s="2" t="inlineStr">
        <is>
          <t>PriceCharting</t>
        </is>
      </c>
      <c r="N446" s="4" t="inlineStr">
        <is>
          <t>https://www.pricecharting.com/game/pokemon-2000-topps-tv/booster-box-series-3</t>
        </is>
      </c>
    </row>
    <row r="447">
      <c r="A447" s="2" t="inlineStr">
        <is>
          <t>Ancient Origins Booster Box</t>
        </is>
      </c>
      <c r="B447" s="3">
        <f>IF(I447&lt;&gt;"",I447,IF(J447&lt;&gt;"",J447,IF(K447&lt;&gt;"",K447,L447)))</f>
        <v>6279.92</v>
      </c>
      <c r="C447" s="3">
        <f>MEDIAN(I447:L447)</f>
        <v>6279.92</v>
      </c>
      <c r="D447" s="3">
        <f>ROUND(C447*(1-Settings!$B$2),2)</f>
        <v>4395.94</v>
      </c>
      <c r="E447" s="3">
        <f>ROUND(C447*(1-Settings!$B$3),2)</f>
        <v>4395.94</v>
      </c>
      <c r="F447" s="2" t="inlineStr">
        <is>
          <t>Pokemon</t>
        </is>
      </c>
      <c r="G447" s="2" t="inlineStr">
        <is>
          <t>Box</t>
        </is>
      </c>
      <c r="H447" s="2" t="inlineStr">
        <is>
          <t>Ancient Origins</t>
        </is>
      </c>
      <c r="I447" s="3" t="n">
        <v>6279.92</v>
      </c>
      <c r="J447" s="3" t="n"/>
      <c r="K447" s="3" t="n"/>
      <c r="L447" s="3" t="n"/>
      <c r="M447" s="2" t="inlineStr">
        <is>
          <t>PriceCharting</t>
        </is>
      </c>
      <c r="N447" s="4" t="inlineStr">
        <is>
          <t>https://www.pricecharting.com/game/pokemon-ancient-origins/booster-box</t>
        </is>
      </c>
    </row>
    <row r="448">
      <c r="A448" s="2" t="inlineStr">
        <is>
          <t>Aquapolis Booster Box</t>
        </is>
      </c>
      <c r="B448" s="3">
        <f>IF(I448&lt;&gt;"",I448,IF(J448&lt;&gt;"",J448,IF(K448&lt;&gt;"",K448,L448)))</f>
        <v>212500.0</v>
      </c>
      <c r="C448" s="3">
        <f>MEDIAN(I448:L448)</f>
        <v>212500.0</v>
      </c>
      <c r="D448" s="3">
        <f>ROUND(C448*(1-Settings!$B$2),2)</f>
        <v>148750.0</v>
      </c>
      <c r="E448" s="3">
        <f>ROUND(C448*(1-Settings!$B$3),2)</f>
        <v>148750.0</v>
      </c>
      <c r="F448" s="2" t="inlineStr">
        <is>
          <t>Pokemon</t>
        </is>
      </c>
      <c r="G448" s="2" t="inlineStr">
        <is>
          <t>Box</t>
        </is>
      </c>
      <c r="H448" s="2" t="inlineStr">
        <is>
          <t>Aquapolis</t>
        </is>
      </c>
      <c r="I448" s="3" t="n">
        <v>212500</v>
      </c>
      <c r="J448" s="3" t="n"/>
      <c r="K448" s="3" t="n"/>
      <c r="L448" s="3" t="n"/>
      <c r="M448" s="2" t="inlineStr">
        <is>
          <t>PriceCharting</t>
        </is>
      </c>
      <c r="N448" s="4" t="inlineStr">
        <is>
          <t>https://www.pricecharting.com/game/pokemon-aquapolis/booster-box</t>
        </is>
      </c>
    </row>
    <row r="449">
      <c r="A449" s="2" t="inlineStr">
        <is>
          <t>Arceus Booster Box</t>
        </is>
      </c>
      <c r="B449" s="3">
        <f>IF(I449&lt;&gt;"",I449,IF(J449&lt;&gt;"",J449,IF(K449&lt;&gt;"",K449,L449)))</f>
        <v>14523.16</v>
      </c>
      <c r="C449" s="3">
        <f>MEDIAN(I449:L449)</f>
        <v>14523.16</v>
      </c>
      <c r="D449" s="3">
        <f>ROUND(C449*(1-Settings!$B$2),2)</f>
        <v>10166.21</v>
      </c>
      <c r="E449" s="3">
        <f>ROUND(C449*(1-Settings!$B$3),2)</f>
        <v>10166.21</v>
      </c>
      <c r="F449" s="2" t="inlineStr">
        <is>
          <t>Pokemon</t>
        </is>
      </c>
      <c r="G449" s="2" t="inlineStr">
        <is>
          <t>Box</t>
        </is>
      </c>
      <c r="H449" s="2" t="inlineStr">
        <is>
          <t>Arceus</t>
        </is>
      </c>
      <c r="I449" s="3" t="n">
        <v>14523.16</v>
      </c>
      <c r="J449" s="3" t="n"/>
      <c r="K449" s="3" t="n"/>
      <c r="L449" s="3" t="n"/>
      <c r="M449" s="2" t="inlineStr">
        <is>
          <t>PriceCharting + TCGplayer</t>
        </is>
      </c>
      <c r="N449" s="4" t="inlineStr">
        <is>
          <t>https://www.pricecharting.com/game/pokemon-arceus/booster-box</t>
        </is>
      </c>
      <c r="O449" s="4" t="inlineStr">
        <is>
          <t>https://www.tcgplayer.com/product/98593</t>
        </is>
      </c>
    </row>
    <row r="450">
      <c r="A450" s="2" t="inlineStr">
        <is>
          <t>Ascended Heroes Booster Bundle Display Box</t>
        </is>
      </c>
      <c r="B450" s="3">
        <f>IF(I450&lt;&gt;"",I450,IF(J450&lt;&gt;"",J450,IF(K450&lt;&gt;"",K450,L450)))</f>
        <v>1456.54</v>
      </c>
      <c r="C450" s="3">
        <f>MEDIAN(I450:L450)</f>
        <v>1456.54</v>
      </c>
      <c r="D450" s="3">
        <f>ROUND(C450*(1-Settings!$B$2),2)</f>
        <v>1019.58</v>
      </c>
      <c r="E450" s="3">
        <f>ROUND(C450*(1-Settings!$B$3),2)</f>
        <v>1019.58</v>
      </c>
      <c r="F450" s="2" t="inlineStr">
        <is>
          <t>Pokemon</t>
        </is>
      </c>
      <c r="G450" s="2" t="inlineStr">
        <is>
          <t>Box</t>
        </is>
      </c>
      <c r="H450" s="2" t="inlineStr">
        <is>
          <t>Ascended Heroes</t>
        </is>
      </c>
      <c r="I450" s="3" t="n">
        <v>1456.54</v>
      </c>
      <c r="J450" s="3" t="n"/>
      <c r="K450" s="3" t="n"/>
      <c r="L450" s="3" t="n"/>
      <c r="M450" s="2" t="inlineStr">
        <is>
          <t>PriceCharting</t>
        </is>
      </c>
      <c r="N450" s="4" t="inlineStr">
        <is>
          <t>https://www.pricecharting.com/game/pokemon-ascended-heroes/booster-bundle-display-box</t>
        </is>
      </c>
    </row>
    <row r="451">
      <c r="A451" s="2" t="inlineStr">
        <is>
          <t>Astral Radiance Build &amp; Battle Display Box</t>
        </is>
      </c>
      <c r="B451" s="3">
        <f>IF(I451&lt;&gt;"",I451,IF(J451&lt;&gt;"",J451,IF(K451&lt;&gt;"",K451,L451)))</f>
        <v>439.99</v>
      </c>
      <c r="C451" s="3">
        <f>MEDIAN(I451:L451)</f>
        <v>439.99</v>
      </c>
      <c r="D451" s="3">
        <f>ROUND(C451*(1-Settings!$B$2),2)</f>
        <v>307.99</v>
      </c>
      <c r="E451" s="3">
        <f>ROUND(C451*(1-Settings!$B$3),2)</f>
        <v>307.99</v>
      </c>
      <c r="F451" s="2" t="inlineStr">
        <is>
          <t>Pokemon</t>
        </is>
      </c>
      <c r="G451" s="2" t="inlineStr">
        <is>
          <t>Box</t>
        </is>
      </c>
      <c r="H451" s="2" t="inlineStr">
        <is>
          <t>Astral Radiance</t>
        </is>
      </c>
      <c r="I451" s="3" t="n">
        <v>439.99</v>
      </c>
      <c r="J451" s="3" t="n"/>
      <c r="K451" s="3" t="n"/>
      <c r="L451" s="3" t="n"/>
      <c r="M451" s="2" t="inlineStr">
        <is>
          <t>PriceCharting</t>
        </is>
      </c>
      <c r="N451" s="4" t="inlineStr">
        <is>
          <t>https://www.pricecharting.com/game/pokemon-astral-radiance/build-&amp;-battle-display-box</t>
        </is>
      </c>
    </row>
    <row r="452">
      <c r="A452" s="2" t="inlineStr">
        <is>
          <t>Base Set Booster Box</t>
        </is>
      </c>
      <c r="B452" s="3">
        <f>IF(I452&lt;&gt;"",I452,IF(J452&lt;&gt;"",J452,IF(K452&lt;&gt;"",K452,L452)))</f>
        <v>40125.5</v>
      </c>
      <c r="C452" s="3">
        <f>MEDIAN(I452:L452)</f>
        <v>40125.5</v>
      </c>
      <c r="D452" s="3">
        <f>ROUND(C452*(1-Settings!$B$2),2)</f>
        <v>28087.85</v>
      </c>
      <c r="E452" s="3">
        <f>ROUND(C452*(1-Settings!$B$3),2)</f>
        <v>28087.85</v>
      </c>
      <c r="F452" s="2" t="inlineStr">
        <is>
          <t>Pokemon</t>
        </is>
      </c>
      <c r="G452" s="2" t="inlineStr">
        <is>
          <t>Box</t>
        </is>
      </c>
      <c r="H452" s="2" t="inlineStr">
        <is>
          <t>Base Set</t>
        </is>
      </c>
      <c r="I452" s="3" t="n">
        <v>40125.5</v>
      </c>
      <c r="J452" s="3" t="n"/>
      <c r="K452" s="3" t="n"/>
      <c r="L452" s="3" t="n"/>
      <c r="M452" s="2" t="inlineStr">
        <is>
          <t>PriceCharting</t>
        </is>
      </c>
      <c r="N452" s="4" t="inlineStr">
        <is>
          <t>https://www.pricecharting.com/game/pokemon-base-set/booster-box</t>
        </is>
      </c>
    </row>
    <row r="453">
      <c r="A453" s="2" t="inlineStr">
        <is>
          <t>Base Set Booster Box [1st Edition]</t>
        </is>
      </c>
      <c r="B453" s="3">
        <f>IF(I453&lt;&gt;"",I453,IF(J453&lt;&gt;"",J453,IF(K453&lt;&gt;"",K453,L453)))</f>
        <v>12650.0</v>
      </c>
      <c r="C453" s="3">
        <f>MEDIAN(I453:L453)</f>
        <v>12650.0</v>
      </c>
      <c r="D453" s="3">
        <f>ROUND(C453*(1-Settings!$B$2),2)</f>
        <v>8855.0</v>
      </c>
      <c r="E453" s="3">
        <f>ROUND(C453*(1-Settings!$B$3),2)</f>
        <v>8855.0</v>
      </c>
      <c r="F453" s="2" t="inlineStr">
        <is>
          <t>Pokemon</t>
        </is>
      </c>
      <c r="G453" s="2" t="inlineStr">
        <is>
          <t>Box</t>
        </is>
      </c>
      <c r="H453" s="2" t="inlineStr">
        <is>
          <t>Base Set</t>
        </is>
      </c>
      <c r="I453" s="3" t="n">
        <v>12650</v>
      </c>
      <c r="J453" s="3" t="n"/>
      <c r="K453" s="3" t="n"/>
      <c r="L453" s="3" t="n"/>
      <c r="M453" s="2" t="inlineStr">
        <is>
          <t>PriceCharting</t>
        </is>
      </c>
      <c r="N453" s="4" t="inlineStr">
        <is>
          <t>https://www.pricecharting.com/game/pokemon-base-set/booster-box-1st-edition</t>
        </is>
      </c>
    </row>
    <row r="454">
      <c r="A454" s="2" t="inlineStr">
        <is>
          <t>Base Set Booster Box [Revised Unlimited Edition]</t>
        </is>
      </c>
      <c r="B454" s="3">
        <f>IF(I454&lt;&gt;"",I454,IF(J454&lt;&gt;"",J454,IF(K454&lt;&gt;"",K454,L454)))</f>
        <v>100000.0</v>
      </c>
      <c r="C454" s="3">
        <f>MEDIAN(I454:L454)</f>
        <v>100000.0</v>
      </c>
      <c r="D454" s="3">
        <f>ROUND(C454*(1-Settings!$B$2),2)</f>
        <v>70000.0</v>
      </c>
      <c r="E454" s="3">
        <f>ROUND(C454*(1-Settings!$B$3),2)</f>
        <v>70000.0</v>
      </c>
      <c r="F454" s="2" t="inlineStr">
        <is>
          <t>Pokemon</t>
        </is>
      </c>
      <c r="G454" s="2" t="inlineStr">
        <is>
          <t>Box</t>
        </is>
      </c>
      <c r="H454" s="2" t="inlineStr">
        <is>
          <t>Base Set</t>
        </is>
      </c>
      <c r="I454" s="3" t="n"/>
      <c r="J454" s="3" t="n"/>
      <c r="K454" s="3" t="n">
        <v>100000</v>
      </c>
      <c r="L454" s="3" t="n">
        <v>100000</v>
      </c>
      <c r="M454" s="2" t="inlineStr">
        <is>
          <t>TCGplayer</t>
        </is>
      </c>
      <c r="O454" s="4" t="inlineStr">
        <is>
          <t>https://www.tcgplayer.com/product/185731</t>
        </is>
      </c>
    </row>
    <row r="455">
      <c r="A455" s="2" t="inlineStr">
        <is>
          <t>Base Set 2 Booster Box</t>
        </is>
      </c>
      <c r="B455" s="3">
        <f>IF(I455&lt;&gt;"",I455,IF(J455&lt;&gt;"",J455,IF(K455&lt;&gt;"",K455,L455)))</f>
        <v>18902.07</v>
      </c>
      <c r="C455" s="3">
        <f>MEDIAN(I455:L455)</f>
        <v>18902.07</v>
      </c>
      <c r="D455" s="3">
        <f>ROUND(C455*(1-Settings!$B$2),2)</f>
        <v>13231.45</v>
      </c>
      <c r="E455" s="3">
        <f>ROUND(C455*(1-Settings!$B$3),2)</f>
        <v>13231.45</v>
      </c>
      <c r="F455" s="2" t="inlineStr">
        <is>
          <t>Pokemon</t>
        </is>
      </c>
      <c r="G455" s="2" t="inlineStr">
        <is>
          <t>Box</t>
        </is>
      </c>
      <c r="H455" s="2" t="inlineStr">
        <is>
          <t>Base Set 2</t>
        </is>
      </c>
      <c r="I455" s="3" t="n">
        <v>18902.07</v>
      </c>
      <c r="J455" s="3" t="n"/>
      <c r="K455" s="3" t="n"/>
      <c r="L455" s="3" t="n"/>
      <c r="M455" s="2" t="inlineStr">
        <is>
          <t>PriceCharting + TCGplayer</t>
        </is>
      </c>
      <c r="N455" s="4" t="inlineStr">
        <is>
          <t>https://www.pricecharting.com/game/pokemon-base-set-2/booster-box</t>
        </is>
      </c>
      <c r="O455" s="4" t="inlineStr">
        <is>
          <t>https://www.tcgplayer.com/product/107610</t>
        </is>
      </c>
    </row>
    <row r="456">
      <c r="A456" s="2" t="inlineStr">
        <is>
          <t>Black Bolt Booster Bundle Display Box</t>
        </is>
      </c>
      <c r="B456" s="3">
        <f>IF(I456&lt;&gt;"",I456,IF(J456&lt;&gt;"",J456,IF(K456&lt;&gt;"",K456,L456)))</f>
        <v>1557.45</v>
      </c>
      <c r="C456" s="3">
        <f>MEDIAN(I456:L456)</f>
        <v>1557.45</v>
      </c>
      <c r="D456" s="3">
        <f>ROUND(C456*(1-Settings!$B$2),2)</f>
        <v>1090.22</v>
      </c>
      <c r="E456" s="3">
        <f>ROUND(C456*(1-Settings!$B$3),2)</f>
        <v>1090.22</v>
      </c>
      <c r="F456" s="2" t="inlineStr">
        <is>
          <t>Pokemon</t>
        </is>
      </c>
      <c r="G456" s="2" t="inlineStr">
        <is>
          <t>Box</t>
        </is>
      </c>
      <c r="H456" s="2" t="inlineStr">
        <is>
          <t>Black Bolt</t>
        </is>
      </c>
      <c r="I456" s="3" t="n">
        <v>1557.45</v>
      </c>
      <c r="J456" s="3" t="n"/>
      <c r="K456" s="3" t="n"/>
      <c r="L456" s="3" t="n"/>
      <c r="M456" s="2" t="inlineStr">
        <is>
          <t>PriceCharting</t>
        </is>
      </c>
      <c r="N456" s="4" t="inlineStr">
        <is>
          <t>https://www.pricecharting.com/game/pokemon-black-bolt/booster-bundle-display-box</t>
        </is>
      </c>
    </row>
    <row r="457">
      <c r="A457" s="2" t="inlineStr">
        <is>
          <t>Boundaries Crossed Booster Box</t>
        </is>
      </c>
      <c r="B457" s="3">
        <f>IF(I457&lt;&gt;"",I457,IF(J457&lt;&gt;"",J457,IF(K457&lt;&gt;"",K457,L457)))</f>
        <v>13286.54</v>
      </c>
      <c r="C457" s="3">
        <f>MEDIAN(I457:L457)</f>
        <v>13286.54</v>
      </c>
      <c r="D457" s="3">
        <f>ROUND(C457*(1-Settings!$B$2),2)</f>
        <v>9300.58</v>
      </c>
      <c r="E457" s="3">
        <f>ROUND(C457*(1-Settings!$B$3),2)</f>
        <v>9300.58</v>
      </c>
      <c r="F457" s="2" t="inlineStr">
        <is>
          <t>Pokemon</t>
        </is>
      </c>
      <c r="G457" s="2" t="inlineStr">
        <is>
          <t>Box</t>
        </is>
      </c>
      <c r="H457" s="2" t="inlineStr">
        <is>
          <t>Boundaries Crossed</t>
        </is>
      </c>
      <c r="I457" s="3" t="n">
        <v>13286.54</v>
      </c>
      <c r="J457" s="3" t="n"/>
      <c r="K457" s="3" t="n"/>
      <c r="L457" s="3" t="n"/>
      <c r="M457" s="2" t="inlineStr">
        <is>
          <t>PriceCharting + TCGplayer</t>
        </is>
      </c>
      <c r="N457" s="4" t="inlineStr">
        <is>
          <t>https://www.pricecharting.com/game/pokemon-boundaries-crossed/booster-box</t>
        </is>
      </c>
      <c r="O457" s="4" t="inlineStr">
        <is>
          <t>https://www.tcgplayer.com/product/98555</t>
        </is>
      </c>
    </row>
    <row r="458">
      <c r="A458" s="2" t="inlineStr">
        <is>
          <t>Breakpoint Booster Box</t>
        </is>
      </c>
      <c r="B458" s="3">
        <f>IF(I458&lt;&gt;"",I458,IF(J458&lt;&gt;"",J458,IF(K458&lt;&gt;"",K458,L458)))</f>
        <v>2499.0</v>
      </c>
      <c r="C458" s="3">
        <f>MEDIAN(I458:L458)</f>
        <v>2499.0</v>
      </c>
      <c r="D458" s="3">
        <f>ROUND(C458*(1-Settings!$B$2),2)</f>
        <v>1749.3</v>
      </c>
      <c r="E458" s="3">
        <f>ROUND(C458*(1-Settings!$B$3),2)</f>
        <v>1749.3</v>
      </c>
      <c r="F458" s="2" t="inlineStr">
        <is>
          <t>Pokemon</t>
        </is>
      </c>
      <c r="G458" s="2" t="inlineStr">
        <is>
          <t>Box</t>
        </is>
      </c>
      <c r="H458" s="2" t="inlineStr">
        <is>
          <t>Breakpoint</t>
        </is>
      </c>
      <c r="I458" s="3" t="n">
        <v>2499</v>
      </c>
      <c r="J458" s="3" t="n"/>
      <c r="K458" s="3" t="n"/>
      <c r="L458" s="3" t="n"/>
      <c r="M458" s="2" t="inlineStr">
        <is>
          <t>PriceCharting</t>
        </is>
      </c>
      <c r="N458" s="4" t="inlineStr">
        <is>
          <t>https://www.pricecharting.com/game/pokemon-breakpoint/booster-box</t>
        </is>
      </c>
    </row>
    <row r="459">
      <c r="A459" s="2" t="inlineStr">
        <is>
          <t>Breakthrough Booster Box</t>
        </is>
      </c>
      <c r="B459" s="3">
        <f>IF(I459&lt;&gt;"",I459,IF(J459&lt;&gt;"",J459,IF(K459&lt;&gt;"",K459,L459)))</f>
        <v>3300.0</v>
      </c>
      <c r="C459" s="3">
        <f>MEDIAN(I459:L459)</f>
        <v>3300.0</v>
      </c>
      <c r="D459" s="3">
        <f>ROUND(C459*(1-Settings!$B$2),2)</f>
        <v>2310.0</v>
      </c>
      <c r="E459" s="3">
        <f>ROUND(C459*(1-Settings!$B$3),2)</f>
        <v>2310.0</v>
      </c>
      <c r="F459" s="2" t="inlineStr">
        <is>
          <t>Pokemon</t>
        </is>
      </c>
      <c r="G459" s="2" t="inlineStr">
        <is>
          <t>Box</t>
        </is>
      </c>
      <c r="H459" s="2" t="inlineStr">
        <is>
          <t>Breakthrough</t>
        </is>
      </c>
      <c r="I459" s="3" t="n">
        <v>3300</v>
      </c>
      <c r="J459" s="3" t="n"/>
      <c r="K459" s="3" t="n"/>
      <c r="L459" s="3" t="n"/>
      <c r="M459" s="2" t="inlineStr">
        <is>
          <t>PriceCharting</t>
        </is>
      </c>
      <c r="N459" s="4" t="inlineStr">
        <is>
          <t>https://www.pricecharting.com/game/pokemon-breakthrough/booster-box</t>
        </is>
      </c>
    </row>
    <row r="460">
      <c r="A460" s="2" t="inlineStr">
        <is>
          <t>Brilliant Stars Build &amp; Battle Display Box</t>
        </is>
      </c>
      <c r="B460" s="3">
        <f>IF(I460&lt;&gt;"",I460,IF(J460&lt;&gt;"",J460,IF(K460&lt;&gt;"",K460,L460)))</f>
        <v>591.98</v>
      </c>
      <c r="C460" s="3">
        <f>MEDIAN(I460:L460)</f>
        <v>591.98</v>
      </c>
      <c r="D460" s="3">
        <f>ROUND(C460*(1-Settings!$B$2),2)</f>
        <v>414.39</v>
      </c>
      <c r="E460" s="3">
        <f>ROUND(C460*(1-Settings!$B$3),2)</f>
        <v>414.39</v>
      </c>
      <c r="F460" s="2" t="inlineStr">
        <is>
          <t>Pokemon</t>
        </is>
      </c>
      <c r="G460" s="2" t="inlineStr">
        <is>
          <t>Box</t>
        </is>
      </c>
      <c r="H460" s="2" t="inlineStr">
        <is>
          <t>Brilliant Stars</t>
        </is>
      </c>
      <c r="I460" s="3" t="n">
        <v>591.98</v>
      </c>
      <c r="J460" s="3" t="n"/>
      <c r="K460" s="3" t="n"/>
      <c r="L460" s="3" t="n"/>
      <c r="M460" s="2" t="inlineStr">
        <is>
          <t>PriceCharting</t>
        </is>
      </c>
      <c r="N460" s="4" t="inlineStr">
        <is>
          <t>https://www.pricecharting.com/game/pokemon-brilliant-stars/build-&amp;-battle-display-box</t>
        </is>
      </c>
    </row>
    <row r="461">
      <c r="A461" s="2" t="inlineStr">
        <is>
          <t>Burning Shadows Booster Box [Prerelease]</t>
        </is>
      </c>
      <c r="B461" s="3">
        <f>IF(I461&lt;&gt;"",I461,IF(J461&lt;&gt;"",J461,IF(K461&lt;&gt;"",K461,L461)))</f>
        <v>59.99</v>
      </c>
      <c r="C461" s="3">
        <f>MEDIAN(I461:L461)</f>
        <v>59.99</v>
      </c>
      <c r="D461" s="3">
        <f>ROUND(C461*(1-Settings!$B$2),2)</f>
        <v>41.99</v>
      </c>
      <c r="E461" s="3">
        <f>ROUND(C461*(1-Settings!$B$3),2)</f>
        <v>41.99</v>
      </c>
      <c r="F461" s="2" t="inlineStr">
        <is>
          <t>Pokemon</t>
        </is>
      </c>
      <c r="G461" s="2" t="inlineStr">
        <is>
          <t>Box</t>
        </is>
      </c>
      <c r="H461" s="2" t="inlineStr">
        <is>
          <t>Burning Shadows</t>
        </is>
      </c>
      <c r="I461" s="3" t="n">
        <v>59.99</v>
      </c>
      <c r="J461" s="3" t="n"/>
      <c r="K461" s="3" t="n"/>
      <c r="L461" s="3" t="n"/>
      <c r="M461" s="2" t="inlineStr">
        <is>
          <t>PriceCharting</t>
        </is>
      </c>
      <c r="N461" s="4" t="inlineStr">
        <is>
          <t>https://www.pricecharting.com/game/pokemon-burning-shadows/booster-box-prerelease</t>
        </is>
      </c>
    </row>
    <row r="462">
      <c r="A462" s="2" t="inlineStr">
        <is>
          <t>Call of Legends Booster Box</t>
        </is>
      </c>
      <c r="B462" s="3">
        <f>IF(I462&lt;&gt;"",I462,IF(J462&lt;&gt;"",J462,IF(K462&lt;&gt;"",K462,L462)))</f>
        <v>19500.0</v>
      </c>
      <c r="C462" s="3">
        <f>MEDIAN(I462:L462)</f>
        <v>19500.0</v>
      </c>
      <c r="D462" s="3">
        <f>ROUND(C462*(1-Settings!$B$2),2)</f>
        <v>13650.0</v>
      </c>
      <c r="E462" s="3">
        <f>ROUND(C462*(1-Settings!$B$3),2)</f>
        <v>13650.0</v>
      </c>
      <c r="F462" s="2" t="inlineStr">
        <is>
          <t>Pokemon</t>
        </is>
      </c>
      <c r="G462" s="2" t="inlineStr">
        <is>
          <t>Box</t>
        </is>
      </c>
      <c r="H462" s="2" t="inlineStr">
        <is>
          <t>Call of Legends</t>
        </is>
      </c>
      <c r="I462" s="3" t="n">
        <v>19500</v>
      </c>
      <c r="J462" s="3" t="n"/>
      <c r="K462" s="3" t="n"/>
      <c r="L462" s="3" t="n"/>
      <c r="M462" s="2" t="inlineStr">
        <is>
          <t>PriceCharting + TCGplayer</t>
        </is>
      </c>
      <c r="N462" s="4" t="inlineStr">
        <is>
          <t>https://www.pricecharting.com/game/pokemon-call-of-legends/booster-box</t>
        </is>
      </c>
      <c r="O462" s="4" t="inlineStr">
        <is>
          <t>https://www.tcgplayer.com/product/98514</t>
        </is>
      </c>
    </row>
    <row r="463">
      <c r="A463" s="2" t="inlineStr">
        <is>
          <t>Chaos Rising Booster Box</t>
        </is>
      </c>
      <c r="B463" s="3">
        <f>IF(I463&lt;&gt;"",I463,IF(J463&lt;&gt;"",J463,IF(K463&lt;&gt;"",K463,L463)))</f>
        <v>181.18</v>
      </c>
      <c r="C463" s="3">
        <f>MEDIAN(I463:L463)</f>
        <v>181.18</v>
      </c>
      <c r="D463" s="3">
        <f>ROUND(C463*(1-Settings!$B$2),2)</f>
        <v>126.83</v>
      </c>
      <c r="E463" s="3">
        <f>ROUND(C463*(1-Settings!$B$3),2)</f>
        <v>126.83</v>
      </c>
      <c r="F463" s="2" t="inlineStr">
        <is>
          <t>Pokemon</t>
        </is>
      </c>
      <c r="G463" s="2" t="inlineStr">
        <is>
          <t>Box</t>
        </is>
      </c>
      <c r="H463" s="2" t="inlineStr">
        <is>
          <t>Chaos Rising</t>
        </is>
      </c>
      <c r="I463" s="3" t="n">
        <v>181.18</v>
      </c>
      <c r="J463" s="3" t="n"/>
      <c r="K463" s="3" t="n"/>
      <c r="L463" s="3" t="n"/>
      <c r="M463" s="2" t="inlineStr">
        <is>
          <t>PriceCharting</t>
        </is>
      </c>
      <c r="N463" s="4" t="inlineStr">
        <is>
          <t>https://www.pricecharting.com/game/pokemon-chaos-rising/booster-box</t>
        </is>
      </c>
    </row>
    <row r="464">
      <c r="A464" s="2" t="inlineStr">
        <is>
          <t>Chaos Rising Half Booster Box</t>
        </is>
      </c>
      <c r="B464" s="3">
        <f>IF(I464&lt;&gt;"",I464,IF(J464&lt;&gt;"",J464,IF(K464&lt;&gt;"",K464,L464)))</f>
        <v>111.05</v>
      </c>
      <c r="C464" s="3">
        <f>MEDIAN(I464:L464)</f>
        <v>111.05</v>
      </c>
      <c r="D464" s="3">
        <f>ROUND(C464*(1-Settings!$B$2),2)</f>
        <v>77.74</v>
      </c>
      <c r="E464" s="3">
        <f>ROUND(C464*(1-Settings!$B$3),2)</f>
        <v>77.74</v>
      </c>
      <c r="F464" s="2" t="inlineStr">
        <is>
          <t>Pokemon</t>
        </is>
      </c>
      <c r="G464" s="2" t="inlineStr">
        <is>
          <t>Box</t>
        </is>
      </c>
      <c r="H464" s="2" t="inlineStr">
        <is>
          <t>Chaos Rising</t>
        </is>
      </c>
      <c r="I464" s="3" t="n">
        <v>111.05</v>
      </c>
      <c r="J464" s="3" t="n"/>
      <c r="K464" s="3" t="n"/>
      <c r="L464" s="3" t="n"/>
      <c r="M464" s="2" t="inlineStr">
        <is>
          <t>PriceCharting</t>
        </is>
      </c>
      <c r="N464" s="4" t="inlineStr">
        <is>
          <t>https://www.pricecharting.com/game/pokemon-chaos-rising/half-booster-box</t>
        </is>
      </c>
    </row>
    <row r="465">
      <c r="A465" s="2" t="inlineStr">
        <is>
          <t>Chilling Reign Build &amp; Battle Display Box</t>
        </is>
      </c>
      <c r="B465" s="3">
        <f>IF(I465&lt;&gt;"",I465,IF(J465&lt;&gt;"",J465,IF(K465&lt;&gt;"",K465,L465)))</f>
        <v>630.0</v>
      </c>
      <c r="C465" s="3">
        <f>MEDIAN(I465:L465)</f>
        <v>630.0</v>
      </c>
      <c r="D465" s="3">
        <f>ROUND(C465*(1-Settings!$B$2),2)</f>
        <v>441.0</v>
      </c>
      <c r="E465" s="3">
        <f>ROUND(C465*(1-Settings!$B$3),2)</f>
        <v>441.0</v>
      </c>
      <c r="F465" s="2" t="inlineStr">
        <is>
          <t>Pokemon</t>
        </is>
      </c>
      <c r="G465" s="2" t="inlineStr">
        <is>
          <t>Box</t>
        </is>
      </c>
      <c r="H465" s="2" t="inlineStr">
        <is>
          <t>Chilling Reign</t>
        </is>
      </c>
      <c r="I465" s="3" t="n">
        <v>630</v>
      </c>
      <c r="J465" s="3" t="n"/>
      <c r="K465" s="3" t="n"/>
      <c r="L465" s="3" t="n"/>
      <c r="M465" s="2" t="inlineStr">
        <is>
          <t>PriceCharting</t>
        </is>
      </c>
      <c r="N465" s="4" t="inlineStr">
        <is>
          <t>https://www.pricecharting.com/game/pokemon-chilling-reign/build-&amp;-battle-display-box</t>
        </is>
      </c>
    </row>
    <row r="466">
      <c r="A466" s="2" t="inlineStr">
        <is>
          <t>Chinese 151 Collect Booster Box</t>
        </is>
      </c>
      <c r="B466" s="3">
        <f>IF(I466&lt;&gt;"",I466,IF(J466&lt;&gt;"",J466,IF(K466&lt;&gt;"",K466,L466)))</f>
        <v>51.68</v>
      </c>
      <c r="C466" s="3">
        <f>MEDIAN(I466:L466)</f>
        <v>51.68</v>
      </c>
      <c r="D466" s="3">
        <f>ROUND(C466*(1-Settings!$B$2),2)</f>
        <v>36.18</v>
      </c>
      <c r="E466" s="3">
        <f>ROUND(C466*(1-Settings!$B$3),2)</f>
        <v>36.18</v>
      </c>
      <c r="F466" s="2" t="inlineStr">
        <is>
          <t>Pokemon</t>
        </is>
      </c>
      <c r="G466" s="2" t="inlineStr">
        <is>
          <t>Box</t>
        </is>
      </c>
      <c r="H466" s="2" t="inlineStr">
        <is>
          <t>Chinese 151 Collect</t>
        </is>
      </c>
      <c r="I466" s="3" t="n">
        <v>51.68</v>
      </c>
      <c r="J466" s="3" t="n"/>
      <c r="K466" s="3" t="n"/>
      <c r="L466" s="3" t="n"/>
      <c r="M466" s="2" t="inlineStr">
        <is>
          <t>PriceCharting</t>
        </is>
      </c>
      <c r="N466" s="4" t="inlineStr">
        <is>
          <t>https://www.pricecharting.com/game/pokemon-chinese-151-collect/booster-box</t>
        </is>
      </c>
    </row>
    <row r="467">
      <c r="A467" s="2" t="inlineStr">
        <is>
          <t>Chinese 151 Collect Booster Box [Surprise Jumbo]</t>
        </is>
      </c>
      <c r="B467" s="3">
        <f>IF(I467&lt;&gt;"",I467,IF(J467&lt;&gt;"",J467,IF(K467&lt;&gt;"",K467,L467)))</f>
        <v>85.67</v>
      </c>
      <c r="C467" s="3">
        <f>MEDIAN(I467:L467)</f>
        <v>85.67</v>
      </c>
      <c r="D467" s="3">
        <f>ROUND(C467*(1-Settings!$B$2),2)</f>
        <v>59.97</v>
      </c>
      <c r="E467" s="3">
        <f>ROUND(C467*(1-Settings!$B$3),2)</f>
        <v>59.97</v>
      </c>
      <c r="F467" s="2" t="inlineStr">
        <is>
          <t>Pokemon</t>
        </is>
      </c>
      <c r="G467" s="2" t="inlineStr">
        <is>
          <t>Box</t>
        </is>
      </c>
      <c r="H467" s="2" t="inlineStr">
        <is>
          <t>Chinese 151 Collect</t>
        </is>
      </c>
      <c r="I467" s="3" t="n">
        <v>85.67</v>
      </c>
      <c r="J467" s="3" t="n"/>
      <c r="K467" s="3" t="n"/>
      <c r="L467" s="3" t="n"/>
      <c r="M467" s="2" t="inlineStr">
        <is>
          <t>PriceCharting</t>
        </is>
      </c>
      <c r="N467" s="4" t="inlineStr">
        <is>
          <t>https://www.pricecharting.com/game/pokemon-chinese-151-collect/booster-box-surprise-jumbo</t>
        </is>
      </c>
    </row>
    <row r="468">
      <c r="A468" s="2" t="inlineStr">
        <is>
          <t>Chinese 151 Collect Booster Box [Surprise Slim]</t>
        </is>
      </c>
      <c r="B468" s="3">
        <f>IF(I468&lt;&gt;"",I468,IF(J468&lt;&gt;"",J468,IF(K468&lt;&gt;"",K468,L468)))</f>
        <v>43.44</v>
      </c>
      <c r="C468" s="3">
        <f>MEDIAN(I468:L468)</f>
        <v>43.44</v>
      </c>
      <c r="D468" s="3">
        <f>ROUND(C468*(1-Settings!$B$2),2)</f>
        <v>30.41</v>
      </c>
      <c r="E468" s="3">
        <f>ROUND(C468*(1-Settings!$B$3),2)</f>
        <v>30.41</v>
      </c>
      <c r="F468" s="2" t="inlineStr">
        <is>
          <t>Pokemon</t>
        </is>
      </c>
      <c r="G468" s="2" t="inlineStr">
        <is>
          <t>Box</t>
        </is>
      </c>
      <c r="H468" s="2" t="inlineStr">
        <is>
          <t>Chinese 151 Collect</t>
        </is>
      </c>
      <c r="I468" s="3" t="n">
        <v>43.44</v>
      </c>
      <c r="J468" s="3" t="n"/>
      <c r="K468" s="3" t="n"/>
      <c r="L468" s="3" t="n"/>
      <c r="M468" s="2" t="inlineStr">
        <is>
          <t>PriceCharting</t>
        </is>
      </c>
      <c r="N468" s="4" t="inlineStr">
        <is>
          <t>https://www.pricecharting.com/game/pokemon-chinese-151-collect/booster-box-surprise-slim</t>
        </is>
      </c>
    </row>
    <row r="469">
      <c r="A469" s="2" t="inlineStr">
        <is>
          <t>Chinese 151 Collect Booster Box [Volume 4]</t>
        </is>
      </c>
      <c r="B469" s="3">
        <f>IF(I469&lt;&gt;"",I469,IF(J469&lt;&gt;"",J469,IF(K469&lt;&gt;"",K469,L469)))</f>
        <v>39.88</v>
      </c>
      <c r="C469" s="3">
        <f>MEDIAN(I469:L469)</f>
        <v>39.88</v>
      </c>
      <c r="D469" s="3">
        <f>ROUND(C469*(1-Settings!$B$2),2)</f>
        <v>27.92</v>
      </c>
      <c r="E469" s="3">
        <f>ROUND(C469*(1-Settings!$B$3),2)</f>
        <v>27.92</v>
      </c>
      <c r="F469" s="2" t="inlineStr">
        <is>
          <t>Pokemon</t>
        </is>
      </c>
      <c r="G469" s="2" t="inlineStr">
        <is>
          <t>Box</t>
        </is>
      </c>
      <c r="H469" s="2" t="inlineStr">
        <is>
          <t>Chinese 151 Collect</t>
        </is>
      </c>
      <c r="I469" s="3" t="n">
        <v>39.88</v>
      </c>
      <c r="J469" s="3" t="n"/>
      <c r="K469" s="3" t="n"/>
      <c r="L469" s="3" t="n"/>
      <c r="M469" s="2" t="inlineStr">
        <is>
          <t>PriceCharting</t>
        </is>
      </c>
      <c r="N469" s="4" t="inlineStr">
        <is>
          <t>https://www.pricecharting.com/game/pokemon-chinese-151-collect/booster-box-volume-4</t>
        </is>
      </c>
    </row>
    <row r="470">
      <c r="A470" s="2" t="inlineStr">
        <is>
          <t>Chinese 151 Collect Slim Booster Box: Hope</t>
        </is>
      </c>
      <c r="B470" s="3">
        <f>IF(I470&lt;&gt;"",I470,IF(J470&lt;&gt;"",J470,IF(K470&lt;&gt;"",K470,L470)))</f>
        <v>44.57</v>
      </c>
      <c r="C470" s="3">
        <f>MEDIAN(I470:L470)</f>
        <v>44.57</v>
      </c>
      <c r="D470" s="3">
        <f>ROUND(C470*(1-Settings!$B$2),2)</f>
        <v>31.2</v>
      </c>
      <c r="E470" s="3">
        <f>ROUND(C470*(1-Settings!$B$3),2)</f>
        <v>31.2</v>
      </c>
      <c r="F470" s="2" t="inlineStr">
        <is>
          <t>Pokemon</t>
        </is>
      </c>
      <c r="G470" s="2" t="inlineStr">
        <is>
          <t>Box</t>
        </is>
      </c>
      <c r="H470" s="2" t="inlineStr">
        <is>
          <t>Chinese 151 Collect</t>
        </is>
      </c>
      <c r="I470" s="3" t="n">
        <v>44.57</v>
      </c>
      <c r="J470" s="3" t="n"/>
      <c r="K470" s="3" t="n"/>
      <c r="L470" s="3" t="n"/>
      <c r="M470" s="2" t="inlineStr">
        <is>
          <t>PriceCharting</t>
        </is>
      </c>
      <c r="N470" s="4" t="inlineStr">
        <is>
          <t>https://www.pricecharting.com/game/pokemon-chinese-151-collect/slim-booster-box-hope</t>
        </is>
      </c>
    </row>
    <row r="471">
      <c r="A471" s="2" t="inlineStr">
        <is>
          <t>Chinese Csv10c Jumbo Booster Box</t>
        </is>
      </c>
      <c r="B471" s="3">
        <f>IF(I471&lt;&gt;"",I471,IF(J471&lt;&gt;"",J471,IF(K471&lt;&gt;"",K471,L471)))</f>
        <v>55.54</v>
      </c>
      <c r="C471" s="3">
        <f>MEDIAN(I471:L471)</f>
        <v>55.54</v>
      </c>
      <c r="D471" s="3">
        <f>ROUND(C471*(1-Settings!$B$2),2)</f>
        <v>38.88</v>
      </c>
      <c r="E471" s="3">
        <f>ROUND(C471*(1-Settings!$B$3),2)</f>
        <v>38.88</v>
      </c>
      <c r="F471" s="2" t="inlineStr">
        <is>
          <t>Pokemon</t>
        </is>
      </c>
      <c r="G471" s="2" t="inlineStr">
        <is>
          <t>Box</t>
        </is>
      </c>
      <c r="H471" s="2" t="inlineStr">
        <is>
          <t>Chinese Csv10c</t>
        </is>
      </c>
      <c r="I471" s="3" t="n">
        <v>55.54</v>
      </c>
      <c r="J471" s="3" t="n"/>
      <c r="K471" s="3" t="n"/>
      <c r="L471" s="3" t="n"/>
      <c r="M471" s="2" t="inlineStr">
        <is>
          <t>PriceCharting</t>
        </is>
      </c>
      <c r="N471" s="4" t="inlineStr">
        <is>
          <t>https://www.pricecharting.com/game/pokemon-chinese-csv10c/jumbo-booster-box</t>
        </is>
      </c>
    </row>
    <row r="472">
      <c r="A472" s="2" t="inlineStr">
        <is>
          <t>Chinese Csv10c Slim Booster Box</t>
        </is>
      </c>
      <c r="B472" s="3">
        <f>IF(I472&lt;&gt;"",I472,IF(J472&lt;&gt;"",J472,IF(K472&lt;&gt;"",K472,L472)))</f>
        <v>34.11</v>
      </c>
      <c r="C472" s="3">
        <f>MEDIAN(I472:L472)</f>
        <v>34.11</v>
      </c>
      <c r="D472" s="3">
        <f>ROUND(C472*(1-Settings!$B$2),2)</f>
        <v>23.88</v>
      </c>
      <c r="E472" s="3">
        <f>ROUND(C472*(1-Settings!$B$3),2)</f>
        <v>23.88</v>
      </c>
      <c r="F472" s="2" t="inlineStr">
        <is>
          <t>Pokemon</t>
        </is>
      </c>
      <c r="G472" s="2" t="inlineStr">
        <is>
          <t>Box</t>
        </is>
      </c>
      <c r="H472" s="2" t="inlineStr">
        <is>
          <t>Chinese Csv10c</t>
        </is>
      </c>
      <c r="I472" s="3" t="n">
        <v>34.11</v>
      </c>
      <c r="J472" s="3" t="n"/>
      <c r="K472" s="3" t="n"/>
      <c r="L472" s="3" t="n"/>
      <c r="M472" s="2" t="inlineStr">
        <is>
          <t>PriceCharting</t>
        </is>
      </c>
      <c r="N472" s="4" t="inlineStr">
        <is>
          <t>https://www.pricecharting.com/game/pokemon-chinese-csv10c/slim-booster-box</t>
        </is>
      </c>
    </row>
    <row r="473">
      <c r="A473" s="2" t="inlineStr">
        <is>
          <t>Chinese Csv4c Booster Box [Jumbo]</t>
        </is>
      </c>
      <c r="B473" s="3">
        <f>IF(I473&lt;&gt;"",I473,IF(J473&lt;&gt;"",J473,IF(K473&lt;&gt;"",K473,L473)))</f>
        <v>58.33</v>
      </c>
      <c r="C473" s="3">
        <f>MEDIAN(I473:L473)</f>
        <v>58.33</v>
      </c>
      <c r="D473" s="3">
        <f>ROUND(C473*(1-Settings!$B$2),2)</f>
        <v>40.83</v>
      </c>
      <c r="E473" s="3">
        <f>ROUND(C473*(1-Settings!$B$3),2)</f>
        <v>40.83</v>
      </c>
      <c r="F473" s="2" t="inlineStr">
        <is>
          <t>Pokemon</t>
        </is>
      </c>
      <c r="G473" s="2" t="inlineStr">
        <is>
          <t>Box</t>
        </is>
      </c>
      <c r="H473" s="2" t="inlineStr">
        <is>
          <t>Chinese Csv4c</t>
        </is>
      </c>
      <c r="I473" s="3" t="n">
        <v>58.33</v>
      </c>
      <c r="J473" s="3" t="n"/>
      <c r="K473" s="3" t="n"/>
      <c r="L473" s="3" t="n"/>
      <c r="M473" s="2" t="inlineStr">
        <is>
          <t>PriceCharting</t>
        </is>
      </c>
      <c r="N473" s="4" t="inlineStr">
        <is>
          <t>https://www.pricecharting.com/game/pokemon-chinese-csv4c/booster-box-jumbo</t>
        </is>
      </c>
    </row>
    <row r="474">
      <c r="A474" s="2" t="inlineStr">
        <is>
          <t>Chinese Csv4c Booster Box [Slim]</t>
        </is>
      </c>
      <c r="B474" s="3">
        <f>IF(I474&lt;&gt;"",I474,IF(J474&lt;&gt;"",J474,IF(K474&lt;&gt;"",K474,L474)))</f>
        <v>34.95</v>
      </c>
      <c r="C474" s="3">
        <f>MEDIAN(I474:L474)</f>
        <v>34.95</v>
      </c>
      <c r="D474" s="3">
        <f>ROUND(C474*(1-Settings!$B$2),2)</f>
        <v>24.47</v>
      </c>
      <c r="E474" s="3">
        <f>ROUND(C474*(1-Settings!$B$3),2)</f>
        <v>24.47</v>
      </c>
      <c r="F474" s="2" t="inlineStr">
        <is>
          <t>Pokemon</t>
        </is>
      </c>
      <c r="G474" s="2" t="inlineStr">
        <is>
          <t>Box</t>
        </is>
      </c>
      <c r="H474" s="2" t="inlineStr">
        <is>
          <t>Chinese Csv4c</t>
        </is>
      </c>
      <c r="I474" s="3" t="n">
        <v>34.95</v>
      </c>
      <c r="J474" s="3" t="n"/>
      <c r="K474" s="3" t="n"/>
      <c r="L474" s="3" t="n"/>
      <c r="M474" s="2" t="inlineStr">
        <is>
          <t>PriceCharting</t>
        </is>
      </c>
      <c r="N474" s="4" t="inlineStr">
        <is>
          <t>https://www.pricecharting.com/game/pokemon-chinese-csv4c/booster-box-slim</t>
        </is>
      </c>
    </row>
    <row r="475">
      <c r="A475" s="2" t="inlineStr">
        <is>
          <t>Chinese Csv5c Jumbo Booster Box</t>
        </is>
      </c>
      <c r="B475" s="3">
        <f>IF(I475&lt;&gt;"",I475,IF(J475&lt;&gt;"",J475,IF(K475&lt;&gt;"",K475,L475)))</f>
        <v>46.99</v>
      </c>
      <c r="C475" s="3">
        <f>MEDIAN(I475:L475)</f>
        <v>46.99</v>
      </c>
      <c r="D475" s="3">
        <f>ROUND(C475*(1-Settings!$B$2),2)</f>
        <v>32.89</v>
      </c>
      <c r="E475" s="3">
        <f>ROUND(C475*(1-Settings!$B$3),2)</f>
        <v>32.89</v>
      </c>
      <c r="F475" s="2" t="inlineStr">
        <is>
          <t>Pokemon</t>
        </is>
      </c>
      <c r="G475" s="2" t="inlineStr">
        <is>
          <t>Box</t>
        </is>
      </c>
      <c r="H475" s="2" t="inlineStr">
        <is>
          <t>Chinese Csv5c</t>
        </is>
      </c>
      <c r="I475" s="3" t="n">
        <v>46.99</v>
      </c>
      <c r="J475" s="3" t="n"/>
      <c r="K475" s="3" t="n"/>
      <c r="L475" s="3" t="n"/>
      <c r="M475" s="2" t="inlineStr">
        <is>
          <t>PriceCharting</t>
        </is>
      </c>
      <c r="N475" s="4" t="inlineStr">
        <is>
          <t>https://www.pricecharting.com/game/pokemon-chinese-csv5c/jumbo-booster-box</t>
        </is>
      </c>
    </row>
    <row r="476">
      <c r="A476" s="2" t="inlineStr">
        <is>
          <t>Chinese Csv5c Slim Booster Box</t>
        </is>
      </c>
      <c r="B476" s="3">
        <f>IF(I476&lt;&gt;"",I476,IF(J476&lt;&gt;"",J476,IF(K476&lt;&gt;"",K476,L476)))</f>
        <v>31.02</v>
      </c>
      <c r="C476" s="3">
        <f>MEDIAN(I476:L476)</f>
        <v>31.02</v>
      </c>
      <c r="D476" s="3">
        <f>ROUND(C476*(1-Settings!$B$2),2)</f>
        <v>21.71</v>
      </c>
      <c r="E476" s="3">
        <f>ROUND(C476*(1-Settings!$B$3),2)</f>
        <v>21.71</v>
      </c>
      <c r="F476" s="2" t="inlineStr">
        <is>
          <t>Pokemon</t>
        </is>
      </c>
      <c r="G476" s="2" t="inlineStr">
        <is>
          <t>Box</t>
        </is>
      </c>
      <c r="H476" s="2" t="inlineStr">
        <is>
          <t>Chinese Csv5c</t>
        </is>
      </c>
      <c r="I476" s="3" t="n">
        <v>31.02</v>
      </c>
      <c r="J476" s="3" t="n"/>
      <c r="K476" s="3" t="n"/>
      <c r="L476" s="3" t="n"/>
      <c r="M476" s="2" t="inlineStr">
        <is>
          <t>PriceCharting</t>
        </is>
      </c>
      <c r="N476" s="4" t="inlineStr">
        <is>
          <t>https://www.pricecharting.com/game/pokemon-chinese-csv5c/slim-booster-box</t>
        </is>
      </c>
    </row>
    <row r="477">
      <c r="A477" s="2" t="inlineStr">
        <is>
          <t>Chinese Csv6c Jumbo Booster Box</t>
        </is>
      </c>
      <c r="B477" s="3">
        <f>IF(I477&lt;&gt;"",I477,IF(J477&lt;&gt;"",J477,IF(K477&lt;&gt;"",K477,L477)))</f>
        <v>36.99</v>
      </c>
      <c r="C477" s="3">
        <f>MEDIAN(I477:L477)</f>
        <v>36.99</v>
      </c>
      <c r="D477" s="3">
        <f>ROUND(C477*(1-Settings!$B$2),2)</f>
        <v>25.89</v>
      </c>
      <c r="E477" s="3">
        <f>ROUND(C477*(1-Settings!$B$3),2)</f>
        <v>25.89</v>
      </c>
      <c r="F477" s="2" t="inlineStr">
        <is>
          <t>Pokemon</t>
        </is>
      </c>
      <c r="G477" s="2" t="inlineStr">
        <is>
          <t>Box</t>
        </is>
      </c>
      <c r="H477" s="2" t="inlineStr">
        <is>
          <t>Chinese Csv6c</t>
        </is>
      </c>
      <c r="I477" s="3" t="n">
        <v>36.99</v>
      </c>
      <c r="J477" s="3" t="n"/>
      <c r="K477" s="3" t="n"/>
      <c r="L477" s="3" t="n"/>
      <c r="M477" s="2" t="inlineStr">
        <is>
          <t>PriceCharting</t>
        </is>
      </c>
      <c r="N477" s="4" t="inlineStr">
        <is>
          <t>https://www.pricecharting.com/game/pokemon-chinese-csv6c/jumbo-booster-box</t>
        </is>
      </c>
    </row>
    <row r="478">
      <c r="A478" s="2" t="inlineStr">
        <is>
          <t>Chinese Csv7c Jumbo Booster Box</t>
        </is>
      </c>
      <c r="B478" s="3">
        <f>IF(I478&lt;&gt;"",I478,IF(J478&lt;&gt;"",J478,IF(K478&lt;&gt;"",K478,L478)))</f>
        <v>24.75</v>
      </c>
      <c r="C478" s="3">
        <f>MEDIAN(I478:L478)</f>
        <v>24.75</v>
      </c>
      <c r="D478" s="3">
        <f>ROUND(C478*(1-Settings!$B$2),2)</f>
        <v>17.33</v>
      </c>
      <c r="E478" s="3">
        <f>ROUND(C478*(1-Settings!$B$3),2)</f>
        <v>17.33</v>
      </c>
      <c r="F478" s="2" t="inlineStr">
        <is>
          <t>Pokemon</t>
        </is>
      </c>
      <c r="G478" s="2" t="inlineStr">
        <is>
          <t>Box</t>
        </is>
      </c>
      <c r="H478" s="2" t="inlineStr">
        <is>
          <t>Chinese Csv7c</t>
        </is>
      </c>
      <c r="I478" s="3" t="n">
        <v>24.75</v>
      </c>
      <c r="J478" s="3" t="n"/>
      <c r="K478" s="3" t="n"/>
      <c r="L478" s="3" t="n"/>
      <c r="M478" s="2" t="inlineStr">
        <is>
          <t>PriceCharting</t>
        </is>
      </c>
      <c r="N478" s="4" t="inlineStr">
        <is>
          <t>https://www.pricecharting.com/game/pokemon-chinese-csv7c/jumbo-booster-box</t>
        </is>
      </c>
    </row>
    <row r="479">
      <c r="A479" s="2" t="inlineStr">
        <is>
          <t>Chinese Csv8c Jumbo Booster Box</t>
        </is>
      </c>
      <c r="B479" s="3">
        <f>IF(I479&lt;&gt;"",I479,IF(J479&lt;&gt;"",J479,IF(K479&lt;&gt;"",K479,L479)))</f>
        <v>29.01</v>
      </c>
      <c r="C479" s="3">
        <f>MEDIAN(I479:L479)</f>
        <v>29.01</v>
      </c>
      <c r="D479" s="3">
        <f>ROUND(C479*(1-Settings!$B$2),2)</f>
        <v>20.31</v>
      </c>
      <c r="E479" s="3">
        <f>ROUND(C479*(1-Settings!$B$3),2)</f>
        <v>20.31</v>
      </c>
      <c r="F479" s="2" t="inlineStr">
        <is>
          <t>Pokemon</t>
        </is>
      </c>
      <c r="G479" s="2" t="inlineStr">
        <is>
          <t>Box</t>
        </is>
      </c>
      <c r="H479" s="2" t="inlineStr">
        <is>
          <t>Chinese Csv8c</t>
        </is>
      </c>
      <c r="I479" s="3" t="n">
        <v>29.01</v>
      </c>
      <c r="J479" s="3" t="n"/>
      <c r="K479" s="3" t="n"/>
      <c r="L479" s="3" t="n"/>
      <c r="M479" s="2" t="inlineStr">
        <is>
          <t>PriceCharting</t>
        </is>
      </c>
      <c r="N479" s="4" t="inlineStr">
        <is>
          <t>https://www.pricecharting.com/game/pokemon-chinese-csv8c/jumbo-booster-box</t>
        </is>
      </c>
    </row>
    <row r="480">
      <c r="A480" s="2" t="inlineStr">
        <is>
          <t>Chinese Csv9c Booster Box</t>
        </is>
      </c>
      <c r="B480" s="3">
        <f>IF(I480&lt;&gt;"",I480,IF(J480&lt;&gt;"",J480,IF(K480&lt;&gt;"",K480,L480)))</f>
        <v>31.68</v>
      </c>
      <c r="C480" s="3">
        <f>MEDIAN(I480:L480)</f>
        <v>31.68</v>
      </c>
      <c r="D480" s="3">
        <f>ROUND(C480*(1-Settings!$B$2),2)</f>
        <v>22.18</v>
      </c>
      <c r="E480" s="3">
        <f>ROUND(C480*(1-Settings!$B$3),2)</f>
        <v>22.18</v>
      </c>
      <c r="F480" s="2" t="inlineStr">
        <is>
          <t>Pokemon</t>
        </is>
      </c>
      <c r="G480" s="2" t="inlineStr">
        <is>
          <t>Box</t>
        </is>
      </c>
      <c r="H480" s="2" t="inlineStr">
        <is>
          <t>Chinese Csv9c</t>
        </is>
      </c>
      <c r="I480" s="3" t="n">
        <v>31.68</v>
      </c>
      <c r="J480" s="3" t="n"/>
      <c r="K480" s="3" t="n"/>
      <c r="L480" s="3" t="n"/>
      <c r="M480" s="2" t="inlineStr">
        <is>
          <t>PriceCharting</t>
        </is>
      </c>
      <c r="N480" s="4" t="inlineStr">
        <is>
          <t>https://www.pricecharting.com/game/pokemon-chinese-csv9c/booster-box</t>
        </is>
      </c>
    </row>
    <row r="481">
      <c r="A481" s="2" t="inlineStr">
        <is>
          <t>Chinese Gem Pack Sealed Booster Box</t>
        </is>
      </c>
      <c r="B481" s="3">
        <f>IF(I481&lt;&gt;"",I481,IF(J481&lt;&gt;"",J481,IF(K481&lt;&gt;"",K481,L481)))</f>
        <v>92.5</v>
      </c>
      <c r="C481" s="3">
        <f>MEDIAN(I481:L481)</f>
        <v>92.5</v>
      </c>
      <c r="D481" s="3">
        <f>ROUND(C481*(1-Settings!$B$2),2)</f>
        <v>64.75</v>
      </c>
      <c r="E481" s="3">
        <f>ROUND(C481*(1-Settings!$B$3),2)</f>
        <v>64.75</v>
      </c>
      <c r="F481" s="2" t="inlineStr">
        <is>
          <t>Pokemon</t>
        </is>
      </c>
      <c r="G481" s="2" t="inlineStr">
        <is>
          <t>Box</t>
        </is>
      </c>
      <c r="H481" s="2" t="inlineStr">
        <is>
          <t>Chinese Gem Pack</t>
        </is>
      </c>
      <c r="I481" s="3" t="n">
        <v>92.5</v>
      </c>
      <c r="J481" s="3" t="n"/>
      <c r="K481" s="3" t="n"/>
      <c r="L481" s="3" t="n"/>
      <c r="M481" s="2" t="inlineStr">
        <is>
          <t>PriceCharting</t>
        </is>
      </c>
      <c r="N481" s="4" t="inlineStr">
        <is>
          <t>https://www.pricecharting.com/game/pokemon-chinese-gem-pack/sealed-booster-box</t>
        </is>
      </c>
    </row>
    <row r="482">
      <c r="A482" s="2" t="inlineStr">
        <is>
          <t>Chinese Gem Pack 2 Booster Box</t>
        </is>
      </c>
      <c r="B482" s="3">
        <f>IF(I482&lt;&gt;"",I482,IF(J482&lt;&gt;"",J482,IF(K482&lt;&gt;"",K482,L482)))</f>
        <v>66.21</v>
      </c>
      <c r="C482" s="3">
        <f>MEDIAN(I482:L482)</f>
        <v>66.21</v>
      </c>
      <c r="D482" s="3">
        <f>ROUND(C482*(1-Settings!$B$2),2)</f>
        <v>46.35</v>
      </c>
      <c r="E482" s="3">
        <f>ROUND(C482*(1-Settings!$B$3),2)</f>
        <v>46.35</v>
      </c>
      <c r="F482" s="2" t="inlineStr">
        <is>
          <t>Pokemon</t>
        </is>
      </c>
      <c r="G482" s="2" t="inlineStr">
        <is>
          <t>Box</t>
        </is>
      </c>
      <c r="H482" s="2" t="inlineStr">
        <is>
          <t>Chinese Gem Pack 2</t>
        </is>
      </c>
      <c r="I482" s="3" t="n">
        <v>66.20999999999999</v>
      </c>
      <c r="J482" s="3" t="n"/>
      <c r="K482" s="3" t="n"/>
      <c r="L482" s="3" t="n"/>
      <c r="M482" s="2" t="inlineStr">
        <is>
          <t>PriceCharting</t>
        </is>
      </c>
      <c r="N482" s="4" t="inlineStr">
        <is>
          <t>https://www.pricecharting.com/game/pokemon-chinese-gem-pack-2/booster-box</t>
        </is>
      </c>
    </row>
    <row r="483">
      <c r="A483" s="2" t="inlineStr">
        <is>
          <t>Chinese Gem Pack 3 Booster Box</t>
        </is>
      </c>
      <c r="B483" s="3">
        <f>IF(I483&lt;&gt;"",I483,IF(J483&lt;&gt;"",J483,IF(K483&lt;&gt;"",K483,L483)))</f>
        <v>64.88</v>
      </c>
      <c r="C483" s="3">
        <f>MEDIAN(I483:L483)</f>
        <v>64.88</v>
      </c>
      <c r="D483" s="3">
        <f>ROUND(C483*(1-Settings!$B$2),2)</f>
        <v>45.42</v>
      </c>
      <c r="E483" s="3">
        <f>ROUND(C483*(1-Settings!$B$3),2)</f>
        <v>45.42</v>
      </c>
      <c r="F483" s="2" t="inlineStr">
        <is>
          <t>Pokemon</t>
        </is>
      </c>
      <c r="G483" s="2" t="inlineStr">
        <is>
          <t>Box</t>
        </is>
      </c>
      <c r="H483" s="2" t="inlineStr">
        <is>
          <t>Chinese Gem Pack 3</t>
        </is>
      </c>
      <c r="I483" s="3" t="n">
        <v>64.88</v>
      </c>
      <c r="J483" s="3" t="n"/>
      <c r="K483" s="3" t="n"/>
      <c r="L483" s="3" t="n"/>
      <c r="M483" s="2" t="inlineStr">
        <is>
          <t>PriceCharting</t>
        </is>
      </c>
      <c r="N483" s="4" t="inlineStr">
        <is>
          <t>https://www.pricecharting.com/game/pokemon-chinese-gem-pack-3/booster-box</t>
        </is>
      </c>
    </row>
    <row r="484">
      <c r="A484" s="2" t="inlineStr">
        <is>
          <t>Chinese Gem Pack 4 Booster Box</t>
        </is>
      </c>
      <c r="B484" s="3">
        <f>IF(I484&lt;&gt;"",I484,IF(J484&lt;&gt;"",J484,IF(K484&lt;&gt;"",K484,L484)))</f>
        <v>33.0</v>
      </c>
      <c r="C484" s="3">
        <f>MEDIAN(I484:L484)</f>
        <v>33.0</v>
      </c>
      <c r="D484" s="3">
        <f>ROUND(C484*(1-Settings!$B$2),2)</f>
        <v>23.1</v>
      </c>
      <c r="E484" s="3">
        <f>ROUND(C484*(1-Settings!$B$3),2)</f>
        <v>23.1</v>
      </c>
      <c r="F484" s="2" t="inlineStr">
        <is>
          <t>Pokemon</t>
        </is>
      </c>
      <c r="G484" s="2" t="inlineStr">
        <is>
          <t>Box</t>
        </is>
      </c>
      <c r="H484" s="2" t="inlineStr">
        <is>
          <t>Chinese Gem Pack 4</t>
        </is>
      </c>
      <c r="I484" s="3" t="n">
        <v>33</v>
      </c>
      <c r="J484" s="3" t="n"/>
      <c r="K484" s="3" t="n"/>
      <c r="L484" s="3" t="n"/>
      <c r="M484" s="2" t="inlineStr">
        <is>
          <t>PriceCharting</t>
        </is>
      </c>
      <c r="N484" s="4" t="inlineStr">
        <is>
          <t>https://www.pricecharting.com/game/pokemon-chinese-gem-pack-4/booster-box</t>
        </is>
      </c>
    </row>
    <row r="485">
      <c r="A485" s="2" t="inlineStr">
        <is>
          <t>Chinese Gem Pack 5 Booster Box</t>
        </is>
      </c>
      <c r="B485" s="3">
        <f>IF(I485&lt;&gt;"",I485,IF(J485&lt;&gt;"",J485,IF(K485&lt;&gt;"",K485,L485)))</f>
        <v>45.69</v>
      </c>
      <c r="C485" s="3">
        <f>MEDIAN(I485:L485)</f>
        <v>45.69</v>
      </c>
      <c r="D485" s="3">
        <f>ROUND(C485*(1-Settings!$B$2),2)</f>
        <v>31.98</v>
      </c>
      <c r="E485" s="3">
        <f>ROUND(C485*(1-Settings!$B$3),2)</f>
        <v>31.98</v>
      </c>
      <c r="F485" s="2" t="inlineStr">
        <is>
          <t>Pokemon</t>
        </is>
      </c>
      <c r="G485" s="2" t="inlineStr">
        <is>
          <t>Box</t>
        </is>
      </c>
      <c r="H485" s="2" t="inlineStr">
        <is>
          <t>Chinese Gem Pack 5</t>
        </is>
      </c>
      <c r="I485" s="3" t="n">
        <v>45.69</v>
      </c>
      <c r="J485" s="3" t="n"/>
      <c r="K485" s="3" t="n"/>
      <c r="L485" s="3" t="n"/>
      <c r="M485" s="2" t="inlineStr">
        <is>
          <t>PriceCharting</t>
        </is>
      </c>
      <c r="N485" s="4" t="inlineStr">
        <is>
          <t>https://www.pricecharting.com/game/pokemon-chinese-gem-pack-5/booster-box</t>
        </is>
      </c>
    </row>
    <row r="486">
      <c r="A486" s="2" t="inlineStr">
        <is>
          <t>Chinese Gem Pack 6 Booster Box</t>
        </is>
      </c>
      <c r="B486" s="3">
        <f>IF(I486&lt;&gt;"",I486,IF(J486&lt;&gt;"",J486,IF(K486&lt;&gt;"",K486,L486)))</f>
        <v>31.71</v>
      </c>
      <c r="C486" s="3">
        <f>MEDIAN(I486:L486)</f>
        <v>31.71</v>
      </c>
      <c r="D486" s="3">
        <f>ROUND(C486*(1-Settings!$B$2),2)</f>
        <v>22.2</v>
      </c>
      <c r="E486" s="3">
        <f>ROUND(C486*(1-Settings!$B$3),2)</f>
        <v>22.2</v>
      </c>
      <c r="F486" s="2" t="inlineStr">
        <is>
          <t>Pokemon</t>
        </is>
      </c>
      <c r="G486" s="2" t="inlineStr">
        <is>
          <t>Box</t>
        </is>
      </c>
      <c r="H486" s="2" t="inlineStr">
        <is>
          <t>Chinese Gem Pack 6</t>
        </is>
      </c>
      <c r="I486" s="3" t="n">
        <v>31.71</v>
      </c>
      <c r="J486" s="3" t="n"/>
      <c r="K486" s="3" t="n"/>
      <c r="L486" s="3" t="n"/>
      <c r="M486" s="2" t="inlineStr">
        <is>
          <t>PriceCharting</t>
        </is>
      </c>
      <c r="N486" s="4" t="inlineStr">
        <is>
          <t>https://www.pricecharting.com/game/pokemon-chinese-gem-pack-6/booster-box</t>
        </is>
      </c>
    </row>
    <row r="487">
      <c r="A487" s="2" t="inlineStr">
        <is>
          <t>Chinese Promo 151 First Partner Display Box [Bulbasaur]</t>
        </is>
      </c>
      <c r="B487" s="3">
        <f>IF(I487&lt;&gt;"",I487,IF(J487&lt;&gt;"",J487,IF(K487&lt;&gt;"",K487,L487)))</f>
        <v>27.49</v>
      </c>
      <c r="C487" s="3">
        <f>MEDIAN(I487:L487)</f>
        <v>27.49</v>
      </c>
      <c r="D487" s="3">
        <f>ROUND(C487*(1-Settings!$B$2),2)</f>
        <v>19.24</v>
      </c>
      <c r="E487" s="3">
        <f>ROUND(C487*(1-Settings!$B$3),2)</f>
        <v>19.24</v>
      </c>
      <c r="F487" s="2" t="inlineStr">
        <is>
          <t>Pokemon</t>
        </is>
      </c>
      <c r="G487" s="2" t="inlineStr">
        <is>
          <t>Box</t>
        </is>
      </c>
      <c r="H487" s="2" t="inlineStr">
        <is>
          <t>Chinese Promo</t>
        </is>
      </c>
      <c r="I487" s="3" t="n">
        <v>27.49</v>
      </c>
      <c r="J487" s="3" t="n"/>
      <c r="K487" s="3" t="n"/>
      <c r="L487" s="3" t="n"/>
      <c r="M487" s="2" t="inlineStr">
        <is>
          <t>PriceCharting</t>
        </is>
      </c>
      <c r="N487" s="4" t="inlineStr">
        <is>
          <t>https://www.pricecharting.com/game/pokemon-chinese-promo/151-first-partner-display-box-bulbasaur</t>
        </is>
      </c>
    </row>
    <row r="488">
      <c r="A488" s="2" t="inlineStr">
        <is>
          <t>Chinese Promo 151 First Partner Display Box [Charmander]</t>
        </is>
      </c>
      <c r="B488" s="3">
        <f>IF(I488&lt;&gt;"",I488,IF(J488&lt;&gt;"",J488,IF(K488&lt;&gt;"",K488,L488)))</f>
        <v>27.49</v>
      </c>
      <c r="C488" s="3">
        <f>MEDIAN(I488:L488)</f>
        <v>27.49</v>
      </c>
      <c r="D488" s="3">
        <f>ROUND(C488*(1-Settings!$B$2),2)</f>
        <v>19.24</v>
      </c>
      <c r="E488" s="3">
        <f>ROUND(C488*(1-Settings!$B$3),2)</f>
        <v>19.24</v>
      </c>
      <c r="F488" s="2" t="inlineStr">
        <is>
          <t>Pokemon</t>
        </is>
      </c>
      <c r="G488" s="2" t="inlineStr">
        <is>
          <t>Box</t>
        </is>
      </c>
      <c r="H488" s="2" t="inlineStr">
        <is>
          <t>Chinese Promo</t>
        </is>
      </c>
      <c r="I488" s="3" t="n">
        <v>27.49</v>
      </c>
      <c r="J488" s="3" t="n"/>
      <c r="K488" s="3" t="n"/>
      <c r="L488" s="3" t="n"/>
      <c r="M488" s="2" t="inlineStr">
        <is>
          <t>PriceCharting</t>
        </is>
      </c>
      <c r="N488" s="4" t="inlineStr">
        <is>
          <t>https://www.pricecharting.com/game/pokemon-chinese-promo/151-first-partner-display-box-charmander</t>
        </is>
      </c>
    </row>
    <row r="489">
      <c r="A489" s="2" t="inlineStr">
        <is>
          <t>Chinese Promo 151 First Partner Display Box [Squirtle]</t>
        </is>
      </c>
      <c r="B489" s="3">
        <f>IF(I489&lt;&gt;"",I489,IF(J489&lt;&gt;"",J489,IF(K489&lt;&gt;"",K489,L489)))</f>
        <v>28.49</v>
      </c>
      <c r="C489" s="3">
        <f>MEDIAN(I489:L489)</f>
        <v>28.49</v>
      </c>
      <c r="D489" s="3">
        <f>ROUND(C489*(1-Settings!$B$2),2)</f>
        <v>19.94</v>
      </c>
      <c r="E489" s="3">
        <f>ROUND(C489*(1-Settings!$B$3),2)</f>
        <v>19.94</v>
      </c>
      <c r="F489" s="2" t="inlineStr">
        <is>
          <t>Pokemon</t>
        </is>
      </c>
      <c r="G489" s="2" t="inlineStr">
        <is>
          <t>Box</t>
        </is>
      </c>
      <c r="H489" s="2" t="inlineStr">
        <is>
          <t>Chinese Promo</t>
        </is>
      </c>
      <c r="I489" s="3" t="n">
        <v>28.49</v>
      </c>
      <c r="J489" s="3" t="n"/>
      <c r="K489" s="3" t="n"/>
      <c r="L489" s="3" t="n"/>
      <c r="M489" s="2" t="inlineStr">
        <is>
          <t>PriceCharting</t>
        </is>
      </c>
      <c r="N489" s="4" t="inlineStr">
        <is>
          <t>https://www.pricecharting.com/game/pokemon-chinese-promo/151-first-partner-display-box-squirtle</t>
        </is>
      </c>
    </row>
    <row r="490">
      <c r="A490" s="2" t="inlineStr">
        <is>
          <t>Cosmic Eclipse Booster Box</t>
        </is>
      </c>
      <c r="B490" s="3">
        <f>IF(I490&lt;&gt;"",I490,IF(J490&lt;&gt;"",J490,IF(K490&lt;&gt;"",K490,L490)))</f>
        <v>4570.41</v>
      </c>
      <c r="C490" s="3">
        <f>MEDIAN(I490:L490)</f>
        <v>4570.41</v>
      </c>
      <c r="D490" s="3">
        <f>ROUND(C490*(1-Settings!$B$2),2)</f>
        <v>3199.29</v>
      </c>
      <c r="E490" s="3">
        <f>ROUND(C490*(1-Settings!$B$3),2)</f>
        <v>3199.29</v>
      </c>
      <c r="F490" s="2" t="inlineStr">
        <is>
          <t>Pokemon</t>
        </is>
      </c>
      <c r="G490" s="2" t="inlineStr">
        <is>
          <t>Box</t>
        </is>
      </c>
      <c r="H490" s="2" t="inlineStr">
        <is>
          <t>Cosmic Eclipse</t>
        </is>
      </c>
      <c r="I490" s="3" t="n">
        <v>4570.41</v>
      </c>
      <c r="J490" s="3" t="n"/>
      <c r="K490" s="3" t="n"/>
      <c r="L490" s="3" t="n"/>
      <c r="M490" s="2" t="inlineStr">
        <is>
          <t>PriceCharting</t>
        </is>
      </c>
      <c r="N490" s="4" t="inlineStr">
        <is>
          <t>https://www.pricecharting.com/game/pokemon-cosmic-eclipse/booster-box</t>
        </is>
      </c>
    </row>
    <row r="491">
      <c r="A491" s="2" t="inlineStr">
        <is>
          <t>Cosmic Eclipse Booster Box [Build &amp; Battle]</t>
        </is>
      </c>
      <c r="B491" s="3">
        <f>IF(I491&lt;&gt;"",I491,IF(J491&lt;&gt;"",J491,IF(K491&lt;&gt;"",K491,L491)))</f>
        <v>401.34</v>
      </c>
      <c r="C491" s="3">
        <f>MEDIAN(I491:L491)</f>
        <v>401.34</v>
      </c>
      <c r="D491" s="3">
        <f>ROUND(C491*(1-Settings!$B$2),2)</f>
        <v>280.94</v>
      </c>
      <c r="E491" s="3">
        <f>ROUND(C491*(1-Settings!$B$3),2)</f>
        <v>280.94</v>
      </c>
      <c r="F491" s="2" t="inlineStr">
        <is>
          <t>Pokemon</t>
        </is>
      </c>
      <c r="G491" s="2" t="inlineStr">
        <is>
          <t>Box</t>
        </is>
      </c>
      <c r="H491" s="2" t="inlineStr">
        <is>
          <t>Cosmic Eclipse</t>
        </is>
      </c>
      <c r="I491" s="3" t="n">
        <v>401.34</v>
      </c>
      <c r="J491" s="3" t="n"/>
      <c r="K491" s="3" t="n"/>
      <c r="L491" s="3" t="n"/>
      <c r="M491" s="2" t="inlineStr">
        <is>
          <t>PriceCharting</t>
        </is>
      </c>
      <c r="N491" s="4" t="inlineStr">
        <is>
          <t>https://www.pricecharting.com/game/pokemon-cosmic-eclipse/booster-box-build-&amp;-battle</t>
        </is>
      </c>
    </row>
    <row r="492">
      <c r="A492" s="2" t="inlineStr">
        <is>
          <t>Cosmic Eclipse Build &amp; Battle Display Box</t>
        </is>
      </c>
      <c r="B492" s="3">
        <f>IF(I492&lt;&gt;"",I492,IF(J492&lt;&gt;"",J492,IF(K492&lt;&gt;"",K492,L492)))</f>
        <v>2249.99</v>
      </c>
      <c r="C492" s="3">
        <f>MEDIAN(I492:L492)</f>
        <v>2249.99</v>
      </c>
      <c r="D492" s="3">
        <f>ROUND(C492*(1-Settings!$B$2),2)</f>
        <v>1574.99</v>
      </c>
      <c r="E492" s="3">
        <f>ROUND(C492*(1-Settings!$B$3),2)</f>
        <v>1574.99</v>
      </c>
      <c r="F492" s="2" t="inlineStr">
        <is>
          <t>Pokemon</t>
        </is>
      </c>
      <c r="G492" s="2" t="inlineStr">
        <is>
          <t>Box</t>
        </is>
      </c>
      <c r="H492" s="2" t="inlineStr">
        <is>
          <t>Cosmic Eclipse</t>
        </is>
      </c>
      <c r="I492" s="3" t="n">
        <v>2249.99</v>
      </c>
      <c r="J492" s="3" t="n"/>
      <c r="K492" s="3" t="n"/>
      <c r="L492" s="3" t="n"/>
      <c r="M492" s="2" t="inlineStr">
        <is>
          <t>PriceCharting</t>
        </is>
      </c>
      <c r="N492" s="4" t="inlineStr">
        <is>
          <t>https://www.pricecharting.com/game/pokemon-cosmic-eclipse/build-&amp;-battle-display-box</t>
        </is>
      </c>
    </row>
    <row r="493">
      <c r="A493" s="2" t="inlineStr">
        <is>
          <t>Expansion Pack 20th Anniversary - Booster Box (1st Edition)</t>
        </is>
      </c>
      <c r="B493" s="3">
        <f>IF(I493&lt;&gt;"",I493,IF(J493&lt;&gt;"",J493,IF(K493&lt;&gt;"",K493,L493)))</f>
        <v>10999.0</v>
      </c>
      <c r="C493" s="3">
        <f>MEDIAN(I493:L493)</f>
        <v>10999.0</v>
      </c>
      <c r="D493" s="3">
        <f>ROUND(C493*(1-Settings!$B$2),2)</f>
        <v>7699.3</v>
      </c>
      <c r="E493" s="3">
        <f>ROUND(C493*(1-Settings!$B$3),2)</f>
        <v>7699.3</v>
      </c>
      <c r="F493" s="2" t="inlineStr">
        <is>
          <t>Pokemon</t>
        </is>
      </c>
      <c r="G493" s="2" t="inlineStr">
        <is>
          <t>Box</t>
        </is>
      </c>
      <c r="H493" s="2" t="inlineStr">
        <is>
          <t>CP6: Expansion Pack 20th Anniversary</t>
        </is>
      </c>
      <c r="I493" s="3" t="n"/>
      <c r="J493" s="3" t="n">
        <v>10999</v>
      </c>
      <c r="K493" s="3" t="n"/>
      <c r="L493" s="3" t="n"/>
      <c r="M493" s="2" t="inlineStr">
        <is>
          <t>TCGplayer</t>
        </is>
      </c>
      <c r="O493" s="4" t="inlineStr">
        <is>
          <t>https://www.tcgplayer.com/product/660024</t>
        </is>
      </c>
    </row>
    <row r="494">
      <c r="A494" s="2" t="inlineStr">
        <is>
          <t>Dark Explorers Booster Box</t>
        </is>
      </c>
      <c r="B494" s="3">
        <f>IF(I494&lt;&gt;"",I494,IF(J494&lt;&gt;"",J494,IF(K494&lt;&gt;"",K494,L494)))</f>
        <v>16573.82</v>
      </c>
      <c r="C494" s="3">
        <f>MEDIAN(I494:L494)</f>
        <v>16573.82</v>
      </c>
      <c r="D494" s="3">
        <f>ROUND(C494*(1-Settings!$B$2),2)</f>
        <v>11601.67</v>
      </c>
      <c r="E494" s="3">
        <f>ROUND(C494*(1-Settings!$B$3),2)</f>
        <v>11601.67</v>
      </c>
      <c r="F494" s="2" t="inlineStr">
        <is>
          <t>Pokemon</t>
        </is>
      </c>
      <c r="G494" s="2" t="inlineStr">
        <is>
          <t>Box</t>
        </is>
      </c>
      <c r="H494" s="2" t="inlineStr">
        <is>
          <t>Dark Explorers</t>
        </is>
      </c>
      <c r="I494" s="3" t="n">
        <v>16573.82</v>
      </c>
      <c r="J494" s="3" t="n"/>
      <c r="K494" s="3" t="n"/>
      <c r="L494" s="3" t="n"/>
      <c r="M494" s="2" t="inlineStr">
        <is>
          <t>PriceCharting + TCGplayer</t>
        </is>
      </c>
      <c r="N494" s="4" t="inlineStr">
        <is>
          <t>https://www.pricecharting.com/game/pokemon-dark-explorers/booster-box</t>
        </is>
      </c>
      <c r="O494" s="4" t="inlineStr">
        <is>
          <t>https://www.tcgplayer.com/product/98520</t>
        </is>
      </c>
    </row>
    <row r="495">
      <c r="A495" s="2" t="inlineStr">
        <is>
          <t>Darkness Ablaze Build &amp; Battle Display Box</t>
        </is>
      </c>
      <c r="B495" s="3">
        <f>IF(I495&lt;&gt;"",I495,IF(J495&lt;&gt;"",J495,IF(K495&lt;&gt;"",K495,L495)))</f>
        <v>527.5</v>
      </c>
      <c r="C495" s="3">
        <f>MEDIAN(I495:L495)</f>
        <v>527.5</v>
      </c>
      <c r="D495" s="3">
        <f>ROUND(C495*(1-Settings!$B$2),2)</f>
        <v>369.25</v>
      </c>
      <c r="E495" s="3">
        <f>ROUND(C495*(1-Settings!$B$3),2)</f>
        <v>369.25</v>
      </c>
      <c r="F495" s="2" t="inlineStr">
        <is>
          <t>Pokemon</t>
        </is>
      </c>
      <c r="G495" s="2" t="inlineStr">
        <is>
          <t>Box</t>
        </is>
      </c>
      <c r="H495" s="2" t="inlineStr">
        <is>
          <t>Darkness Ablaze</t>
        </is>
      </c>
      <c r="I495" s="3" t="n">
        <v>527.5</v>
      </c>
      <c r="J495" s="3" t="n"/>
      <c r="K495" s="3" t="n"/>
      <c r="L495" s="3" t="n"/>
      <c r="M495" s="2" t="inlineStr">
        <is>
          <t>PriceCharting</t>
        </is>
      </c>
      <c r="N495" s="4" t="inlineStr">
        <is>
          <t>https://www.pricecharting.com/game/pokemon-darkness-ablaze/build-&amp;-battle-display-box</t>
        </is>
      </c>
    </row>
    <row r="496">
      <c r="A496" s="2" t="inlineStr">
        <is>
          <t>Destined Rivals Build &amp; Battle Display Box</t>
        </is>
      </c>
      <c r="B496" s="3">
        <f>IF(I496&lt;&gt;"",I496,IF(J496&lt;&gt;"",J496,IF(K496&lt;&gt;"",K496,L496)))</f>
        <v>585.0</v>
      </c>
      <c r="C496" s="3">
        <f>MEDIAN(I496:L496)</f>
        <v>585.0</v>
      </c>
      <c r="D496" s="3">
        <f>ROUND(C496*(1-Settings!$B$2),2)</f>
        <v>409.5</v>
      </c>
      <c r="E496" s="3">
        <f>ROUND(C496*(1-Settings!$B$3),2)</f>
        <v>409.5</v>
      </c>
      <c r="F496" s="2" t="inlineStr">
        <is>
          <t>Pokemon</t>
        </is>
      </c>
      <c r="G496" s="2" t="inlineStr">
        <is>
          <t>Box</t>
        </is>
      </c>
      <c r="H496" s="2" t="inlineStr">
        <is>
          <t>Destined Rivals</t>
        </is>
      </c>
      <c r="I496" s="3" t="n">
        <v>585</v>
      </c>
      <c r="J496" s="3" t="n"/>
      <c r="K496" s="3" t="n"/>
      <c r="L496" s="3" t="n"/>
      <c r="M496" s="2" t="inlineStr">
        <is>
          <t>PriceCharting</t>
        </is>
      </c>
      <c r="N496" s="4" t="inlineStr">
        <is>
          <t>https://www.pricecharting.com/game/pokemon-destined-rivals/build-&amp;-battle-display-box</t>
        </is>
      </c>
    </row>
    <row r="497">
      <c r="A497" s="2" t="inlineStr">
        <is>
          <t>Destined Rivals Half Booster Box</t>
        </is>
      </c>
      <c r="B497" s="3">
        <f>IF(I497&lt;&gt;"",I497,IF(J497&lt;&gt;"",J497,IF(K497&lt;&gt;"",K497,L497)))</f>
        <v>188.1</v>
      </c>
      <c r="C497" s="3">
        <f>MEDIAN(I497:L497)</f>
        <v>188.1</v>
      </c>
      <c r="D497" s="3">
        <f>ROUND(C497*(1-Settings!$B$2),2)</f>
        <v>131.67</v>
      </c>
      <c r="E497" s="3">
        <f>ROUND(C497*(1-Settings!$B$3),2)</f>
        <v>131.67</v>
      </c>
      <c r="F497" s="2" t="inlineStr">
        <is>
          <t>Pokemon</t>
        </is>
      </c>
      <c r="G497" s="2" t="inlineStr">
        <is>
          <t>Box</t>
        </is>
      </c>
      <c r="H497" s="2" t="inlineStr">
        <is>
          <t>Destined Rivals</t>
        </is>
      </c>
      <c r="I497" s="3" t="n">
        <v>188.1</v>
      </c>
      <c r="J497" s="3" t="n"/>
      <c r="K497" s="3" t="n"/>
      <c r="L497" s="3" t="n"/>
      <c r="M497" s="2" t="inlineStr">
        <is>
          <t>PriceCharting</t>
        </is>
      </c>
      <c r="N497" s="4" t="inlineStr">
        <is>
          <t>https://www.pricecharting.com/game/pokemon-destined-rivals/half-booster-box</t>
        </is>
      </c>
    </row>
    <row r="498">
      <c r="A498" s="2" t="inlineStr">
        <is>
          <t>Dragons Exalted Booster Box</t>
        </is>
      </c>
      <c r="B498" s="3">
        <f>IF(I498&lt;&gt;"",I498,IF(J498&lt;&gt;"",J498,IF(K498&lt;&gt;"",K498,L498)))</f>
        <v>19355.43</v>
      </c>
      <c r="C498" s="3">
        <f>MEDIAN(I498:L498)</f>
        <v>19355.43</v>
      </c>
      <c r="D498" s="3">
        <f>ROUND(C498*(1-Settings!$B$2),2)</f>
        <v>13548.8</v>
      </c>
      <c r="E498" s="3">
        <f>ROUND(C498*(1-Settings!$B$3),2)</f>
        <v>13548.8</v>
      </c>
      <c r="F498" s="2" t="inlineStr">
        <is>
          <t>Pokemon</t>
        </is>
      </c>
      <c r="G498" s="2" t="inlineStr">
        <is>
          <t>Box</t>
        </is>
      </c>
      <c r="H498" s="2" t="inlineStr">
        <is>
          <t>Dragons Exalted</t>
        </is>
      </c>
      <c r="I498" s="3" t="n">
        <v>19355.43</v>
      </c>
      <c r="J498" s="3" t="n"/>
      <c r="K498" s="3" t="n"/>
      <c r="L498" s="3" t="n"/>
      <c r="M498" s="2" t="inlineStr">
        <is>
          <t>PriceCharting + TCGplayer</t>
        </is>
      </c>
      <c r="N498" s="4" t="inlineStr">
        <is>
          <t>https://www.pricecharting.com/game/pokemon-dragons-exalted/booster-box</t>
        </is>
      </c>
      <c r="O498" s="4" t="inlineStr">
        <is>
          <t>https://www.tcgplayer.com/product/98540</t>
        </is>
      </c>
    </row>
    <row r="499">
      <c r="A499" s="2" t="inlineStr">
        <is>
          <t>Evolutions Booster Box</t>
        </is>
      </c>
      <c r="B499" s="3">
        <f>IF(I499&lt;&gt;"",I499,IF(J499&lt;&gt;"",J499,IF(K499&lt;&gt;"",K499,L499)))</f>
        <v>2650.0</v>
      </c>
      <c r="C499" s="3">
        <f>MEDIAN(I499:L499)</f>
        <v>2650.0</v>
      </c>
      <c r="D499" s="3">
        <f>ROUND(C499*(1-Settings!$B$2),2)</f>
        <v>1855.0</v>
      </c>
      <c r="E499" s="3">
        <f>ROUND(C499*(1-Settings!$B$3),2)</f>
        <v>1855.0</v>
      </c>
      <c r="F499" s="2" t="inlineStr">
        <is>
          <t>Pokemon</t>
        </is>
      </c>
      <c r="G499" s="2" t="inlineStr">
        <is>
          <t>Box</t>
        </is>
      </c>
      <c r="H499" s="2" t="inlineStr">
        <is>
          <t>Evolutions</t>
        </is>
      </c>
      <c r="I499" s="3" t="n">
        <v>2650</v>
      </c>
      <c r="J499" s="3" t="n"/>
      <c r="K499" s="3" t="n"/>
      <c r="L499" s="3" t="n"/>
      <c r="M499" s="2" t="inlineStr">
        <is>
          <t>PriceCharting</t>
        </is>
      </c>
      <c r="N499" s="4" t="inlineStr">
        <is>
          <t>https://www.pricecharting.com/game/pokemon-evolutions/booster-box</t>
        </is>
      </c>
    </row>
    <row r="500">
      <c r="A500" s="2" t="inlineStr">
        <is>
          <t>Evolving Skies Build &amp; Battle Display Box</t>
        </is>
      </c>
      <c r="B500" s="3">
        <f>IF(I500&lt;&gt;"",I500,IF(J500&lt;&gt;"",J500,IF(K500&lt;&gt;"",K500,L500)))</f>
        <v>2888.88</v>
      </c>
      <c r="C500" s="3">
        <f>MEDIAN(I500:L500)</f>
        <v>2888.88</v>
      </c>
      <c r="D500" s="3">
        <f>ROUND(C500*(1-Settings!$B$2),2)</f>
        <v>2022.22</v>
      </c>
      <c r="E500" s="3">
        <f>ROUND(C500*(1-Settings!$B$3),2)</f>
        <v>2022.22</v>
      </c>
      <c r="F500" s="2" t="inlineStr">
        <is>
          <t>Pokemon</t>
        </is>
      </c>
      <c r="G500" s="2" t="inlineStr">
        <is>
          <t>Box</t>
        </is>
      </c>
      <c r="H500" s="2" t="inlineStr">
        <is>
          <t>Evolving Skies</t>
        </is>
      </c>
      <c r="I500" s="3" t="n">
        <v>2888.88</v>
      </c>
      <c r="J500" s="3" t="n"/>
      <c r="K500" s="3" t="n"/>
      <c r="L500" s="3" t="n"/>
      <c r="M500" s="2" t="inlineStr">
        <is>
          <t>PriceCharting</t>
        </is>
      </c>
      <c r="N500" s="4" t="inlineStr">
        <is>
          <t>https://www.pricecharting.com/game/pokemon-evolving-skies/build-&amp;-battle-display-box</t>
        </is>
      </c>
    </row>
    <row r="501">
      <c r="A501" s="2" t="inlineStr">
        <is>
          <t>Crystal Guardians Booster Box</t>
        </is>
      </c>
      <c r="B501" s="3">
        <f>IF(I501&lt;&gt;"",I501,IF(J501&lt;&gt;"",J501,IF(K501&lt;&gt;"",K501,L501)))</f>
        <v>27676.55</v>
      </c>
      <c r="C501" s="3">
        <f>MEDIAN(I501:L501)</f>
        <v>27676.55</v>
      </c>
      <c r="D501" s="3">
        <f>ROUND(C501*(1-Settings!$B$2),2)</f>
        <v>19373.59</v>
      </c>
      <c r="E501" s="3">
        <f>ROUND(C501*(1-Settings!$B$3),2)</f>
        <v>19373.59</v>
      </c>
      <c r="F501" s="2" t="inlineStr">
        <is>
          <t>Pokemon</t>
        </is>
      </c>
      <c r="G501" s="2" t="inlineStr">
        <is>
          <t>Box</t>
        </is>
      </c>
      <c r="H501" s="2" t="inlineStr">
        <is>
          <t>EX Crystal Guardians</t>
        </is>
      </c>
      <c r="I501" s="3" t="n">
        <v>27676.55</v>
      </c>
      <c r="J501" s="3" t="n"/>
      <c r="K501" s="3" t="n"/>
      <c r="L501" s="3" t="n"/>
      <c r="M501" s="2" t="inlineStr">
        <is>
          <t>PriceCharting + TCGplayer</t>
        </is>
      </c>
      <c r="N501" s="4" t="inlineStr">
        <is>
          <t>https://www.pricecharting.com/game/pokemon-crystal-guardians/booster-box</t>
        </is>
      </c>
      <c r="O501" s="4" t="inlineStr">
        <is>
          <t>https://www.tcgplayer.com/product/98567</t>
        </is>
      </c>
    </row>
    <row r="502">
      <c r="A502" s="2" t="inlineStr">
        <is>
          <t>Delta Species Booster Box</t>
        </is>
      </c>
      <c r="B502" s="3">
        <f>IF(I502&lt;&gt;"",I502,IF(J502&lt;&gt;"",J502,IF(K502&lt;&gt;"",K502,L502)))</f>
        <v>25000.0</v>
      </c>
      <c r="C502" s="3">
        <f>MEDIAN(I502:L502)</f>
        <v>25000.0</v>
      </c>
      <c r="D502" s="3">
        <f>ROUND(C502*(1-Settings!$B$2),2)</f>
        <v>17500.0</v>
      </c>
      <c r="E502" s="3">
        <f>ROUND(C502*(1-Settings!$B$3),2)</f>
        <v>17500.0</v>
      </c>
      <c r="F502" s="2" t="inlineStr">
        <is>
          <t>Pokemon</t>
        </is>
      </c>
      <c r="G502" s="2" t="inlineStr">
        <is>
          <t>Box</t>
        </is>
      </c>
      <c r="H502" s="2" t="inlineStr">
        <is>
          <t>EX Delta Species</t>
        </is>
      </c>
      <c r="I502" s="3" t="n">
        <v>25000</v>
      </c>
      <c r="J502" s="3" t="n"/>
      <c r="K502" s="3" t="n"/>
      <c r="L502" s="3" t="n"/>
      <c r="M502" s="2" t="inlineStr">
        <is>
          <t>PriceCharting + TCGplayer</t>
        </is>
      </c>
      <c r="N502" s="4" t="inlineStr">
        <is>
          <t>https://www.pricecharting.com/game/pokemon-delta-species/booster-box</t>
        </is>
      </c>
      <c r="O502" s="4" t="inlineStr">
        <is>
          <t>https://www.tcgplayer.com/product/98943</t>
        </is>
      </c>
    </row>
    <row r="503">
      <c r="A503" s="2" t="inlineStr">
        <is>
          <t>Deoxys Booster Box</t>
        </is>
      </c>
      <c r="B503" s="3">
        <f>IF(I503&lt;&gt;"",I503,IF(J503&lt;&gt;"",J503,IF(K503&lt;&gt;"",K503,L503)))</f>
        <v>30599.36</v>
      </c>
      <c r="C503" s="3">
        <f>MEDIAN(I503:L503)</f>
        <v>30599.36</v>
      </c>
      <c r="D503" s="3">
        <f>ROUND(C503*(1-Settings!$B$2),2)</f>
        <v>21419.55</v>
      </c>
      <c r="E503" s="3">
        <f>ROUND(C503*(1-Settings!$B$3),2)</f>
        <v>21419.55</v>
      </c>
      <c r="F503" s="2" t="inlineStr">
        <is>
          <t>Pokemon</t>
        </is>
      </c>
      <c r="G503" s="2" t="inlineStr">
        <is>
          <t>Box</t>
        </is>
      </c>
      <c r="H503" s="2" t="inlineStr">
        <is>
          <t>EX Deoxys</t>
        </is>
      </c>
      <c r="I503" s="3" t="n">
        <v>30599.36</v>
      </c>
      <c r="J503" s="3" t="n"/>
      <c r="K503" s="3" t="n"/>
      <c r="L503" s="3" t="n"/>
      <c r="M503" s="2" t="inlineStr">
        <is>
          <t>PriceCharting + TCGplayer</t>
        </is>
      </c>
      <c r="N503" s="4" t="inlineStr">
        <is>
          <t>https://www.pricecharting.com/game/pokemon-deoxys/booster-box</t>
        </is>
      </c>
      <c r="O503" s="4" t="inlineStr">
        <is>
          <t>https://www.tcgplayer.com/product/98563</t>
        </is>
      </c>
    </row>
    <row r="504">
      <c r="A504" s="2" t="inlineStr">
        <is>
          <t>Dragon Frontiers Booster Box</t>
        </is>
      </c>
      <c r="B504" s="3">
        <f>IF(I504&lt;&gt;"",I504,IF(J504&lt;&gt;"",J504,IF(K504&lt;&gt;"",K504,L504)))</f>
        <v>10344.1</v>
      </c>
      <c r="C504" s="3">
        <f>MEDIAN(I504:L504)</f>
        <v>10344.1</v>
      </c>
      <c r="D504" s="3">
        <f>ROUND(C504*(1-Settings!$B$2),2)</f>
        <v>7240.87</v>
      </c>
      <c r="E504" s="3">
        <f>ROUND(C504*(1-Settings!$B$3),2)</f>
        <v>7240.87</v>
      </c>
      <c r="F504" s="2" t="inlineStr">
        <is>
          <t>Pokemon</t>
        </is>
      </c>
      <c r="G504" s="2" t="inlineStr">
        <is>
          <t>Box</t>
        </is>
      </c>
      <c r="H504" s="2" t="inlineStr">
        <is>
          <t>EX Dragon Frontiers</t>
        </is>
      </c>
      <c r="I504" s="3" t="n">
        <v>10344.1</v>
      </c>
      <c r="J504" s="3" t="n"/>
      <c r="K504" s="3" t="n"/>
      <c r="L504" s="3" t="n"/>
      <c r="M504" s="2" t="inlineStr">
        <is>
          <t>PriceCharting + TCGplayer</t>
        </is>
      </c>
      <c r="N504" s="4" t="inlineStr">
        <is>
          <t>https://www.pricecharting.com/game/pokemon-dragon-frontiers/booster-box</t>
        </is>
      </c>
      <c r="O504" s="4" t="inlineStr">
        <is>
          <t>https://www.tcgplayer.com/product/98532</t>
        </is>
      </c>
    </row>
    <row r="505">
      <c r="A505" s="2" t="inlineStr">
        <is>
          <t>Emerald Booster Box</t>
        </is>
      </c>
      <c r="B505" s="3">
        <f>IF(I505&lt;&gt;"",I505,IF(J505&lt;&gt;"",J505,IF(K505&lt;&gt;"",K505,L505)))</f>
        <v>14053.37</v>
      </c>
      <c r="C505" s="3">
        <f>MEDIAN(I505:L505)</f>
        <v>14053.37</v>
      </c>
      <c r="D505" s="3">
        <f>ROUND(C505*(1-Settings!$B$2),2)</f>
        <v>9837.36</v>
      </c>
      <c r="E505" s="3">
        <f>ROUND(C505*(1-Settings!$B$3),2)</f>
        <v>9837.36</v>
      </c>
      <c r="F505" s="2" t="inlineStr">
        <is>
          <t>Pokemon</t>
        </is>
      </c>
      <c r="G505" s="2" t="inlineStr">
        <is>
          <t>Box</t>
        </is>
      </c>
      <c r="H505" s="2" t="inlineStr">
        <is>
          <t>EX Emerald</t>
        </is>
      </c>
      <c r="I505" s="3" t="n">
        <v>14053.37</v>
      </c>
      <c r="J505" s="3" t="n"/>
      <c r="K505" s="3" t="n"/>
      <c r="L505" s="3" t="n"/>
      <c r="M505" s="2" t="inlineStr">
        <is>
          <t>PriceCharting + TCGplayer</t>
        </is>
      </c>
      <c r="N505" s="4" t="inlineStr">
        <is>
          <t>https://www.pricecharting.com/game/pokemon-emerald/booster-box</t>
        </is>
      </c>
      <c r="O505" s="4" t="inlineStr">
        <is>
          <t>https://www.tcgplayer.com/product/98547</t>
        </is>
      </c>
    </row>
    <row r="506">
      <c r="A506" s="2" t="inlineStr">
        <is>
          <t>Hidden Legends Booster Box</t>
        </is>
      </c>
      <c r="B506" s="3">
        <f>IF(I506&lt;&gt;"",I506,IF(J506&lt;&gt;"",J506,IF(K506&lt;&gt;"",K506,L506)))</f>
        <v>17150.0</v>
      </c>
      <c r="C506" s="3">
        <f>MEDIAN(I506:L506)</f>
        <v>64200.0</v>
      </c>
      <c r="D506" s="3">
        <f>ROUND(C506*(1-Settings!$B$2),2)</f>
        <v>44940.0</v>
      </c>
      <c r="E506" s="3">
        <f>ROUND(C506*(1-Settings!$B$3),2)</f>
        <v>44940.0</v>
      </c>
      <c r="F506" s="2" t="inlineStr">
        <is>
          <t>Pokemon</t>
        </is>
      </c>
      <c r="G506" s="2" t="inlineStr">
        <is>
          <t>Box</t>
        </is>
      </c>
      <c r="H506" s="2" t="inlineStr">
        <is>
          <t>EX Hidden Legends</t>
        </is>
      </c>
      <c r="I506" s="3" t="n">
        <v>17150</v>
      </c>
      <c r="J506" s="3" t="n"/>
      <c r="K506" s="3" t="n">
        <v>64200</v>
      </c>
      <c r="L506" s="3" t="n">
        <v>64200</v>
      </c>
      <c r="M506" s="2" t="inlineStr">
        <is>
          <t>PriceCharting + TCGplayer</t>
        </is>
      </c>
      <c r="N506" s="4" t="inlineStr">
        <is>
          <t>https://www.pricecharting.com/game/pokemon-hidden-legends/booster-box</t>
        </is>
      </c>
      <c r="O506" s="4" t="inlineStr">
        <is>
          <t>https://www.tcgplayer.com/product/98596</t>
        </is>
      </c>
    </row>
    <row r="507">
      <c r="A507" s="2" t="inlineStr">
        <is>
          <t>Holon Phantoms Booster Box</t>
        </is>
      </c>
      <c r="B507" s="3">
        <f>IF(I507&lt;&gt;"",I507,IF(J507&lt;&gt;"",J507,IF(K507&lt;&gt;"",K507,L507)))</f>
        <v>22000.0</v>
      </c>
      <c r="C507" s="3">
        <f>MEDIAN(I507:L507)</f>
        <v>22000.0</v>
      </c>
      <c r="D507" s="3">
        <f>ROUND(C507*(1-Settings!$B$2),2)</f>
        <v>15400.0</v>
      </c>
      <c r="E507" s="3">
        <f>ROUND(C507*(1-Settings!$B$3),2)</f>
        <v>15400.0</v>
      </c>
      <c r="F507" s="2" t="inlineStr">
        <is>
          <t>Pokemon</t>
        </is>
      </c>
      <c r="G507" s="2" t="inlineStr">
        <is>
          <t>Box</t>
        </is>
      </c>
      <c r="H507" s="2" t="inlineStr">
        <is>
          <t>EX Holon Phantoms</t>
        </is>
      </c>
      <c r="I507" s="3" t="n">
        <v>22000</v>
      </c>
      <c r="J507" s="3" t="n"/>
      <c r="K507" s="3" t="n"/>
      <c r="L507" s="3" t="n"/>
      <c r="M507" s="2" t="inlineStr">
        <is>
          <t>PriceCharting + TCGplayer</t>
        </is>
      </c>
      <c r="N507" s="4" t="inlineStr">
        <is>
          <t>https://www.pricecharting.com/game/pokemon-holon-phantoms/booster-box</t>
        </is>
      </c>
      <c r="O507" s="4" t="inlineStr">
        <is>
          <t>https://www.tcgplayer.com/product/98523</t>
        </is>
      </c>
    </row>
    <row r="508">
      <c r="A508" s="2" t="inlineStr">
        <is>
          <t>Legend Maker Booster Box</t>
        </is>
      </c>
      <c r="B508" s="3">
        <f>IF(I508&lt;&gt;"",I508,IF(J508&lt;&gt;"",J508,IF(K508&lt;&gt;"",K508,L508)))</f>
        <v>1147.49</v>
      </c>
      <c r="C508" s="3">
        <f>MEDIAN(I508:L508)</f>
        <v>1147.49</v>
      </c>
      <c r="D508" s="3">
        <f>ROUND(C508*(1-Settings!$B$2),2)</f>
        <v>803.24</v>
      </c>
      <c r="E508" s="3">
        <f>ROUND(C508*(1-Settings!$B$3),2)</f>
        <v>803.24</v>
      </c>
      <c r="F508" s="2" t="inlineStr">
        <is>
          <t>Pokemon</t>
        </is>
      </c>
      <c r="G508" s="2" t="inlineStr">
        <is>
          <t>Box</t>
        </is>
      </c>
      <c r="H508" s="2" t="inlineStr">
        <is>
          <t>EX Legend Maker</t>
        </is>
      </c>
      <c r="I508" s="3" t="n">
        <v>1147.49</v>
      </c>
      <c r="J508" s="3" t="n"/>
      <c r="K508" s="3" t="n"/>
      <c r="L508" s="3" t="n"/>
      <c r="M508" s="2" t="inlineStr">
        <is>
          <t>PriceCharting + TCGplayer</t>
        </is>
      </c>
      <c r="N508" s="4" t="inlineStr">
        <is>
          <t>https://www.pricecharting.com/game/pokemon-legend-maker/booster-box</t>
        </is>
      </c>
      <c r="O508" s="4" t="inlineStr">
        <is>
          <t>https://www.tcgplayer.com/product/98556</t>
        </is>
      </c>
    </row>
    <row r="509">
      <c r="A509" s="2" t="inlineStr">
        <is>
          <t>Power Keepers Booster Box</t>
        </is>
      </c>
      <c r="B509" s="3">
        <f>IF(I509&lt;&gt;"",I509,IF(J509&lt;&gt;"",J509,IF(K509&lt;&gt;"",K509,L509)))</f>
        <v>20298.73</v>
      </c>
      <c r="C509" s="3">
        <f>MEDIAN(I509:L509)</f>
        <v>20298.73</v>
      </c>
      <c r="D509" s="3">
        <f>ROUND(C509*(1-Settings!$B$2),2)</f>
        <v>14209.11</v>
      </c>
      <c r="E509" s="3">
        <f>ROUND(C509*(1-Settings!$B$3),2)</f>
        <v>14209.11</v>
      </c>
      <c r="F509" s="2" t="inlineStr">
        <is>
          <t>Pokemon</t>
        </is>
      </c>
      <c r="G509" s="2" t="inlineStr">
        <is>
          <t>Box</t>
        </is>
      </c>
      <c r="H509" s="2" t="inlineStr">
        <is>
          <t>EX Power Keepers</t>
        </is>
      </c>
      <c r="I509" s="3" t="n">
        <v>20298.73</v>
      </c>
      <c r="J509" s="3" t="n"/>
      <c r="K509" s="3" t="n"/>
      <c r="L509" s="3" t="n"/>
      <c r="M509" s="2" t="inlineStr">
        <is>
          <t>PriceCharting + TCGplayer</t>
        </is>
      </c>
      <c r="N509" s="4" t="inlineStr">
        <is>
          <t>https://www.pricecharting.com/game/pokemon-power-keepers/booster-box</t>
        </is>
      </c>
      <c r="O509" s="4" t="inlineStr">
        <is>
          <t>https://www.tcgplayer.com/product/98528</t>
        </is>
      </c>
    </row>
    <row r="510">
      <c r="A510" s="2" t="inlineStr">
        <is>
          <t>Team Rocket Returns Booster Box</t>
        </is>
      </c>
      <c r="B510" s="3">
        <f>IF(I510&lt;&gt;"",I510,IF(J510&lt;&gt;"",J510,IF(K510&lt;&gt;"",K510,L510)))</f>
        <v>67654.0</v>
      </c>
      <c r="C510" s="3">
        <f>MEDIAN(I510:L510)</f>
        <v>67654.0</v>
      </c>
      <c r="D510" s="3">
        <f>ROUND(C510*(1-Settings!$B$2),2)</f>
        <v>47357.8</v>
      </c>
      <c r="E510" s="3">
        <f>ROUND(C510*(1-Settings!$B$3),2)</f>
        <v>47357.8</v>
      </c>
      <c r="F510" s="2" t="inlineStr">
        <is>
          <t>Pokemon</t>
        </is>
      </c>
      <c r="G510" s="2" t="inlineStr">
        <is>
          <t>Box</t>
        </is>
      </c>
      <c r="H510" s="2" t="inlineStr">
        <is>
          <t>EX Team Rocket Returns</t>
        </is>
      </c>
      <c r="I510" s="3" t="n">
        <v>67654</v>
      </c>
      <c r="J510" s="3" t="n"/>
      <c r="K510" s="3" t="n"/>
      <c r="L510" s="3" t="n"/>
      <c r="M510" s="2" t="inlineStr">
        <is>
          <t>PriceCharting + TCGplayer</t>
        </is>
      </c>
      <c r="N510" s="4" t="inlineStr">
        <is>
          <t>https://www.pricecharting.com/game/pokemon-team-rocket-returns/booster-box</t>
        </is>
      </c>
      <c r="O510" s="4" t="inlineStr">
        <is>
          <t>https://www.tcgplayer.com/product/98579</t>
        </is>
      </c>
    </row>
    <row r="511">
      <c r="A511" s="2" t="inlineStr">
        <is>
          <t>Unseen Forces Booster Box</t>
        </is>
      </c>
      <c r="B511" s="3">
        <f>IF(I511&lt;&gt;"",I511,IF(J511&lt;&gt;"",J511,IF(K511&lt;&gt;"",K511,L511)))</f>
        <v>116673.88</v>
      </c>
      <c r="C511" s="3">
        <f>MEDIAN(I511:L511)</f>
        <v>116673.88</v>
      </c>
      <c r="D511" s="3">
        <f>ROUND(C511*(1-Settings!$B$2),2)</f>
        <v>81671.72</v>
      </c>
      <c r="E511" s="3">
        <f>ROUND(C511*(1-Settings!$B$3),2)</f>
        <v>81671.72</v>
      </c>
      <c r="F511" s="2" t="inlineStr">
        <is>
          <t>Pokemon</t>
        </is>
      </c>
      <c r="G511" s="2" t="inlineStr">
        <is>
          <t>Box</t>
        </is>
      </c>
      <c r="H511" s="2" t="inlineStr">
        <is>
          <t>EX Unseen Forces</t>
        </is>
      </c>
      <c r="I511" s="3" t="n">
        <v>116673.88</v>
      </c>
      <c r="J511" s="3" t="n"/>
      <c r="K511" s="3" t="n"/>
      <c r="L511" s="3" t="n"/>
      <c r="M511" s="2" t="inlineStr">
        <is>
          <t>PriceCharting + TCGplayer</t>
        </is>
      </c>
      <c r="N511" s="4" t="inlineStr">
        <is>
          <t>https://www.pricecharting.com/game/pokemon-unseen-forces/booster-box</t>
        </is>
      </c>
      <c r="O511" s="4" t="inlineStr">
        <is>
          <t>https://www.tcgplayer.com/product/98576</t>
        </is>
      </c>
    </row>
    <row r="512">
      <c r="A512" s="2" t="inlineStr">
        <is>
          <t>Expedition Booster Box</t>
        </is>
      </c>
      <c r="B512" s="3">
        <f>IF(I512&lt;&gt;"",I512,IF(J512&lt;&gt;"",J512,IF(K512&lt;&gt;"",K512,L512)))</f>
        <v>160179.48</v>
      </c>
      <c r="C512" s="3">
        <f>MEDIAN(I512:L512)</f>
        <v>160179.48</v>
      </c>
      <c r="D512" s="3">
        <f>ROUND(C512*(1-Settings!$B$2),2)</f>
        <v>112125.64</v>
      </c>
      <c r="E512" s="3">
        <f>ROUND(C512*(1-Settings!$B$3),2)</f>
        <v>112125.64</v>
      </c>
      <c r="F512" s="2" t="inlineStr">
        <is>
          <t>Pokemon</t>
        </is>
      </c>
      <c r="G512" s="2" t="inlineStr">
        <is>
          <t>Box</t>
        </is>
      </c>
      <c r="H512" s="2" t="inlineStr">
        <is>
          <t>Expedition</t>
        </is>
      </c>
      <c r="I512" s="3" t="n">
        <v>160179.48</v>
      </c>
      <c r="J512" s="3" t="n"/>
      <c r="K512" s="3" t="n"/>
      <c r="L512" s="3" t="n"/>
      <c r="M512" s="2" t="inlineStr">
        <is>
          <t>PriceCharting</t>
        </is>
      </c>
      <c r="N512" s="4" t="inlineStr">
        <is>
          <t>https://www.pricecharting.com/game/pokemon-expedition/booster-box</t>
        </is>
      </c>
    </row>
    <row r="513">
      <c r="A513" s="2" t="inlineStr">
        <is>
          <t>Fates Collide Booster Box</t>
        </is>
      </c>
      <c r="B513" s="3">
        <f>IF(I513&lt;&gt;"",I513,IF(J513&lt;&gt;"",J513,IF(K513&lt;&gt;"",K513,L513)))</f>
        <v>2753.42</v>
      </c>
      <c r="C513" s="3">
        <f>MEDIAN(I513:L513)</f>
        <v>2753.42</v>
      </c>
      <c r="D513" s="3">
        <f>ROUND(C513*(1-Settings!$B$2),2)</f>
        <v>1927.39</v>
      </c>
      <c r="E513" s="3">
        <f>ROUND(C513*(1-Settings!$B$3),2)</f>
        <v>1927.39</v>
      </c>
      <c r="F513" s="2" t="inlineStr">
        <is>
          <t>Pokemon</t>
        </is>
      </c>
      <c r="G513" s="2" t="inlineStr">
        <is>
          <t>Box</t>
        </is>
      </c>
      <c r="H513" s="2" t="inlineStr">
        <is>
          <t>Fates Collide</t>
        </is>
      </c>
      <c r="I513" s="3" t="n">
        <v>2753.42</v>
      </c>
      <c r="J513" s="3" t="n"/>
      <c r="K513" s="3" t="n"/>
      <c r="L513" s="3" t="n"/>
      <c r="M513" s="2" t="inlineStr">
        <is>
          <t>PriceCharting</t>
        </is>
      </c>
      <c r="N513" s="4" t="inlineStr">
        <is>
          <t>https://www.pricecharting.com/game/pokemon-fates-collide/booster-box</t>
        </is>
      </c>
    </row>
    <row r="514">
      <c r="A514" s="2" t="inlineStr">
        <is>
          <t>Fossil Booster Box</t>
        </is>
      </c>
      <c r="B514" s="3">
        <f>IF(I514&lt;&gt;"",I514,IF(J514&lt;&gt;"",J514,IF(K514&lt;&gt;"",K514,L514)))</f>
        <v>14559.54</v>
      </c>
      <c r="C514" s="3">
        <f>MEDIAN(I514:L514)</f>
        <v>14559.54</v>
      </c>
      <c r="D514" s="3">
        <f>ROUND(C514*(1-Settings!$B$2),2)</f>
        <v>10191.68</v>
      </c>
      <c r="E514" s="3">
        <f>ROUND(C514*(1-Settings!$B$3),2)</f>
        <v>10191.68</v>
      </c>
      <c r="F514" s="2" t="inlineStr">
        <is>
          <t>Pokemon</t>
        </is>
      </c>
      <c r="G514" s="2" t="inlineStr">
        <is>
          <t>Box</t>
        </is>
      </c>
      <c r="H514" s="2" t="inlineStr">
        <is>
          <t>Fossil</t>
        </is>
      </c>
      <c r="I514" s="3" t="n">
        <v>14559.54</v>
      </c>
      <c r="J514" s="3" t="n"/>
      <c r="K514" s="3" t="n"/>
      <c r="L514" s="3" t="n"/>
      <c r="M514" s="2" t="inlineStr">
        <is>
          <t>PriceCharting</t>
        </is>
      </c>
      <c r="N514" s="4" t="inlineStr">
        <is>
          <t>https://www.pricecharting.com/game/pokemon-fossil/booster-box</t>
        </is>
      </c>
    </row>
    <row r="515">
      <c r="A515" s="2" t="inlineStr">
        <is>
          <t>Fossil Booster Box [1st Edition]</t>
        </is>
      </c>
      <c r="B515" s="3">
        <f>IF(I515&lt;&gt;"",I515,IF(J515&lt;&gt;"",J515,IF(K515&lt;&gt;"",K515,L515)))</f>
        <v>17401.47</v>
      </c>
      <c r="C515" s="3">
        <f>MEDIAN(I515:L515)</f>
        <v>17401.47</v>
      </c>
      <c r="D515" s="3">
        <f>ROUND(C515*(1-Settings!$B$2),2)</f>
        <v>12181.03</v>
      </c>
      <c r="E515" s="3">
        <f>ROUND(C515*(1-Settings!$B$3),2)</f>
        <v>12181.03</v>
      </c>
      <c r="F515" s="2" t="inlineStr">
        <is>
          <t>Pokemon</t>
        </is>
      </c>
      <c r="G515" s="2" t="inlineStr">
        <is>
          <t>Box</t>
        </is>
      </c>
      <c r="H515" s="2" t="inlineStr">
        <is>
          <t>Fossil</t>
        </is>
      </c>
      <c r="I515" s="3" t="n">
        <v>17401.47</v>
      </c>
      <c r="J515" s="3" t="n"/>
      <c r="K515" s="3" t="n"/>
      <c r="L515" s="3" t="n"/>
      <c r="M515" s="2" t="inlineStr">
        <is>
          <t>PriceCharting</t>
        </is>
      </c>
      <c r="N515" s="4" t="inlineStr">
        <is>
          <t>https://www.pricecharting.com/game/pokemon-fossil/booster-box-1st-edition</t>
        </is>
      </c>
    </row>
    <row r="516">
      <c r="A516" s="2" t="inlineStr">
        <is>
          <t>Fusion Strike Half Booster Box</t>
        </is>
      </c>
      <c r="B516" s="3">
        <f>IF(I516&lt;&gt;"",I516,IF(J516&lt;&gt;"",J516,IF(K516&lt;&gt;"",K516,L516)))</f>
        <v>430.43</v>
      </c>
      <c r="C516" s="3">
        <f>MEDIAN(I516:L516)</f>
        <v>430.43</v>
      </c>
      <c r="D516" s="3">
        <f>ROUND(C516*(1-Settings!$B$2),2)</f>
        <v>301.3</v>
      </c>
      <c r="E516" s="3">
        <f>ROUND(C516*(1-Settings!$B$3),2)</f>
        <v>301.3</v>
      </c>
      <c r="F516" s="2" t="inlineStr">
        <is>
          <t>Pokemon</t>
        </is>
      </c>
      <c r="G516" s="2" t="inlineStr">
        <is>
          <t>Box</t>
        </is>
      </c>
      <c r="H516" s="2" t="inlineStr">
        <is>
          <t>Fusion Strike</t>
        </is>
      </c>
      <c r="I516" s="3" t="n">
        <v>430.43</v>
      </c>
      <c r="J516" s="3" t="n"/>
      <c r="K516" s="3" t="n"/>
      <c r="L516" s="3" t="n"/>
      <c r="M516" s="2" t="inlineStr">
        <is>
          <t>PriceCharting</t>
        </is>
      </c>
      <c r="N516" s="4" t="inlineStr">
        <is>
          <t>https://www.pricecharting.com/game/pokemon-fusion-strike/half-booster-box</t>
        </is>
      </c>
    </row>
    <row r="517">
      <c r="A517" s="2" t="inlineStr">
        <is>
          <t>Great Encounters Booster Box</t>
        </is>
      </c>
      <c r="B517" s="3">
        <f>IF(I517&lt;&gt;"",I517,IF(J517&lt;&gt;"",J517,IF(K517&lt;&gt;"",K517,L517)))</f>
        <v>4779.1</v>
      </c>
      <c r="C517" s="3">
        <f>MEDIAN(I517:L517)</f>
        <v>4779.1</v>
      </c>
      <c r="D517" s="3">
        <f>ROUND(C517*(1-Settings!$B$2),2)</f>
        <v>3345.37</v>
      </c>
      <c r="E517" s="3">
        <f>ROUND(C517*(1-Settings!$B$3),2)</f>
        <v>3345.37</v>
      </c>
      <c r="F517" s="2" t="inlineStr">
        <is>
          <t>Pokemon</t>
        </is>
      </c>
      <c r="G517" s="2" t="inlineStr">
        <is>
          <t>Box</t>
        </is>
      </c>
      <c r="H517" s="2" t="inlineStr">
        <is>
          <t>Great Encounters</t>
        </is>
      </c>
      <c r="I517" s="3" t="n">
        <v>4779.1</v>
      </c>
      <c r="J517" s="3" t="n"/>
      <c r="K517" s="3" t="n"/>
      <c r="L517" s="3" t="n"/>
      <c r="M517" s="2" t="inlineStr">
        <is>
          <t>PriceCharting + TCGplayer</t>
        </is>
      </c>
      <c r="N517" s="4" t="inlineStr">
        <is>
          <t>https://www.pricecharting.com/game/pokemon-great-encounters/booster-box</t>
        </is>
      </c>
      <c r="O517" s="4" t="inlineStr">
        <is>
          <t>https://www.tcgplayer.com/product/98544</t>
        </is>
      </c>
    </row>
    <row r="518">
      <c r="A518" s="2" t="inlineStr">
        <is>
          <t>Guardians Rising Booster Box</t>
        </is>
      </c>
      <c r="B518" s="3">
        <f>IF(I518&lt;&gt;"",I518,IF(J518&lt;&gt;"",J518,IF(K518&lt;&gt;"",K518,L518)))</f>
        <v>1314.5</v>
      </c>
      <c r="C518" s="3">
        <f>MEDIAN(I518:L518)</f>
        <v>1314.5</v>
      </c>
      <c r="D518" s="3">
        <f>ROUND(C518*(1-Settings!$B$2),2)</f>
        <v>920.15</v>
      </c>
      <c r="E518" s="3">
        <f>ROUND(C518*(1-Settings!$B$3),2)</f>
        <v>920.15</v>
      </c>
      <c r="F518" s="2" t="inlineStr">
        <is>
          <t>Pokemon</t>
        </is>
      </c>
      <c r="G518" s="2" t="inlineStr">
        <is>
          <t>Box</t>
        </is>
      </c>
      <c r="H518" s="2" t="inlineStr">
        <is>
          <t>Guardians Rising</t>
        </is>
      </c>
      <c r="I518" s="3" t="n">
        <v>1314.5</v>
      </c>
      <c r="J518" s="3" t="n"/>
      <c r="K518" s="3" t="n"/>
      <c r="L518" s="3" t="n"/>
      <c r="M518" s="2" t="inlineStr">
        <is>
          <t>PriceCharting</t>
        </is>
      </c>
      <c r="N518" s="4" t="inlineStr">
        <is>
          <t>https://www.pricecharting.com/game/pokemon-guardians-rising/booster-box</t>
        </is>
      </c>
    </row>
    <row r="519">
      <c r="A519" s="2" t="inlineStr">
        <is>
          <t>Gym Challenge Booster Box</t>
        </is>
      </c>
      <c r="B519" s="3">
        <f>IF(I519&lt;&gt;"",I519,IF(J519&lt;&gt;"",J519,IF(K519&lt;&gt;"",K519,L519)))</f>
        <v>30800.0</v>
      </c>
      <c r="C519" s="3">
        <f>MEDIAN(I519:L519)</f>
        <v>30800.0</v>
      </c>
      <c r="D519" s="3">
        <f>ROUND(C519*(1-Settings!$B$2),2)</f>
        <v>21560.0</v>
      </c>
      <c r="E519" s="3">
        <f>ROUND(C519*(1-Settings!$B$3),2)</f>
        <v>21560.0</v>
      </c>
      <c r="F519" s="2" t="inlineStr">
        <is>
          <t>Pokemon</t>
        </is>
      </c>
      <c r="G519" s="2" t="inlineStr">
        <is>
          <t>Box</t>
        </is>
      </c>
      <c r="H519" s="2" t="inlineStr">
        <is>
          <t>Gym Challenge</t>
        </is>
      </c>
      <c r="I519" s="3" t="n">
        <v>30800</v>
      </c>
      <c r="J519" s="3" t="n"/>
      <c r="K519" s="3" t="n"/>
      <c r="L519" s="3" t="n"/>
      <c r="M519" s="2" t="inlineStr">
        <is>
          <t>PriceCharting</t>
        </is>
      </c>
      <c r="N519" s="4" t="inlineStr">
        <is>
          <t>https://www.pricecharting.com/game/pokemon-gym-challenge/booster-box</t>
        </is>
      </c>
    </row>
    <row r="520">
      <c r="A520" s="2" t="inlineStr">
        <is>
          <t>Gym Challenge Booster Box [1st Edition]</t>
        </is>
      </c>
      <c r="B520" s="3">
        <f>IF(I520&lt;&gt;"",I520,IF(J520&lt;&gt;"",J520,IF(K520&lt;&gt;"",K520,L520)))</f>
        <v>24381.5</v>
      </c>
      <c r="C520" s="3">
        <f>MEDIAN(I520:L520)</f>
        <v>24381.5</v>
      </c>
      <c r="D520" s="3">
        <f>ROUND(C520*(1-Settings!$B$2),2)</f>
        <v>17067.05</v>
      </c>
      <c r="E520" s="3">
        <f>ROUND(C520*(1-Settings!$B$3),2)</f>
        <v>17067.05</v>
      </c>
      <c r="F520" s="2" t="inlineStr">
        <is>
          <t>Pokemon</t>
        </is>
      </c>
      <c r="G520" s="2" t="inlineStr">
        <is>
          <t>Box</t>
        </is>
      </c>
      <c r="H520" s="2" t="inlineStr">
        <is>
          <t>Gym Challenge</t>
        </is>
      </c>
      <c r="I520" s="3" t="n">
        <v>24381.5</v>
      </c>
      <c r="J520" s="3" t="n"/>
      <c r="K520" s="3" t="n"/>
      <c r="L520" s="3" t="n"/>
      <c r="M520" s="2" t="inlineStr">
        <is>
          <t>PriceCharting + TCGplayer</t>
        </is>
      </c>
      <c r="N520" s="4" t="inlineStr">
        <is>
          <t>https://www.pricecharting.com/game/pokemon-gym-challenge/booster-box-1st-edition</t>
        </is>
      </c>
      <c r="O520" s="4" t="inlineStr">
        <is>
          <t>https://www.tcgplayer.com/product/276588</t>
        </is>
      </c>
    </row>
    <row r="521">
      <c r="A521" s="2" t="inlineStr">
        <is>
          <t>Gym Heroes Booster Box</t>
        </is>
      </c>
      <c r="B521" s="3">
        <f>IF(I521&lt;&gt;"",I521,IF(J521&lt;&gt;"",J521,IF(K521&lt;&gt;"",K521,L521)))</f>
        <v>24995.0</v>
      </c>
      <c r="C521" s="3">
        <f>MEDIAN(I521:L521)</f>
        <v>24995.0</v>
      </c>
      <c r="D521" s="3">
        <f>ROUND(C521*(1-Settings!$B$2),2)</f>
        <v>17496.5</v>
      </c>
      <c r="E521" s="3">
        <f>ROUND(C521*(1-Settings!$B$3),2)</f>
        <v>17496.5</v>
      </c>
      <c r="F521" s="2" t="inlineStr">
        <is>
          <t>Pokemon</t>
        </is>
      </c>
      <c r="G521" s="2" t="inlineStr">
        <is>
          <t>Box</t>
        </is>
      </c>
      <c r="H521" s="2" t="inlineStr">
        <is>
          <t>Gym Heroes</t>
        </is>
      </c>
      <c r="I521" s="3" t="n">
        <v>24995</v>
      </c>
      <c r="J521" s="3" t="n"/>
      <c r="K521" s="3" t="n"/>
      <c r="L521" s="3" t="n"/>
      <c r="M521" s="2" t="inlineStr">
        <is>
          <t>PriceCharting</t>
        </is>
      </c>
      <c r="N521" s="4" t="inlineStr">
        <is>
          <t>https://www.pricecharting.com/game/pokemon-gym-heroes/booster-box</t>
        </is>
      </c>
    </row>
    <row r="522">
      <c r="A522" s="2" t="inlineStr">
        <is>
          <t>Gym Heroes Booster Box [1st Edition]</t>
        </is>
      </c>
      <c r="B522" s="3">
        <f>IF(I522&lt;&gt;"",I522,IF(J522&lt;&gt;"",J522,IF(K522&lt;&gt;"",K522,L522)))</f>
        <v>30100.0</v>
      </c>
      <c r="C522" s="3">
        <f>MEDIAN(I522:L522)</f>
        <v>30100.0</v>
      </c>
      <c r="D522" s="3">
        <f>ROUND(C522*(1-Settings!$B$2),2)</f>
        <v>21070.0</v>
      </c>
      <c r="E522" s="3">
        <f>ROUND(C522*(1-Settings!$B$3),2)</f>
        <v>21070.0</v>
      </c>
      <c r="F522" s="2" t="inlineStr">
        <is>
          <t>Pokemon</t>
        </is>
      </c>
      <c r="G522" s="2" t="inlineStr">
        <is>
          <t>Box</t>
        </is>
      </c>
      <c r="H522" s="2" t="inlineStr">
        <is>
          <t>Gym Heroes</t>
        </is>
      </c>
      <c r="I522" s="3" t="n">
        <v>30100</v>
      </c>
      <c r="J522" s="3" t="n"/>
      <c r="K522" s="3" t="n"/>
      <c r="L522" s="3" t="n"/>
      <c r="M522" s="2" t="inlineStr">
        <is>
          <t>PriceCharting + TCGplayer</t>
        </is>
      </c>
      <c r="N522" s="4" t="inlineStr">
        <is>
          <t>https://www.pricecharting.com/game/pokemon-gym-heroes/booster-box-1st-edition</t>
        </is>
      </c>
      <c r="O522" s="4" t="inlineStr">
        <is>
          <t>https://www.tcgplayer.com/product/208707</t>
        </is>
      </c>
    </row>
    <row r="523">
      <c r="A523" s="2" t="inlineStr">
        <is>
          <t>Japanese 20th Anniversary Booster Box</t>
        </is>
      </c>
      <c r="B523" s="3">
        <f>IF(I523&lt;&gt;"",I523,IF(J523&lt;&gt;"",J523,IF(K523&lt;&gt;"",K523,L523)))</f>
        <v>10778.46</v>
      </c>
      <c r="C523" s="3">
        <f>MEDIAN(I523:L523)</f>
        <v>10778.46</v>
      </c>
      <c r="D523" s="3">
        <f>ROUND(C523*(1-Settings!$B$2),2)</f>
        <v>7544.92</v>
      </c>
      <c r="E523" s="3">
        <f>ROUND(C523*(1-Settings!$B$3),2)</f>
        <v>7544.92</v>
      </c>
      <c r="F523" s="2" t="inlineStr">
        <is>
          <t>Pokemon</t>
        </is>
      </c>
      <c r="G523" s="2" t="inlineStr">
        <is>
          <t>Box</t>
        </is>
      </c>
      <c r="H523" s="2" t="inlineStr">
        <is>
          <t>Japanese 20th Anniversary</t>
        </is>
      </c>
      <c r="I523" s="3" t="n">
        <v>10778.46</v>
      </c>
      <c r="J523" s="3" t="n"/>
      <c r="K523" s="3" t="n"/>
      <c r="L523" s="3" t="n"/>
      <c r="M523" s="2" t="inlineStr">
        <is>
          <t>PriceCharting</t>
        </is>
      </c>
      <c r="N523" s="4" t="inlineStr">
        <is>
          <t>https://www.pricecharting.com/game/pokemon-japanese-20th-anniversary/booster-box</t>
        </is>
      </c>
    </row>
    <row r="524">
      <c r="A524" s="2" t="inlineStr">
        <is>
          <t>Japanese 25th Anniversary Collection Booster Box</t>
        </is>
      </c>
      <c r="B524" s="3">
        <f>IF(I524&lt;&gt;"",I524,IF(J524&lt;&gt;"",J524,IF(K524&lt;&gt;"",K524,L524)))</f>
        <v>300.0</v>
      </c>
      <c r="C524" s="3">
        <f>MEDIAN(I524:L524)</f>
        <v>300.0</v>
      </c>
      <c r="D524" s="3">
        <f>ROUND(C524*(1-Settings!$B$2),2)</f>
        <v>210.0</v>
      </c>
      <c r="E524" s="3">
        <f>ROUND(C524*(1-Settings!$B$3),2)</f>
        <v>210.0</v>
      </c>
      <c r="F524" s="2" t="inlineStr">
        <is>
          <t>Pokemon</t>
        </is>
      </c>
      <c r="G524" s="2" t="inlineStr">
        <is>
          <t>Box</t>
        </is>
      </c>
      <c r="H524" s="2" t="inlineStr">
        <is>
          <t>Japanese 25th Anniversary Collection</t>
        </is>
      </c>
      <c r="I524" s="3" t="n">
        <v>300</v>
      </c>
      <c r="J524" s="3" t="n"/>
      <c r="K524" s="3" t="n"/>
      <c r="L524" s="3" t="n"/>
      <c r="M524" s="2" t="inlineStr">
        <is>
          <t>PriceCharting</t>
        </is>
      </c>
      <c r="N524" s="4" t="inlineStr">
        <is>
          <t>https://www.pricecharting.com/game/pokemon-japanese-25th-anniversary-collection/booster-box</t>
        </is>
      </c>
    </row>
    <row r="525">
      <c r="A525" s="2" t="inlineStr">
        <is>
          <t>Japanese 30th Celebration Booster Box</t>
        </is>
      </c>
      <c r="B525" s="3">
        <f>IF(I525&lt;&gt;"",I525,IF(J525&lt;&gt;"",J525,IF(K525&lt;&gt;"",K525,L525)))</f>
        <v>213.98</v>
      </c>
      <c r="C525" s="3">
        <f>MEDIAN(I525:L525)</f>
        <v>213.98</v>
      </c>
      <c r="D525" s="3">
        <f>ROUND(C525*(1-Settings!$B$2),2)</f>
        <v>149.79</v>
      </c>
      <c r="E525" s="3">
        <f>ROUND(C525*(1-Settings!$B$3),2)</f>
        <v>149.79</v>
      </c>
      <c r="F525" s="2" t="inlineStr">
        <is>
          <t>Pokemon</t>
        </is>
      </c>
      <c r="G525" s="2" t="inlineStr">
        <is>
          <t>Box</t>
        </is>
      </c>
      <c r="H525" s="2" t="inlineStr">
        <is>
          <t>Japanese 30th Celebration</t>
        </is>
      </c>
      <c r="I525" s="3" t="n">
        <v>213.98</v>
      </c>
      <c r="J525" s="3" t="n"/>
      <c r="K525" s="3" t="n"/>
      <c r="L525" s="3" t="n"/>
      <c r="M525" s="2" t="inlineStr">
        <is>
          <t>PriceCharting</t>
        </is>
      </c>
      <c r="N525" s="4" t="inlineStr">
        <is>
          <t>https://www.pricecharting.com/game/pokemon-japanese-30th-celebration/booster-box</t>
        </is>
      </c>
    </row>
    <row r="526">
      <c r="A526" s="2" t="inlineStr">
        <is>
          <t>Japanese Abyss Eye Booster Box</t>
        </is>
      </c>
      <c r="B526" s="3">
        <f>IF(I526&lt;&gt;"",I526,IF(J526&lt;&gt;"",J526,IF(K526&lt;&gt;"",K526,L526)))</f>
        <v>75.69</v>
      </c>
      <c r="C526" s="3">
        <f>MEDIAN(I526:L526)</f>
        <v>75.69</v>
      </c>
      <c r="D526" s="3">
        <f>ROUND(C526*(1-Settings!$B$2),2)</f>
        <v>52.98</v>
      </c>
      <c r="E526" s="3">
        <f>ROUND(C526*(1-Settings!$B$3),2)</f>
        <v>52.98</v>
      </c>
      <c r="F526" s="2" t="inlineStr">
        <is>
          <t>Pokemon</t>
        </is>
      </c>
      <c r="G526" s="2" t="inlineStr">
        <is>
          <t>Box</t>
        </is>
      </c>
      <c r="H526" s="2" t="inlineStr">
        <is>
          <t>Japanese Abyss Eye</t>
        </is>
      </c>
      <c r="I526" s="3" t="n">
        <v>75.69</v>
      </c>
      <c r="J526" s="3" t="n"/>
      <c r="K526" s="3" t="n"/>
      <c r="L526" s="3" t="n"/>
      <c r="M526" s="2" t="inlineStr">
        <is>
          <t>PriceCharting</t>
        </is>
      </c>
      <c r="N526" s="4" t="inlineStr">
        <is>
          <t>https://www.pricecharting.com/game/pokemon-japanese-abyss-eye/booster-box</t>
        </is>
      </c>
    </row>
    <row r="527">
      <c r="A527" s="2" t="inlineStr">
        <is>
          <t>Japanese Alolan Moonlight Booster Box</t>
        </is>
      </c>
      <c r="B527" s="3">
        <f>IF(I527&lt;&gt;"",I527,IF(J527&lt;&gt;"",J527,IF(K527&lt;&gt;"",K527,L527)))</f>
        <v>845.51</v>
      </c>
      <c r="C527" s="3">
        <f>MEDIAN(I527:L527)</f>
        <v>845.51</v>
      </c>
      <c r="D527" s="3">
        <f>ROUND(C527*(1-Settings!$B$2),2)</f>
        <v>591.86</v>
      </c>
      <c r="E527" s="3">
        <f>ROUND(C527*(1-Settings!$B$3),2)</f>
        <v>591.86</v>
      </c>
      <c r="F527" s="2" t="inlineStr">
        <is>
          <t>Pokemon</t>
        </is>
      </c>
      <c r="G527" s="2" t="inlineStr">
        <is>
          <t>Box</t>
        </is>
      </c>
      <c r="H527" s="2" t="inlineStr">
        <is>
          <t>Japanese Alolan Moonlight</t>
        </is>
      </c>
      <c r="I527" s="3" t="n">
        <v>845.51</v>
      </c>
      <c r="J527" s="3" t="n"/>
      <c r="K527" s="3" t="n"/>
      <c r="L527" s="3" t="n"/>
      <c r="M527" s="2" t="inlineStr">
        <is>
          <t>PriceCharting</t>
        </is>
      </c>
      <c r="N527" s="4" t="inlineStr">
        <is>
          <t>https://www.pricecharting.com/game/pokemon-japanese-alolan-moonlight/booster-box</t>
        </is>
      </c>
    </row>
    <row r="528">
      <c r="A528" s="2" t="inlineStr">
        <is>
          <t>Japanese Alter Genesis Booster Box</t>
        </is>
      </c>
      <c r="B528" s="3">
        <f>IF(I528&lt;&gt;"",I528,IF(J528&lt;&gt;"",J528,IF(K528&lt;&gt;"",K528,L528)))</f>
        <v>403.53</v>
      </c>
      <c r="C528" s="3">
        <f>MEDIAN(I528:L528)</f>
        <v>403.53</v>
      </c>
      <c r="D528" s="3">
        <f>ROUND(C528*(1-Settings!$B$2),2)</f>
        <v>282.47</v>
      </c>
      <c r="E528" s="3">
        <f>ROUND(C528*(1-Settings!$B$3),2)</f>
        <v>282.47</v>
      </c>
      <c r="F528" s="2" t="inlineStr">
        <is>
          <t>Pokemon</t>
        </is>
      </c>
      <c r="G528" s="2" t="inlineStr">
        <is>
          <t>Box</t>
        </is>
      </c>
      <c r="H528" s="2" t="inlineStr">
        <is>
          <t>Japanese Alter Genesis</t>
        </is>
      </c>
      <c r="I528" s="3" t="n">
        <v>403.53</v>
      </c>
      <c r="J528" s="3" t="n"/>
      <c r="K528" s="3" t="n"/>
      <c r="L528" s="3" t="n"/>
      <c r="M528" s="2" t="inlineStr">
        <is>
          <t>PriceCharting</t>
        </is>
      </c>
      <c r="N528" s="4" t="inlineStr">
        <is>
          <t>https://www.pricecharting.com/game/pokemon-japanese-alter-genesis/booster-box</t>
        </is>
      </c>
    </row>
    <row r="529">
      <c r="A529" s="2" t="inlineStr">
        <is>
          <t>Japanese Amazing Volt Tackle Booster Box</t>
        </is>
      </c>
      <c r="B529" s="3">
        <f>IF(I529&lt;&gt;"",I529,IF(J529&lt;&gt;"",J529,IF(K529&lt;&gt;"",K529,L529)))</f>
        <v>218.57</v>
      </c>
      <c r="C529" s="3">
        <f>MEDIAN(I529:L529)</f>
        <v>218.57</v>
      </c>
      <c r="D529" s="3">
        <f>ROUND(C529*(1-Settings!$B$2),2)</f>
        <v>153.0</v>
      </c>
      <c r="E529" s="3">
        <f>ROUND(C529*(1-Settings!$B$3),2)</f>
        <v>153.0</v>
      </c>
      <c r="F529" s="2" t="inlineStr">
        <is>
          <t>Pokemon</t>
        </is>
      </c>
      <c r="G529" s="2" t="inlineStr">
        <is>
          <t>Box</t>
        </is>
      </c>
      <c r="H529" s="2" t="inlineStr">
        <is>
          <t>Japanese Amazing Volt Tackle</t>
        </is>
      </c>
      <c r="I529" s="3" t="n">
        <v>218.57</v>
      </c>
      <c r="J529" s="3" t="n"/>
      <c r="K529" s="3" t="n"/>
      <c r="L529" s="3" t="n"/>
      <c r="M529" s="2" t="inlineStr">
        <is>
          <t>PriceCharting</t>
        </is>
      </c>
      <c r="N529" s="4" t="inlineStr">
        <is>
          <t>https://www.pricecharting.com/game/pokemon-japanese-amazing-volt-tackle/booster-box</t>
        </is>
      </c>
    </row>
    <row r="530">
      <c r="A530" s="2" t="inlineStr">
        <is>
          <t>Japanese Ancient Roar Booster Box</t>
        </is>
      </c>
      <c r="B530" s="3">
        <f>IF(I530&lt;&gt;"",I530,IF(J530&lt;&gt;"",J530,IF(K530&lt;&gt;"",K530,L530)))</f>
        <v>106.18</v>
      </c>
      <c r="C530" s="3">
        <f>MEDIAN(I530:L530)</f>
        <v>106.18</v>
      </c>
      <c r="D530" s="3">
        <f>ROUND(C530*(1-Settings!$B$2),2)</f>
        <v>74.33</v>
      </c>
      <c r="E530" s="3">
        <f>ROUND(C530*(1-Settings!$B$3),2)</f>
        <v>74.33</v>
      </c>
      <c r="F530" s="2" t="inlineStr">
        <is>
          <t>Pokemon</t>
        </is>
      </c>
      <c r="G530" s="2" t="inlineStr">
        <is>
          <t>Box</t>
        </is>
      </c>
      <c r="H530" s="2" t="inlineStr">
        <is>
          <t>Japanese Ancient Roar</t>
        </is>
      </c>
      <c r="I530" s="3" t="n">
        <v>106.18</v>
      </c>
      <c r="J530" s="3" t="n"/>
      <c r="K530" s="3" t="n"/>
      <c r="L530" s="3" t="n"/>
      <c r="M530" s="2" t="inlineStr">
        <is>
          <t>PriceCharting</t>
        </is>
      </c>
      <c r="N530" s="4" t="inlineStr">
        <is>
          <t>https://www.pricecharting.com/game/pokemon-japanese-ancient-roar/booster-box</t>
        </is>
      </c>
    </row>
    <row r="531">
      <c r="A531" s="2" t="inlineStr">
        <is>
          <t>Japanese Bandit Ring Booster Box</t>
        </is>
      </c>
      <c r="B531" s="3">
        <f>IF(I531&lt;&gt;"",I531,IF(J531&lt;&gt;"",J531,IF(K531&lt;&gt;"",K531,L531)))</f>
        <v>1855.38</v>
      </c>
      <c r="C531" s="3">
        <f>MEDIAN(I531:L531)</f>
        <v>1855.38</v>
      </c>
      <c r="D531" s="3">
        <f>ROUND(C531*(1-Settings!$B$2),2)</f>
        <v>1298.77</v>
      </c>
      <c r="E531" s="3">
        <f>ROUND(C531*(1-Settings!$B$3),2)</f>
        <v>1298.77</v>
      </c>
      <c r="F531" s="2" t="inlineStr">
        <is>
          <t>Pokemon</t>
        </is>
      </c>
      <c r="G531" s="2" t="inlineStr">
        <is>
          <t>Box</t>
        </is>
      </c>
      <c r="H531" s="2" t="inlineStr">
        <is>
          <t>Japanese Bandit Ring</t>
        </is>
      </c>
      <c r="I531" s="3" t="n">
        <v>1855.38</v>
      </c>
      <c r="J531" s="3" t="n"/>
      <c r="K531" s="3" t="n"/>
      <c r="L531" s="3" t="n"/>
      <c r="M531" s="2" t="inlineStr">
        <is>
          <t>PriceCharting</t>
        </is>
      </c>
      <c r="N531" s="4" t="inlineStr">
        <is>
          <t>https://www.pricecharting.com/game/pokemon-japanese-bandit-ring/booster-box</t>
        </is>
      </c>
    </row>
    <row r="532">
      <c r="A532" s="2" t="inlineStr">
        <is>
          <t>Japanese Battle Partners Booster Box</t>
        </is>
      </c>
      <c r="B532" s="3">
        <f>IF(I532&lt;&gt;"",I532,IF(J532&lt;&gt;"",J532,IF(K532&lt;&gt;"",K532,L532)))</f>
        <v>86.7</v>
      </c>
      <c r="C532" s="3">
        <f>MEDIAN(I532:L532)</f>
        <v>86.7</v>
      </c>
      <c r="D532" s="3">
        <f>ROUND(C532*(1-Settings!$B$2),2)</f>
        <v>60.69</v>
      </c>
      <c r="E532" s="3">
        <f>ROUND(C532*(1-Settings!$B$3),2)</f>
        <v>60.69</v>
      </c>
      <c r="F532" s="2" t="inlineStr">
        <is>
          <t>Pokemon</t>
        </is>
      </c>
      <c r="G532" s="2" t="inlineStr">
        <is>
          <t>Box</t>
        </is>
      </c>
      <c r="H532" s="2" t="inlineStr">
        <is>
          <t>Japanese Battle Partners</t>
        </is>
      </c>
      <c r="I532" s="3" t="n">
        <v>86.7</v>
      </c>
      <c r="J532" s="3" t="n"/>
      <c r="K532" s="3" t="n"/>
      <c r="L532" s="3" t="n"/>
      <c r="M532" s="2" t="inlineStr">
        <is>
          <t>PriceCharting</t>
        </is>
      </c>
      <c r="N532" s="4" t="inlineStr">
        <is>
          <t>https://www.pricecharting.com/game/pokemon-japanese-battle-partners/booster-box</t>
        </is>
      </c>
    </row>
    <row r="533">
      <c r="A533" s="2" t="inlineStr">
        <is>
          <t>Japanese Battle Region Booster Box</t>
        </is>
      </c>
      <c r="B533" s="3">
        <f>IF(I533&lt;&gt;"",I533,IF(J533&lt;&gt;"",J533,IF(K533&lt;&gt;"",K533,L533)))</f>
        <v>80.44</v>
      </c>
      <c r="C533" s="3">
        <f>MEDIAN(I533:L533)</f>
        <v>80.44</v>
      </c>
      <c r="D533" s="3">
        <f>ROUND(C533*(1-Settings!$B$2),2)</f>
        <v>56.31</v>
      </c>
      <c r="E533" s="3">
        <f>ROUND(C533*(1-Settings!$B$3),2)</f>
        <v>56.31</v>
      </c>
      <c r="F533" s="2" t="inlineStr">
        <is>
          <t>Pokemon</t>
        </is>
      </c>
      <c r="G533" s="2" t="inlineStr">
        <is>
          <t>Box</t>
        </is>
      </c>
      <c r="H533" s="2" t="inlineStr">
        <is>
          <t>Japanese Battle Region</t>
        </is>
      </c>
      <c r="I533" s="3" t="n">
        <v>80.44</v>
      </c>
      <c r="J533" s="3" t="n"/>
      <c r="K533" s="3" t="n"/>
      <c r="L533" s="3" t="n"/>
      <c r="M533" s="2" t="inlineStr">
        <is>
          <t>PriceCharting</t>
        </is>
      </c>
      <c r="N533" s="4" t="inlineStr">
        <is>
          <t>https://www.pricecharting.com/game/pokemon-japanese-battle-region/booster-box</t>
        </is>
      </c>
    </row>
    <row r="534">
      <c r="A534" s="2" t="inlineStr">
        <is>
          <t>Japanese Best Of Xy Booster Box</t>
        </is>
      </c>
      <c r="B534" s="3">
        <f>IF(I534&lt;&gt;"",I534,IF(J534&lt;&gt;"",J534,IF(K534&lt;&gt;"",K534,L534)))</f>
        <v>4682.65</v>
      </c>
      <c r="C534" s="3">
        <f>MEDIAN(I534:L534)</f>
        <v>4682.65</v>
      </c>
      <c r="D534" s="3">
        <f>ROUND(C534*(1-Settings!$B$2),2)</f>
        <v>3277.86</v>
      </c>
      <c r="E534" s="3">
        <f>ROUND(C534*(1-Settings!$B$3),2)</f>
        <v>3277.86</v>
      </c>
      <c r="F534" s="2" t="inlineStr">
        <is>
          <t>Pokemon</t>
        </is>
      </c>
      <c r="G534" s="2" t="inlineStr">
        <is>
          <t>Box</t>
        </is>
      </c>
      <c r="H534" s="2" t="inlineStr">
        <is>
          <t>Japanese Best Of Xy</t>
        </is>
      </c>
      <c r="I534" s="3" t="n">
        <v>4682.65</v>
      </c>
      <c r="J534" s="3" t="n"/>
      <c r="K534" s="3" t="n"/>
      <c r="L534" s="3" t="n"/>
      <c r="M534" s="2" t="inlineStr">
        <is>
          <t>PriceCharting</t>
        </is>
      </c>
      <c r="N534" s="4" t="inlineStr">
        <is>
          <t>https://www.pricecharting.com/game/pokemon-japanese-best-of-xy/booster-box</t>
        </is>
      </c>
    </row>
    <row r="535">
      <c r="A535" s="2" t="inlineStr">
        <is>
          <t>Japanese Black Bolt Booster Box</t>
        </is>
      </c>
      <c r="B535" s="3">
        <f>IF(I535&lt;&gt;"",I535,IF(J535&lt;&gt;"",J535,IF(K535&lt;&gt;"",K535,L535)))</f>
        <v>113.59</v>
      </c>
      <c r="C535" s="3">
        <f>MEDIAN(I535:L535)</f>
        <v>113.59</v>
      </c>
      <c r="D535" s="3">
        <f>ROUND(C535*(1-Settings!$B$2),2)</f>
        <v>79.51</v>
      </c>
      <c r="E535" s="3">
        <f>ROUND(C535*(1-Settings!$B$3),2)</f>
        <v>79.51</v>
      </c>
      <c r="F535" s="2" t="inlineStr">
        <is>
          <t>Pokemon</t>
        </is>
      </c>
      <c r="G535" s="2" t="inlineStr">
        <is>
          <t>Box</t>
        </is>
      </c>
      <c r="H535" s="2" t="inlineStr">
        <is>
          <t>Japanese Black Bolt</t>
        </is>
      </c>
      <c r="I535" s="3" t="n">
        <v>113.59</v>
      </c>
      <c r="J535" s="3" t="n"/>
      <c r="K535" s="3" t="n"/>
      <c r="L535" s="3" t="n"/>
      <c r="M535" s="2" t="inlineStr">
        <is>
          <t>PriceCharting</t>
        </is>
      </c>
      <c r="N535" s="4" t="inlineStr">
        <is>
          <t>https://www.pricecharting.com/game/pokemon-japanese-black-bolt/booster-box</t>
        </is>
      </c>
    </row>
    <row r="536">
      <c r="A536" s="2" t="inlineStr">
        <is>
          <t>Japanese Black Bolt Deluxe Booster Box</t>
        </is>
      </c>
      <c r="B536" s="3">
        <f>IF(I536&lt;&gt;"",I536,IF(J536&lt;&gt;"",J536,IF(K536&lt;&gt;"",K536,L536)))</f>
        <v>185.33</v>
      </c>
      <c r="C536" s="3">
        <f>MEDIAN(I536:L536)</f>
        <v>185.33</v>
      </c>
      <c r="D536" s="3">
        <f>ROUND(C536*(1-Settings!$B$2),2)</f>
        <v>129.73</v>
      </c>
      <c r="E536" s="3">
        <f>ROUND(C536*(1-Settings!$B$3),2)</f>
        <v>129.73</v>
      </c>
      <c r="F536" s="2" t="inlineStr">
        <is>
          <t>Pokemon</t>
        </is>
      </c>
      <c r="G536" s="2" t="inlineStr">
        <is>
          <t>Box</t>
        </is>
      </c>
      <c r="H536" s="2" t="inlineStr">
        <is>
          <t>Japanese Black Bolt</t>
        </is>
      </c>
      <c r="I536" s="3" t="n">
        <v>185.33</v>
      </c>
      <c r="J536" s="3" t="n"/>
      <c r="K536" s="3" t="n"/>
      <c r="L536" s="3" t="n"/>
      <c r="M536" s="2" t="inlineStr">
        <is>
          <t>PriceCharting</t>
        </is>
      </c>
      <c r="N536" s="4" t="inlineStr">
        <is>
          <t>https://www.pricecharting.com/game/pokemon-japanese-black-bolt/deluxe-booster-box</t>
        </is>
      </c>
    </row>
    <row r="537">
      <c r="A537" s="2" t="inlineStr">
        <is>
          <t>Japanese Blue Sky Stream Booster Box</t>
        </is>
      </c>
      <c r="B537" s="3">
        <f>IF(I537&lt;&gt;"",I537,IF(J537&lt;&gt;"",J537,IF(K537&lt;&gt;"",K537,L537)))</f>
        <v>1325.0</v>
      </c>
      <c r="C537" s="3">
        <f>MEDIAN(I537:L537)</f>
        <v>1325.0</v>
      </c>
      <c r="D537" s="3">
        <f>ROUND(C537*(1-Settings!$B$2),2)</f>
        <v>927.5</v>
      </c>
      <c r="E537" s="3">
        <f>ROUND(C537*(1-Settings!$B$3),2)</f>
        <v>927.5</v>
      </c>
      <c r="F537" s="2" t="inlineStr">
        <is>
          <t>Pokemon</t>
        </is>
      </c>
      <c r="G537" s="2" t="inlineStr">
        <is>
          <t>Box</t>
        </is>
      </c>
      <c r="H537" s="2" t="inlineStr">
        <is>
          <t>Japanese Blue Sky Stream</t>
        </is>
      </c>
      <c r="I537" s="3" t="n">
        <v>1325</v>
      </c>
      <c r="J537" s="3" t="n"/>
      <c r="K537" s="3" t="n"/>
      <c r="L537" s="3" t="n"/>
      <c r="M537" s="2" t="inlineStr">
        <is>
          <t>PriceCharting</t>
        </is>
      </c>
      <c r="N537" s="4" t="inlineStr">
        <is>
          <t>https://www.pricecharting.com/game/pokemon-japanese-blue-sky-stream/booster-box</t>
        </is>
      </c>
    </row>
    <row r="538">
      <c r="A538" s="2" t="inlineStr">
        <is>
          <t>Japanese Cd Promo Booster Box</t>
        </is>
      </c>
      <c r="B538" s="3">
        <f>IF(I538&lt;&gt;"",I538,IF(J538&lt;&gt;"",J538,IF(K538&lt;&gt;"",K538,L538)))</f>
        <v>7750.0</v>
      </c>
      <c r="C538" s="3">
        <f>MEDIAN(I538:L538)</f>
        <v>7750.0</v>
      </c>
      <c r="D538" s="3">
        <f>ROUND(C538*(1-Settings!$B$2),2)</f>
        <v>5425.0</v>
      </c>
      <c r="E538" s="3">
        <f>ROUND(C538*(1-Settings!$B$3),2)</f>
        <v>5425.0</v>
      </c>
      <c r="F538" s="2" t="inlineStr">
        <is>
          <t>Pokemon</t>
        </is>
      </c>
      <c r="G538" s="2" t="inlineStr">
        <is>
          <t>Box</t>
        </is>
      </c>
      <c r="H538" s="2" t="inlineStr">
        <is>
          <t>Japanese Cd Promo</t>
        </is>
      </c>
      <c r="I538" s="3" t="n">
        <v>7750</v>
      </c>
      <c r="J538" s="3" t="n"/>
      <c r="K538" s="3" t="n"/>
      <c r="L538" s="3" t="n"/>
      <c r="M538" s="2" t="inlineStr">
        <is>
          <t>PriceCharting</t>
        </is>
      </c>
      <c r="N538" s="4" t="inlineStr">
        <is>
          <t>https://www.pricecharting.com/game/pokemon-japanese-cd-promo/booster-box</t>
        </is>
      </c>
    </row>
    <row r="539">
      <c r="A539" s="2" t="inlineStr">
        <is>
          <t>Japanese Challenge From The Darkness Booster Box</t>
        </is>
      </c>
      <c r="B539" s="3">
        <f>IF(I539&lt;&gt;"",I539,IF(J539&lt;&gt;"",J539,IF(K539&lt;&gt;"",K539,L539)))</f>
        <v>129.95</v>
      </c>
      <c r="C539" s="3">
        <f>MEDIAN(I539:L539)</f>
        <v>129.95</v>
      </c>
      <c r="D539" s="3">
        <f>ROUND(C539*(1-Settings!$B$2),2)</f>
        <v>90.97</v>
      </c>
      <c r="E539" s="3">
        <f>ROUND(C539*(1-Settings!$B$3),2)</f>
        <v>90.97</v>
      </c>
      <c r="F539" s="2" t="inlineStr">
        <is>
          <t>Pokemon</t>
        </is>
      </c>
      <c r="G539" s="2" t="inlineStr">
        <is>
          <t>Box</t>
        </is>
      </c>
      <c r="H539" s="2" t="inlineStr">
        <is>
          <t>Japanese Challenge From The Darkness</t>
        </is>
      </c>
      <c r="I539" s="3" t="n">
        <v>129.95</v>
      </c>
      <c r="J539" s="3" t="n"/>
      <c r="K539" s="3" t="n"/>
      <c r="L539" s="3" t="n"/>
      <c r="M539" s="2" t="inlineStr">
        <is>
          <t>PriceCharting</t>
        </is>
      </c>
      <c r="N539" s="4" t="inlineStr">
        <is>
          <t>https://www.pricecharting.com/game/pokemon-japanese-challenge-from-the-darkness/booster-box</t>
        </is>
      </c>
    </row>
    <row r="540">
      <c r="A540" s="2" t="inlineStr">
        <is>
          <t>Japanese Clay Burst Booster Box</t>
        </is>
      </c>
      <c r="B540" s="3">
        <f>IF(I540&lt;&gt;"",I540,IF(J540&lt;&gt;"",J540,IF(K540&lt;&gt;"",K540,L540)))</f>
        <v>94.75</v>
      </c>
      <c r="C540" s="3">
        <f>MEDIAN(I540:L540)</f>
        <v>94.75</v>
      </c>
      <c r="D540" s="3">
        <f>ROUND(C540*(1-Settings!$B$2),2)</f>
        <v>66.33</v>
      </c>
      <c r="E540" s="3">
        <f>ROUND(C540*(1-Settings!$B$3),2)</f>
        <v>66.33</v>
      </c>
      <c r="F540" s="2" t="inlineStr">
        <is>
          <t>Pokemon</t>
        </is>
      </c>
      <c r="G540" s="2" t="inlineStr">
        <is>
          <t>Box</t>
        </is>
      </c>
      <c r="H540" s="2" t="inlineStr">
        <is>
          <t>Japanese Clay Burst</t>
        </is>
      </c>
      <c r="I540" s="3" t="n">
        <v>94.75</v>
      </c>
      <c r="J540" s="3" t="n"/>
      <c r="K540" s="3" t="n"/>
      <c r="L540" s="3" t="n"/>
      <c r="M540" s="2" t="inlineStr">
        <is>
          <t>PriceCharting</t>
        </is>
      </c>
      <c r="N540" s="4" t="inlineStr">
        <is>
          <t>https://www.pricecharting.com/game/pokemon-japanese-clay-burst/booster-box</t>
        </is>
      </c>
    </row>
    <row r="541">
      <c r="A541" s="2" t="inlineStr">
        <is>
          <t>Japanese Crimson Haze Booster Box</t>
        </is>
      </c>
      <c r="B541" s="3">
        <f>IF(I541&lt;&gt;"",I541,IF(J541&lt;&gt;"",J541,IF(K541&lt;&gt;"",K541,L541)))</f>
        <v>109.83</v>
      </c>
      <c r="C541" s="3">
        <f>MEDIAN(I541:L541)</f>
        <v>109.83</v>
      </c>
      <c r="D541" s="3">
        <f>ROUND(C541*(1-Settings!$B$2),2)</f>
        <v>76.88</v>
      </c>
      <c r="E541" s="3">
        <f>ROUND(C541*(1-Settings!$B$3),2)</f>
        <v>76.88</v>
      </c>
      <c r="F541" s="2" t="inlineStr">
        <is>
          <t>Pokemon</t>
        </is>
      </c>
      <c r="G541" s="2" t="inlineStr">
        <is>
          <t>Box</t>
        </is>
      </c>
      <c r="H541" s="2" t="inlineStr">
        <is>
          <t>Japanese Crimson Haze</t>
        </is>
      </c>
      <c r="I541" s="3" t="n">
        <v>109.83</v>
      </c>
      <c r="J541" s="3" t="n"/>
      <c r="K541" s="3" t="n"/>
      <c r="L541" s="3" t="n"/>
      <c r="M541" s="2" t="inlineStr">
        <is>
          <t>PriceCharting</t>
        </is>
      </c>
      <c r="N541" s="4" t="inlineStr">
        <is>
          <t>https://www.pricecharting.com/game/pokemon-japanese-crimson-haze/booster-box</t>
        </is>
      </c>
    </row>
    <row r="542">
      <c r="A542" s="2" t="inlineStr">
        <is>
          <t>Japanese Crossing The Ruins Booster Box</t>
        </is>
      </c>
      <c r="B542" s="3">
        <f>IF(I542&lt;&gt;"",I542,IF(J542&lt;&gt;"",J542,IF(K542&lt;&gt;"",K542,L542)))</f>
        <v>57515.0</v>
      </c>
      <c r="C542" s="3">
        <f>MEDIAN(I542:L542)</f>
        <v>57515.0</v>
      </c>
      <c r="D542" s="3">
        <f>ROUND(C542*(1-Settings!$B$2),2)</f>
        <v>40260.5</v>
      </c>
      <c r="E542" s="3">
        <f>ROUND(C542*(1-Settings!$B$3),2)</f>
        <v>40260.5</v>
      </c>
      <c r="F542" s="2" t="inlineStr">
        <is>
          <t>Pokemon</t>
        </is>
      </c>
      <c r="G542" s="2" t="inlineStr">
        <is>
          <t>Box</t>
        </is>
      </c>
      <c r="H542" s="2" t="inlineStr">
        <is>
          <t>Japanese Crossing The Ruins</t>
        </is>
      </c>
      <c r="I542" s="3" t="n">
        <v>57515</v>
      </c>
      <c r="J542" s="3" t="n"/>
      <c r="K542" s="3" t="n"/>
      <c r="L542" s="3" t="n"/>
      <c r="M542" s="2" t="inlineStr">
        <is>
          <t>PriceCharting</t>
        </is>
      </c>
      <c r="N542" s="4" t="inlineStr">
        <is>
          <t>https://www.pricecharting.com/game/pokemon-japanese-crossing-the-ruins/booster-box</t>
        </is>
      </c>
    </row>
    <row r="543">
      <c r="A543" s="2" t="inlineStr">
        <is>
          <t>Japanese Cyber Judge Booster Box</t>
        </is>
      </c>
      <c r="B543" s="3">
        <f>IF(I543&lt;&gt;"",I543,IF(J543&lt;&gt;"",J543,IF(K543&lt;&gt;"",K543,L543)))</f>
        <v>85.0</v>
      </c>
      <c r="C543" s="3">
        <f>MEDIAN(I543:L543)</f>
        <v>85.0</v>
      </c>
      <c r="D543" s="3">
        <f>ROUND(C543*(1-Settings!$B$2),2)</f>
        <v>59.5</v>
      </c>
      <c r="E543" s="3">
        <f>ROUND(C543*(1-Settings!$B$3),2)</f>
        <v>59.5</v>
      </c>
      <c r="F543" s="2" t="inlineStr">
        <is>
          <t>Pokemon</t>
        </is>
      </c>
      <c r="G543" s="2" t="inlineStr">
        <is>
          <t>Box</t>
        </is>
      </c>
      <c r="H543" s="2" t="inlineStr">
        <is>
          <t>Japanese Cyber Judge</t>
        </is>
      </c>
      <c r="I543" s="3" t="n">
        <v>85</v>
      </c>
      <c r="J543" s="3" t="n"/>
      <c r="K543" s="3" t="n"/>
      <c r="L543" s="3" t="n"/>
      <c r="M543" s="2" t="inlineStr">
        <is>
          <t>PriceCharting</t>
        </is>
      </c>
      <c r="N543" s="4" t="inlineStr">
        <is>
          <t>https://www.pricecharting.com/game/pokemon-japanese-cyber-judge/booster-box</t>
        </is>
      </c>
    </row>
    <row r="544">
      <c r="A544" s="2" t="inlineStr">
        <is>
          <t>Japanese Dark Phantasma Booster Box</t>
        </is>
      </c>
      <c r="B544" s="3">
        <f>IF(I544&lt;&gt;"",I544,IF(J544&lt;&gt;"",J544,IF(K544&lt;&gt;"",K544,L544)))</f>
        <v>183.78</v>
      </c>
      <c r="C544" s="3">
        <f>MEDIAN(I544:L544)</f>
        <v>183.78</v>
      </c>
      <c r="D544" s="3">
        <f>ROUND(C544*(1-Settings!$B$2),2)</f>
        <v>128.65</v>
      </c>
      <c r="E544" s="3">
        <f>ROUND(C544*(1-Settings!$B$3),2)</f>
        <v>128.65</v>
      </c>
      <c r="F544" s="2" t="inlineStr">
        <is>
          <t>Pokemon</t>
        </is>
      </c>
      <c r="G544" s="2" t="inlineStr">
        <is>
          <t>Box</t>
        </is>
      </c>
      <c r="H544" s="2" t="inlineStr">
        <is>
          <t>Japanese Dark Phantasma</t>
        </is>
      </c>
      <c r="I544" s="3" t="n">
        <v>183.78</v>
      </c>
      <c r="J544" s="3" t="n"/>
      <c r="K544" s="3" t="n"/>
      <c r="L544" s="3" t="n"/>
      <c r="M544" s="2" t="inlineStr">
        <is>
          <t>PriceCharting</t>
        </is>
      </c>
      <c r="N544" s="4" t="inlineStr">
        <is>
          <t>https://www.pricecharting.com/game/pokemon-japanese-dark-phantasma/booster-box</t>
        </is>
      </c>
    </row>
    <row r="545">
      <c r="A545" s="2" t="inlineStr">
        <is>
          <t>Japanese Double Blaze Booster Box</t>
        </is>
      </c>
      <c r="B545" s="3">
        <f>IF(I545&lt;&gt;"",I545,IF(J545&lt;&gt;"",J545,IF(K545&lt;&gt;"",K545,L545)))</f>
        <v>585.76</v>
      </c>
      <c r="C545" s="3">
        <f>MEDIAN(I545:L545)</f>
        <v>585.76</v>
      </c>
      <c r="D545" s="3">
        <f>ROUND(C545*(1-Settings!$B$2),2)</f>
        <v>410.03</v>
      </c>
      <c r="E545" s="3">
        <f>ROUND(C545*(1-Settings!$B$3),2)</f>
        <v>410.03</v>
      </c>
      <c r="F545" s="2" t="inlineStr">
        <is>
          <t>Pokemon</t>
        </is>
      </c>
      <c r="G545" s="2" t="inlineStr">
        <is>
          <t>Box</t>
        </is>
      </c>
      <c r="H545" s="2" t="inlineStr">
        <is>
          <t>Japanese Double Blaze</t>
        </is>
      </c>
      <c r="I545" s="3" t="n">
        <v>585.76</v>
      </c>
      <c r="J545" s="3" t="n"/>
      <c r="K545" s="3" t="n"/>
      <c r="L545" s="3" t="n"/>
      <c r="M545" s="2" t="inlineStr">
        <is>
          <t>PriceCharting</t>
        </is>
      </c>
      <c r="N545" s="4" t="inlineStr">
        <is>
          <t>https://www.pricecharting.com/game/pokemon-japanese-double-blaze/booster-box</t>
        </is>
      </c>
    </row>
    <row r="546">
      <c r="A546" s="2" t="inlineStr">
        <is>
          <t>Japanese Dream League Booster Box</t>
        </is>
      </c>
      <c r="B546" s="3">
        <f>IF(I546&lt;&gt;"",I546,IF(J546&lt;&gt;"",J546,IF(K546&lt;&gt;"",K546,L546)))</f>
        <v>843.04</v>
      </c>
      <c r="C546" s="3">
        <f>MEDIAN(I546:L546)</f>
        <v>843.04</v>
      </c>
      <c r="D546" s="3">
        <f>ROUND(C546*(1-Settings!$B$2),2)</f>
        <v>590.13</v>
      </c>
      <c r="E546" s="3">
        <f>ROUND(C546*(1-Settings!$B$3),2)</f>
        <v>590.13</v>
      </c>
      <c r="F546" s="2" t="inlineStr">
        <is>
          <t>Pokemon</t>
        </is>
      </c>
      <c r="G546" s="2" t="inlineStr">
        <is>
          <t>Box</t>
        </is>
      </c>
      <c r="H546" s="2" t="inlineStr">
        <is>
          <t>Japanese Dream League</t>
        </is>
      </c>
      <c r="I546" s="3" t="n">
        <v>843.04</v>
      </c>
      <c r="J546" s="3" t="n"/>
      <c r="K546" s="3" t="n"/>
      <c r="L546" s="3" t="n"/>
      <c r="M546" s="2" t="inlineStr">
        <is>
          <t>PriceCharting</t>
        </is>
      </c>
      <c r="N546" s="4" t="inlineStr">
        <is>
          <t>https://www.pricecharting.com/game/pokemon-japanese-dream-league/booster-box</t>
        </is>
      </c>
    </row>
    <row r="547">
      <c r="A547" s="2" t="inlineStr">
        <is>
          <t>Japanese Dream Shine Collection Booster Box</t>
        </is>
      </c>
      <c r="B547" s="3">
        <f>IF(I547&lt;&gt;"",I547,IF(J547&lt;&gt;"",J547,IF(K547&lt;&gt;"",K547,L547)))</f>
        <v>7500.0</v>
      </c>
      <c r="C547" s="3">
        <f>MEDIAN(I547:L547)</f>
        <v>7500.0</v>
      </c>
      <c r="D547" s="3">
        <f>ROUND(C547*(1-Settings!$B$2),2)</f>
        <v>5250.0</v>
      </c>
      <c r="E547" s="3">
        <f>ROUND(C547*(1-Settings!$B$3),2)</f>
        <v>5250.0</v>
      </c>
      <c r="F547" s="2" t="inlineStr">
        <is>
          <t>Pokemon</t>
        </is>
      </c>
      <c r="G547" s="2" t="inlineStr">
        <is>
          <t>Box</t>
        </is>
      </c>
      <c r="H547" s="2" t="inlineStr">
        <is>
          <t>Japanese Dream Shine Collection</t>
        </is>
      </c>
      <c r="I547" s="3" t="n">
        <v>7500</v>
      </c>
      <c r="J547" s="3" t="n"/>
      <c r="K547" s="3" t="n"/>
      <c r="L547" s="3" t="n"/>
      <c r="M547" s="2" t="inlineStr">
        <is>
          <t>PriceCharting</t>
        </is>
      </c>
      <c r="N547" s="4" t="inlineStr">
        <is>
          <t>https://www.pricecharting.com/game/pokemon-japanese-dream-shine-collection/booster-box</t>
        </is>
      </c>
    </row>
    <row r="548">
      <c r="A548" s="2" t="inlineStr">
        <is>
          <t>Japanese Eevee Heroes Booster Box</t>
        </is>
      </c>
      <c r="B548" s="3">
        <f>IF(I548&lt;&gt;"",I548,IF(J548&lt;&gt;"",J548,IF(K548&lt;&gt;"",K548,L548)))</f>
        <v>634.25</v>
      </c>
      <c r="C548" s="3">
        <f>MEDIAN(I548:L548)</f>
        <v>634.25</v>
      </c>
      <c r="D548" s="3">
        <f>ROUND(C548*(1-Settings!$B$2),2)</f>
        <v>443.98</v>
      </c>
      <c r="E548" s="3">
        <f>ROUND(C548*(1-Settings!$B$3),2)</f>
        <v>443.98</v>
      </c>
      <c r="F548" s="2" t="inlineStr">
        <is>
          <t>Pokemon</t>
        </is>
      </c>
      <c r="G548" s="2" t="inlineStr">
        <is>
          <t>Box</t>
        </is>
      </c>
      <c r="H548" s="2" t="inlineStr">
        <is>
          <t>Japanese Eevee Heroes</t>
        </is>
      </c>
      <c r="I548" s="3" t="n">
        <v>634.25</v>
      </c>
      <c r="J548" s="3" t="n"/>
      <c r="K548" s="3" t="n"/>
      <c r="L548" s="3" t="n"/>
      <c r="M548" s="2" t="inlineStr">
        <is>
          <t>PriceCharting</t>
        </is>
      </c>
      <c r="N548" s="4" t="inlineStr">
        <is>
          <t>https://www.pricecharting.com/game/pokemon-japanese-eevee-heroes/booster-box</t>
        </is>
      </c>
    </row>
    <row r="549">
      <c r="A549" s="2" t="inlineStr">
        <is>
          <t>Japanese Expansion Pack Booster Box [Base Set]</t>
        </is>
      </c>
      <c r="B549" s="3">
        <f>IF(I549&lt;&gt;"",I549,IF(J549&lt;&gt;"",J549,IF(K549&lt;&gt;"",K549,L549)))</f>
        <v>157187.5</v>
      </c>
      <c r="C549" s="3">
        <f>MEDIAN(I549:L549)</f>
        <v>157187.5</v>
      </c>
      <c r="D549" s="3">
        <f>ROUND(C549*(1-Settings!$B$2),2)</f>
        <v>110031.25</v>
      </c>
      <c r="E549" s="3">
        <f>ROUND(C549*(1-Settings!$B$3),2)</f>
        <v>110031.25</v>
      </c>
      <c r="F549" s="2" t="inlineStr">
        <is>
          <t>Pokemon</t>
        </is>
      </c>
      <c r="G549" s="2" t="inlineStr">
        <is>
          <t>Box</t>
        </is>
      </c>
      <c r="H549" s="2" t="inlineStr">
        <is>
          <t>Japanese Expansion Pack</t>
        </is>
      </c>
      <c r="I549" s="3" t="n">
        <v>157187.5</v>
      </c>
      <c r="J549" s="3" t="n"/>
      <c r="K549" s="3" t="n"/>
      <c r="L549" s="3" t="n"/>
      <c r="M549" s="2" t="inlineStr">
        <is>
          <t>PriceCharting</t>
        </is>
      </c>
      <c r="N549" s="4" t="inlineStr">
        <is>
          <t>https://www.pricecharting.com/game/pokemon-japanese-expansion-pack/booster-box-base-set</t>
        </is>
      </c>
    </row>
    <row r="550">
      <c r="A550" s="2" t="inlineStr">
        <is>
          <t>Japanese Fusion Arts Booster Box</t>
        </is>
      </c>
      <c r="B550" s="3">
        <f>IF(I550&lt;&gt;"",I550,IF(J550&lt;&gt;"",J550,IF(K550&lt;&gt;"",K550,L550)))</f>
        <v>285.0</v>
      </c>
      <c r="C550" s="3">
        <f>MEDIAN(I550:L550)</f>
        <v>285.0</v>
      </c>
      <c r="D550" s="3">
        <f>ROUND(C550*(1-Settings!$B$2),2)</f>
        <v>199.5</v>
      </c>
      <c r="E550" s="3">
        <f>ROUND(C550*(1-Settings!$B$3),2)</f>
        <v>199.5</v>
      </c>
      <c r="F550" s="2" t="inlineStr">
        <is>
          <t>Pokemon</t>
        </is>
      </c>
      <c r="G550" s="2" t="inlineStr">
        <is>
          <t>Box</t>
        </is>
      </c>
      <c r="H550" s="2" t="inlineStr">
        <is>
          <t>Japanese Fusion Arts</t>
        </is>
      </c>
      <c r="I550" s="3" t="n">
        <v>285</v>
      </c>
      <c r="J550" s="3" t="n"/>
      <c r="K550" s="3" t="n"/>
      <c r="L550" s="3" t="n"/>
      <c r="M550" s="2" t="inlineStr">
        <is>
          <t>PriceCharting</t>
        </is>
      </c>
      <c r="N550" s="4" t="inlineStr">
        <is>
          <t>https://www.pricecharting.com/game/pokemon-japanese-fusion-arts/booster-box</t>
        </is>
      </c>
    </row>
    <row r="551">
      <c r="A551" s="2" t="inlineStr">
        <is>
          <t>Japanese Future Flash Booster Box</t>
        </is>
      </c>
      <c r="B551" s="3">
        <f>IF(I551&lt;&gt;"",I551,IF(J551&lt;&gt;"",J551,IF(K551&lt;&gt;"",K551,L551)))</f>
        <v>89.44</v>
      </c>
      <c r="C551" s="3">
        <f>MEDIAN(I551:L551)</f>
        <v>89.44</v>
      </c>
      <c r="D551" s="3">
        <f>ROUND(C551*(1-Settings!$B$2),2)</f>
        <v>62.61</v>
      </c>
      <c r="E551" s="3">
        <f>ROUND(C551*(1-Settings!$B$3),2)</f>
        <v>62.61</v>
      </c>
      <c r="F551" s="2" t="inlineStr">
        <is>
          <t>Pokemon</t>
        </is>
      </c>
      <c r="G551" s="2" t="inlineStr">
        <is>
          <t>Box</t>
        </is>
      </c>
      <c r="H551" s="2" t="inlineStr">
        <is>
          <t>Japanese Future Flash</t>
        </is>
      </c>
      <c r="I551" s="3" t="n">
        <v>89.44</v>
      </c>
      <c r="J551" s="3" t="n"/>
      <c r="K551" s="3" t="n"/>
      <c r="L551" s="3" t="n"/>
      <c r="M551" s="2" t="inlineStr">
        <is>
          <t>PriceCharting</t>
        </is>
      </c>
      <c r="N551" s="4" t="inlineStr">
        <is>
          <t>https://www.pricecharting.com/game/pokemon-japanese-future-flash/booster-box</t>
        </is>
      </c>
    </row>
    <row r="552">
      <c r="A552" s="2" t="inlineStr">
        <is>
          <t>Japanese Glory Of Team Rocket Booster Box</t>
        </is>
      </c>
      <c r="B552" s="3">
        <f>IF(I552&lt;&gt;"",I552,IF(J552&lt;&gt;"",J552,IF(K552&lt;&gt;"",K552,L552)))</f>
        <v>143.47</v>
      </c>
      <c r="C552" s="3">
        <f>MEDIAN(I552:L552)</f>
        <v>143.47</v>
      </c>
      <c r="D552" s="3">
        <f>ROUND(C552*(1-Settings!$B$2),2)</f>
        <v>100.43</v>
      </c>
      <c r="E552" s="3">
        <f>ROUND(C552*(1-Settings!$B$3),2)</f>
        <v>100.43</v>
      </c>
      <c r="F552" s="2" t="inlineStr">
        <is>
          <t>Pokemon</t>
        </is>
      </c>
      <c r="G552" s="2" t="inlineStr">
        <is>
          <t>Box</t>
        </is>
      </c>
      <c r="H552" s="2" t="inlineStr">
        <is>
          <t>Japanese Glory Of Team Rocket</t>
        </is>
      </c>
      <c r="I552" s="3" t="n">
        <v>143.47</v>
      </c>
      <c r="J552" s="3" t="n"/>
      <c r="K552" s="3" t="n"/>
      <c r="L552" s="3" t="n"/>
      <c r="M552" s="2" t="inlineStr">
        <is>
          <t>PriceCharting</t>
        </is>
      </c>
      <c r="N552" s="4" t="inlineStr">
        <is>
          <t>https://www.pricecharting.com/game/pokemon-japanese-glory-of-team-rocket/booster-box</t>
        </is>
      </c>
    </row>
    <row r="553">
      <c r="A553" s="2" t="inlineStr">
        <is>
          <t>Japanese Go Booster Box</t>
        </is>
      </c>
      <c r="B553" s="3">
        <f>IF(I553&lt;&gt;"",I553,IF(J553&lt;&gt;"",J553,IF(K553&lt;&gt;"",K553,L553)))</f>
        <v>120.0</v>
      </c>
      <c r="C553" s="3">
        <f>MEDIAN(I553:L553)</f>
        <v>120.0</v>
      </c>
      <c r="D553" s="3">
        <f>ROUND(C553*(1-Settings!$B$2),2)</f>
        <v>84.0</v>
      </c>
      <c r="E553" s="3">
        <f>ROUND(C553*(1-Settings!$B$3),2)</f>
        <v>84.0</v>
      </c>
      <c r="F553" s="2" t="inlineStr">
        <is>
          <t>Pokemon</t>
        </is>
      </c>
      <c r="G553" s="2" t="inlineStr">
        <is>
          <t>Box</t>
        </is>
      </c>
      <c r="H553" s="2" t="inlineStr">
        <is>
          <t>Japanese Go</t>
        </is>
      </c>
      <c r="I553" s="3" t="n">
        <v>120</v>
      </c>
      <c r="J553" s="3" t="n"/>
      <c r="K553" s="3" t="n"/>
      <c r="L553" s="3" t="n"/>
      <c r="M553" s="2" t="inlineStr">
        <is>
          <t>PriceCharting</t>
        </is>
      </c>
      <c r="N553" s="4" t="inlineStr">
        <is>
          <t>https://www.pricecharting.com/game/pokemon-japanese-go/booster-box</t>
        </is>
      </c>
    </row>
    <row r="554">
      <c r="A554" s="2" t="inlineStr">
        <is>
          <t>Japanese Gold Silver New World Booster Box</t>
        </is>
      </c>
      <c r="B554" s="3">
        <f>IF(I554&lt;&gt;"",I554,IF(J554&lt;&gt;"",J554,IF(K554&lt;&gt;"",K554,L554)))</f>
        <v>68750.0</v>
      </c>
      <c r="C554" s="3">
        <f>MEDIAN(I554:L554)</f>
        <v>68750.0</v>
      </c>
      <c r="D554" s="3">
        <f>ROUND(C554*(1-Settings!$B$2),2)</f>
        <v>48125.0</v>
      </c>
      <c r="E554" s="3">
        <f>ROUND(C554*(1-Settings!$B$3),2)</f>
        <v>48125.0</v>
      </c>
      <c r="F554" s="2" t="inlineStr">
        <is>
          <t>Pokemon</t>
        </is>
      </c>
      <c r="G554" s="2" t="inlineStr">
        <is>
          <t>Box</t>
        </is>
      </c>
      <c r="H554" s="2" t="inlineStr">
        <is>
          <t>Japanese Gold Silver New World</t>
        </is>
      </c>
      <c r="I554" s="3" t="n">
        <v>68750</v>
      </c>
      <c r="J554" s="3" t="n"/>
      <c r="K554" s="3" t="n"/>
      <c r="L554" s="3" t="n"/>
      <c r="M554" s="2" t="inlineStr">
        <is>
          <t>PriceCharting</t>
        </is>
      </c>
      <c r="N554" s="4" t="inlineStr">
        <is>
          <t>https://www.pricecharting.com/game/pokemon-japanese-gold-silver-new-world/booster-box</t>
        </is>
      </c>
    </row>
    <row r="555">
      <c r="A555" s="2" t="inlineStr">
        <is>
          <t>Japanese Gx Battle Boost Booster Box Version 1</t>
        </is>
      </c>
      <c r="B555" s="3">
        <f>IF(I555&lt;&gt;"",I555,IF(J555&lt;&gt;"",J555,IF(K555&lt;&gt;"",K555,L555)))</f>
        <v>13543.45</v>
      </c>
      <c r="C555" s="3">
        <f>MEDIAN(I555:L555)</f>
        <v>13543.45</v>
      </c>
      <c r="D555" s="3">
        <f>ROUND(C555*(1-Settings!$B$2),2)</f>
        <v>9480.42</v>
      </c>
      <c r="E555" s="3">
        <f>ROUND(C555*(1-Settings!$B$3),2)</f>
        <v>9480.42</v>
      </c>
      <c r="F555" s="2" t="inlineStr">
        <is>
          <t>Pokemon</t>
        </is>
      </c>
      <c r="G555" s="2" t="inlineStr">
        <is>
          <t>Box</t>
        </is>
      </c>
      <c r="H555" s="2" t="inlineStr">
        <is>
          <t>Japanese Gx Battle Boost</t>
        </is>
      </c>
      <c r="I555" s="3" t="n">
        <v>13543.45</v>
      </c>
      <c r="J555" s="3" t="n"/>
      <c r="K555" s="3" t="n"/>
      <c r="L555" s="3" t="n"/>
      <c r="M555" s="2" t="inlineStr">
        <is>
          <t>PriceCharting</t>
        </is>
      </c>
      <c r="N555" s="4" t="inlineStr">
        <is>
          <t>https://www.pricecharting.com/game/pokemon-japanese-gx-battle-boost/booster-box-version-1</t>
        </is>
      </c>
    </row>
    <row r="556">
      <c r="A556" s="2" t="inlineStr">
        <is>
          <t>Japanese Gx Ultra Shiny Booster Box</t>
        </is>
      </c>
      <c r="B556" s="3">
        <f>IF(I556&lt;&gt;"",I556,IF(J556&lt;&gt;"",J556,IF(K556&lt;&gt;"",K556,L556)))</f>
        <v>955.0</v>
      </c>
      <c r="C556" s="3">
        <f>MEDIAN(I556:L556)</f>
        <v>955.0</v>
      </c>
      <c r="D556" s="3">
        <f>ROUND(C556*(1-Settings!$B$2),2)</f>
        <v>668.5</v>
      </c>
      <c r="E556" s="3">
        <f>ROUND(C556*(1-Settings!$B$3),2)</f>
        <v>668.5</v>
      </c>
      <c r="F556" s="2" t="inlineStr">
        <is>
          <t>Pokemon</t>
        </is>
      </c>
      <c r="G556" s="2" t="inlineStr">
        <is>
          <t>Box</t>
        </is>
      </c>
      <c r="H556" s="2" t="inlineStr">
        <is>
          <t>Japanese Gx Ultra Shiny</t>
        </is>
      </c>
      <c r="I556" s="3" t="n">
        <v>955</v>
      </c>
      <c r="J556" s="3" t="n"/>
      <c r="K556" s="3" t="n"/>
      <c r="L556" s="3" t="n"/>
      <c r="M556" s="2" t="inlineStr">
        <is>
          <t>PriceCharting</t>
        </is>
      </c>
      <c r="N556" s="4" t="inlineStr">
        <is>
          <t>https://www.pricecharting.com/game/pokemon-japanese-gx-ultra-shiny/booster-box</t>
        </is>
      </c>
    </row>
    <row r="557">
      <c r="A557" s="2" t="inlineStr">
        <is>
          <t>Japanese Heat Wave Arena Booster Box</t>
        </is>
      </c>
      <c r="B557" s="3">
        <f>IF(I557&lt;&gt;"",I557,IF(J557&lt;&gt;"",J557,IF(K557&lt;&gt;"",K557,L557)))</f>
        <v>109.99</v>
      </c>
      <c r="C557" s="3">
        <f>MEDIAN(I557:L557)</f>
        <v>109.99</v>
      </c>
      <c r="D557" s="3">
        <f>ROUND(C557*(1-Settings!$B$2),2)</f>
        <v>76.99</v>
      </c>
      <c r="E557" s="3">
        <f>ROUND(C557*(1-Settings!$B$3),2)</f>
        <v>76.99</v>
      </c>
      <c r="F557" s="2" t="inlineStr">
        <is>
          <t>Pokemon</t>
        </is>
      </c>
      <c r="G557" s="2" t="inlineStr">
        <is>
          <t>Box</t>
        </is>
      </c>
      <c r="H557" s="2" t="inlineStr">
        <is>
          <t>Japanese Heat Wave Arena</t>
        </is>
      </c>
      <c r="I557" s="3" t="n">
        <v>109.99</v>
      </c>
      <c r="J557" s="3" t="n"/>
      <c r="K557" s="3" t="n"/>
      <c r="L557" s="3" t="n"/>
      <c r="M557" s="2" t="inlineStr">
        <is>
          <t>PriceCharting</t>
        </is>
      </c>
      <c r="N557" s="4" t="inlineStr">
        <is>
          <t>https://www.pricecharting.com/game/pokemon-japanese-heat-wave-arena/booster-box</t>
        </is>
      </c>
    </row>
    <row r="558">
      <c r="A558" s="2" t="inlineStr">
        <is>
          <t>Japanese Incandescent Arcana Booster Box</t>
        </is>
      </c>
      <c r="B558" s="3">
        <f>IF(I558&lt;&gt;"",I558,IF(J558&lt;&gt;"",J558,IF(K558&lt;&gt;"",K558,L558)))</f>
        <v>97.0</v>
      </c>
      <c r="C558" s="3">
        <f>MEDIAN(I558:L558)</f>
        <v>97.0</v>
      </c>
      <c r="D558" s="3">
        <f>ROUND(C558*(1-Settings!$B$2),2)</f>
        <v>67.9</v>
      </c>
      <c r="E558" s="3">
        <f>ROUND(C558*(1-Settings!$B$3),2)</f>
        <v>67.9</v>
      </c>
      <c r="F558" s="2" t="inlineStr">
        <is>
          <t>Pokemon</t>
        </is>
      </c>
      <c r="G558" s="2" t="inlineStr">
        <is>
          <t>Box</t>
        </is>
      </c>
      <c r="H558" s="2" t="inlineStr">
        <is>
          <t>Japanese Incandescent Arcana</t>
        </is>
      </c>
      <c r="I558" s="3" t="n">
        <v>97</v>
      </c>
      <c r="J558" s="3" t="n"/>
      <c r="K558" s="3" t="n"/>
      <c r="L558" s="3" t="n"/>
      <c r="M558" s="2" t="inlineStr">
        <is>
          <t>PriceCharting</t>
        </is>
      </c>
      <c r="N558" s="4" t="inlineStr">
        <is>
          <t>https://www.pricecharting.com/game/pokemon-japanese-incandescent-arcana/booster-box</t>
        </is>
      </c>
    </row>
    <row r="559">
      <c r="A559" s="2" t="inlineStr">
        <is>
          <t>Japanese Inferno X Booster Box</t>
        </is>
      </c>
      <c r="B559" s="3">
        <f>IF(I559&lt;&gt;"",I559,IF(J559&lt;&gt;"",J559,IF(K559&lt;&gt;"",K559,L559)))</f>
        <v>85.0</v>
      </c>
      <c r="C559" s="3">
        <f>MEDIAN(I559:L559)</f>
        <v>85.0</v>
      </c>
      <c r="D559" s="3">
        <f>ROUND(C559*(1-Settings!$B$2),2)</f>
        <v>59.5</v>
      </c>
      <c r="E559" s="3">
        <f>ROUND(C559*(1-Settings!$B$3),2)</f>
        <v>59.5</v>
      </c>
      <c r="F559" s="2" t="inlineStr">
        <is>
          <t>Pokemon</t>
        </is>
      </c>
      <c r="G559" s="2" t="inlineStr">
        <is>
          <t>Box</t>
        </is>
      </c>
      <c r="H559" s="2" t="inlineStr">
        <is>
          <t>Japanese Inferno X</t>
        </is>
      </c>
      <c r="I559" s="3" t="n">
        <v>85</v>
      </c>
      <c r="J559" s="3" t="n"/>
      <c r="K559" s="3" t="n"/>
      <c r="L559" s="3" t="n"/>
      <c r="M559" s="2" t="inlineStr">
        <is>
          <t>PriceCharting</t>
        </is>
      </c>
      <c r="N559" s="4" t="inlineStr">
        <is>
          <t>https://www.pricecharting.com/game/pokemon-japanese-inferno-x/booster-box</t>
        </is>
      </c>
    </row>
    <row r="560">
      <c r="A560" s="2" t="inlineStr">
        <is>
          <t>Japanese Jungle Booster Box</t>
        </is>
      </c>
      <c r="B560" s="3">
        <f>IF(I560&lt;&gt;"",I560,IF(J560&lt;&gt;"",J560,IF(K560&lt;&gt;"",K560,L560)))</f>
        <v>120.18</v>
      </c>
      <c r="C560" s="3">
        <f>MEDIAN(I560:L560)</f>
        <v>120.18</v>
      </c>
      <c r="D560" s="3">
        <f>ROUND(C560*(1-Settings!$B$2),2)</f>
        <v>84.13</v>
      </c>
      <c r="E560" s="3">
        <f>ROUND(C560*(1-Settings!$B$3),2)</f>
        <v>84.13</v>
      </c>
      <c r="F560" s="2" t="inlineStr">
        <is>
          <t>Pokemon</t>
        </is>
      </c>
      <c r="G560" s="2" t="inlineStr">
        <is>
          <t>Box</t>
        </is>
      </c>
      <c r="H560" s="2" t="inlineStr">
        <is>
          <t>Japanese Jungle</t>
        </is>
      </c>
      <c r="I560" s="3" t="n">
        <v>120.18</v>
      </c>
      <c r="J560" s="3" t="n"/>
      <c r="K560" s="3" t="n"/>
      <c r="L560" s="3" t="n"/>
      <c r="M560" s="2" t="inlineStr">
        <is>
          <t>PriceCharting</t>
        </is>
      </c>
      <c r="N560" s="4" t="inlineStr">
        <is>
          <t>https://www.pricecharting.com/game/pokemon-japanese-jungle/booster-box</t>
        </is>
      </c>
    </row>
    <row r="561">
      <c r="A561" s="2" t="inlineStr">
        <is>
          <t>Japanese Legendary Shine Collection Booster Box</t>
        </is>
      </c>
      <c r="B561" s="3">
        <f>IF(I561&lt;&gt;"",I561,IF(J561&lt;&gt;"",J561,IF(K561&lt;&gt;"",K561,L561)))</f>
        <v>7369.0</v>
      </c>
      <c r="C561" s="3">
        <f>MEDIAN(I561:L561)</f>
        <v>7369.0</v>
      </c>
      <c r="D561" s="3">
        <f>ROUND(C561*(1-Settings!$B$2),2)</f>
        <v>5158.3</v>
      </c>
      <c r="E561" s="3">
        <f>ROUND(C561*(1-Settings!$B$3),2)</f>
        <v>5158.3</v>
      </c>
      <c r="F561" s="2" t="inlineStr">
        <is>
          <t>Pokemon</t>
        </is>
      </c>
      <c r="G561" s="2" t="inlineStr">
        <is>
          <t>Box</t>
        </is>
      </c>
      <c r="H561" s="2" t="inlineStr">
        <is>
          <t>Japanese Legendary Shine Collection</t>
        </is>
      </c>
      <c r="I561" s="3" t="n">
        <v>7369</v>
      </c>
      <c r="J561" s="3" t="n"/>
      <c r="K561" s="3" t="n"/>
      <c r="L561" s="3" t="n"/>
      <c r="M561" s="2" t="inlineStr">
        <is>
          <t>PriceCharting</t>
        </is>
      </c>
      <c r="N561" s="4" t="inlineStr">
        <is>
          <t>https://www.pricecharting.com/game/pokemon-japanese-legendary-shine-collection/booster-box</t>
        </is>
      </c>
    </row>
    <row r="562">
      <c r="A562" s="2" t="inlineStr">
        <is>
          <t>Japanese Lost Abyss Booster Box</t>
        </is>
      </c>
      <c r="B562" s="3">
        <f>IF(I562&lt;&gt;"",I562,IF(J562&lt;&gt;"",J562,IF(K562&lt;&gt;"",K562,L562)))</f>
        <v>280.0</v>
      </c>
      <c r="C562" s="3">
        <f>MEDIAN(I562:L562)</f>
        <v>280.0</v>
      </c>
      <c r="D562" s="3">
        <f>ROUND(C562*(1-Settings!$B$2),2)</f>
        <v>196.0</v>
      </c>
      <c r="E562" s="3">
        <f>ROUND(C562*(1-Settings!$B$3),2)</f>
        <v>196.0</v>
      </c>
      <c r="F562" s="2" t="inlineStr">
        <is>
          <t>Pokemon</t>
        </is>
      </c>
      <c r="G562" s="2" t="inlineStr">
        <is>
          <t>Box</t>
        </is>
      </c>
      <c r="H562" s="2" t="inlineStr">
        <is>
          <t>Japanese Lost Abyss</t>
        </is>
      </c>
      <c r="I562" s="3" t="n">
        <v>280</v>
      </c>
      <c r="J562" s="3" t="n"/>
      <c r="K562" s="3" t="n"/>
      <c r="L562" s="3" t="n"/>
      <c r="M562" s="2" t="inlineStr">
        <is>
          <t>PriceCharting</t>
        </is>
      </c>
      <c r="N562" s="4" t="inlineStr">
        <is>
          <t>https://www.pricecharting.com/game/pokemon-japanese-lost-abyss/booster-box</t>
        </is>
      </c>
    </row>
    <row r="563">
      <c r="A563" s="2" t="inlineStr">
        <is>
          <t>Japanese Mask Of Change Booster Box</t>
        </is>
      </c>
      <c r="B563" s="3">
        <f>IF(I563&lt;&gt;"",I563,IF(J563&lt;&gt;"",J563,IF(K563&lt;&gt;"",K563,L563)))</f>
        <v>98.2</v>
      </c>
      <c r="C563" s="3">
        <f>MEDIAN(I563:L563)</f>
        <v>98.2</v>
      </c>
      <c r="D563" s="3">
        <f>ROUND(C563*(1-Settings!$B$2),2)</f>
        <v>68.74</v>
      </c>
      <c r="E563" s="3">
        <f>ROUND(C563*(1-Settings!$B$3),2)</f>
        <v>68.74</v>
      </c>
      <c r="F563" s="2" t="inlineStr">
        <is>
          <t>Pokemon</t>
        </is>
      </c>
      <c r="G563" s="2" t="inlineStr">
        <is>
          <t>Box</t>
        </is>
      </c>
      <c r="H563" s="2" t="inlineStr">
        <is>
          <t>Japanese Mask Of Change</t>
        </is>
      </c>
      <c r="I563" s="3" t="n">
        <v>98.2</v>
      </c>
      <c r="J563" s="3" t="n"/>
      <c r="K563" s="3" t="n"/>
      <c r="L563" s="3" t="n"/>
      <c r="M563" s="2" t="inlineStr">
        <is>
          <t>PriceCharting</t>
        </is>
      </c>
      <c r="N563" s="4" t="inlineStr">
        <is>
          <t>https://www.pricecharting.com/game/pokemon-japanese-mask-of-change/booster-box</t>
        </is>
      </c>
    </row>
    <row r="564">
      <c r="A564" s="2" t="inlineStr">
        <is>
          <t>Japanese Mega Brave Booster Box</t>
        </is>
      </c>
      <c r="B564" s="3">
        <f>IF(I564&lt;&gt;"",I564,IF(J564&lt;&gt;"",J564,IF(K564&lt;&gt;"",K564,L564)))</f>
        <v>81.99</v>
      </c>
      <c r="C564" s="3">
        <f>MEDIAN(I564:L564)</f>
        <v>81.99</v>
      </c>
      <c r="D564" s="3">
        <f>ROUND(C564*(1-Settings!$B$2),2)</f>
        <v>57.39</v>
      </c>
      <c r="E564" s="3">
        <f>ROUND(C564*(1-Settings!$B$3),2)</f>
        <v>57.39</v>
      </c>
      <c r="F564" s="2" t="inlineStr">
        <is>
          <t>Pokemon</t>
        </is>
      </c>
      <c r="G564" s="2" t="inlineStr">
        <is>
          <t>Box</t>
        </is>
      </c>
      <c r="H564" s="2" t="inlineStr">
        <is>
          <t>Japanese Mega Brave</t>
        </is>
      </c>
      <c r="I564" s="3" t="n">
        <v>81.98999999999999</v>
      </c>
      <c r="J564" s="3" t="n"/>
      <c r="K564" s="3" t="n"/>
      <c r="L564" s="3" t="n"/>
      <c r="M564" s="2" t="inlineStr">
        <is>
          <t>PriceCharting</t>
        </is>
      </c>
      <c r="N564" s="4" t="inlineStr">
        <is>
          <t>https://www.pricecharting.com/game/pokemon-japanese-mega-brave/booster-box</t>
        </is>
      </c>
    </row>
    <row r="565">
      <c r="A565" s="2" t="inlineStr">
        <is>
          <t>Japanese Mega Dream Ex Booster Box</t>
        </is>
      </c>
      <c r="B565" s="3">
        <f>IF(I565&lt;&gt;"",I565,IF(J565&lt;&gt;"",J565,IF(K565&lt;&gt;"",K565,L565)))</f>
        <v>80.0</v>
      </c>
      <c r="C565" s="3">
        <f>MEDIAN(I565:L565)</f>
        <v>80.0</v>
      </c>
      <c r="D565" s="3">
        <f>ROUND(C565*(1-Settings!$B$2),2)</f>
        <v>56.0</v>
      </c>
      <c r="E565" s="3">
        <f>ROUND(C565*(1-Settings!$B$3),2)</f>
        <v>56.0</v>
      </c>
      <c r="F565" s="2" t="inlineStr">
        <is>
          <t>Pokemon</t>
        </is>
      </c>
      <c r="G565" s="2" t="inlineStr">
        <is>
          <t>Box</t>
        </is>
      </c>
      <c r="H565" s="2" t="inlineStr">
        <is>
          <t>Japanese Mega Dream Ex</t>
        </is>
      </c>
      <c r="I565" s="3" t="n">
        <v>80</v>
      </c>
      <c r="J565" s="3" t="n"/>
      <c r="K565" s="3" t="n"/>
      <c r="L565" s="3" t="n"/>
      <c r="M565" s="2" t="inlineStr">
        <is>
          <t>PriceCharting</t>
        </is>
      </c>
      <c r="N565" s="4" t="inlineStr">
        <is>
          <t>https://www.pricecharting.com/game/pokemon-japanese-mega-dream-ex/booster-box</t>
        </is>
      </c>
    </row>
    <row r="566">
      <c r="A566" s="2" t="inlineStr">
        <is>
          <t>Japanese Mega Symphonia Booster Box</t>
        </is>
      </c>
      <c r="B566" s="3">
        <f>IF(I566&lt;&gt;"",I566,IF(J566&lt;&gt;"",J566,IF(K566&lt;&gt;"",K566,L566)))</f>
        <v>78.21</v>
      </c>
      <c r="C566" s="3">
        <f>MEDIAN(I566:L566)</f>
        <v>78.21</v>
      </c>
      <c r="D566" s="3">
        <f>ROUND(C566*(1-Settings!$B$2),2)</f>
        <v>54.75</v>
      </c>
      <c r="E566" s="3">
        <f>ROUND(C566*(1-Settings!$B$3),2)</f>
        <v>54.75</v>
      </c>
      <c r="F566" s="2" t="inlineStr">
        <is>
          <t>Pokemon</t>
        </is>
      </c>
      <c r="G566" s="2" t="inlineStr">
        <is>
          <t>Box</t>
        </is>
      </c>
      <c r="H566" s="2" t="inlineStr">
        <is>
          <t>Japanese Mega Symphonia</t>
        </is>
      </c>
      <c r="I566" s="3" t="n">
        <v>78.20999999999999</v>
      </c>
      <c r="J566" s="3" t="n"/>
      <c r="K566" s="3" t="n"/>
      <c r="L566" s="3" t="n"/>
      <c r="M566" s="2" t="inlineStr">
        <is>
          <t>PriceCharting</t>
        </is>
      </c>
      <c r="N566" s="4" t="inlineStr">
        <is>
          <t>https://www.pricecharting.com/game/pokemon-japanese-mega-symphonia/booster-box</t>
        </is>
      </c>
    </row>
    <row r="567">
      <c r="A567" s="2" t="inlineStr">
        <is>
          <t>Japanese Miracle Twins Booster Box</t>
        </is>
      </c>
      <c r="B567" s="3">
        <f>IF(I567&lt;&gt;"",I567,IF(J567&lt;&gt;"",J567,IF(K567&lt;&gt;"",K567,L567)))</f>
        <v>847.77</v>
      </c>
      <c r="C567" s="3">
        <f>MEDIAN(I567:L567)</f>
        <v>847.77</v>
      </c>
      <c r="D567" s="3">
        <f>ROUND(C567*(1-Settings!$B$2),2)</f>
        <v>593.44</v>
      </c>
      <c r="E567" s="3">
        <f>ROUND(C567*(1-Settings!$B$3),2)</f>
        <v>593.44</v>
      </c>
      <c r="F567" s="2" t="inlineStr">
        <is>
          <t>Pokemon</t>
        </is>
      </c>
      <c r="G567" s="2" t="inlineStr">
        <is>
          <t>Box</t>
        </is>
      </c>
      <c r="H567" s="2" t="inlineStr">
        <is>
          <t>Japanese Miracle Twins</t>
        </is>
      </c>
      <c r="I567" s="3" t="n">
        <v>847.77</v>
      </c>
      <c r="J567" s="3" t="n"/>
      <c r="K567" s="3" t="n"/>
      <c r="L567" s="3" t="n"/>
      <c r="M567" s="2" t="inlineStr">
        <is>
          <t>PriceCharting</t>
        </is>
      </c>
      <c r="N567" s="4" t="inlineStr">
        <is>
          <t>https://www.pricecharting.com/game/pokemon-japanese-miracle-twins/booster-box</t>
        </is>
      </c>
    </row>
    <row r="568">
      <c r="A568" s="2" t="inlineStr">
        <is>
          <t>Japanese Mystery Of The Fossils Booster Box</t>
        </is>
      </c>
      <c r="B568" s="3">
        <f>IF(I568&lt;&gt;"",I568,IF(J568&lt;&gt;"",J568,IF(K568&lt;&gt;"",K568,L568)))</f>
        <v>36150.0</v>
      </c>
      <c r="C568" s="3">
        <f>MEDIAN(I568:L568)</f>
        <v>36150.0</v>
      </c>
      <c r="D568" s="3">
        <f>ROUND(C568*(1-Settings!$B$2),2)</f>
        <v>25305.0</v>
      </c>
      <c r="E568" s="3">
        <f>ROUND(C568*(1-Settings!$B$3),2)</f>
        <v>25305.0</v>
      </c>
      <c r="F568" s="2" t="inlineStr">
        <is>
          <t>Pokemon</t>
        </is>
      </c>
      <c r="G568" s="2" t="inlineStr">
        <is>
          <t>Box</t>
        </is>
      </c>
      <c r="H568" s="2" t="inlineStr">
        <is>
          <t>Japanese Mystery Of The Fossils</t>
        </is>
      </c>
      <c r="I568" s="3" t="n">
        <v>36150</v>
      </c>
      <c r="J568" s="3" t="n"/>
      <c r="K568" s="3" t="n"/>
      <c r="L568" s="3" t="n"/>
      <c r="M568" s="2" t="inlineStr">
        <is>
          <t>PriceCharting</t>
        </is>
      </c>
      <c r="N568" s="4" t="inlineStr">
        <is>
          <t>https://www.pricecharting.com/game/pokemon-japanese-mystery-of-the-fossils/booster-box</t>
        </is>
      </c>
    </row>
    <row r="569">
      <c r="A569" s="2" t="inlineStr">
        <is>
          <t>Japanese Night Wanderer Booster Box</t>
        </is>
      </c>
      <c r="B569" s="3">
        <f>IF(I569&lt;&gt;"",I569,IF(J569&lt;&gt;"",J569,IF(K569&lt;&gt;"",K569,L569)))</f>
        <v>91.12</v>
      </c>
      <c r="C569" s="3">
        <f>MEDIAN(I569:L569)</f>
        <v>91.12</v>
      </c>
      <c r="D569" s="3">
        <f>ROUND(C569*(1-Settings!$B$2),2)</f>
        <v>63.78</v>
      </c>
      <c r="E569" s="3">
        <f>ROUND(C569*(1-Settings!$B$3),2)</f>
        <v>63.78</v>
      </c>
      <c r="F569" s="2" t="inlineStr">
        <is>
          <t>Pokemon</t>
        </is>
      </c>
      <c r="G569" s="2" t="inlineStr">
        <is>
          <t>Box</t>
        </is>
      </c>
      <c r="H569" s="2" t="inlineStr">
        <is>
          <t>Japanese Night Wanderer</t>
        </is>
      </c>
      <c r="I569" s="3" t="n">
        <v>91.12</v>
      </c>
      <c r="J569" s="3" t="n"/>
      <c r="K569" s="3" t="n"/>
      <c r="L569" s="3" t="n"/>
      <c r="M569" s="2" t="inlineStr">
        <is>
          <t>PriceCharting</t>
        </is>
      </c>
      <c r="N569" s="4" t="inlineStr">
        <is>
          <t>https://www.pricecharting.com/game/pokemon-japanese-night-wanderer/booster-box</t>
        </is>
      </c>
    </row>
    <row r="570">
      <c r="A570" s="2" t="inlineStr">
        <is>
          <t>Japanese Nihil Zero Booster Box</t>
        </is>
      </c>
      <c r="B570" s="3">
        <f>IF(I570&lt;&gt;"",I570,IF(J570&lt;&gt;"",J570,IF(K570&lt;&gt;"",K570,L570)))</f>
        <v>73.41</v>
      </c>
      <c r="C570" s="3">
        <f>MEDIAN(I570:L570)</f>
        <v>73.41</v>
      </c>
      <c r="D570" s="3">
        <f>ROUND(C570*(1-Settings!$B$2),2)</f>
        <v>51.39</v>
      </c>
      <c r="E570" s="3">
        <f>ROUND(C570*(1-Settings!$B$3),2)</f>
        <v>51.39</v>
      </c>
      <c r="F570" s="2" t="inlineStr">
        <is>
          <t>Pokemon</t>
        </is>
      </c>
      <c r="G570" s="2" t="inlineStr">
        <is>
          <t>Box</t>
        </is>
      </c>
      <c r="H570" s="2" t="inlineStr">
        <is>
          <t>Japanese Nihil Zero</t>
        </is>
      </c>
      <c r="I570" s="3" t="n">
        <v>73.41</v>
      </c>
      <c r="J570" s="3" t="n"/>
      <c r="K570" s="3" t="n"/>
      <c r="L570" s="3" t="n"/>
      <c r="M570" s="2" t="inlineStr">
        <is>
          <t>PriceCharting</t>
        </is>
      </c>
      <c r="N570" s="4" t="inlineStr">
        <is>
          <t>https://www.pricecharting.com/game/pokemon-japanese-nihil-zero/booster-box</t>
        </is>
      </c>
    </row>
    <row r="571">
      <c r="A571" s="2" t="inlineStr">
        <is>
          <t>Japanese Ninja Spinner Booster Box</t>
        </is>
      </c>
      <c r="B571" s="3">
        <f>IF(I571&lt;&gt;"",I571,IF(J571&lt;&gt;"",J571,IF(K571&lt;&gt;"",K571,L571)))</f>
        <v>74.04</v>
      </c>
      <c r="C571" s="3">
        <f>MEDIAN(I571:L571)</f>
        <v>74.04</v>
      </c>
      <c r="D571" s="3">
        <f>ROUND(C571*(1-Settings!$B$2),2)</f>
        <v>51.83</v>
      </c>
      <c r="E571" s="3">
        <f>ROUND(C571*(1-Settings!$B$3),2)</f>
        <v>51.83</v>
      </c>
      <c r="F571" s="2" t="inlineStr">
        <is>
          <t>Pokemon</t>
        </is>
      </c>
      <c r="G571" s="2" t="inlineStr">
        <is>
          <t>Box</t>
        </is>
      </c>
      <c r="H571" s="2" t="inlineStr">
        <is>
          <t>Japanese Ninja Spinner</t>
        </is>
      </c>
      <c r="I571" s="3" t="n">
        <v>74.04000000000001</v>
      </c>
      <c r="J571" s="3" t="n"/>
      <c r="K571" s="3" t="n"/>
      <c r="L571" s="3" t="n"/>
      <c r="M571" s="2" t="inlineStr">
        <is>
          <t>PriceCharting</t>
        </is>
      </c>
      <c r="N571" s="4" t="inlineStr">
        <is>
          <t>https://www.pricecharting.com/game/pokemon-japanese-ninja-spinner/booster-box</t>
        </is>
      </c>
    </row>
    <row r="572">
      <c r="A572" s="2" t="inlineStr">
        <is>
          <t>Japanese Paradigm Trigger Booster Box</t>
        </is>
      </c>
      <c r="B572" s="3">
        <f>IF(I572&lt;&gt;"",I572,IF(J572&lt;&gt;"",J572,IF(K572&lt;&gt;"",K572,L572)))</f>
        <v>162.5</v>
      </c>
      <c r="C572" s="3">
        <f>MEDIAN(I572:L572)</f>
        <v>162.5</v>
      </c>
      <c r="D572" s="3">
        <f>ROUND(C572*(1-Settings!$B$2),2)</f>
        <v>113.75</v>
      </c>
      <c r="E572" s="3">
        <f>ROUND(C572*(1-Settings!$B$3),2)</f>
        <v>113.75</v>
      </c>
      <c r="F572" s="2" t="inlineStr">
        <is>
          <t>Pokemon</t>
        </is>
      </c>
      <c r="G572" s="2" t="inlineStr">
        <is>
          <t>Box</t>
        </is>
      </c>
      <c r="H572" s="2" t="inlineStr">
        <is>
          <t>Japanese Paradigm Trigger</t>
        </is>
      </c>
      <c r="I572" s="3" t="n">
        <v>162.5</v>
      </c>
      <c r="J572" s="3" t="n"/>
      <c r="K572" s="3" t="n"/>
      <c r="L572" s="3" t="n"/>
      <c r="M572" s="2" t="inlineStr">
        <is>
          <t>PriceCharting</t>
        </is>
      </c>
      <c r="N572" s="4" t="inlineStr">
        <is>
          <t>https://www.pricecharting.com/game/pokemon-japanese-paradigm-trigger/booster-box</t>
        </is>
      </c>
    </row>
    <row r="573">
      <c r="A573" s="2" t="inlineStr">
        <is>
          <t>Japanese Paradise Dragona Booster Box</t>
        </is>
      </c>
      <c r="B573" s="3">
        <f>IF(I573&lt;&gt;"",I573,IF(J573&lt;&gt;"",J573,IF(K573&lt;&gt;"",K573,L573)))</f>
        <v>107.0</v>
      </c>
      <c r="C573" s="3">
        <f>MEDIAN(I573:L573)</f>
        <v>107.0</v>
      </c>
      <c r="D573" s="3">
        <f>ROUND(C573*(1-Settings!$B$2),2)</f>
        <v>74.9</v>
      </c>
      <c r="E573" s="3">
        <f>ROUND(C573*(1-Settings!$B$3),2)</f>
        <v>74.9</v>
      </c>
      <c r="F573" s="2" t="inlineStr">
        <is>
          <t>Pokemon</t>
        </is>
      </c>
      <c r="G573" s="2" t="inlineStr">
        <is>
          <t>Box</t>
        </is>
      </c>
      <c r="H573" s="2" t="inlineStr">
        <is>
          <t>Japanese Paradise Dragona</t>
        </is>
      </c>
      <c r="I573" s="3" t="n">
        <v>107</v>
      </c>
      <c r="J573" s="3" t="n"/>
      <c r="K573" s="3" t="n"/>
      <c r="L573" s="3" t="n"/>
      <c r="M573" s="2" t="inlineStr">
        <is>
          <t>PriceCharting</t>
        </is>
      </c>
      <c r="N573" s="4" t="inlineStr">
        <is>
          <t>https://www.pricecharting.com/game/pokemon-japanese-paradise-dragona/booster-box</t>
        </is>
      </c>
    </row>
    <row r="574">
      <c r="A574" s="2" t="inlineStr">
        <is>
          <t>Japanese Pokekyun Collection Booster Box</t>
        </is>
      </c>
      <c r="B574" s="3">
        <f>IF(I574&lt;&gt;"",I574,IF(J574&lt;&gt;"",J574,IF(K574&lt;&gt;"",K574,L574)))</f>
        <v>5589.47</v>
      </c>
      <c r="C574" s="3">
        <f>MEDIAN(I574:L574)</f>
        <v>5589.47</v>
      </c>
      <c r="D574" s="3">
        <f>ROUND(C574*(1-Settings!$B$2),2)</f>
        <v>3912.63</v>
      </c>
      <c r="E574" s="3">
        <f>ROUND(C574*(1-Settings!$B$3),2)</f>
        <v>3912.63</v>
      </c>
      <c r="F574" s="2" t="inlineStr">
        <is>
          <t>Pokemon</t>
        </is>
      </c>
      <c r="G574" s="2" t="inlineStr">
        <is>
          <t>Box</t>
        </is>
      </c>
      <c r="H574" s="2" t="inlineStr">
        <is>
          <t>Japanese Pokekyun Collection</t>
        </is>
      </c>
      <c r="I574" s="3" t="n">
        <v>5589.47</v>
      </c>
      <c r="J574" s="3" t="n"/>
      <c r="K574" s="3" t="n"/>
      <c r="L574" s="3" t="n"/>
      <c r="M574" s="2" t="inlineStr">
        <is>
          <t>PriceCharting</t>
        </is>
      </c>
      <c r="N574" s="4" t="inlineStr">
        <is>
          <t>https://www.pricecharting.com/game/pokemon-japanese-pokekyun-collection/booster-box</t>
        </is>
      </c>
    </row>
    <row r="575">
      <c r="A575" s="2" t="inlineStr">
        <is>
          <t>Japanese Raging Surf Booster Box</t>
        </is>
      </c>
      <c r="B575" s="3">
        <f>IF(I575&lt;&gt;"",I575,IF(J575&lt;&gt;"",J575,IF(K575&lt;&gt;"",K575,L575)))</f>
        <v>92.4</v>
      </c>
      <c r="C575" s="3">
        <f>MEDIAN(I575:L575)</f>
        <v>92.4</v>
      </c>
      <c r="D575" s="3">
        <f>ROUND(C575*(1-Settings!$B$2),2)</f>
        <v>64.68</v>
      </c>
      <c r="E575" s="3">
        <f>ROUND(C575*(1-Settings!$B$3),2)</f>
        <v>64.68</v>
      </c>
      <c r="F575" s="2" t="inlineStr">
        <is>
          <t>Pokemon</t>
        </is>
      </c>
      <c r="G575" s="2" t="inlineStr">
        <is>
          <t>Box</t>
        </is>
      </c>
      <c r="H575" s="2" t="inlineStr">
        <is>
          <t>Japanese Raging Surf</t>
        </is>
      </c>
      <c r="I575" s="3" t="n">
        <v>92.40000000000001</v>
      </c>
      <c r="J575" s="3" t="n"/>
      <c r="K575" s="3" t="n"/>
      <c r="L575" s="3" t="n"/>
      <c r="M575" s="2" t="inlineStr">
        <is>
          <t>PriceCharting</t>
        </is>
      </c>
      <c r="N575" s="4" t="inlineStr">
        <is>
          <t>https://www.pricecharting.com/game/pokemon-japanese-raging-surf/booster-box</t>
        </is>
      </c>
    </row>
    <row r="576">
      <c r="A576" s="2" t="inlineStr">
        <is>
          <t>Japanese Remix Bout Booster Box</t>
        </is>
      </c>
      <c r="B576" s="3">
        <f>IF(I576&lt;&gt;"",I576,IF(J576&lt;&gt;"",J576,IF(K576&lt;&gt;"",K576,L576)))</f>
        <v>641.0</v>
      </c>
      <c r="C576" s="3">
        <f>MEDIAN(I576:L576)</f>
        <v>641.0</v>
      </c>
      <c r="D576" s="3">
        <f>ROUND(C576*(1-Settings!$B$2),2)</f>
        <v>448.7</v>
      </c>
      <c r="E576" s="3">
        <f>ROUND(C576*(1-Settings!$B$3),2)</f>
        <v>448.7</v>
      </c>
      <c r="F576" s="2" t="inlineStr">
        <is>
          <t>Pokemon</t>
        </is>
      </c>
      <c r="G576" s="2" t="inlineStr">
        <is>
          <t>Box</t>
        </is>
      </c>
      <c r="H576" s="2" t="inlineStr">
        <is>
          <t>Japanese Remix Bout</t>
        </is>
      </c>
      <c r="I576" s="3" t="n">
        <v>641</v>
      </c>
      <c r="J576" s="3" t="n"/>
      <c r="K576" s="3" t="n"/>
      <c r="L576" s="3" t="n"/>
      <c r="M576" s="2" t="inlineStr">
        <is>
          <t>PriceCharting</t>
        </is>
      </c>
      <c r="N576" s="4" t="inlineStr">
        <is>
          <t>https://www.pricecharting.com/game/pokemon-japanese-remix-bout/booster-box</t>
        </is>
      </c>
    </row>
    <row r="577">
      <c r="A577" s="2" t="inlineStr">
        <is>
          <t>Japanese Rocket Gang Booster Box</t>
        </is>
      </c>
      <c r="B577" s="3">
        <f>IF(I577&lt;&gt;"",I577,IF(J577&lt;&gt;"",J577,IF(K577&lt;&gt;"",K577,L577)))</f>
        <v>83320.0</v>
      </c>
      <c r="C577" s="3">
        <f>MEDIAN(I577:L577)</f>
        <v>83320.0</v>
      </c>
      <c r="D577" s="3">
        <f>ROUND(C577*(1-Settings!$B$2),2)</f>
        <v>58324.0</v>
      </c>
      <c r="E577" s="3">
        <f>ROUND(C577*(1-Settings!$B$3),2)</f>
        <v>58324.0</v>
      </c>
      <c r="F577" s="2" t="inlineStr">
        <is>
          <t>Pokemon</t>
        </is>
      </c>
      <c r="G577" s="2" t="inlineStr">
        <is>
          <t>Box</t>
        </is>
      </c>
      <c r="H577" s="2" t="inlineStr">
        <is>
          <t>Japanese Rocket Gang</t>
        </is>
      </c>
      <c r="I577" s="3" t="n">
        <v>83320</v>
      </c>
      <c r="J577" s="3" t="n"/>
      <c r="K577" s="3" t="n"/>
      <c r="L577" s="3" t="n"/>
      <c r="M577" s="2" t="inlineStr">
        <is>
          <t>PriceCharting</t>
        </is>
      </c>
      <c r="N577" s="4" t="inlineStr">
        <is>
          <t>https://www.pricecharting.com/game/pokemon-japanese-rocket-gang/booster-box</t>
        </is>
      </c>
    </row>
    <row r="578">
      <c r="A578" s="2" t="inlineStr">
        <is>
          <t>Japanese Rocket Gang Strikes Back Booster Box</t>
        </is>
      </c>
      <c r="B578" s="3">
        <f>IF(I578&lt;&gt;"",I578,IF(J578&lt;&gt;"",J578,IF(K578&lt;&gt;"",K578,L578)))</f>
        <v>193.58</v>
      </c>
      <c r="C578" s="3">
        <f>MEDIAN(I578:L578)</f>
        <v>193.58</v>
      </c>
      <c r="D578" s="3">
        <f>ROUND(C578*(1-Settings!$B$2),2)</f>
        <v>135.51</v>
      </c>
      <c r="E578" s="3">
        <f>ROUND(C578*(1-Settings!$B$3),2)</f>
        <v>135.51</v>
      </c>
      <c r="F578" s="2" t="inlineStr">
        <is>
          <t>Pokemon</t>
        </is>
      </c>
      <c r="G578" s="2" t="inlineStr">
        <is>
          <t>Box</t>
        </is>
      </c>
      <c r="H578" s="2" t="inlineStr">
        <is>
          <t>Japanese Rocket Gang Strikes Back</t>
        </is>
      </c>
      <c r="I578" s="3" t="n">
        <v>193.58</v>
      </c>
      <c r="J578" s="3" t="n"/>
      <c r="K578" s="3" t="n"/>
      <c r="L578" s="3" t="n"/>
      <c r="M578" s="2" t="inlineStr">
        <is>
          <t>PriceCharting</t>
        </is>
      </c>
      <c r="N578" s="4" t="inlineStr">
        <is>
          <t>https://www.pricecharting.com/game/pokemon-japanese-rocket-gang-strikes-back/booster-box</t>
        </is>
      </c>
    </row>
    <row r="579">
      <c r="A579" s="2" t="inlineStr">
        <is>
          <t>Japanese Ruler Of The Black Flame Booster Box</t>
        </is>
      </c>
      <c r="B579" s="3">
        <f>IF(I579&lt;&gt;"",I579,IF(J579&lt;&gt;"",J579,IF(K579&lt;&gt;"",K579,L579)))</f>
        <v>139.99</v>
      </c>
      <c r="C579" s="3">
        <f>MEDIAN(I579:L579)</f>
        <v>139.99</v>
      </c>
      <c r="D579" s="3">
        <f>ROUND(C579*(1-Settings!$B$2),2)</f>
        <v>97.99</v>
      </c>
      <c r="E579" s="3">
        <f>ROUND(C579*(1-Settings!$B$3),2)</f>
        <v>97.99</v>
      </c>
      <c r="F579" s="2" t="inlineStr">
        <is>
          <t>Pokemon</t>
        </is>
      </c>
      <c r="G579" s="2" t="inlineStr">
        <is>
          <t>Box</t>
        </is>
      </c>
      <c r="H579" s="2" t="inlineStr">
        <is>
          <t>Japanese Ruler Of The Black Flame</t>
        </is>
      </c>
      <c r="I579" s="3" t="n">
        <v>139.99</v>
      </c>
      <c r="J579" s="3" t="n"/>
      <c r="K579" s="3" t="n"/>
      <c r="L579" s="3" t="n"/>
      <c r="M579" s="2" t="inlineStr">
        <is>
          <t>PriceCharting</t>
        </is>
      </c>
      <c r="N579" s="4" t="inlineStr">
        <is>
          <t>https://www.pricecharting.com/game/pokemon-japanese-ruler-of-the-black-flame/booster-box</t>
        </is>
      </c>
    </row>
    <row r="580">
      <c r="A580" s="2" t="inlineStr">
        <is>
          <t>Japanese Scarlet Ex Booster Box</t>
        </is>
      </c>
      <c r="B580" s="3">
        <f>IF(I580&lt;&gt;"",I580,IF(J580&lt;&gt;"",J580,IF(K580&lt;&gt;"",K580,L580)))</f>
        <v>133.95</v>
      </c>
      <c r="C580" s="3">
        <f>MEDIAN(I580:L580)</f>
        <v>133.95</v>
      </c>
      <c r="D580" s="3">
        <f>ROUND(C580*(1-Settings!$B$2),2)</f>
        <v>93.77</v>
      </c>
      <c r="E580" s="3">
        <f>ROUND(C580*(1-Settings!$B$3),2)</f>
        <v>93.77</v>
      </c>
      <c r="F580" s="2" t="inlineStr">
        <is>
          <t>Pokemon</t>
        </is>
      </c>
      <c r="G580" s="2" t="inlineStr">
        <is>
          <t>Box</t>
        </is>
      </c>
      <c r="H580" s="2" t="inlineStr">
        <is>
          <t>Japanese Scarlet Ex</t>
        </is>
      </c>
      <c r="I580" s="3" t="n">
        <v>133.95</v>
      </c>
      <c r="J580" s="3" t="n"/>
      <c r="K580" s="3" t="n"/>
      <c r="L580" s="3" t="n"/>
      <c r="M580" s="2" t="inlineStr">
        <is>
          <t>PriceCharting</t>
        </is>
      </c>
      <c r="N580" s="4" t="inlineStr">
        <is>
          <t>https://www.pricecharting.com/game/pokemon-japanese-scarlet-ex/booster-box</t>
        </is>
      </c>
    </row>
    <row r="581">
      <c r="A581" s="2" t="inlineStr">
        <is>
          <t>Japanese Shining Legends Booster Box</t>
        </is>
      </c>
      <c r="B581" s="3">
        <f>IF(I581&lt;&gt;"",I581,IF(J581&lt;&gt;"",J581,IF(K581&lt;&gt;"",K581,L581)))</f>
        <v>4625.0</v>
      </c>
      <c r="C581" s="3">
        <f>MEDIAN(I581:L581)</f>
        <v>4625.0</v>
      </c>
      <c r="D581" s="3">
        <f>ROUND(C581*(1-Settings!$B$2),2)</f>
        <v>3237.5</v>
      </c>
      <c r="E581" s="3">
        <f>ROUND(C581*(1-Settings!$B$3),2)</f>
        <v>3237.5</v>
      </c>
      <c r="F581" s="2" t="inlineStr">
        <is>
          <t>Pokemon</t>
        </is>
      </c>
      <c r="G581" s="2" t="inlineStr">
        <is>
          <t>Box</t>
        </is>
      </c>
      <c r="H581" s="2" t="inlineStr">
        <is>
          <t>Japanese Shining Legends</t>
        </is>
      </c>
      <c r="I581" s="3" t="n">
        <v>4625</v>
      </c>
      <c r="J581" s="3" t="n"/>
      <c r="K581" s="3" t="n"/>
      <c r="L581" s="3" t="n"/>
      <c r="M581" s="2" t="inlineStr">
        <is>
          <t>PriceCharting</t>
        </is>
      </c>
      <c r="N581" s="4" t="inlineStr">
        <is>
          <t>https://www.pricecharting.com/game/pokemon-japanese-shining-legends/booster-box</t>
        </is>
      </c>
    </row>
    <row r="582">
      <c r="A582" s="2" t="inlineStr">
        <is>
          <t>Japanese Shiny Collection Booster Box</t>
        </is>
      </c>
      <c r="B582" s="3">
        <f>IF(I582&lt;&gt;"",I582,IF(J582&lt;&gt;"",J582,IF(K582&lt;&gt;"",K582,L582)))</f>
        <v>5125.13</v>
      </c>
      <c r="C582" s="3">
        <f>MEDIAN(I582:L582)</f>
        <v>5125.13</v>
      </c>
      <c r="D582" s="3">
        <f>ROUND(C582*(1-Settings!$B$2),2)</f>
        <v>3587.59</v>
      </c>
      <c r="E582" s="3">
        <f>ROUND(C582*(1-Settings!$B$3),2)</f>
        <v>3587.59</v>
      </c>
      <c r="F582" s="2" t="inlineStr">
        <is>
          <t>Pokemon</t>
        </is>
      </c>
      <c r="G582" s="2" t="inlineStr">
        <is>
          <t>Box</t>
        </is>
      </c>
      <c r="H582" s="2" t="inlineStr">
        <is>
          <t>Japanese Shiny Collection</t>
        </is>
      </c>
      <c r="I582" s="3" t="n">
        <v>5125.13</v>
      </c>
      <c r="J582" s="3" t="n"/>
      <c r="K582" s="3" t="n"/>
      <c r="L582" s="3" t="n"/>
      <c r="M582" s="2" t="inlineStr">
        <is>
          <t>PriceCharting</t>
        </is>
      </c>
      <c r="N582" s="4" t="inlineStr">
        <is>
          <t>https://www.pricecharting.com/game/pokemon-japanese-shiny-collection/booster-box</t>
        </is>
      </c>
    </row>
    <row r="583">
      <c r="A583" s="2" t="inlineStr">
        <is>
          <t>Japanese Shiny Star V Booster Box</t>
        </is>
      </c>
      <c r="B583" s="3">
        <f>IF(I583&lt;&gt;"",I583,IF(J583&lt;&gt;"",J583,IF(K583&lt;&gt;"",K583,L583)))</f>
        <v>133.5</v>
      </c>
      <c r="C583" s="3">
        <f>MEDIAN(I583:L583)</f>
        <v>133.5</v>
      </c>
      <c r="D583" s="3">
        <f>ROUND(C583*(1-Settings!$B$2),2)</f>
        <v>93.45</v>
      </c>
      <c r="E583" s="3">
        <f>ROUND(C583*(1-Settings!$B$3),2)</f>
        <v>93.45</v>
      </c>
      <c r="F583" s="2" t="inlineStr">
        <is>
          <t>Pokemon</t>
        </is>
      </c>
      <c r="G583" s="2" t="inlineStr">
        <is>
          <t>Box</t>
        </is>
      </c>
      <c r="H583" s="2" t="inlineStr">
        <is>
          <t>Japanese Shiny Star V</t>
        </is>
      </c>
      <c r="I583" s="3" t="n">
        <v>133.5</v>
      </c>
      <c r="J583" s="3" t="n"/>
      <c r="K583" s="3" t="n"/>
      <c r="L583" s="3" t="n"/>
      <c r="M583" s="2" t="inlineStr">
        <is>
          <t>PriceCharting</t>
        </is>
      </c>
      <c r="N583" s="4" t="inlineStr">
        <is>
          <t>https://www.pricecharting.com/game/pokemon-japanese-shiny-star-v/booster-box</t>
        </is>
      </c>
    </row>
    <row r="584">
      <c r="A584" s="2" t="inlineStr">
        <is>
          <t>Japanese Shiny Star V Booster Box [1st Edition]</t>
        </is>
      </c>
      <c r="B584" s="3">
        <f>IF(I584&lt;&gt;"",I584,IF(J584&lt;&gt;"",J584,IF(K584&lt;&gt;"",K584,L584)))</f>
        <v>136.5</v>
      </c>
      <c r="C584" s="3">
        <f>MEDIAN(I584:L584)</f>
        <v>136.5</v>
      </c>
      <c r="D584" s="3">
        <f>ROUND(C584*(1-Settings!$B$2),2)</f>
        <v>95.55</v>
      </c>
      <c r="E584" s="3">
        <f>ROUND(C584*(1-Settings!$B$3),2)</f>
        <v>95.55</v>
      </c>
      <c r="F584" s="2" t="inlineStr">
        <is>
          <t>Pokemon</t>
        </is>
      </c>
      <c r="G584" s="2" t="inlineStr">
        <is>
          <t>Box</t>
        </is>
      </c>
      <c r="H584" s="2" t="inlineStr">
        <is>
          <t>Japanese Shiny Star V</t>
        </is>
      </c>
      <c r="I584" s="3" t="n">
        <v>136.5</v>
      </c>
      <c r="J584" s="3" t="n"/>
      <c r="K584" s="3" t="n"/>
      <c r="L584" s="3" t="n"/>
      <c r="M584" s="2" t="inlineStr">
        <is>
          <t>PriceCharting</t>
        </is>
      </c>
      <c r="N584" s="4" t="inlineStr">
        <is>
          <t>https://www.pricecharting.com/game/pokemon-japanese-shiny-star-v/booster-box-1st-edition</t>
        </is>
      </c>
    </row>
    <row r="585">
      <c r="A585" s="2" t="inlineStr">
        <is>
          <t>Japanese Shiny Treasure Ex Booster Box</t>
        </is>
      </c>
      <c r="B585" s="3">
        <f>IF(I585&lt;&gt;"",I585,IF(J585&lt;&gt;"",J585,IF(K585&lt;&gt;"",K585,L585)))</f>
        <v>105.47</v>
      </c>
      <c r="C585" s="3">
        <f>MEDIAN(I585:L585)</f>
        <v>105.47</v>
      </c>
      <c r="D585" s="3">
        <f>ROUND(C585*(1-Settings!$B$2),2)</f>
        <v>73.83</v>
      </c>
      <c r="E585" s="3">
        <f>ROUND(C585*(1-Settings!$B$3),2)</f>
        <v>73.83</v>
      </c>
      <c r="F585" s="2" t="inlineStr">
        <is>
          <t>Pokemon</t>
        </is>
      </c>
      <c r="G585" s="2" t="inlineStr">
        <is>
          <t>Box</t>
        </is>
      </c>
      <c r="H585" s="2" t="inlineStr">
        <is>
          <t>Japanese Shiny Treasure Ex</t>
        </is>
      </c>
      <c r="I585" s="3" t="n">
        <v>105.47</v>
      </c>
      <c r="J585" s="3" t="n"/>
      <c r="K585" s="3" t="n"/>
      <c r="L585" s="3" t="n"/>
      <c r="M585" s="2" t="inlineStr">
        <is>
          <t>PriceCharting</t>
        </is>
      </c>
      <c r="N585" s="4" t="inlineStr">
        <is>
          <t>https://www.pricecharting.com/game/pokemon-japanese-shiny-treasure-ex/booster-box</t>
        </is>
      </c>
    </row>
    <row r="586">
      <c r="A586" s="2" t="inlineStr">
        <is>
          <t>Japanese Snow Hazard Booster Box</t>
        </is>
      </c>
      <c r="B586" s="3">
        <f>IF(I586&lt;&gt;"",I586,IF(J586&lt;&gt;"",J586,IF(K586&lt;&gt;"",K586,L586)))</f>
        <v>78.88</v>
      </c>
      <c r="C586" s="3">
        <f>MEDIAN(I586:L586)</f>
        <v>78.88</v>
      </c>
      <c r="D586" s="3">
        <f>ROUND(C586*(1-Settings!$B$2),2)</f>
        <v>55.22</v>
      </c>
      <c r="E586" s="3">
        <f>ROUND(C586*(1-Settings!$B$3),2)</f>
        <v>55.22</v>
      </c>
      <c r="F586" s="2" t="inlineStr">
        <is>
          <t>Pokemon</t>
        </is>
      </c>
      <c r="G586" s="2" t="inlineStr">
        <is>
          <t>Box</t>
        </is>
      </c>
      <c r="H586" s="2" t="inlineStr">
        <is>
          <t>Japanese Snow Hazard</t>
        </is>
      </c>
      <c r="I586" s="3" t="n">
        <v>78.88</v>
      </c>
      <c r="J586" s="3" t="n"/>
      <c r="K586" s="3" t="n"/>
      <c r="L586" s="3" t="n"/>
      <c r="M586" s="2" t="inlineStr">
        <is>
          <t>PriceCharting</t>
        </is>
      </c>
      <c r="N586" s="4" t="inlineStr">
        <is>
          <t>https://www.pricecharting.com/game/pokemon-japanese-snow-hazard/booster-box</t>
        </is>
      </c>
    </row>
    <row r="587">
      <c r="A587" s="2" t="inlineStr">
        <is>
          <t>Japanese Star Birth Booster Box</t>
        </is>
      </c>
      <c r="B587" s="3">
        <f>IF(I587&lt;&gt;"",I587,IF(J587&lt;&gt;"",J587,IF(K587&lt;&gt;"",K587,L587)))</f>
        <v>140.46</v>
      </c>
      <c r="C587" s="3">
        <f>MEDIAN(I587:L587)</f>
        <v>140.46</v>
      </c>
      <c r="D587" s="3">
        <f>ROUND(C587*(1-Settings!$B$2),2)</f>
        <v>98.32</v>
      </c>
      <c r="E587" s="3">
        <f>ROUND(C587*(1-Settings!$B$3),2)</f>
        <v>98.32</v>
      </c>
      <c r="F587" s="2" t="inlineStr">
        <is>
          <t>Pokemon</t>
        </is>
      </c>
      <c r="G587" s="2" t="inlineStr">
        <is>
          <t>Box</t>
        </is>
      </c>
      <c r="H587" s="2" t="inlineStr">
        <is>
          <t>Japanese Star Birth</t>
        </is>
      </c>
      <c r="I587" s="3" t="n">
        <v>140.46</v>
      </c>
      <c r="J587" s="3" t="n"/>
      <c r="K587" s="3" t="n"/>
      <c r="L587" s="3" t="n"/>
      <c r="M587" s="2" t="inlineStr">
        <is>
          <t>PriceCharting</t>
        </is>
      </c>
      <c r="N587" s="4" t="inlineStr">
        <is>
          <t>https://www.pricecharting.com/game/pokemon-japanese-star-birth/booster-box</t>
        </is>
      </c>
    </row>
    <row r="588">
      <c r="A588" s="2" t="inlineStr">
        <is>
          <t>Japanese Stellar Miracle Booster Box</t>
        </is>
      </c>
      <c r="B588" s="3">
        <f>IF(I588&lt;&gt;"",I588,IF(J588&lt;&gt;"",J588,IF(K588&lt;&gt;"",K588,L588)))</f>
        <v>94.99</v>
      </c>
      <c r="C588" s="3">
        <f>MEDIAN(I588:L588)</f>
        <v>94.99</v>
      </c>
      <c r="D588" s="3">
        <f>ROUND(C588*(1-Settings!$B$2),2)</f>
        <v>66.49</v>
      </c>
      <c r="E588" s="3">
        <f>ROUND(C588*(1-Settings!$B$3),2)</f>
        <v>66.49</v>
      </c>
      <c r="F588" s="2" t="inlineStr">
        <is>
          <t>Pokemon</t>
        </is>
      </c>
      <c r="G588" s="2" t="inlineStr">
        <is>
          <t>Box</t>
        </is>
      </c>
      <c r="H588" s="2" t="inlineStr">
        <is>
          <t>Japanese Stellar Miracle</t>
        </is>
      </c>
      <c r="I588" s="3" t="n">
        <v>94.98999999999999</v>
      </c>
      <c r="J588" s="3" t="n"/>
      <c r="K588" s="3" t="n"/>
      <c r="L588" s="3" t="n"/>
      <c r="M588" s="2" t="inlineStr">
        <is>
          <t>PriceCharting</t>
        </is>
      </c>
      <c r="N588" s="4" t="inlineStr">
        <is>
          <t>https://www.pricecharting.com/game/pokemon-japanese-stellar-miracle/booster-box</t>
        </is>
      </c>
    </row>
    <row r="589">
      <c r="A589" s="2" t="inlineStr">
        <is>
          <t>Japanese Storm Emeralda Booster Box</t>
        </is>
      </c>
      <c r="B589" s="3">
        <f>IF(I589&lt;&gt;"",I589,IF(J589&lt;&gt;"",J589,IF(K589&lt;&gt;"",K589,L589)))</f>
        <v>111.29</v>
      </c>
      <c r="C589" s="3">
        <f>MEDIAN(I589:L589)</f>
        <v>111.29</v>
      </c>
      <c r="D589" s="3">
        <f>ROUND(C589*(1-Settings!$B$2),2)</f>
        <v>77.9</v>
      </c>
      <c r="E589" s="3">
        <f>ROUND(C589*(1-Settings!$B$3),2)</f>
        <v>77.9</v>
      </c>
      <c r="F589" s="2" t="inlineStr">
        <is>
          <t>Pokemon</t>
        </is>
      </c>
      <c r="G589" s="2" t="inlineStr">
        <is>
          <t>Box</t>
        </is>
      </c>
      <c r="H589" s="2" t="inlineStr">
        <is>
          <t>Japanese Storm Emeralda</t>
        </is>
      </c>
      <c r="I589" s="3" t="n">
        <v>111.29</v>
      </c>
      <c r="J589" s="3" t="n"/>
      <c r="K589" s="3" t="n"/>
      <c r="L589" s="3" t="n"/>
      <c r="M589" s="2" t="inlineStr">
        <is>
          <t>PriceCharting</t>
        </is>
      </c>
      <c r="N589" s="4" t="inlineStr">
        <is>
          <t>https://www.pricecharting.com/game/pokemon-japanese-storm-emeralda/booster-box</t>
        </is>
      </c>
    </row>
    <row r="590">
      <c r="A590" s="2" t="inlineStr">
        <is>
          <t>Japanese Super Electric Breaker Booster Box</t>
        </is>
      </c>
      <c r="B590" s="3">
        <f>IF(I590&lt;&gt;"",I590,IF(J590&lt;&gt;"",J590,IF(K590&lt;&gt;"",K590,L590)))</f>
        <v>110.75</v>
      </c>
      <c r="C590" s="3">
        <f>MEDIAN(I590:L590)</f>
        <v>110.75</v>
      </c>
      <c r="D590" s="3">
        <f>ROUND(C590*(1-Settings!$B$2),2)</f>
        <v>77.53</v>
      </c>
      <c r="E590" s="3">
        <f>ROUND(C590*(1-Settings!$B$3),2)</f>
        <v>77.53</v>
      </c>
      <c r="F590" s="2" t="inlineStr">
        <is>
          <t>Pokemon</t>
        </is>
      </c>
      <c r="G590" s="2" t="inlineStr">
        <is>
          <t>Box</t>
        </is>
      </c>
      <c r="H590" s="2" t="inlineStr">
        <is>
          <t>Japanese Super Electric Breaker</t>
        </is>
      </c>
      <c r="I590" s="3" t="n">
        <v>110.75</v>
      </c>
      <c r="J590" s="3" t="n"/>
      <c r="K590" s="3" t="n"/>
      <c r="L590" s="3" t="n"/>
      <c r="M590" s="2" t="inlineStr">
        <is>
          <t>PriceCharting</t>
        </is>
      </c>
      <c r="N590" s="4" t="inlineStr">
        <is>
          <t>https://www.pricecharting.com/game/pokemon-japanese-super-electric-breaker/booster-box</t>
        </is>
      </c>
    </row>
    <row r="591">
      <c r="A591" s="2" t="inlineStr">
        <is>
          <t>Japanese Tag All Stars Booster Box</t>
        </is>
      </c>
      <c r="B591" s="3">
        <f>IF(I591&lt;&gt;"",I591,IF(J591&lt;&gt;"",J591,IF(K591&lt;&gt;"",K591,L591)))</f>
        <v>1068.8</v>
      </c>
      <c r="C591" s="3">
        <f>MEDIAN(I591:L591)</f>
        <v>1068.8</v>
      </c>
      <c r="D591" s="3">
        <f>ROUND(C591*(1-Settings!$B$2),2)</f>
        <v>748.16</v>
      </c>
      <c r="E591" s="3">
        <f>ROUND(C591*(1-Settings!$B$3),2)</f>
        <v>748.16</v>
      </c>
      <c r="F591" s="2" t="inlineStr">
        <is>
          <t>Pokemon</t>
        </is>
      </c>
      <c r="G591" s="2" t="inlineStr">
        <is>
          <t>Box</t>
        </is>
      </c>
      <c r="H591" s="2" t="inlineStr">
        <is>
          <t>Japanese Tag All Stars</t>
        </is>
      </c>
      <c r="I591" s="3" t="n">
        <v>1068.8</v>
      </c>
      <c r="J591" s="3" t="n"/>
      <c r="K591" s="3" t="n"/>
      <c r="L591" s="3" t="n"/>
      <c r="M591" s="2" t="inlineStr">
        <is>
          <t>PriceCharting</t>
        </is>
      </c>
      <c r="N591" s="4" t="inlineStr">
        <is>
          <t>https://www.pricecharting.com/game/pokemon-japanese-tag-all-stars/booster-box</t>
        </is>
      </c>
    </row>
    <row r="592">
      <c r="A592" s="2" t="inlineStr">
        <is>
          <t>Japanese Tag Bolt Booster Box</t>
        </is>
      </c>
      <c r="B592" s="3">
        <f>IF(I592&lt;&gt;"",I592,IF(J592&lt;&gt;"",J592,IF(K592&lt;&gt;"",K592,L592)))</f>
        <v>2398.75</v>
      </c>
      <c r="C592" s="3">
        <f>MEDIAN(I592:L592)</f>
        <v>2398.75</v>
      </c>
      <c r="D592" s="3">
        <f>ROUND(C592*(1-Settings!$B$2),2)</f>
        <v>1679.13</v>
      </c>
      <c r="E592" s="3">
        <f>ROUND(C592*(1-Settings!$B$3),2)</f>
        <v>1679.13</v>
      </c>
      <c r="F592" s="2" t="inlineStr">
        <is>
          <t>Pokemon</t>
        </is>
      </c>
      <c r="G592" s="2" t="inlineStr">
        <is>
          <t>Box</t>
        </is>
      </c>
      <c r="H592" s="2" t="inlineStr">
        <is>
          <t>Japanese Tag Bolt</t>
        </is>
      </c>
      <c r="I592" s="3" t="n">
        <v>2398.75</v>
      </c>
      <c r="J592" s="3" t="n"/>
      <c r="K592" s="3" t="n"/>
      <c r="L592" s="3" t="n"/>
      <c r="M592" s="2" t="inlineStr">
        <is>
          <t>PriceCharting</t>
        </is>
      </c>
      <c r="N592" s="4" t="inlineStr">
        <is>
          <t>https://www.pricecharting.com/game/pokemon-japanese-tag-bolt/booster-box</t>
        </is>
      </c>
    </row>
    <row r="593">
      <c r="A593" s="2" t="inlineStr">
        <is>
          <t>Japanese Terastal Festival Booster Box</t>
        </is>
      </c>
      <c r="B593" s="3">
        <f>IF(I593&lt;&gt;"",I593,IF(J593&lt;&gt;"",J593,IF(K593&lt;&gt;"",K593,L593)))</f>
        <v>95.84</v>
      </c>
      <c r="C593" s="3">
        <f>MEDIAN(I593:L593)</f>
        <v>95.84</v>
      </c>
      <c r="D593" s="3">
        <f>ROUND(C593*(1-Settings!$B$2),2)</f>
        <v>67.09</v>
      </c>
      <c r="E593" s="3">
        <f>ROUND(C593*(1-Settings!$B$3),2)</f>
        <v>67.09</v>
      </c>
      <c r="F593" s="2" t="inlineStr">
        <is>
          <t>Pokemon</t>
        </is>
      </c>
      <c r="G593" s="2" t="inlineStr">
        <is>
          <t>Box</t>
        </is>
      </c>
      <c r="H593" s="2" t="inlineStr">
        <is>
          <t>Japanese Terastal Festival</t>
        </is>
      </c>
      <c r="I593" s="3" t="n">
        <v>95.84</v>
      </c>
      <c r="J593" s="3" t="n"/>
      <c r="K593" s="3" t="n"/>
      <c r="L593" s="3" t="n"/>
      <c r="M593" s="2" t="inlineStr">
        <is>
          <t>PriceCharting</t>
        </is>
      </c>
      <c r="N593" s="4" t="inlineStr">
        <is>
          <t>https://www.pricecharting.com/game/pokemon-japanese-terastal-festival/booster-box</t>
        </is>
      </c>
    </row>
    <row r="594">
      <c r="A594" s="2" t="inlineStr">
        <is>
          <t>Japanese Triplet Beat Booster Box</t>
        </is>
      </c>
      <c r="B594" s="3">
        <f>IF(I594&lt;&gt;"",I594,IF(J594&lt;&gt;"",J594,IF(K594&lt;&gt;"",K594,L594)))</f>
        <v>144.99</v>
      </c>
      <c r="C594" s="3">
        <f>MEDIAN(I594:L594)</f>
        <v>144.99</v>
      </c>
      <c r="D594" s="3">
        <f>ROUND(C594*(1-Settings!$B$2),2)</f>
        <v>101.49</v>
      </c>
      <c r="E594" s="3">
        <f>ROUND(C594*(1-Settings!$B$3),2)</f>
        <v>101.49</v>
      </c>
      <c r="F594" s="2" t="inlineStr">
        <is>
          <t>Pokemon</t>
        </is>
      </c>
      <c r="G594" s="2" t="inlineStr">
        <is>
          <t>Box</t>
        </is>
      </c>
      <c r="H594" s="2" t="inlineStr">
        <is>
          <t>Japanese Triplet Beat</t>
        </is>
      </c>
      <c r="I594" s="3" t="n">
        <v>144.99</v>
      </c>
      <c r="J594" s="3" t="n"/>
      <c r="K594" s="3" t="n"/>
      <c r="L594" s="3" t="n"/>
      <c r="M594" s="2" t="inlineStr">
        <is>
          <t>PriceCharting</t>
        </is>
      </c>
      <c r="N594" s="4" t="inlineStr">
        <is>
          <t>https://www.pricecharting.com/game/pokemon-japanese-triplet-beat/booster-box</t>
        </is>
      </c>
    </row>
    <row r="595">
      <c r="A595" s="2" t="inlineStr">
        <is>
          <t>Japanese Violet Ex Booster Box</t>
        </is>
      </c>
      <c r="B595" s="3">
        <f>IF(I595&lt;&gt;"",I595,IF(J595&lt;&gt;"",J595,IF(K595&lt;&gt;"",K595,L595)))</f>
        <v>94.25</v>
      </c>
      <c r="C595" s="3">
        <f>MEDIAN(I595:L595)</f>
        <v>94.25</v>
      </c>
      <c r="D595" s="3">
        <f>ROUND(C595*(1-Settings!$B$2),2)</f>
        <v>65.98</v>
      </c>
      <c r="E595" s="3">
        <f>ROUND(C595*(1-Settings!$B$3),2)</f>
        <v>65.98</v>
      </c>
      <c r="F595" s="2" t="inlineStr">
        <is>
          <t>Pokemon</t>
        </is>
      </c>
      <c r="G595" s="2" t="inlineStr">
        <is>
          <t>Box</t>
        </is>
      </c>
      <c r="H595" s="2" t="inlineStr">
        <is>
          <t>Japanese Violet Ex</t>
        </is>
      </c>
      <c r="I595" s="3" t="n">
        <v>94.25</v>
      </c>
      <c r="J595" s="3" t="n"/>
      <c r="K595" s="3" t="n"/>
      <c r="L595" s="3" t="n"/>
      <c r="M595" s="2" t="inlineStr">
        <is>
          <t>PriceCharting</t>
        </is>
      </c>
      <c r="N595" s="4" t="inlineStr">
        <is>
          <t>https://www.pricecharting.com/game/pokemon-japanese-violet-ex/booster-box</t>
        </is>
      </c>
    </row>
    <row r="596">
      <c r="A596" s="2" t="inlineStr">
        <is>
          <t>Japanese Vmax Climax Booster Box</t>
        </is>
      </c>
      <c r="B596" s="3">
        <f>IF(I596&lt;&gt;"",I596,IF(J596&lt;&gt;"",J596,IF(K596&lt;&gt;"",K596,L596)))</f>
        <v>200.0</v>
      </c>
      <c r="C596" s="3">
        <f>MEDIAN(I596:L596)</f>
        <v>200.0</v>
      </c>
      <c r="D596" s="3">
        <f>ROUND(C596*(1-Settings!$B$2),2)</f>
        <v>140.0</v>
      </c>
      <c r="E596" s="3">
        <f>ROUND(C596*(1-Settings!$B$3),2)</f>
        <v>140.0</v>
      </c>
      <c r="F596" s="2" t="inlineStr">
        <is>
          <t>Pokemon</t>
        </is>
      </c>
      <c r="G596" s="2" t="inlineStr">
        <is>
          <t>Box</t>
        </is>
      </c>
      <c r="H596" s="2" t="inlineStr">
        <is>
          <t>Japanese Vmax Climax</t>
        </is>
      </c>
      <c r="I596" s="3" t="n">
        <v>200</v>
      </c>
      <c r="J596" s="3" t="n"/>
      <c r="K596" s="3" t="n"/>
      <c r="L596" s="3" t="n"/>
      <c r="M596" s="2" t="inlineStr">
        <is>
          <t>PriceCharting</t>
        </is>
      </c>
      <c r="N596" s="4" t="inlineStr">
        <is>
          <t>https://www.pricecharting.com/game/pokemon-japanese-vmax-climax/booster-box</t>
        </is>
      </c>
    </row>
    <row r="597">
      <c r="A597" s="2" t="inlineStr">
        <is>
          <t>Japanese Vstar Universe Booster Box</t>
        </is>
      </c>
      <c r="B597" s="3">
        <f>IF(I597&lt;&gt;"",I597,IF(J597&lt;&gt;"",J597,IF(K597&lt;&gt;"",K597,L597)))</f>
        <v>166.21</v>
      </c>
      <c r="C597" s="3">
        <f>MEDIAN(I597:L597)</f>
        <v>166.21</v>
      </c>
      <c r="D597" s="3">
        <f>ROUND(C597*(1-Settings!$B$2),2)</f>
        <v>116.35</v>
      </c>
      <c r="E597" s="3">
        <f>ROUND(C597*(1-Settings!$B$3),2)</f>
        <v>116.35</v>
      </c>
      <c r="F597" s="2" t="inlineStr">
        <is>
          <t>Pokemon</t>
        </is>
      </c>
      <c r="G597" s="2" t="inlineStr">
        <is>
          <t>Box</t>
        </is>
      </c>
      <c r="H597" s="2" t="inlineStr">
        <is>
          <t>Japanese Vstar Universe</t>
        </is>
      </c>
      <c r="I597" s="3" t="n">
        <v>166.21</v>
      </c>
      <c r="J597" s="3" t="n"/>
      <c r="K597" s="3" t="n"/>
      <c r="L597" s="3" t="n"/>
      <c r="M597" s="2" t="inlineStr">
        <is>
          <t>PriceCharting</t>
        </is>
      </c>
      <c r="N597" s="4" t="inlineStr">
        <is>
          <t>https://www.pricecharting.com/game/pokemon-japanese-vstar-universe/booster-box</t>
        </is>
      </c>
    </row>
    <row r="598">
      <c r="A598" s="2" t="inlineStr">
        <is>
          <t>Japanese White Flare Booster Box</t>
        </is>
      </c>
      <c r="B598" s="3">
        <f>IF(I598&lt;&gt;"",I598,IF(J598&lt;&gt;"",J598,IF(K598&lt;&gt;"",K598,L598)))</f>
        <v>117.76</v>
      </c>
      <c r="C598" s="3">
        <f>MEDIAN(I598:L598)</f>
        <v>117.76</v>
      </c>
      <c r="D598" s="3">
        <f>ROUND(C598*(1-Settings!$B$2),2)</f>
        <v>82.43</v>
      </c>
      <c r="E598" s="3">
        <f>ROUND(C598*(1-Settings!$B$3),2)</f>
        <v>82.43</v>
      </c>
      <c r="F598" s="2" t="inlineStr">
        <is>
          <t>Pokemon</t>
        </is>
      </c>
      <c r="G598" s="2" t="inlineStr">
        <is>
          <t>Box</t>
        </is>
      </c>
      <c r="H598" s="2" t="inlineStr">
        <is>
          <t>Japanese White Flare</t>
        </is>
      </c>
      <c r="I598" s="3" t="n">
        <v>117.76</v>
      </c>
      <c r="J598" s="3" t="n"/>
      <c r="K598" s="3" t="n"/>
      <c r="L598" s="3" t="n"/>
      <c r="M598" s="2" t="inlineStr">
        <is>
          <t>PriceCharting</t>
        </is>
      </c>
      <c r="N598" s="4" t="inlineStr">
        <is>
          <t>https://www.pricecharting.com/game/pokemon-japanese-white-flare/booster-box</t>
        </is>
      </c>
    </row>
    <row r="599">
      <c r="A599" s="2" t="inlineStr">
        <is>
          <t>Japanese White Flare Deluxe Booster Box</t>
        </is>
      </c>
      <c r="B599" s="3">
        <f>IF(I599&lt;&gt;"",I599,IF(J599&lt;&gt;"",J599,IF(K599&lt;&gt;"",K599,L599)))</f>
        <v>127.6</v>
      </c>
      <c r="C599" s="3">
        <f>MEDIAN(I599:L599)</f>
        <v>127.6</v>
      </c>
      <c r="D599" s="3">
        <f>ROUND(C599*(1-Settings!$B$2),2)</f>
        <v>89.32</v>
      </c>
      <c r="E599" s="3">
        <f>ROUND(C599*(1-Settings!$B$3),2)</f>
        <v>89.32</v>
      </c>
      <c r="F599" s="2" t="inlineStr">
        <is>
          <t>Pokemon</t>
        </is>
      </c>
      <c r="G599" s="2" t="inlineStr">
        <is>
          <t>Box</t>
        </is>
      </c>
      <c r="H599" s="2" t="inlineStr">
        <is>
          <t>Japanese White Flare</t>
        </is>
      </c>
      <c r="I599" s="3" t="n">
        <v>127.6</v>
      </c>
      <c r="J599" s="3" t="n"/>
      <c r="K599" s="3" t="n"/>
      <c r="L599" s="3" t="n"/>
      <c r="M599" s="2" t="inlineStr">
        <is>
          <t>PriceCharting</t>
        </is>
      </c>
      <c r="N599" s="4" t="inlineStr">
        <is>
          <t>https://www.pricecharting.com/game/pokemon-japanese-white-flare/deluxe-booster-box</t>
        </is>
      </c>
    </row>
    <row r="600">
      <c r="A600" s="2" t="inlineStr">
        <is>
          <t>Japanese Wild Force Booster Box</t>
        </is>
      </c>
      <c r="B600" s="3">
        <f>IF(I600&lt;&gt;"",I600,IF(J600&lt;&gt;"",J600,IF(K600&lt;&gt;"",K600,L600)))</f>
        <v>98.44</v>
      </c>
      <c r="C600" s="3">
        <f>MEDIAN(I600:L600)</f>
        <v>98.44</v>
      </c>
      <c r="D600" s="3">
        <f>ROUND(C600*(1-Settings!$B$2),2)</f>
        <v>68.91</v>
      </c>
      <c r="E600" s="3">
        <f>ROUND(C600*(1-Settings!$B$3),2)</f>
        <v>68.91</v>
      </c>
      <c r="F600" s="2" t="inlineStr">
        <is>
          <t>Pokemon</t>
        </is>
      </c>
      <c r="G600" s="2" t="inlineStr">
        <is>
          <t>Box</t>
        </is>
      </c>
      <c r="H600" s="2" t="inlineStr">
        <is>
          <t>Japanese Wild Force</t>
        </is>
      </c>
      <c r="I600" s="3" t="n">
        <v>98.44</v>
      </c>
      <c r="J600" s="3" t="n"/>
      <c r="K600" s="3" t="n"/>
      <c r="L600" s="3" t="n"/>
      <c r="M600" s="2" t="inlineStr">
        <is>
          <t>PriceCharting</t>
        </is>
      </c>
      <c r="N600" s="4" t="inlineStr">
        <is>
          <t>https://www.pricecharting.com/game/pokemon-japanese-wild-force/booster-box</t>
        </is>
      </c>
    </row>
    <row r="601">
      <c r="A601" s="2" t="inlineStr">
        <is>
          <t>Japanese Wind From The Sea Booster Box</t>
        </is>
      </c>
      <c r="B601" s="3">
        <f>IF(I601&lt;&gt;"",I601,IF(J601&lt;&gt;"",J601,IF(K601&lt;&gt;"",K601,L601)))</f>
        <v>39.0</v>
      </c>
      <c r="C601" s="3">
        <f>MEDIAN(I601:L601)</f>
        <v>39.0</v>
      </c>
      <c r="D601" s="3">
        <f>ROUND(C601*(1-Settings!$B$2),2)</f>
        <v>27.3</v>
      </c>
      <c r="E601" s="3">
        <f>ROUND(C601*(1-Settings!$B$3),2)</f>
        <v>27.3</v>
      </c>
      <c r="F601" s="2" t="inlineStr">
        <is>
          <t>Pokemon</t>
        </is>
      </c>
      <c r="G601" s="2" t="inlineStr">
        <is>
          <t>Box</t>
        </is>
      </c>
      <c r="H601" s="2" t="inlineStr">
        <is>
          <t>Japanese Wind From The Sea</t>
        </is>
      </c>
      <c r="I601" s="3" t="n">
        <v>39</v>
      </c>
      <c r="J601" s="3" t="n"/>
      <c r="K601" s="3" t="n"/>
      <c r="L601" s="3" t="n"/>
      <c r="M601" s="2" t="inlineStr">
        <is>
          <t>PriceCharting</t>
        </is>
      </c>
      <c r="N601" s="4" t="inlineStr">
        <is>
          <t>https://www.pricecharting.com/game/pokemon-japanese-wind-from-the-sea/booster-box</t>
        </is>
      </c>
    </row>
    <row r="602">
      <c r="A602" s="2" t="inlineStr">
        <is>
          <t>Journey Together Booster Box [Enhanced]</t>
        </is>
      </c>
      <c r="B602" s="3">
        <f>IF(I602&lt;&gt;"",I602,IF(J602&lt;&gt;"",J602,IF(K602&lt;&gt;"",K602,L602)))</f>
        <v>231.9</v>
      </c>
      <c r="C602" s="3">
        <f>MEDIAN(I602:L602)</f>
        <v>231.9</v>
      </c>
      <c r="D602" s="3">
        <f>ROUND(C602*(1-Settings!$B$2),2)</f>
        <v>162.33</v>
      </c>
      <c r="E602" s="3">
        <f>ROUND(C602*(1-Settings!$B$3),2)</f>
        <v>162.33</v>
      </c>
      <c r="F602" s="2" t="inlineStr">
        <is>
          <t>Pokemon</t>
        </is>
      </c>
      <c r="G602" s="2" t="inlineStr">
        <is>
          <t>Box</t>
        </is>
      </c>
      <c r="H602" s="2" t="inlineStr">
        <is>
          <t>Journey Together</t>
        </is>
      </c>
      <c r="I602" s="3" t="n">
        <v>231.9</v>
      </c>
      <c r="J602" s="3" t="n"/>
      <c r="K602" s="3" t="n"/>
      <c r="L602" s="3" t="n"/>
      <c r="M602" s="2" t="inlineStr">
        <is>
          <t>PriceCharting</t>
        </is>
      </c>
      <c r="N602" s="4" t="inlineStr">
        <is>
          <t>https://www.pricecharting.com/game/pokemon-journey-together/booster-box-enhanced</t>
        </is>
      </c>
    </row>
    <row r="603">
      <c r="A603" s="2" t="inlineStr">
        <is>
          <t>Journey Together Build &amp; Battle Display Box</t>
        </is>
      </c>
      <c r="B603" s="3">
        <f>IF(I603&lt;&gt;"",I603,IF(J603&lt;&gt;"",J603,IF(K603&lt;&gt;"",K603,L603)))</f>
        <v>244.97</v>
      </c>
      <c r="C603" s="3">
        <f>MEDIAN(I603:L603)</f>
        <v>244.97</v>
      </c>
      <c r="D603" s="3">
        <f>ROUND(C603*(1-Settings!$B$2),2)</f>
        <v>171.48</v>
      </c>
      <c r="E603" s="3">
        <f>ROUND(C603*(1-Settings!$B$3),2)</f>
        <v>171.48</v>
      </c>
      <c r="F603" s="2" t="inlineStr">
        <is>
          <t>Pokemon</t>
        </is>
      </c>
      <c r="G603" s="2" t="inlineStr">
        <is>
          <t>Box</t>
        </is>
      </c>
      <c r="H603" s="2" t="inlineStr">
        <is>
          <t>Journey Together</t>
        </is>
      </c>
      <c r="I603" s="3" t="n">
        <v>244.97</v>
      </c>
      <c r="J603" s="3" t="n"/>
      <c r="K603" s="3" t="n"/>
      <c r="L603" s="3" t="n"/>
      <c r="M603" s="2" t="inlineStr">
        <is>
          <t>PriceCharting</t>
        </is>
      </c>
      <c r="N603" s="4" t="inlineStr">
        <is>
          <t>https://www.pricecharting.com/game/pokemon-journey-together/build-&amp;-battle-display-box</t>
        </is>
      </c>
    </row>
    <row r="604">
      <c r="A604" s="2" t="inlineStr">
        <is>
          <t>Jungle Booster Box</t>
        </is>
      </c>
      <c r="B604" s="3">
        <f>IF(I604&lt;&gt;"",I604,IF(J604&lt;&gt;"",J604,IF(K604&lt;&gt;"",K604,L604)))</f>
        <v>13584.68</v>
      </c>
      <c r="C604" s="3">
        <f>MEDIAN(I604:L604)</f>
        <v>13584.68</v>
      </c>
      <c r="D604" s="3">
        <f>ROUND(C604*(1-Settings!$B$2),2)</f>
        <v>9509.28</v>
      </c>
      <c r="E604" s="3">
        <f>ROUND(C604*(1-Settings!$B$3),2)</f>
        <v>9509.28</v>
      </c>
      <c r="F604" s="2" t="inlineStr">
        <is>
          <t>Pokemon</t>
        </is>
      </c>
      <c r="G604" s="2" t="inlineStr">
        <is>
          <t>Box</t>
        </is>
      </c>
      <c r="H604" s="2" t="inlineStr">
        <is>
          <t>Jungle</t>
        </is>
      </c>
      <c r="I604" s="3" t="n">
        <v>13584.68</v>
      </c>
      <c r="J604" s="3" t="n"/>
      <c r="K604" s="3" t="n"/>
      <c r="L604" s="3" t="n"/>
      <c r="M604" s="2" t="inlineStr">
        <is>
          <t>PriceCharting</t>
        </is>
      </c>
      <c r="N604" s="4" t="inlineStr">
        <is>
          <t>https://www.pricecharting.com/game/pokemon-jungle/booster-box</t>
        </is>
      </c>
    </row>
    <row r="605">
      <c r="A605" s="2" t="inlineStr">
        <is>
          <t>Jungle Booster Box [1st Edition]</t>
        </is>
      </c>
      <c r="B605" s="3">
        <f>IF(I605&lt;&gt;"",I605,IF(J605&lt;&gt;"",J605,IF(K605&lt;&gt;"",K605,L605)))</f>
        <v>17386.72</v>
      </c>
      <c r="C605" s="3">
        <f>MEDIAN(I605:L605)</f>
        <v>17386.72</v>
      </c>
      <c r="D605" s="3">
        <f>ROUND(C605*(1-Settings!$B$2),2)</f>
        <v>12170.7</v>
      </c>
      <c r="E605" s="3">
        <f>ROUND(C605*(1-Settings!$B$3),2)</f>
        <v>12170.7</v>
      </c>
      <c r="F605" s="2" t="inlineStr">
        <is>
          <t>Pokemon</t>
        </is>
      </c>
      <c r="G605" s="2" t="inlineStr">
        <is>
          <t>Box</t>
        </is>
      </c>
      <c r="H605" s="2" t="inlineStr">
        <is>
          <t>Jungle</t>
        </is>
      </c>
      <c r="I605" s="3" t="n">
        <v>17386.72</v>
      </c>
      <c r="J605" s="3" t="n"/>
      <c r="K605" s="3" t="n"/>
      <c r="L605" s="3" t="n"/>
      <c r="M605" s="2" t="inlineStr">
        <is>
          <t>PriceCharting</t>
        </is>
      </c>
      <c r="N605" s="4" t="inlineStr">
        <is>
          <t>https://www.pricecharting.com/game/pokemon-jungle/booster-box-1st-edition</t>
        </is>
      </c>
    </row>
    <row r="606">
      <c r="A606" s="2" t="inlineStr">
        <is>
          <t>Jungle Booster Box [Unlimited Edition]</t>
        </is>
      </c>
      <c r="B606" s="3">
        <f>IF(I606&lt;&gt;"",I606,IF(J606&lt;&gt;"",J606,IF(K606&lt;&gt;"",K606,L606)))</f>
        <v>37200.0</v>
      </c>
      <c r="C606" s="3">
        <f>MEDIAN(I606:L606)</f>
        <v>35800.0</v>
      </c>
      <c r="D606" s="3">
        <f>ROUND(C606*(1-Settings!$B$2),2)</f>
        <v>25060.0</v>
      </c>
      <c r="E606" s="3">
        <f>ROUND(C606*(1-Settings!$B$3),2)</f>
        <v>25060.0</v>
      </c>
      <c r="F606" s="2" t="inlineStr">
        <is>
          <t>Pokemon</t>
        </is>
      </c>
      <c r="G606" s="2" t="inlineStr">
        <is>
          <t>Box</t>
        </is>
      </c>
      <c r="H606" s="2" t="inlineStr">
        <is>
          <t>Jungle</t>
        </is>
      </c>
      <c r="I606" s="3" t="n"/>
      <c r="J606" s="3" t="n"/>
      <c r="K606" s="3" t="n">
        <v>37200</v>
      </c>
      <c r="L606" s="3" t="n">
        <v>34400</v>
      </c>
      <c r="M606" s="2" t="inlineStr">
        <is>
          <t>TCGplayer</t>
        </is>
      </c>
      <c r="O606" s="4" t="inlineStr">
        <is>
          <t>https://www.tcgplayer.com/product/107599</t>
        </is>
      </c>
    </row>
    <row r="607">
      <c r="A607" s="2" t="inlineStr">
        <is>
          <t>Korean 30th Celebration Booster Box</t>
        </is>
      </c>
      <c r="B607" s="3">
        <f>IF(I607&lt;&gt;"",I607,IF(J607&lt;&gt;"",J607,IF(K607&lt;&gt;"",K607,L607)))</f>
        <v>157.49</v>
      </c>
      <c r="C607" s="3">
        <f>MEDIAN(I607:L607)</f>
        <v>157.49</v>
      </c>
      <c r="D607" s="3">
        <f>ROUND(C607*(1-Settings!$B$2),2)</f>
        <v>110.24</v>
      </c>
      <c r="E607" s="3">
        <f>ROUND(C607*(1-Settings!$B$3),2)</f>
        <v>110.24</v>
      </c>
      <c r="F607" s="2" t="inlineStr">
        <is>
          <t>Pokemon</t>
        </is>
      </c>
      <c r="G607" s="2" t="inlineStr">
        <is>
          <t>Box</t>
        </is>
      </c>
      <c r="H607" s="2" t="inlineStr">
        <is>
          <t>Korean 30th Celebration</t>
        </is>
      </c>
      <c r="I607" s="3" t="n">
        <v>157.49</v>
      </c>
      <c r="J607" s="3" t="n"/>
      <c r="K607" s="3" t="n"/>
      <c r="L607" s="3" t="n"/>
      <c r="M607" s="2" t="inlineStr">
        <is>
          <t>PriceCharting</t>
        </is>
      </c>
      <c r="N607" s="4" t="inlineStr">
        <is>
          <t>https://www.pricecharting.com/game/pokemon-korean-30th-celebration/booster-box</t>
        </is>
      </c>
    </row>
    <row r="608">
      <c r="A608" s="2" t="inlineStr">
        <is>
          <t>Korean Terastal Festival Ex Booster Box</t>
        </is>
      </c>
      <c r="B608" s="3">
        <f>IF(I608&lt;&gt;"",I608,IF(J608&lt;&gt;"",J608,IF(K608&lt;&gt;"",K608,L608)))</f>
        <v>85.76</v>
      </c>
      <c r="C608" s="3">
        <f>MEDIAN(I608:L608)</f>
        <v>85.76</v>
      </c>
      <c r="D608" s="3">
        <f>ROUND(C608*(1-Settings!$B$2),2)</f>
        <v>60.03</v>
      </c>
      <c r="E608" s="3">
        <f>ROUND(C608*(1-Settings!$B$3),2)</f>
        <v>60.03</v>
      </c>
      <c r="F608" s="2" t="inlineStr">
        <is>
          <t>Pokemon</t>
        </is>
      </c>
      <c r="G608" s="2" t="inlineStr">
        <is>
          <t>Box</t>
        </is>
      </c>
      <c r="H608" s="2" t="inlineStr">
        <is>
          <t>Korean Terastal Festival Ex</t>
        </is>
      </c>
      <c r="I608" s="3" t="n">
        <v>85.76000000000001</v>
      </c>
      <c r="J608" s="3" t="n"/>
      <c r="K608" s="3" t="n"/>
      <c r="L608" s="3" t="n"/>
      <c r="M608" s="2" t="inlineStr">
        <is>
          <t>PriceCharting</t>
        </is>
      </c>
      <c r="N608" s="4" t="inlineStr">
        <is>
          <t>https://www.pricecharting.com/game/pokemon-korean-terastal-festival-ex/booster-box</t>
        </is>
      </c>
    </row>
    <row r="609">
      <c r="A609" s="2" t="inlineStr">
        <is>
          <t>Legendary Collection Booster Box</t>
        </is>
      </c>
      <c r="B609" s="3">
        <f>IF(I609&lt;&gt;"",I609,IF(J609&lt;&gt;"",J609,IF(K609&lt;&gt;"",K609,L609)))</f>
        <v>110200.0</v>
      </c>
      <c r="C609" s="3">
        <f>MEDIAN(I609:L609)</f>
        <v>110200.0</v>
      </c>
      <c r="D609" s="3">
        <f>ROUND(C609*(1-Settings!$B$2),2)</f>
        <v>77140.0</v>
      </c>
      <c r="E609" s="3">
        <f>ROUND(C609*(1-Settings!$B$3),2)</f>
        <v>77140.0</v>
      </c>
      <c r="F609" s="2" t="inlineStr">
        <is>
          <t>Pokemon</t>
        </is>
      </c>
      <c r="G609" s="2" t="inlineStr">
        <is>
          <t>Box</t>
        </is>
      </c>
      <c r="H609" s="2" t="inlineStr">
        <is>
          <t>Legendary Collection</t>
        </is>
      </c>
      <c r="I609" s="3" t="n">
        <v>110200</v>
      </c>
      <c r="J609" s="3" t="n"/>
      <c r="K609" s="3" t="n"/>
      <c r="L609" s="3" t="n"/>
      <c r="M609" s="2" t="inlineStr">
        <is>
          <t>PriceCharting + TCGplayer</t>
        </is>
      </c>
      <c r="N609" s="4" t="inlineStr">
        <is>
          <t>https://www.pricecharting.com/game/pokemon-legendary-collection/booster-box</t>
        </is>
      </c>
      <c r="O609" s="4" t="inlineStr">
        <is>
          <t>https://www.tcgplayer.com/product/691155</t>
        </is>
      </c>
    </row>
    <row r="610">
      <c r="A610" s="2" t="inlineStr">
        <is>
          <t>Legendary Treasures Booster Box</t>
        </is>
      </c>
      <c r="B610" s="3">
        <f>IF(I610&lt;&gt;"",I610,IF(J610&lt;&gt;"",J610,IF(K610&lt;&gt;"",K610,L610)))</f>
        <v>18400.0</v>
      </c>
      <c r="C610" s="3">
        <f>MEDIAN(I610:L610)</f>
        <v>18400.0</v>
      </c>
      <c r="D610" s="3">
        <f>ROUND(C610*(1-Settings!$B$2),2)</f>
        <v>12880.0</v>
      </c>
      <c r="E610" s="3">
        <f>ROUND(C610*(1-Settings!$B$3),2)</f>
        <v>12880.0</v>
      </c>
      <c r="F610" s="2" t="inlineStr">
        <is>
          <t>Pokemon</t>
        </is>
      </c>
      <c r="G610" s="2" t="inlineStr">
        <is>
          <t>Box</t>
        </is>
      </c>
      <c r="H610" s="2" t="inlineStr">
        <is>
          <t>Legendary Treasures</t>
        </is>
      </c>
      <c r="I610" s="3" t="n">
        <v>18400</v>
      </c>
      <c r="J610" s="3" t="n"/>
      <c r="K610" s="3" t="n"/>
      <c r="L610" s="3" t="n"/>
      <c r="M610" s="2" t="inlineStr">
        <is>
          <t>PriceCharting</t>
        </is>
      </c>
      <c r="N610" s="4" t="inlineStr">
        <is>
          <t>https://www.pricecharting.com/game/pokemon-legendary-treasures/booster-box</t>
        </is>
      </c>
    </row>
    <row r="611">
      <c r="A611" s="2" t="inlineStr">
        <is>
          <t>Legends Awakened Booster Box</t>
        </is>
      </c>
      <c r="B611" s="3">
        <f>IF(I611&lt;&gt;"",I611,IF(J611&lt;&gt;"",J611,IF(K611&lt;&gt;"",K611,L611)))</f>
        <v>7337.58</v>
      </c>
      <c r="C611" s="3">
        <f>MEDIAN(I611:L611)</f>
        <v>7337.58</v>
      </c>
      <c r="D611" s="3">
        <f>ROUND(C611*(1-Settings!$B$2),2)</f>
        <v>5136.31</v>
      </c>
      <c r="E611" s="3">
        <f>ROUND(C611*(1-Settings!$B$3),2)</f>
        <v>5136.31</v>
      </c>
      <c r="F611" s="2" t="inlineStr">
        <is>
          <t>Pokemon</t>
        </is>
      </c>
      <c r="G611" s="2" t="inlineStr">
        <is>
          <t>Box</t>
        </is>
      </c>
      <c r="H611" s="2" t="inlineStr">
        <is>
          <t>Legends Awakened</t>
        </is>
      </c>
      <c r="I611" s="3" t="n">
        <v>7337.58</v>
      </c>
      <c r="J611" s="3" t="n"/>
      <c r="K611" s="3" t="n"/>
      <c r="L611" s="3" t="n"/>
      <c r="M611" s="2" t="inlineStr">
        <is>
          <t>PriceCharting + TCGplayer</t>
        </is>
      </c>
      <c r="N611" s="4" t="inlineStr">
        <is>
          <t>https://www.pricecharting.com/game/pokemon-legends-awakened/booster-box</t>
        </is>
      </c>
      <c r="O611" s="4" t="inlineStr">
        <is>
          <t>https://www.tcgplayer.com/product/98536</t>
        </is>
      </c>
    </row>
    <row r="612">
      <c r="A612" s="2" t="inlineStr">
        <is>
          <t>Lost Origin Build &amp; Battle Display Box</t>
        </is>
      </c>
      <c r="B612" s="3">
        <f>IF(I612&lt;&gt;"",I612,IF(J612&lt;&gt;"",J612,IF(K612&lt;&gt;"",K612,L612)))</f>
        <v>789.4</v>
      </c>
      <c r="C612" s="3">
        <f>MEDIAN(I612:L612)</f>
        <v>789.4</v>
      </c>
      <c r="D612" s="3">
        <f>ROUND(C612*(1-Settings!$B$2),2)</f>
        <v>552.58</v>
      </c>
      <c r="E612" s="3">
        <f>ROUND(C612*(1-Settings!$B$3),2)</f>
        <v>552.58</v>
      </c>
      <c r="F612" s="2" t="inlineStr">
        <is>
          <t>Pokemon</t>
        </is>
      </c>
      <c r="G612" s="2" t="inlineStr">
        <is>
          <t>Box</t>
        </is>
      </c>
      <c r="H612" s="2" t="inlineStr">
        <is>
          <t>Lost Origin</t>
        </is>
      </c>
      <c r="I612" s="3" t="n">
        <v>789.4</v>
      </c>
      <c r="J612" s="3" t="n"/>
      <c r="K612" s="3" t="n"/>
      <c r="L612" s="3" t="n"/>
      <c r="M612" s="2" t="inlineStr">
        <is>
          <t>PriceCharting</t>
        </is>
      </c>
      <c r="N612" s="4" t="inlineStr">
        <is>
          <t>https://www.pricecharting.com/game/pokemon-lost-origin/build-&amp;-battle-display-box</t>
        </is>
      </c>
    </row>
    <row r="613">
      <c r="A613" s="2" t="inlineStr">
        <is>
          <t>Lost Origin Half Booster Box</t>
        </is>
      </c>
      <c r="B613" s="3">
        <f>IF(I613&lt;&gt;"",I613,IF(J613&lt;&gt;"",J613,IF(K613&lt;&gt;"",K613,L613)))</f>
        <v>435.4</v>
      </c>
      <c r="C613" s="3">
        <f>MEDIAN(I613:L613)</f>
        <v>435.4</v>
      </c>
      <c r="D613" s="3">
        <f>ROUND(C613*(1-Settings!$B$2),2)</f>
        <v>304.78</v>
      </c>
      <c r="E613" s="3">
        <f>ROUND(C613*(1-Settings!$B$3),2)</f>
        <v>304.78</v>
      </c>
      <c r="F613" s="2" t="inlineStr">
        <is>
          <t>Pokemon</t>
        </is>
      </c>
      <c r="G613" s="2" t="inlineStr">
        <is>
          <t>Box</t>
        </is>
      </c>
      <c r="H613" s="2" t="inlineStr">
        <is>
          <t>Lost Origin</t>
        </is>
      </c>
      <c r="I613" s="3" t="n">
        <v>435.4</v>
      </c>
      <c r="J613" s="3" t="n"/>
      <c r="K613" s="3" t="n"/>
      <c r="L613" s="3" t="n"/>
      <c r="M613" s="2" t="inlineStr">
        <is>
          <t>PriceCharting</t>
        </is>
      </c>
      <c r="N613" s="4" t="inlineStr">
        <is>
          <t>https://www.pricecharting.com/game/pokemon-lost-origin/half-booster-box</t>
        </is>
      </c>
    </row>
    <row r="614">
      <c r="A614" s="2" t="inlineStr">
        <is>
          <t>Mega Brave Booster Box</t>
        </is>
      </c>
      <c r="B614" s="3">
        <f>IF(I614&lt;&gt;"",I614,IF(J614&lt;&gt;"",J614,IF(K614&lt;&gt;"",K614,L614)))</f>
        <v>79.87</v>
      </c>
      <c r="C614" s="3">
        <f>MEDIAN(I614:L614)</f>
        <v>72.36</v>
      </c>
      <c r="D614" s="3">
        <f>ROUND(C614*(1-Settings!$B$2),2)</f>
        <v>50.65</v>
      </c>
      <c r="E614" s="3">
        <f>ROUND(C614*(1-Settings!$B$3),2)</f>
        <v>50.65</v>
      </c>
      <c r="F614" s="2" t="inlineStr">
        <is>
          <t>Pokemon</t>
        </is>
      </c>
      <c r="G614" s="2" t="inlineStr">
        <is>
          <t>Box</t>
        </is>
      </c>
      <c r="H614" s="2" t="inlineStr">
        <is>
          <t>m1L: Mega Brave</t>
        </is>
      </c>
      <c r="I614" s="3" t="n"/>
      <c r="J614" s="3" t="n">
        <v>79.87</v>
      </c>
      <c r="K614" s="3" t="n"/>
      <c r="L614" s="3" t="n">
        <v>64.84999999999999</v>
      </c>
      <c r="M614" s="2" t="inlineStr">
        <is>
          <t>TCGplayer</t>
        </is>
      </c>
      <c r="O614" s="4" t="inlineStr">
        <is>
          <t>https://www.tcgplayer.com/product/647500</t>
        </is>
      </c>
    </row>
    <row r="615">
      <c r="A615" s="2" t="inlineStr">
        <is>
          <t>Mega Symphonia Booster Box</t>
        </is>
      </c>
      <c r="B615" s="3">
        <f>IF(I615&lt;&gt;"",I615,IF(J615&lt;&gt;"",J615,IF(K615&lt;&gt;"",K615,L615)))</f>
        <v>85.87</v>
      </c>
      <c r="C615" s="3">
        <f>MEDIAN(I615:L615)</f>
        <v>75.23</v>
      </c>
      <c r="D615" s="3">
        <f>ROUND(C615*(1-Settings!$B$2),2)</f>
        <v>52.66</v>
      </c>
      <c r="E615" s="3">
        <f>ROUND(C615*(1-Settings!$B$3),2)</f>
        <v>52.66</v>
      </c>
      <c r="F615" s="2" t="inlineStr">
        <is>
          <t>Pokemon</t>
        </is>
      </c>
      <c r="G615" s="2" t="inlineStr">
        <is>
          <t>Box</t>
        </is>
      </c>
      <c r="H615" s="2" t="inlineStr">
        <is>
          <t>m1S: Mega Symphonia</t>
        </is>
      </c>
      <c r="I615" s="3" t="n"/>
      <c r="J615" s="3" t="n">
        <v>85.87</v>
      </c>
      <c r="K615" s="3" t="n"/>
      <c r="L615" s="3" t="n">
        <v>64.59</v>
      </c>
      <c r="M615" s="2" t="inlineStr">
        <is>
          <t>TCGplayer</t>
        </is>
      </c>
      <c r="O615" s="4" t="inlineStr">
        <is>
          <t>https://www.tcgplayer.com/product/647501</t>
        </is>
      </c>
    </row>
    <row r="616">
      <c r="A616" s="2" t="inlineStr">
        <is>
          <t>Inferno X Booster Box</t>
        </is>
      </c>
      <c r="B616" s="3">
        <f>IF(I616&lt;&gt;"",I616,IF(J616&lt;&gt;"",J616,IF(K616&lt;&gt;"",K616,L616)))</f>
        <v>107.56</v>
      </c>
      <c r="C616" s="3">
        <f>MEDIAN(I616:L616)</f>
        <v>93.18</v>
      </c>
      <c r="D616" s="3">
        <f>ROUND(C616*(1-Settings!$B$2),2)</f>
        <v>65.23</v>
      </c>
      <c r="E616" s="3">
        <f>ROUND(C616*(1-Settings!$B$3),2)</f>
        <v>65.23</v>
      </c>
      <c r="F616" s="2" t="inlineStr">
        <is>
          <t>Pokemon</t>
        </is>
      </c>
      <c r="G616" s="2" t="inlineStr">
        <is>
          <t>Box</t>
        </is>
      </c>
      <c r="H616" s="2" t="inlineStr">
        <is>
          <t>M2: Inferno X</t>
        </is>
      </c>
      <c r="I616" s="3" t="n"/>
      <c r="J616" s="3" t="n">
        <v>107.56</v>
      </c>
      <c r="K616" s="3" t="n"/>
      <c r="L616" s="3" t="n">
        <v>78.8</v>
      </c>
      <c r="M616" s="2" t="inlineStr">
        <is>
          <t>TCGplayer</t>
        </is>
      </c>
      <c r="O616" s="4" t="inlineStr">
        <is>
          <t>https://www.tcgplayer.com/product/655968</t>
        </is>
      </c>
    </row>
    <row r="617">
      <c r="A617" s="2" t="inlineStr">
        <is>
          <t>Mega Dream ex Booster Box</t>
        </is>
      </c>
      <c r="B617" s="3">
        <f>IF(I617&lt;&gt;"",I617,IF(J617&lt;&gt;"",J617,IF(K617&lt;&gt;"",K617,L617)))</f>
        <v>86.05</v>
      </c>
      <c r="C617" s="3">
        <f>MEDIAN(I617:L617)</f>
        <v>82.525</v>
      </c>
      <c r="D617" s="3">
        <f>ROUND(C617*(1-Settings!$B$2),2)</f>
        <v>57.77</v>
      </c>
      <c r="E617" s="3">
        <f>ROUND(C617*(1-Settings!$B$3),2)</f>
        <v>57.77</v>
      </c>
      <c r="F617" s="2" t="inlineStr">
        <is>
          <t>Pokemon</t>
        </is>
      </c>
      <c r="G617" s="2" t="inlineStr">
        <is>
          <t>Box</t>
        </is>
      </c>
      <c r="H617" s="2" t="inlineStr">
        <is>
          <t>M2a: High Class Pack: MEGA Dream ex</t>
        </is>
      </c>
      <c r="I617" s="3" t="n"/>
      <c r="J617" s="3" t="n">
        <v>86.05</v>
      </c>
      <c r="K617" s="3" t="n"/>
      <c r="L617" s="3" t="n">
        <v>79</v>
      </c>
      <c r="M617" s="2" t="inlineStr">
        <is>
          <t>TCGplayer</t>
        </is>
      </c>
      <c r="O617" s="4" t="inlineStr">
        <is>
          <t>https://www.tcgplayer.com/product/666254</t>
        </is>
      </c>
    </row>
    <row r="618">
      <c r="A618" s="2" t="inlineStr">
        <is>
          <t>Nihil Zero Booster Box</t>
        </is>
      </c>
      <c r="B618" s="3">
        <f>IF(I618&lt;&gt;"",I618,IF(J618&lt;&gt;"",J618,IF(K618&lt;&gt;"",K618,L618)))</f>
        <v>72.14</v>
      </c>
      <c r="C618" s="3">
        <f>MEDIAN(I618:L618)</f>
        <v>64.82</v>
      </c>
      <c r="D618" s="3">
        <f>ROUND(C618*(1-Settings!$B$2),2)</f>
        <v>45.37</v>
      </c>
      <c r="E618" s="3">
        <f>ROUND(C618*(1-Settings!$B$3),2)</f>
        <v>45.37</v>
      </c>
      <c r="F618" s="2" t="inlineStr">
        <is>
          <t>Pokemon</t>
        </is>
      </c>
      <c r="G618" s="2" t="inlineStr">
        <is>
          <t>Box</t>
        </is>
      </c>
      <c r="H618" s="2" t="inlineStr">
        <is>
          <t>M3: Nihil Zero</t>
        </is>
      </c>
      <c r="I618" s="3" t="n"/>
      <c r="J618" s="3" t="n">
        <v>72.14</v>
      </c>
      <c r="K618" s="3" t="n"/>
      <c r="L618" s="3" t="n">
        <v>57.5</v>
      </c>
      <c r="M618" s="2" t="inlineStr">
        <is>
          <t>TCGplayer</t>
        </is>
      </c>
      <c r="O618" s="4" t="inlineStr">
        <is>
          <t>https://www.tcgplayer.com/product/674449</t>
        </is>
      </c>
    </row>
    <row r="619">
      <c r="A619" s="2" t="inlineStr">
        <is>
          <t>Ninja Spinner Booster Box</t>
        </is>
      </c>
      <c r="B619" s="3">
        <f>IF(I619&lt;&gt;"",I619,IF(J619&lt;&gt;"",J619,IF(K619&lt;&gt;"",K619,L619)))</f>
        <v>76.29</v>
      </c>
      <c r="C619" s="3">
        <f>MEDIAN(I619:L619)</f>
        <v>57.635000000000005</v>
      </c>
      <c r="D619" s="3">
        <f>ROUND(C619*(1-Settings!$B$2),2)</f>
        <v>40.34</v>
      </c>
      <c r="E619" s="3">
        <f>ROUND(C619*(1-Settings!$B$3),2)</f>
        <v>40.34</v>
      </c>
      <c r="F619" s="2" t="inlineStr">
        <is>
          <t>Pokemon</t>
        </is>
      </c>
      <c r="G619" s="2" t="inlineStr">
        <is>
          <t>Box</t>
        </is>
      </c>
      <c r="H619" s="2" t="inlineStr">
        <is>
          <t>M4: Ninja Spinner</t>
        </is>
      </c>
      <c r="I619" s="3" t="n"/>
      <c r="J619" s="3" t="n">
        <v>76.29000000000001</v>
      </c>
      <c r="K619" s="3" t="n"/>
      <c r="L619" s="3" t="n">
        <v>38.98</v>
      </c>
      <c r="M619" s="2" t="inlineStr">
        <is>
          <t>TCGplayer</t>
        </is>
      </c>
      <c r="O619" s="4" t="inlineStr">
        <is>
          <t>https://www.tcgplayer.com/product/683774</t>
        </is>
      </c>
    </row>
    <row r="620">
      <c r="A620" s="2" t="inlineStr">
        <is>
          <t>Abyss Eye Booster Box</t>
        </is>
      </c>
      <c r="B620" s="3">
        <f>IF(I620&lt;&gt;"",I620,IF(J620&lt;&gt;"",J620,IF(K620&lt;&gt;"",K620,L620)))</f>
        <v>71.91</v>
      </c>
      <c r="C620" s="3">
        <f>MEDIAN(I620:L620)</f>
        <v>68.285</v>
      </c>
      <c r="D620" s="3">
        <f>ROUND(C620*(1-Settings!$B$2),2)</f>
        <v>47.8</v>
      </c>
      <c r="E620" s="3">
        <f>ROUND(C620*(1-Settings!$B$3),2)</f>
        <v>47.8</v>
      </c>
      <c r="F620" s="2" t="inlineStr">
        <is>
          <t>Pokemon</t>
        </is>
      </c>
      <c r="G620" s="2" t="inlineStr">
        <is>
          <t>Box</t>
        </is>
      </c>
      <c r="H620" s="2" t="inlineStr">
        <is>
          <t>M5: Abyss Eye</t>
        </is>
      </c>
      <c r="I620" s="3" t="n"/>
      <c r="J620" s="3" t="n">
        <v>71.91</v>
      </c>
      <c r="K620" s="3" t="n"/>
      <c r="L620" s="3" t="n">
        <v>64.66</v>
      </c>
      <c r="M620" s="2" t="inlineStr">
        <is>
          <t>TCGplayer</t>
        </is>
      </c>
      <c r="O620" s="4" t="inlineStr">
        <is>
          <t>https://www.tcgplayer.com/product/695112</t>
        </is>
      </c>
    </row>
    <row r="621">
      <c r="A621" s="2" t="inlineStr">
        <is>
          <t>Storm Emeralda Booster Box</t>
        </is>
      </c>
      <c r="B621" s="3">
        <f>IF(I621&lt;&gt;"",I621,IF(J621&lt;&gt;"",J621,IF(K621&lt;&gt;"",K621,L621)))</f>
        <v>99.8</v>
      </c>
      <c r="C621" s="3">
        <f>MEDIAN(I621:L621)</f>
        <v>99.8</v>
      </c>
      <c r="D621" s="3">
        <f>ROUND(C621*(1-Settings!$B$2),2)</f>
        <v>69.86</v>
      </c>
      <c r="E621" s="3">
        <f>ROUND(C621*(1-Settings!$B$3),2)</f>
        <v>69.86</v>
      </c>
      <c r="F621" s="2" t="inlineStr">
        <is>
          <t>Pokemon</t>
        </is>
      </c>
      <c r="G621" s="2" t="inlineStr">
        <is>
          <t>Box</t>
        </is>
      </c>
      <c r="H621" s="2" t="inlineStr">
        <is>
          <t>M6: Storm Emeralda</t>
        </is>
      </c>
      <c r="I621" s="3" t="n"/>
      <c r="J621" s="3" t="n">
        <v>99.8</v>
      </c>
      <c r="K621" s="3" t="n"/>
      <c r="L621" s="3" t="n"/>
      <c r="M621" s="2" t="inlineStr">
        <is>
          <t>TCGplayer</t>
        </is>
      </c>
      <c r="O621" s="4" t="inlineStr">
        <is>
          <t>https://www.tcgplayer.com/product/709110</t>
        </is>
      </c>
    </row>
    <row r="622">
      <c r="A622" s="2" t="inlineStr">
        <is>
          <t>MEGA Expansion 30th Celebration Booster Box</t>
        </is>
      </c>
      <c r="B622" s="3">
        <f>IF(I622&lt;&gt;"",I622,IF(J622&lt;&gt;"",J622,IF(K622&lt;&gt;"",K622,L622)))</f>
        <v>208.68</v>
      </c>
      <c r="C622" s="3">
        <f>MEDIAN(I622:L622)</f>
        <v>208.68</v>
      </c>
      <c r="D622" s="3">
        <f>ROUND(C622*(1-Settings!$B$2),2)</f>
        <v>146.08</v>
      </c>
      <c r="E622" s="3">
        <f>ROUND(C622*(1-Settings!$B$3),2)</f>
        <v>146.08</v>
      </c>
      <c r="F622" s="2" t="inlineStr">
        <is>
          <t>Pokemon</t>
        </is>
      </c>
      <c r="G622" s="2" t="inlineStr">
        <is>
          <t>Box</t>
        </is>
      </c>
      <c r="H622" s="2" t="inlineStr">
        <is>
          <t>M6a: MEGA Expansion 30th Celebration</t>
        </is>
      </c>
      <c r="I622" s="3" t="n"/>
      <c r="J622" s="3" t="n">
        <v>208.68</v>
      </c>
      <c r="K622" s="3" t="n"/>
      <c r="L622" s="3" t="n"/>
      <c r="M622" s="2" t="inlineStr">
        <is>
          <t>TCGplayer</t>
        </is>
      </c>
      <c r="O622" s="4" t="inlineStr">
        <is>
          <t>https://www.tcgplayer.com/product/718620</t>
        </is>
      </c>
    </row>
    <row r="623">
      <c r="A623" s="2" t="inlineStr">
        <is>
          <t>Majestic Dawn Booster Box</t>
        </is>
      </c>
      <c r="B623" s="3">
        <f>IF(I623&lt;&gt;"",I623,IF(J623&lt;&gt;"",J623,IF(K623&lt;&gt;"",K623,L623)))</f>
        <v>5900.0</v>
      </c>
      <c r="C623" s="3">
        <f>MEDIAN(I623:L623)</f>
        <v>5900.0</v>
      </c>
      <c r="D623" s="3">
        <f>ROUND(C623*(1-Settings!$B$2),2)</f>
        <v>4130.0</v>
      </c>
      <c r="E623" s="3">
        <f>ROUND(C623*(1-Settings!$B$3),2)</f>
        <v>4130.0</v>
      </c>
      <c r="F623" s="2" t="inlineStr">
        <is>
          <t>Pokemon</t>
        </is>
      </c>
      <c r="G623" s="2" t="inlineStr">
        <is>
          <t>Box</t>
        </is>
      </c>
      <c r="H623" s="2" t="inlineStr">
        <is>
          <t>Majestic Dawn</t>
        </is>
      </c>
      <c r="I623" s="3" t="n">
        <v>5900</v>
      </c>
      <c r="J623" s="3" t="n"/>
      <c r="K623" s="3" t="n"/>
      <c r="L623" s="3" t="n"/>
      <c r="M623" s="2" t="inlineStr">
        <is>
          <t>PriceCharting + TCGplayer</t>
        </is>
      </c>
      <c r="N623" s="4" t="inlineStr">
        <is>
          <t>https://www.pricecharting.com/game/pokemon-majestic-dawn/booster-box</t>
        </is>
      </c>
      <c r="O623" s="4" t="inlineStr">
        <is>
          <t>https://www.tcgplayer.com/product/98584</t>
        </is>
      </c>
    </row>
    <row r="624">
      <c r="A624" s="2" t="inlineStr">
        <is>
          <t>Mega Evolution Booster Box</t>
        </is>
      </c>
      <c r="B624" s="3">
        <f>IF(I624&lt;&gt;"",I624,IF(J624&lt;&gt;"",J624,IF(K624&lt;&gt;"",K624,L624)))</f>
        <v>303.71</v>
      </c>
      <c r="C624" s="3">
        <f>MEDIAN(I624:L624)</f>
        <v>303.71</v>
      </c>
      <c r="D624" s="3">
        <f>ROUND(C624*(1-Settings!$B$2),2)</f>
        <v>212.6</v>
      </c>
      <c r="E624" s="3">
        <f>ROUND(C624*(1-Settings!$B$3),2)</f>
        <v>212.6</v>
      </c>
      <c r="F624" s="2" t="inlineStr">
        <is>
          <t>Pokemon</t>
        </is>
      </c>
      <c r="G624" s="2" t="inlineStr">
        <is>
          <t>Box</t>
        </is>
      </c>
      <c r="H624" s="2" t="inlineStr">
        <is>
          <t>ME01: Mega Evolution</t>
        </is>
      </c>
      <c r="I624" s="3" t="n"/>
      <c r="J624" s="3" t="n">
        <v>303.71</v>
      </c>
      <c r="K624" s="3" t="n">
        <v>329.52</v>
      </c>
      <c r="L624" s="3" t="n">
        <v>282.01</v>
      </c>
      <c r="M624" s="2" t="inlineStr">
        <is>
          <t>TCGplayer</t>
        </is>
      </c>
      <c r="O624" s="4" t="inlineStr">
        <is>
          <t>https://www.tcgplayer.com/product/644298</t>
        </is>
      </c>
    </row>
    <row r="625">
      <c r="A625" s="2" t="inlineStr">
        <is>
          <t>Mega Evolution Enhanced Booster Box</t>
        </is>
      </c>
      <c r="B625" s="3">
        <f>IF(I625&lt;&gt;"",I625,IF(J625&lt;&gt;"",J625,IF(K625&lt;&gt;"",K625,L625)))</f>
        <v>293.99</v>
      </c>
      <c r="C625" s="3">
        <f>MEDIAN(I625:L625)</f>
        <v>293.99</v>
      </c>
      <c r="D625" s="3">
        <f>ROUND(C625*(1-Settings!$B$2),2)</f>
        <v>205.79</v>
      </c>
      <c r="E625" s="3">
        <f>ROUND(C625*(1-Settings!$B$3),2)</f>
        <v>205.79</v>
      </c>
      <c r="F625" s="2" t="inlineStr">
        <is>
          <t>Pokemon</t>
        </is>
      </c>
      <c r="G625" s="2" t="inlineStr">
        <is>
          <t>Box</t>
        </is>
      </c>
      <c r="H625" s="2" t="inlineStr">
        <is>
          <t>ME01: Mega Evolution</t>
        </is>
      </c>
      <c r="I625" s="3" t="n"/>
      <c r="J625" s="3" t="n">
        <v>293.99</v>
      </c>
      <c r="K625" s="3" t="n">
        <v>330</v>
      </c>
      <c r="L625" s="3" t="n">
        <v>284.99</v>
      </c>
      <c r="M625" s="2" t="inlineStr">
        <is>
          <t>TCGplayer</t>
        </is>
      </c>
      <c r="O625" s="4" t="inlineStr">
        <is>
          <t>https://www.tcgplayer.com/product/644300</t>
        </is>
      </c>
    </row>
    <row r="626">
      <c r="A626" s="2" t="inlineStr">
        <is>
          <t>Mega Evolution Half Booster Box</t>
        </is>
      </c>
      <c r="B626" s="3">
        <f>IF(I626&lt;&gt;"",I626,IF(J626&lt;&gt;"",J626,IF(K626&lt;&gt;"",K626,L626)))</f>
        <v>312.5</v>
      </c>
      <c r="C626" s="3">
        <f>MEDIAN(I626:L626)</f>
        <v>312.5</v>
      </c>
      <c r="D626" s="3">
        <f>ROUND(C626*(1-Settings!$B$2),2)</f>
        <v>218.75</v>
      </c>
      <c r="E626" s="3">
        <f>ROUND(C626*(1-Settings!$B$3),2)</f>
        <v>218.75</v>
      </c>
      <c r="F626" s="2" t="inlineStr">
        <is>
          <t>Pokemon</t>
        </is>
      </c>
      <c r="G626" s="2" t="inlineStr">
        <is>
          <t>Box</t>
        </is>
      </c>
      <c r="H626" s="2" t="inlineStr">
        <is>
          <t>ME01: Mega Evolution</t>
        </is>
      </c>
      <c r="I626" s="3" t="n"/>
      <c r="J626" s="3" t="n">
        <v>312.5</v>
      </c>
      <c r="K626" s="3" t="n"/>
      <c r="L626" s="3" t="n"/>
      <c r="M626" s="2" t="inlineStr">
        <is>
          <t>TCGplayer</t>
        </is>
      </c>
      <c r="O626" s="4" t="inlineStr">
        <is>
          <t>https://www.tcgplayer.com/product/644351</t>
        </is>
      </c>
    </row>
    <row r="627">
      <c r="A627" s="2" t="inlineStr">
        <is>
          <t>Phantasmal Flames Booster Box</t>
        </is>
      </c>
      <c r="B627" s="3">
        <f>IF(I627&lt;&gt;"",I627,IF(J627&lt;&gt;"",J627,IF(K627&lt;&gt;"",K627,L627)))</f>
        <v>398.22</v>
      </c>
      <c r="C627" s="3">
        <f>MEDIAN(I627:L627)</f>
        <v>398.22</v>
      </c>
      <c r="D627" s="3">
        <f>ROUND(C627*(1-Settings!$B$2),2)</f>
        <v>278.75</v>
      </c>
      <c r="E627" s="3">
        <f>ROUND(C627*(1-Settings!$B$3),2)</f>
        <v>278.75</v>
      </c>
      <c r="F627" s="2" t="inlineStr">
        <is>
          <t>Pokemon</t>
        </is>
      </c>
      <c r="G627" s="2" t="inlineStr">
        <is>
          <t>Box</t>
        </is>
      </c>
      <c r="H627" s="2" t="inlineStr">
        <is>
          <t>ME02: Phantasmal Flames</t>
        </is>
      </c>
      <c r="I627" s="3" t="n"/>
      <c r="J627" s="3" t="n">
        <v>398.22</v>
      </c>
      <c r="K627" s="3" t="n">
        <v>470</v>
      </c>
      <c r="L627" s="3" t="n">
        <v>389.99</v>
      </c>
      <c r="M627" s="2" t="inlineStr">
        <is>
          <t>TCGplayer</t>
        </is>
      </c>
      <c r="O627" s="4" t="inlineStr">
        <is>
          <t>https://www.tcgplayer.com/product/654137</t>
        </is>
      </c>
    </row>
    <row r="628">
      <c r="A628" s="2" t="inlineStr">
        <is>
          <t>Perfect Order Booster Box</t>
        </is>
      </c>
      <c r="B628" s="3">
        <f>IF(I628&lt;&gt;"",I628,IF(J628&lt;&gt;"",J628,IF(K628&lt;&gt;"",K628,L628)))</f>
        <v>175.39</v>
      </c>
      <c r="C628" s="3">
        <f>MEDIAN(I628:L628)</f>
        <v>175.39</v>
      </c>
      <c r="D628" s="3">
        <f>ROUND(C628*(1-Settings!$B$2),2)</f>
        <v>122.77</v>
      </c>
      <c r="E628" s="3">
        <f>ROUND(C628*(1-Settings!$B$3),2)</f>
        <v>122.77</v>
      </c>
      <c r="F628" s="2" t="inlineStr">
        <is>
          <t>Pokemon</t>
        </is>
      </c>
      <c r="G628" s="2" t="inlineStr">
        <is>
          <t>Box</t>
        </is>
      </c>
      <c r="H628" s="2" t="inlineStr">
        <is>
          <t>ME03: Perfect Order</t>
        </is>
      </c>
      <c r="I628" s="3" t="n"/>
      <c r="J628" s="3" t="n">
        <v>175.39</v>
      </c>
      <c r="K628" s="3" t="n">
        <v>225</v>
      </c>
      <c r="L628" s="3" t="n">
        <v>172</v>
      </c>
      <c r="M628" s="2" t="inlineStr">
        <is>
          <t>TCGplayer</t>
        </is>
      </c>
      <c r="O628" s="4" t="inlineStr">
        <is>
          <t>https://www.tcgplayer.com/product/672394</t>
        </is>
      </c>
    </row>
    <row r="629">
      <c r="A629" s="2" t="inlineStr">
        <is>
          <t>Chaos Rising Booster Box</t>
        </is>
      </c>
      <c r="B629" s="3">
        <f>IF(I629&lt;&gt;"",I629,IF(J629&lt;&gt;"",J629,IF(K629&lt;&gt;"",K629,L629)))</f>
        <v>185.51</v>
      </c>
      <c r="C629" s="3">
        <f>MEDIAN(I629:L629)</f>
        <v>185.51</v>
      </c>
      <c r="D629" s="3">
        <f>ROUND(C629*(1-Settings!$B$2),2)</f>
        <v>129.86</v>
      </c>
      <c r="E629" s="3">
        <f>ROUND(C629*(1-Settings!$B$3),2)</f>
        <v>129.86</v>
      </c>
      <c r="F629" s="2" t="inlineStr">
        <is>
          <t>Pokemon</t>
        </is>
      </c>
      <c r="G629" s="2" t="inlineStr">
        <is>
          <t>Box</t>
        </is>
      </c>
      <c r="H629" s="2" t="inlineStr">
        <is>
          <t>ME04: Chaos Rising</t>
        </is>
      </c>
      <c r="I629" s="3" t="n"/>
      <c r="J629" s="3" t="n">
        <v>185.51</v>
      </c>
      <c r="K629" s="3" t="n">
        <v>220</v>
      </c>
      <c r="L629" s="3" t="n">
        <v>164.99</v>
      </c>
      <c r="M629" s="2" t="inlineStr">
        <is>
          <t>TCGplayer</t>
        </is>
      </c>
      <c r="O629" s="4" t="inlineStr">
        <is>
          <t>https://www.tcgplayer.com/product/684444</t>
        </is>
      </c>
    </row>
    <row r="630">
      <c r="A630" s="2" t="inlineStr">
        <is>
          <t>Pitch Black Booster Box</t>
        </is>
      </c>
      <c r="B630" s="3">
        <f>IF(I630&lt;&gt;"",I630,IF(J630&lt;&gt;"",J630,IF(K630&lt;&gt;"",K630,L630)))</f>
        <v>183.93</v>
      </c>
      <c r="C630" s="3">
        <f>MEDIAN(I630:L630)</f>
        <v>183.93</v>
      </c>
      <c r="D630" s="3">
        <f>ROUND(C630*(1-Settings!$B$2),2)</f>
        <v>128.75</v>
      </c>
      <c r="E630" s="3">
        <f>ROUND(C630*(1-Settings!$B$3),2)</f>
        <v>128.75</v>
      </c>
      <c r="F630" s="2" t="inlineStr">
        <is>
          <t>Pokemon</t>
        </is>
      </c>
      <c r="G630" s="2" t="inlineStr">
        <is>
          <t>Box</t>
        </is>
      </c>
      <c r="H630" s="2" t="inlineStr">
        <is>
          <t>ME05: Pitch Black</t>
        </is>
      </c>
      <c r="I630" s="3" t="n"/>
      <c r="J630" s="3" t="n">
        <v>183.93</v>
      </c>
      <c r="K630" s="3" t="n">
        <v>210</v>
      </c>
      <c r="L630" s="3" t="n">
        <v>162.99</v>
      </c>
      <c r="M630" s="2" t="inlineStr">
        <is>
          <t>TCGplayer</t>
        </is>
      </c>
      <c r="O630" s="4" t="inlineStr">
        <is>
          <t>https://www.tcgplayer.com/product/692939</t>
        </is>
      </c>
    </row>
    <row r="631">
      <c r="A631" s="2" t="inlineStr">
        <is>
          <t>Delta Reign Booster Box</t>
        </is>
      </c>
      <c r="B631" s="3">
        <f>IF(I631&lt;&gt;"",I631,IF(J631&lt;&gt;"",J631,IF(K631&lt;&gt;"",K631,L631)))</f>
        <v>249.26</v>
      </c>
      <c r="C631" s="3">
        <f>MEDIAN(I631:L631)</f>
        <v>249.26</v>
      </c>
      <c r="D631" s="3">
        <f>ROUND(C631*(1-Settings!$B$2),2)</f>
        <v>174.48</v>
      </c>
      <c r="E631" s="3">
        <f>ROUND(C631*(1-Settings!$B$3),2)</f>
        <v>174.48</v>
      </c>
      <c r="F631" s="2" t="inlineStr">
        <is>
          <t>Pokemon</t>
        </is>
      </c>
      <c r="G631" s="2" t="inlineStr">
        <is>
          <t>Box</t>
        </is>
      </c>
      <c r="H631" s="2" t="inlineStr">
        <is>
          <t>ME06: Delta Reign</t>
        </is>
      </c>
      <c r="I631" s="3" t="n"/>
      <c r="J631" s="3" t="n">
        <v>249.26</v>
      </c>
      <c r="K631" s="3" t="n">
        <v>260</v>
      </c>
      <c r="L631" s="3" t="n">
        <v>247.35</v>
      </c>
      <c r="M631" s="2" t="inlineStr">
        <is>
          <t>TCGplayer</t>
        </is>
      </c>
      <c r="O631" s="4" t="inlineStr">
        <is>
          <t>https://www.tcgplayer.com/product/712094</t>
        </is>
      </c>
    </row>
    <row r="632">
      <c r="A632" s="2" t="inlineStr">
        <is>
          <t>Mega Evolution Booster Box</t>
        </is>
      </c>
      <c r="B632" s="3">
        <f>IF(I632&lt;&gt;"",I632,IF(J632&lt;&gt;"",J632,IF(K632&lt;&gt;"",K632,L632)))</f>
        <v>305.0</v>
      </c>
      <c r="C632" s="3">
        <f>MEDIAN(I632:L632)</f>
        <v>305.0</v>
      </c>
      <c r="D632" s="3">
        <f>ROUND(C632*(1-Settings!$B$2),2)</f>
        <v>213.5</v>
      </c>
      <c r="E632" s="3">
        <f>ROUND(C632*(1-Settings!$B$3),2)</f>
        <v>213.5</v>
      </c>
      <c r="F632" s="2" t="inlineStr">
        <is>
          <t>Pokemon</t>
        </is>
      </c>
      <c r="G632" s="2" t="inlineStr">
        <is>
          <t>Box</t>
        </is>
      </c>
      <c r="H632" s="2" t="inlineStr">
        <is>
          <t>Mega Evolution</t>
        </is>
      </c>
      <c r="I632" s="3" t="n">
        <v>305</v>
      </c>
      <c r="J632" s="3" t="n"/>
      <c r="K632" s="3" t="n"/>
      <c r="L632" s="3" t="n"/>
      <c r="M632" s="2" t="inlineStr">
        <is>
          <t>PriceCharting</t>
        </is>
      </c>
      <c r="N632" s="4" t="inlineStr">
        <is>
          <t>https://www.pricecharting.com/game/pokemon-mega-evolution/booster-box</t>
        </is>
      </c>
    </row>
    <row r="633">
      <c r="A633" s="2" t="inlineStr">
        <is>
          <t>Mega Evolution Enhanced Booster Box</t>
        </is>
      </c>
      <c r="B633" s="3">
        <f>IF(I633&lt;&gt;"",I633,IF(J633&lt;&gt;"",J633,IF(K633&lt;&gt;"",K633,L633)))</f>
        <v>290.0</v>
      </c>
      <c r="C633" s="3">
        <f>MEDIAN(I633:L633)</f>
        <v>290.0</v>
      </c>
      <c r="D633" s="3">
        <f>ROUND(C633*(1-Settings!$B$2),2)</f>
        <v>203.0</v>
      </c>
      <c r="E633" s="3">
        <f>ROUND(C633*(1-Settings!$B$3),2)</f>
        <v>203.0</v>
      </c>
      <c r="F633" s="2" t="inlineStr">
        <is>
          <t>Pokemon</t>
        </is>
      </c>
      <c r="G633" s="2" t="inlineStr">
        <is>
          <t>Box</t>
        </is>
      </c>
      <c r="H633" s="2" t="inlineStr">
        <is>
          <t>Mega Evolution</t>
        </is>
      </c>
      <c r="I633" s="3" t="n">
        <v>290</v>
      </c>
      <c r="J633" s="3" t="n"/>
      <c r="K633" s="3" t="n"/>
      <c r="L633" s="3" t="n"/>
      <c r="M633" s="2" t="inlineStr">
        <is>
          <t>PriceCharting</t>
        </is>
      </c>
      <c r="N633" s="4" t="inlineStr">
        <is>
          <t>https://www.pricecharting.com/game/pokemon-mega-evolution/enhanced-booster-box</t>
        </is>
      </c>
    </row>
    <row r="634">
      <c r="A634" s="2" t="inlineStr">
        <is>
          <t>Mega Evolution Half Booster Box</t>
        </is>
      </c>
      <c r="B634" s="3">
        <f>IF(I634&lt;&gt;"",I634,IF(J634&lt;&gt;"",J634,IF(K634&lt;&gt;"",K634,L634)))</f>
        <v>165.37</v>
      </c>
      <c r="C634" s="3">
        <f>MEDIAN(I634:L634)</f>
        <v>165.37</v>
      </c>
      <c r="D634" s="3">
        <f>ROUND(C634*(1-Settings!$B$2),2)</f>
        <v>115.76</v>
      </c>
      <c r="E634" s="3">
        <f>ROUND(C634*(1-Settings!$B$3),2)</f>
        <v>115.76</v>
      </c>
      <c r="F634" s="2" t="inlineStr">
        <is>
          <t>Pokemon</t>
        </is>
      </c>
      <c r="G634" s="2" t="inlineStr">
        <is>
          <t>Box</t>
        </is>
      </c>
      <c r="H634" s="2" t="inlineStr">
        <is>
          <t>Mega Evolution</t>
        </is>
      </c>
      <c r="I634" s="3" t="n">
        <v>165.37</v>
      </c>
      <c r="J634" s="3" t="n"/>
      <c r="K634" s="3" t="n"/>
      <c r="L634" s="3" t="n"/>
      <c r="M634" s="2" t="inlineStr">
        <is>
          <t>PriceCharting</t>
        </is>
      </c>
      <c r="N634" s="4" t="inlineStr">
        <is>
          <t>https://www.pricecharting.com/game/pokemon-mega-evolution/half-booster-box</t>
        </is>
      </c>
    </row>
    <row r="635">
      <c r="A635" s="2" t="inlineStr">
        <is>
          <t>Mysterious Treasures Booster Box</t>
        </is>
      </c>
      <c r="B635" s="3">
        <f>IF(I635&lt;&gt;"",I635,IF(J635&lt;&gt;"",J635,IF(K635&lt;&gt;"",K635,L635)))</f>
        <v>15400.0</v>
      </c>
      <c r="C635" s="3">
        <f>MEDIAN(I635:L635)</f>
        <v>15400.0</v>
      </c>
      <c r="D635" s="3">
        <f>ROUND(C635*(1-Settings!$B$2),2)</f>
        <v>10780.0</v>
      </c>
      <c r="E635" s="3">
        <f>ROUND(C635*(1-Settings!$B$3),2)</f>
        <v>10780.0</v>
      </c>
      <c r="F635" s="2" t="inlineStr">
        <is>
          <t>Pokemon</t>
        </is>
      </c>
      <c r="G635" s="2" t="inlineStr">
        <is>
          <t>Box</t>
        </is>
      </c>
      <c r="H635" s="2" t="inlineStr">
        <is>
          <t>Mysterious Treasures</t>
        </is>
      </c>
      <c r="I635" s="3" t="n">
        <v>15400</v>
      </c>
      <c r="J635" s="3" t="n"/>
      <c r="K635" s="3" t="n"/>
      <c r="L635" s="3" t="n"/>
      <c r="M635" s="2" t="inlineStr">
        <is>
          <t>PriceCharting + TCGplayer</t>
        </is>
      </c>
      <c r="N635" s="4" t="inlineStr">
        <is>
          <t>https://www.pricecharting.com/game/pokemon-mysterious-treasures/booster-box</t>
        </is>
      </c>
      <c r="O635" s="4" t="inlineStr">
        <is>
          <t>https://www.tcgplayer.com/product/98560</t>
        </is>
      </c>
    </row>
    <row r="636">
      <c r="A636" s="2" t="inlineStr">
        <is>
          <t>Neo Destiny Booster Box</t>
        </is>
      </c>
      <c r="B636" s="3">
        <f>IF(I636&lt;&gt;"",I636,IF(J636&lt;&gt;"",J636,IF(K636&lt;&gt;"",K636,L636)))</f>
        <v>13900.0</v>
      </c>
      <c r="C636" s="3">
        <f>MEDIAN(I636:L636)</f>
        <v>13900.0</v>
      </c>
      <c r="D636" s="3">
        <f>ROUND(C636*(1-Settings!$B$2),2)</f>
        <v>9730.0</v>
      </c>
      <c r="E636" s="3">
        <f>ROUND(C636*(1-Settings!$B$3),2)</f>
        <v>9730.0</v>
      </c>
      <c r="F636" s="2" t="inlineStr">
        <is>
          <t>Pokemon</t>
        </is>
      </c>
      <c r="G636" s="2" t="inlineStr">
        <is>
          <t>Box</t>
        </is>
      </c>
      <c r="H636" s="2" t="inlineStr">
        <is>
          <t>Neo Destiny</t>
        </is>
      </c>
      <c r="I636" s="3" t="n">
        <v>13900</v>
      </c>
      <c r="J636" s="3" t="n"/>
      <c r="K636" s="3" t="n"/>
      <c r="L636" s="3" t="n"/>
      <c r="M636" s="2" t="inlineStr">
        <is>
          <t>PriceCharting</t>
        </is>
      </c>
      <c r="N636" s="4" t="inlineStr">
        <is>
          <t>https://www.pricecharting.com/game/pokemon-neo-destiny/booster-box</t>
        </is>
      </c>
    </row>
    <row r="637">
      <c r="A637" s="2" t="inlineStr">
        <is>
          <t>Neo Destiny Booster Box [1st Edition]</t>
        </is>
      </c>
      <c r="B637" s="3">
        <f>IF(I637&lt;&gt;"",I637,IF(J637&lt;&gt;"",J637,IF(K637&lt;&gt;"",K637,L637)))</f>
        <v>41765.0</v>
      </c>
      <c r="C637" s="3">
        <f>MEDIAN(I637:L637)</f>
        <v>41765.0</v>
      </c>
      <c r="D637" s="3">
        <f>ROUND(C637*(1-Settings!$B$2),2)</f>
        <v>29235.5</v>
      </c>
      <c r="E637" s="3">
        <f>ROUND(C637*(1-Settings!$B$3),2)</f>
        <v>29235.5</v>
      </c>
      <c r="F637" s="2" t="inlineStr">
        <is>
          <t>Pokemon</t>
        </is>
      </c>
      <c r="G637" s="2" t="inlineStr">
        <is>
          <t>Box</t>
        </is>
      </c>
      <c r="H637" s="2" t="inlineStr">
        <is>
          <t>Neo Destiny</t>
        </is>
      </c>
      <c r="I637" s="3" t="n">
        <v>41765</v>
      </c>
      <c r="J637" s="3" t="n"/>
      <c r="K637" s="3" t="n"/>
      <c r="L637" s="3" t="n"/>
      <c r="M637" s="2" t="inlineStr">
        <is>
          <t>PriceCharting + TCGplayer</t>
        </is>
      </c>
      <c r="N637" s="4" t="inlineStr">
        <is>
          <t>https://www.pricecharting.com/game/pokemon-neo-destiny/booster-box-1st-edition</t>
        </is>
      </c>
      <c r="O637" s="4" t="inlineStr">
        <is>
          <t>https://www.tcgplayer.com/product/563754</t>
        </is>
      </c>
    </row>
    <row r="638">
      <c r="A638" s="2" t="inlineStr">
        <is>
          <t>Neo Discovery Booster Box</t>
        </is>
      </c>
      <c r="B638" s="3">
        <f>IF(I638&lt;&gt;"",I638,IF(J638&lt;&gt;"",J638,IF(K638&lt;&gt;"",K638,L638)))</f>
        <v>11877.88</v>
      </c>
      <c r="C638" s="3">
        <f>MEDIAN(I638:L638)</f>
        <v>11877.88</v>
      </c>
      <c r="D638" s="3">
        <f>ROUND(C638*(1-Settings!$B$2),2)</f>
        <v>8314.52</v>
      </c>
      <c r="E638" s="3">
        <f>ROUND(C638*(1-Settings!$B$3),2)</f>
        <v>8314.52</v>
      </c>
      <c r="F638" s="2" t="inlineStr">
        <is>
          <t>Pokemon</t>
        </is>
      </c>
      <c r="G638" s="2" t="inlineStr">
        <is>
          <t>Box</t>
        </is>
      </c>
      <c r="H638" s="2" t="inlineStr">
        <is>
          <t>Neo Discovery</t>
        </is>
      </c>
      <c r="I638" s="3" t="n">
        <v>11877.88</v>
      </c>
      <c r="J638" s="3" t="n"/>
      <c r="K638" s="3" t="n"/>
      <c r="L638" s="3" t="n"/>
      <c r="M638" s="2" t="inlineStr">
        <is>
          <t>PriceCharting</t>
        </is>
      </c>
      <c r="N638" s="4" t="inlineStr">
        <is>
          <t>https://www.pricecharting.com/game/pokemon-neo-discovery/booster-box</t>
        </is>
      </c>
    </row>
    <row r="639">
      <c r="A639" s="2" t="inlineStr">
        <is>
          <t>Neo Discovery Booster Box [1st Edition]</t>
        </is>
      </c>
      <c r="B639" s="3">
        <f>IF(I639&lt;&gt;"",I639,IF(J639&lt;&gt;"",J639,IF(K639&lt;&gt;"",K639,L639)))</f>
        <v>48273.03</v>
      </c>
      <c r="C639" s="3">
        <f>MEDIAN(I639:L639)</f>
        <v>48273.03</v>
      </c>
      <c r="D639" s="3">
        <f>ROUND(C639*(1-Settings!$B$2),2)</f>
        <v>33791.12</v>
      </c>
      <c r="E639" s="3">
        <f>ROUND(C639*(1-Settings!$B$3),2)</f>
        <v>33791.12</v>
      </c>
      <c r="F639" s="2" t="inlineStr">
        <is>
          <t>Pokemon</t>
        </is>
      </c>
      <c r="G639" s="2" t="inlineStr">
        <is>
          <t>Box</t>
        </is>
      </c>
      <c r="H639" s="2" t="inlineStr">
        <is>
          <t>Neo Discovery</t>
        </is>
      </c>
      <c r="I639" s="3" t="n">
        <v>48273.03</v>
      </c>
      <c r="J639" s="3" t="n"/>
      <c r="K639" s="3" t="n"/>
      <c r="L639" s="3" t="n"/>
      <c r="M639" s="2" t="inlineStr">
        <is>
          <t>PriceCharting</t>
        </is>
      </c>
      <c r="N639" s="4" t="inlineStr">
        <is>
          <t>https://www.pricecharting.com/game/pokemon-neo-discovery/booster-box-1st-edition</t>
        </is>
      </c>
    </row>
    <row r="640">
      <c r="A640" s="2" t="inlineStr">
        <is>
          <t>Neo Genesis Booster Box</t>
        </is>
      </c>
      <c r="B640" s="3">
        <f>IF(I640&lt;&gt;"",I640,IF(J640&lt;&gt;"",J640,IF(K640&lt;&gt;"",K640,L640)))</f>
        <v>40348.3</v>
      </c>
      <c r="C640" s="3">
        <f>MEDIAN(I640:L640)</f>
        <v>40348.3</v>
      </c>
      <c r="D640" s="3">
        <f>ROUND(C640*(1-Settings!$B$2),2)</f>
        <v>28243.81</v>
      </c>
      <c r="E640" s="3">
        <f>ROUND(C640*(1-Settings!$B$3),2)</f>
        <v>28243.81</v>
      </c>
      <c r="F640" s="2" t="inlineStr">
        <is>
          <t>Pokemon</t>
        </is>
      </c>
      <c r="G640" s="2" t="inlineStr">
        <is>
          <t>Box</t>
        </is>
      </c>
      <c r="H640" s="2" t="inlineStr">
        <is>
          <t>Neo Genesis</t>
        </is>
      </c>
      <c r="I640" s="3" t="n">
        <v>40348.3</v>
      </c>
      <c r="J640" s="3" t="n"/>
      <c r="K640" s="3" t="n"/>
      <c r="L640" s="3" t="n"/>
      <c r="M640" s="2" t="inlineStr">
        <is>
          <t>PriceCharting</t>
        </is>
      </c>
      <c r="N640" s="4" t="inlineStr">
        <is>
          <t>https://www.pricecharting.com/game/pokemon-neo-genesis/booster-box</t>
        </is>
      </c>
    </row>
    <row r="641">
      <c r="A641" s="2" t="inlineStr">
        <is>
          <t>Neo Genesis Booster Box [1st Edition]</t>
        </is>
      </c>
      <c r="B641" s="3">
        <f>IF(I641&lt;&gt;"",I641,IF(J641&lt;&gt;"",J641,IF(K641&lt;&gt;"",K641,L641)))</f>
        <v>35286.75</v>
      </c>
      <c r="C641" s="3">
        <f>MEDIAN(I641:L641)</f>
        <v>35286.75</v>
      </c>
      <c r="D641" s="3">
        <f>ROUND(C641*(1-Settings!$B$2),2)</f>
        <v>24700.73</v>
      </c>
      <c r="E641" s="3">
        <f>ROUND(C641*(1-Settings!$B$3),2)</f>
        <v>24700.73</v>
      </c>
      <c r="F641" s="2" t="inlineStr">
        <is>
          <t>Pokemon</t>
        </is>
      </c>
      <c r="G641" s="2" t="inlineStr">
        <is>
          <t>Box</t>
        </is>
      </c>
      <c r="H641" s="2" t="inlineStr">
        <is>
          <t>Neo Genesis</t>
        </is>
      </c>
      <c r="I641" s="3" t="n">
        <v>35286.75</v>
      </c>
      <c r="J641" s="3" t="n"/>
      <c r="K641" s="3" t="n"/>
      <c r="L641" s="3" t="n"/>
      <c r="M641" s="2" t="inlineStr">
        <is>
          <t>PriceCharting + TCGplayer</t>
        </is>
      </c>
      <c r="N641" s="4" t="inlineStr">
        <is>
          <t>https://www.pricecharting.com/game/pokemon-neo-genesis/booster-box-1st-edition</t>
        </is>
      </c>
      <c r="O641" s="4" t="inlineStr">
        <is>
          <t>https://www.tcgplayer.com/product/193334</t>
        </is>
      </c>
    </row>
    <row r="642">
      <c r="A642" s="2" t="inlineStr">
        <is>
          <t>Neo Revelation Booster Box</t>
        </is>
      </c>
      <c r="B642" s="3">
        <f>IF(I642&lt;&gt;"",I642,IF(J642&lt;&gt;"",J642,IF(K642&lt;&gt;"",K642,L642)))</f>
        <v>12145.3</v>
      </c>
      <c r="C642" s="3">
        <f>MEDIAN(I642:L642)</f>
        <v>12145.3</v>
      </c>
      <c r="D642" s="3">
        <f>ROUND(C642*(1-Settings!$B$2),2)</f>
        <v>8501.71</v>
      </c>
      <c r="E642" s="3">
        <f>ROUND(C642*(1-Settings!$B$3),2)</f>
        <v>8501.71</v>
      </c>
      <c r="F642" s="2" t="inlineStr">
        <is>
          <t>Pokemon</t>
        </is>
      </c>
      <c r="G642" s="2" t="inlineStr">
        <is>
          <t>Box</t>
        </is>
      </c>
      <c r="H642" s="2" t="inlineStr">
        <is>
          <t>Neo Revelation</t>
        </is>
      </c>
      <c r="I642" s="3" t="n">
        <v>12145.3</v>
      </c>
      <c r="J642" s="3" t="n"/>
      <c r="K642" s="3" t="n"/>
      <c r="L642" s="3" t="n"/>
      <c r="M642" s="2" t="inlineStr">
        <is>
          <t>PriceCharting</t>
        </is>
      </c>
      <c r="N642" s="4" t="inlineStr">
        <is>
          <t>https://www.pricecharting.com/game/pokemon-neo-revelation/booster-box</t>
        </is>
      </c>
    </row>
    <row r="643">
      <c r="A643" s="2" t="inlineStr">
        <is>
          <t>Neo Revelation Booster Box [1st Edition]</t>
        </is>
      </c>
      <c r="B643" s="3">
        <f>IF(I643&lt;&gt;"",I643,IF(J643&lt;&gt;"",J643,IF(K643&lt;&gt;"",K643,L643)))</f>
        <v>51400.0</v>
      </c>
      <c r="C643" s="3">
        <f>MEDIAN(I643:L643)</f>
        <v>51400.0</v>
      </c>
      <c r="D643" s="3">
        <f>ROUND(C643*(1-Settings!$B$2),2)</f>
        <v>35980.0</v>
      </c>
      <c r="E643" s="3">
        <f>ROUND(C643*(1-Settings!$B$3),2)</f>
        <v>35980.0</v>
      </c>
      <c r="F643" s="2" t="inlineStr">
        <is>
          <t>Pokemon</t>
        </is>
      </c>
      <c r="G643" s="2" t="inlineStr">
        <is>
          <t>Box</t>
        </is>
      </c>
      <c r="H643" s="2" t="inlineStr">
        <is>
          <t>Neo Revelation</t>
        </is>
      </c>
      <c r="I643" s="3" t="n">
        <v>51400</v>
      </c>
      <c r="J643" s="3" t="n"/>
      <c r="K643" s="3" t="n"/>
      <c r="L643" s="3" t="n"/>
      <c r="M643" s="2" t="inlineStr">
        <is>
          <t>PriceCharting + TCGplayer</t>
        </is>
      </c>
      <c r="N643" s="4" t="inlineStr">
        <is>
          <t>https://www.pricecharting.com/game/pokemon-neo-revelation/booster-box-1st-edition</t>
        </is>
      </c>
      <c r="O643" s="4" t="inlineStr">
        <is>
          <t>https://www.tcgplayer.com/product/634445</t>
        </is>
      </c>
    </row>
    <row r="644">
      <c r="A644" s="2" t="inlineStr">
        <is>
          <t>Next Destinies Booster Box</t>
        </is>
      </c>
      <c r="B644" s="3">
        <f>IF(I644&lt;&gt;"",I644,IF(J644&lt;&gt;"",J644,IF(K644&lt;&gt;"",K644,L644)))</f>
        <v>10278.0</v>
      </c>
      <c r="C644" s="3">
        <f>MEDIAN(I644:L644)</f>
        <v>10278.0</v>
      </c>
      <c r="D644" s="3">
        <f>ROUND(C644*(1-Settings!$B$2),2)</f>
        <v>7194.6</v>
      </c>
      <c r="E644" s="3">
        <f>ROUND(C644*(1-Settings!$B$3),2)</f>
        <v>7194.6</v>
      </c>
      <c r="F644" s="2" t="inlineStr">
        <is>
          <t>Pokemon</t>
        </is>
      </c>
      <c r="G644" s="2" t="inlineStr">
        <is>
          <t>Box</t>
        </is>
      </c>
      <c r="H644" s="2" t="inlineStr">
        <is>
          <t>Next Destinies</t>
        </is>
      </c>
      <c r="I644" s="3" t="n">
        <v>10278</v>
      </c>
      <c r="J644" s="3" t="n"/>
      <c r="K644" s="3" t="n"/>
      <c r="L644" s="3" t="n"/>
      <c r="M644" s="2" t="inlineStr">
        <is>
          <t>PriceCharting + TCGplayer</t>
        </is>
      </c>
      <c r="N644" s="4" t="inlineStr">
        <is>
          <t>https://www.pricecharting.com/game/pokemon-next-destinies/booster-box</t>
        </is>
      </c>
      <c r="O644" s="4" t="inlineStr">
        <is>
          <t>https://www.tcgplayer.com/product/98539</t>
        </is>
      </c>
    </row>
    <row r="645">
      <c r="A645" s="2" t="inlineStr">
        <is>
          <t>Noble Victories Booster Box</t>
        </is>
      </c>
      <c r="B645" s="3">
        <f>IF(I645&lt;&gt;"",I645,IF(J645&lt;&gt;"",J645,IF(K645&lt;&gt;"",K645,L645)))</f>
        <v>10880.34</v>
      </c>
      <c r="C645" s="3">
        <f>MEDIAN(I645:L645)</f>
        <v>10880.34</v>
      </c>
      <c r="D645" s="3">
        <f>ROUND(C645*(1-Settings!$B$2),2)</f>
        <v>7616.24</v>
      </c>
      <c r="E645" s="3">
        <f>ROUND(C645*(1-Settings!$B$3),2)</f>
        <v>7616.24</v>
      </c>
      <c r="F645" s="2" t="inlineStr">
        <is>
          <t>Pokemon</t>
        </is>
      </c>
      <c r="G645" s="2" t="inlineStr">
        <is>
          <t>Box</t>
        </is>
      </c>
      <c r="H645" s="2" t="inlineStr">
        <is>
          <t>Noble Victories</t>
        </is>
      </c>
      <c r="I645" s="3" t="n">
        <v>10880.34</v>
      </c>
      <c r="J645" s="3" t="n"/>
      <c r="K645" s="3" t="n"/>
      <c r="L645" s="3" t="n"/>
      <c r="M645" s="2" t="inlineStr">
        <is>
          <t>PriceCharting + TCGplayer</t>
        </is>
      </c>
      <c r="N645" s="4" t="inlineStr">
        <is>
          <t>https://www.pricecharting.com/game/pokemon-noble-victories/booster-box</t>
        </is>
      </c>
      <c r="O645" s="4" t="inlineStr">
        <is>
          <t>https://www.tcgplayer.com/product/98571</t>
        </is>
      </c>
    </row>
    <row r="646">
      <c r="A646" s="2" t="inlineStr">
        <is>
          <t>Obsidian Flames Build &amp; Battle Display Box</t>
        </is>
      </c>
      <c r="B646" s="3">
        <f>IF(I646&lt;&gt;"",I646,IF(J646&lt;&gt;"",J646,IF(K646&lt;&gt;"",K646,L646)))</f>
        <v>352.75</v>
      </c>
      <c r="C646" s="3">
        <f>MEDIAN(I646:L646)</f>
        <v>352.75</v>
      </c>
      <c r="D646" s="3">
        <f>ROUND(C646*(1-Settings!$B$2),2)</f>
        <v>246.93</v>
      </c>
      <c r="E646" s="3">
        <f>ROUND(C646*(1-Settings!$B$3),2)</f>
        <v>246.93</v>
      </c>
      <c r="F646" s="2" t="inlineStr">
        <is>
          <t>Pokemon</t>
        </is>
      </c>
      <c r="G646" s="2" t="inlineStr">
        <is>
          <t>Box</t>
        </is>
      </c>
      <c r="H646" s="2" t="inlineStr">
        <is>
          <t>Obsidian Flames</t>
        </is>
      </c>
      <c r="I646" s="3" t="n">
        <v>352.75</v>
      </c>
      <c r="J646" s="3" t="n"/>
      <c r="K646" s="3" t="n"/>
      <c r="L646" s="3" t="n"/>
      <c r="M646" s="2" t="inlineStr">
        <is>
          <t>PriceCharting</t>
        </is>
      </c>
      <c r="N646" s="4" t="inlineStr">
        <is>
          <t>https://www.pricecharting.com/game/pokemon-obsidian-flames/build-&amp;-battle-display-box</t>
        </is>
      </c>
    </row>
    <row r="647">
      <c r="A647" s="2" t="inlineStr">
        <is>
          <t>Obsidian Flames Half Booster Box</t>
        </is>
      </c>
      <c r="B647" s="3">
        <f>IF(I647&lt;&gt;"",I647,IF(J647&lt;&gt;"",J647,IF(K647&lt;&gt;"",K647,L647)))</f>
        <v>189.53</v>
      </c>
      <c r="C647" s="3">
        <f>MEDIAN(I647:L647)</f>
        <v>189.53</v>
      </c>
      <c r="D647" s="3">
        <f>ROUND(C647*(1-Settings!$B$2),2)</f>
        <v>132.67</v>
      </c>
      <c r="E647" s="3">
        <f>ROUND(C647*(1-Settings!$B$3),2)</f>
        <v>132.67</v>
      </c>
      <c r="F647" s="2" t="inlineStr">
        <is>
          <t>Pokemon</t>
        </is>
      </c>
      <c r="G647" s="2" t="inlineStr">
        <is>
          <t>Box</t>
        </is>
      </c>
      <c r="H647" s="2" t="inlineStr">
        <is>
          <t>Obsidian Flames</t>
        </is>
      </c>
      <c r="I647" s="3" t="n">
        <v>189.53</v>
      </c>
      <c r="J647" s="3" t="n"/>
      <c r="K647" s="3" t="n"/>
      <c r="L647" s="3" t="n"/>
      <c r="M647" s="2" t="inlineStr">
        <is>
          <t>PriceCharting</t>
        </is>
      </c>
      <c r="N647" s="4" t="inlineStr">
        <is>
          <t>https://www.pricecharting.com/game/pokemon-obsidian-flames/half-booster-box</t>
        </is>
      </c>
    </row>
    <row r="648">
      <c r="A648" s="2" t="inlineStr">
        <is>
          <t>Paldea Evolved Build &amp; Battle Display Box</t>
        </is>
      </c>
      <c r="B648" s="3">
        <f>IF(I648&lt;&gt;"",I648,IF(J648&lt;&gt;"",J648,IF(K648&lt;&gt;"",K648,L648)))</f>
        <v>499.11</v>
      </c>
      <c r="C648" s="3">
        <f>MEDIAN(I648:L648)</f>
        <v>499.11</v>
      </c>
      <c r="D648" s="3">
        <f>ROUND(C648*(1-Settings!$B$2),2)</f>
        <v>349.38</v>
      </c>
      <c r="E648" s="3">
        <f>ROUND(C648*(1-Settings!$B$3),2)</f>
        <v>349.38</v>
      </c>
      <c r="F648" s="2" t="inlineStr">
        <is>
          <t>Pokemon</t>
        </is>
      </c>
      <c r="G648" s="2" t="inlineStr">
        <is>
          <t>Box</t>
        </is>
      </c>
      <c r="H648" s="2" t="inlineStr">
        <is>
          <t>Paldea Evolved</t>
        </is>
      </c>
      <c r="I648" s="3" t="n">
        <v>499.11</v>
      </c>
      <c r="J648" s="3" t="n"/>
      <c r="K648" s="3" t="n"/>
      <c r="L648" s="3" t="n"/>
      <c r="M648" s="2" t="inlineStr">
        <is>
          <t>PriceCharting</t>
        </is>
      </c>
      <c r="N648" s="4" t="inlineStr">
        <is>
          <t>https://www.pricecharting.com/game/pokemon-paldea-evolved/build-&amp;-battle-display-box</t>
        </is>
      </c>
    </row>
    <row r="649">
      <c r="A649" s="2" t="inlineStr">
        <is>
          <t>Paldean Fates Sealed Mini Tin Display Box</t>
        </is>
      </c>
      <c r="B649" s="3">
        <f>IF(I649&lt;&gt;"",I649,IF(J649&lt;&gt;"",J649,IF(K649&lt;&gt;"",K649,L649)))</f>
        <v>418.5</v>
      </c>
      <c r="C649" s="3">
        <f>MEDIAN(I649:L649)</f>
        <v>418.5</v>
      </c>
      <c r="D649" s="3">
        <f>ROUND(C649*(1-Settings!$B$2),2)</f>
        <v>292.95</v>
      </c>
      <c r="E649" s="3">
        <f>ROUND(C649*(1-Settings!$B$3),2)</f>
        <v>292.95</v>
      </c>
      <c r="F649" s="2" t="inlineStr">
        <is>
          <t>Pokemon</t>
        </is>
      </c>
      <c r="G649" s="2" t="inlineStr">
        <is>
          <t>Box</t>
        </is>
      </c>
      <c r="H649" s="2" t="inlineStr">
        <is>
          <t>Paldean Fates</t>
        </is>
      </c>
      <c r="I649" s="3" t="n">
        <v>418.5</v>
      </c>
      <c r="J649" s="3" t="n"/>
      <c r="K649" s="3" t="n"/>
      <c r="L649" s="3" t="n"/>
      <c r="M649" s="2" t="inlineStr">
        <is>
          <t>PriceCharting</t>
        </is>
      </c>
      <c r="N649" s="4" t="inlineStr">
        <is>
          <t>https://www.pricecharting.com/game/pokemon-paldean-fates/sealed-mini-tin-display-box</t>
        </is>
      </c>
    </row>
    <row r="650">
      <c r="A650" s="2" t="inlineStr">
        <is>
          <t>Paradox Rift Build &amp; Battle Display Box</t>
        </is>
      </c>
      <c r="B650" s="3">
        <f>IF(I650&lt;&gt;"",I650,IF(J650&lt;&gt;"",J650,IF(K650&lt;&gt;"",K650,L650)))</f>
        <v>340.0</v>
      </c>
      <c r="C650" s="3">
        <f>MEDIAN(I650:L650)</f>
        <v>340.0</v>
      </c>
      <c r="D650" s="3">
        <f>ROUND(C650*(1-Settings!$B$2),2)</f>
        <v>238.0</v>
      </c>
      <c r="E650" s="3">
        <f>ROUND(C650*(1-Settings!$B$3),2)</f>
        <v>238.0</v>
      </c>
      <c r="F650" s="2" t="inlineStr">
        <is>
          <t>Pokemon</t>
        </is>
      </c>
      <c r="G650" s="2" t="inlineStr">
        <is>
          <t>Box</t>
        </is>
      </c>
      <c r="H650" s="2" t="inlineStr">
        <is>
          <t>Paradox Rift</t>
        </is>
      </c>
      <c r="I650" s="3" t="n">
        <v>340</v>
      </c>
      <c r="J650" s="3" t="n"/>
      <c r="K650" s="3" t="n"/>
      <c r="L650" s="3" t="n"/>
      <c r="M650" s="2" t="inlineStr">
        <is>
          <t>PriceCharting</t>
        </is>
      </c>
      <c r="N650" s="4" t="inlineStr">
        <is>
          <t>https://www.pricecharting.com/game/pokemon-paradox-rift/build-&amp;-battle-display-box</t>
        </is>
      </c>
    </row>
    <row r="651">
      <c r="A651" s="2" t="inlineStr">
        <is>
          <t>Paradox Rift Half Booster Box</t>
        </is>
      </c>
      <c r="B651" s="3">
        <f>IF(I651&lt;&gt;"",I651,IF(J651&lt;&gt;"",J651,IF(K651&lt;&gt;"",K651,L651)))</f>
        <v>145.62</v>
      </c>
      <c r="C651" s="3">
        <f>MEDIAN(I651:L651)</f>
        <v>145.62</v>
      </c>
      <c r="D651" s="3">
        <f>ROUND(C651*(1-Settings!$B$2),2)</f>
        <v>101.93</v>
      </c>
      <c r="E651" s="3">
        <f>ROUND(C651*(1-Settings!$B$3),2)</f>
        <v>101.93</v>
      </c>
      <c r="F651" s="2" t="inlineStr">
        <is>
          <t>Pokemon</t>
        </is>
      </c>
      <c r="G651" s="2" t="inlineStr">
        <is>
          <t>Box</t>
        </is>
      </c>
      <c r="H651" s="2" t="inlineStr">
        <is>
          <t>Paradox Rift</t>
        </is>
      </c>
      <c r="I651" s="3" t="n">
        <v>145.62</v>
      </c>
      <c r="J651" s="3" t="n"/>
      <c r="K651" s="3" t="n"/>
      <c r="L651" s="3" t="n"/>
      <c r="M651" s="2" t="inlineStr">
        <is>
          <t>PriceCharting</t>
        </is>
      </c>
      <c r="N651" s="4" t="inlineStr">
        <is>
          <t>https://www.pricecharting.com/game/pokemon-paradox-rift/half-booster-box</t>
        </is>
      </c>
    </row>
    <row r="652">
      <c r="A652" s="2" t="inlineStr">
        <is>
          <t>Perfect Order Booster Box</t>
        </is>
      </c>
      <c r="B652" s="3">
        <f>IF(I652&lt;&gt;"",I652,IF(J652&lt;&gt;"",J652,IF(K652&lt;&gt;"",K652,L652)))</f>
        <v>170.64</v>
      </c>
      <c r="C652" s="3">
        <f>MEDIAN(I652:L652)</f>
        <v>170.64</v>
      </c>
      <c r="D652" s="3">
        <f>ROUND(C652*(1-Settings!$B$2),2)</f>
        <v>119.45</v>
      </c>
      <c r="E652" s="3">
        <f>ROUND(C652*(1-Settings!$B$3),2)</f>
        <v>119.45</v>
      </c>
      <c r="F652" s="2" t="inlineStr">
        <is>
          <t>Pokemon</t>
        </is>
      </c>
      <c r="G652" s="2" t="inlineStr">
        <is>
          <t>Box</t>
        </is>
      </c>
      <c r="H652" s="2" t="inlineStr">
        <is>
          <t>Perfect Order</t>
        </is>
      </c>
      <c r="I652" s="3" t="n">
        <v>170.64</v>
      </c>
      <c r="J652" s="3" t="n"/>
      <c r="K652" s="3" t="n"/>
      <c r="L652" s="3" t="n"/>
      <c r="M652" s="2" t="inlineStr">
        <is>
          <t>PriceCharting</t>
        </is>
      </c>
      <c r="N652" s="4" t="inlineStr">
        <is>
          <t>https://www.pricecharting.com/game/pokemon-perfect-order/booster-box</t>
        </is>
      </c>
    </row>
    <row r="653">
      <c r="A653" s="2" t="inlineStr">
        <is>
          <t>Perfect Order Half Booster Box</t>
        </is>
      </c>
      <c r="B653" s="3">
        <f>IF(I653&lt;&gt;"",I653,IF(J653&lt;&gt;"",J653,IF(K653&lt;&gt;"",K653,L653)))</f>
        <v>113.75</v>
      </c>
      <c r="C653" s="3">
        <f>MEDIAN(I653:L653)</f>
        <v>113.75</v>
      </c>
      <c r="D653" s="3">
        <f>ROUND(C653*(1-Settings!$B$2),2)</f>
        <v>79.63</v>
      </c>
      <c r="E653" s="3">
        <f>ROUND(C653*(1-Settings!$B$3),2)</f>
        <v>79.63</v>
      </c>
      <c r="F653" s="2" t="inlineStr">
        <is>
          <t>Pokemon</t>
        </is>
      </c>
      <c r="G653" s="2" t="inlineStr">
        <is>
          <t>Box</t>
        </is>
      </c>
      <c r="H653" s="2" t="inlineStr">
        <is>
          <t>Perfect Order</t>
        </is>
      </c>
      <c r="I653" s="3" t="n">
        <v>113.75</v>
      </c>
      <c r="J653" s="3" t="n"/>
      <c r="K653" s="3" t="n"/>
      <c r="L653" s="3" t="n"/>
      <c r="M653" s="2" t="inlineStr">
        <is>
          <t>PriceCharting</t>
        </is>
      </c>
      <c r="N653" s="4" t="inlineStr">
        <is>
          <t>https://www.pricecharting.com/game/pokemon-perfect-order/half-booster-box</t>
        </is>
      </c>
    </row>
    <row r="654">
      <c r="A654" s="2" t="inlineStr">
        <is>
          <t>Phantasmal Flames Booster Box</t>
        </is>
      </c>
      <c r="B654" s="3">
        <f>IF(I654&lt;&gt;"",I654,IF(J654&lt;&gt;"",J654,IF(K654&lt;&gt;"",K654,L654)))</f>
        <v>397.91</v>
      </c>
      <c r="C654" s="3">
        <f>MEDIAN(I654:L654)</f>
        <v>397.91</v>
      </c>
      <c r="D654" s="3">
        <f>ROUND(C654*(1-Settings!$B$2),2)</f>
        <v>278.54</v>
      </c>
      <c r="E654" s="3">
        <f>ROUND(C654*(1-Settings!$B$3),2)</f>
        <v>278.54</v>
      </c>
      <c r="F654" s="2" t="inlineStr">
        <is>
          <t>Pokemon</t>
        </is>
      </c>
      <c r="G654" s="2" t="inlineStr">
        <is>
          <t>Box</t>
        </is>
      </c>
      <c r="H654" s="2" t="inlineStr">
        <is>
          <t>Phantasmal Flames</t>
        </is>
      </c>
      <c r="I654" s="3" t="n">
        <v>397.91</v>
      </c>
      <c r="J654" s="3" t="n"/>
      <c r="K654" s="3" t="n"/>
      <c r="L654" s="3" t="n"/>
      <c r="M654" s="2" t="inlineStr">
        <is>
          <t>PriceCharting</t>
        </is>
      </c>
      <c r="N654" s="4" t="inlineStr">
        <is>
          <t>https://www.pricecharting.com/game/pokemon-phantasmal-flames/booster-box</t>
        </is>
      </c>
    </row>
    <row r="655">
      <c r="A655" s="2" t="inlineStr">
        <is>
          <t>Phantasmal Flames Half Booster Box</t>
        </is>
      </c>
      <c r="B655" s="3">
        <f>IF(I655&lt;&gt;"",I655,IF(J655&lt;&gt;"",J655,IF(K655&lt;&gt;"",K655,L655)))</f>
        <v>198.67</v>
      </c>
      <c r="C655" s="3">
        <f>MEDIAN(I655:L655)</f>
        <v>198.67</v>
      </c>
      <c r="D655" s="3">
        <f>ROUND(C655*(1-Settings!$B$2),2)</f>
        <v>139.07</v>
      </c>
      <c r="E655" s="3">
        <f>ROUND(C655*(1-Settings!$B$3),2)</f>
        <v>139.07</v>
      </c>
      <c r="F655" s="2" t="inlineStr">
        <is>
          <t>Pokemon</t>
        </is>
      </c>
      <c r="G655" s="2" t="inlineStr">
        <is>
          <t>Box</t>
        </is>
      </c>
      <c r="H655" s="2" t="inlineStr">
        <is>
          <t>Phantasmal Flames</t>
        </is>
      </c>
      <c r="I655" s="3" t="n">
        <v>198.67</v>
      </c>
      <c r="J655" s="3" t="n"/>
      <c r="K655" s="3" t="n"/>
      <c r="L655" s="3" t="n"/>
      <c r="M655" s="2" t="inlineStr">
        <is>
          <t>PriceCharting</t>
        </is>
      </c>
      <c r="N655" s="4" t="inlineStr">
        <is>
          <t>https://www.pricecharting.com/game/pokemon-phantasmal-flames/half-booster-box</t>
        </is>
      </c>
    </row>
    <row r="656">
      <c r="A656" s="2" t="inlineStr">
        <is>
          <t>Phantom Forces Booster Box</t>
        </is>
      </c>
      <c r="B656" s="3">
        <f>IF(I656&lt;&gt;"",I656,IF(J656&lt;&gt;"",J656,IF(K656&lt;&gt;"",K656,L656)))</f>
        <v>16808.51</v>
      </c>
      <c r="C656" s="3">
        <f>MEDIAN(I656:L656)</f>
        <v>16808.51</v>
      </c>
      <c r="D656" s="3">
        <f>ROUND(C656*(1-Settings!$B$2),2)</f>
        <v>11765.96</v>
      </c>
      <c r="E656" s="3">
        <f>ROUND(C656*(1-Settings!$B$3),2)</f>
        <v>11765.96</v>
      </c>
      <c r="F656" s="2" t="inlineStr">
        <is>
          <t>Pokemon</t>
        </is>
      </c>
      <c r="G656" s="2" t="inlineStr">
        <is>
          <t>Box</t>
        </is>
      </c>
      <c r="H656" s="2" t="inlineStr">
        <is>
          <t>Phantom Forces</t>
        </is>
      </c>
      <c r="I656" s="3" t="n">
        <v>16808.51</v>
      </c>
      <c r="J656" s="3" t="n"/>
      <c r="K656" s="3" t="n"/>
      <c r="L656" s="3" t="n"/>
      <c r="M656" s="2" t="inlineStr">
        <is>
          <t>PriceCharting</t>
        </is>
      </c>
      <c r="N656" s="4" t="inlineStr">
        <is>
          <t>https://www.pricecharting.com/game/pokemon-phantom-forces/booster-box</t>
        </is>
      </c>
    </row>
    <row r="657">
      <c r="A657" s="2" t="inlineStr">
        <is>
          <t>Pitch Black Booster Box</t>
        </is>
      </c>
      <c r="B657" s="3">
        <f>IF(I657&lt;&gt;"",I657,IF(J657&lt;&gt;"",J657,IF(K657&lt;&gt;"",K657,L657)))</f>
        <v>179.25</v>
      </c>
      <c r="C657" s="3">
        <f>MEDIAN(I657:L657)</f>
        <v>179.25</v>
      </c>
      <c r="D657" s="3">
        <f>ROUND(C657*(1-Settings!$B$2),2)</f>
        <v>125.48</v>
      </c>
      <c r="E657" s="3">
        <f>ROUND(C657*(1-Settings!$B$3),2)</f>
        <v>125.48</v>
      </c>
      <c r="F657" s="2" t="inlineStr">
        <is>
          <t>Pokemon</t>
        </is>
      </c>
      <c r="G657" s="2" t="inlineStr">
        <is>
          <t>Box</t>
        </is>
      </c>
      <c r="H657" s="2" t="inlineStr">
        <is>
          <t>Pitch Black</t>
        </is>
      </c>
      <c r="I657" s="3" t="n">
        <v>179.25</v>
      </c>
      <c r="J657" s="3" t="n"/>
      <c r="K657" s="3" t="n"/>
      <c r="L657" s="3" t="n"/>
      <c r="M657" s="2" t="inlineStr">
        <is>
          <t>PriceCharting</t>
        </is>
      </c>
      <c r="N657" s="4" t="inlineStr">
        <is>
          <t>https://www.pricecharting.com/game/pokemon-pitch-black/booster-box</t>
        </is>
      </c>
    </row>
    <row r="658">
      <c r="A658" s="2" t="inlineStr">
        <is>
          <t>Pitch Black Half Booster Box</t>
        </is>
      </c>
      <c r="B658" s="3">
        <f>IF(I658&lt;&gt;"",I658,IF(J658&lt;&gt;"",J658,IF(K658&lt;&gt;"",K658,L658)))</f>
        <v>111.27</v>
      </c>
      <c r="C658" s="3">
        <f>MEDIAN(I658:L658)</f>
        <v>111.27</v>
      </c>
      <c r="D658" s="3">
        <f>ROUND(C658*(1-Settings!$B$2),2)</f>
        <v>77.89</v>
      </c>
      <c r="E658" s="3">
        <f>ROUND(C658*(1-Settings!$B$3),2)</f>
        <v>77.89</v>
      </c>
      <c r="F658" s="2" t="inlineStr">
        <is>
          <t>Pokemon</t>
        </is>
      </c>
      <c r="G658" s="2" t="inlineStr">
        <is>
          <t>Box</t>
        </is>
      </c>
      <c r="H658" s="2" t="inlineStr">
        <is>
          <t>Pitch Black</t>
        </is>
      </c>
      <c r="I658" s="3" t="n">
        <v>111.27</v>
      </c>
      <c r="J658" s="3" t="n"/>
      <c r="K658" s="3" t="n"/>
      <c r="L658" s="3" t="n"/>
      <c r="M658" s="2" t="inlineStr">
        <is>
          <t>PriceCharting</t>
        </is>
      </c>
      <c r="N658" s="4" t="inlineStr">
        <is>
          <t>https://www.pricecharting.com/game/pokemon-pitch-black/half-booster-box</t>
        </is>
      </c>
    </row>
    <row r="659">
      <c r="A659" s="2" t="inlineStr">
        <is>
          <t>Plasma Blast Booster Box</t>
        </is>
      </c>
      <c r="B659" s="3">
        <f>IF(I659&lt;&gt;"",I659,IF(J659&lt;&gt;"",J659,IF(K659&lt;&gt;"",K659,L659)))</f>
        <v>11800.0</v>
      </c>
      <c r="C659" s="3">
        <f>MEDIAN(I659:L659)</f>
        <v>11800.0</v>
      </c>
      <c r="D659" s="3">
        <f>ROUND(C659*(1-Settings!$B$2),2)</f>
        <v>8260.0</v>
      </c>
      <c r="E659" s="3">
        <f>ROUND(C659*(1-Settings!$B$3),2)</f>
        <v>8260.0</v>
      </c>
      <c r="F659" s="2" t="inlineStr">
        <is>
          <t>Pokemon</t>
        </is>
      </c>
      <c r="G659" s="2" t="inlineStr">
        <is>
          <t>Box</t>
        </is>
      </c>
      <c r="H659" s="2" t="inlineStr">
        <is>
          <t>Plasma Blast</t>
        </is>
      </c>
      <c r="I659" s="3" t="n">
        <v>11800</v>
      </c>
      <c r="J659" s="3" t="n"/>
      <c r="K659" s="3" t="n"/>
      <c r="L659" s="3" t="n"/>
      <c r="M659" s="2" t="inlineStr">
        <is>
          <t>PriceCharting + TCGplayer</t>
        </is>
      </c>
      <c r="N659" s="4" t="inlineStr">
        <is>
          <t>https://www.pricecharting.com/game/pokemon-plasma-blast/booster-box</t>
        </is>
      </c>
      <c r="O659" s="4" t="inlineStr">
        <is>
          <t>https://www.tcgplayer.com/product/98572</t>
        </is>
      </c>
    </row>
    <row r="660">
      <c r="A660" s="2" t="inlineStr">
        <is>
          <t>Plasma Freeze Booster Box</t>
        </is>
      </c>
      <c r="B660" s="3">
        <f>IF(I660&lt;&gt;"",I660,IF(J660&lt;&gt;"",J660,IF(K660&lt;&gt;"",K660,L660)))</f>
        <v>14611.0</v>
      </c>
      <c r="C660" s="3">
        <f>MEDIAN(I660:L660)</f>
        <v>14805.0</v>
      </c>
      <c r="D660" s="3">
        <f>ROUND(C660*(1-Settings!$B$2),2)</f>
        <v>10363.5</v>
      </c>
      <c r="E660" s="3">
        <f>ROUND(C660*(1-Settings!$B$3),2)</f>
        <v>10363.5</v>
      </c>
      <c r="F660" s="2" t="inlineStr">
        <is>
          <t>Pokemon</t>
        </is>
      </c>
      <c r="G660" s="2" t="inlineStr">
        <is>
          <t>Box</t>
        </is>
      </c>
      <c r="H660" s="2" t="inlineStr">
        <is>
          <t>Plasma Freeze</t>
        </is>
      </c>
      <c r="I660" s="3" t="n">
        <v>14611</v>
      </c>
      <c r="J660" s="3" t="n">
        <v>14999</v>
      </c>
      <c r="K660" s="3" t="n"/>
      <c r="L660" s="3" t="n"/>
      <c r="M660" s="2" t="inlineStr">
        <is>
          <t>PriceCharting + TCGplayer</t>
        </is>
      </c>
      <c r="N660" s="4" t="inlineStr">
        <is>
          <t>https://www.pricecharting.com/game/pokemon-plasma-freeze/booster-box</t>
        </is>
      </c>
      <c r="O660" s="4" t="inlineStr">
        <is>
          <t>https://www.tcgplayer.com/product/98516</t>
        </is>
      </c>
    </row>
    <row r="661">
      <c r="A661" s="2" t="inlineStr">
        <is>
          <t>Plasma Storm Booster Box</t>
        </is>
      </c>
      <c r="B661" s="3">
        <f>IF(I661&lt;&gt;"",I661,IF(J661&lt;&gt;"",J661,IF(K661&lt;&gt;"",K661,L661)))</f>
        <v>22909.81</v>
      </c>
      <c r="C661" s="3">
        <f>MEDIAN(I661:L661)</f>
        <v>22909.81</v>
      </c>
      <c r="D661" s="3">
        <f>ROUND(C661*(1-Settings!$B$2),2)</f>
        <v>16036.87</v>
      </c>
      <c r="E661" s="3">
        <f>ROUND(C661*(1-Settings!$B$3),2)</f>
        <v>16036.87</v>
      </c>
      <c r="F661" s="2" t="inlineStr">
        <is>
          <t>Pokemon</t>
        </is>
      </c>
      <c r="G661" s="2" t="inlineStr">
        <is>
          <t>Box</t>
        </is>
      </c>
      <c r="H661" s="2" t="inlineStr">
        <is>
          <t>Plasma Storm</t>
        </is>
      </c>
      <c r="I661" s="3" t="n">
        <v>22909.81</v>
      </c>
      <c r="J661" s="3" t="n"/>
      <c r="K661" s="3" t="n"/>
      <c r="L661" s="3" t="n"/>
      <c r="M661" s="2" t="inlineStr">
        <is>
          <t>PriceCharting + TCGplayer</t>
        </is>
      </c>
      <c r="N661" s="4" t="inlineStr">
        <is>
          <t>https://www.pricecharting.com/game/pokemon-plasma-storm/booster-box</t>
        </is>
      </c>
      <c r="O661" s="4" t="inlineStr">
        <is>
          <t>https://www.tcgplayer.com/product/98527</t>
        </is>
      </c>
    </row>
    <row r="662">
      <c r="A662" s="2" t="inlineStr">
        <is>
          <t>Platinum Booster Box</t>
        </is>
      </c>
      <c r="B662" s="3">
        <f>IF(I662&lt;&gt;"",I662,IF(J662&lt;&gt;"",J662,IF(K662&lt;&gt;"",K662,L662)))</f>
        <v>8897.17</v>
      </c>
      <c r="C662" s="3">
        <f>MEDIAN(I662:L662)</f>
        <v>8897.17</v>
      </c>
      <c r="D662" s="3">
        <f>ROUND(C662*(1-Settings!$B$2),2)</f>
        <v>6228.02</v>
      </c>
      <c r="E662" s="3">
        <f>ROUND(C662*(1-Settings!$B$3),2)</f>
        <v>6228.02</v>
      </c>
      <c r="F662" s="2" t="inlineStr">
        <is>
          <t>Pokemon</t>
        </is>
      </c>
      <c r="G662" s="2" t="inlineStr">
        <is>
          <t>Box</t>
        </is>
      </c>
      <c r="H662" s="2" t="inlineStr">
        <is>
          <t>Platinum</t>
        </is>
      </c>
      <c r="I662" s="3" t="n">
        <v>8897.17</v>
      </c>
      <c r="J662" s="3" t="n"/>
      <c r="K662" s="3" t="n"/>
      <c r="L662" s="3" t="n"/>
      <c r="M662" s="2" t="inlineStr">
        <is>
          <t>PriceCharting + TCGplayer</t>
        </is>
      </c>
      <c r="N662" s="4" t="inlineStr">
        <is>
          <t>https://www.pricecharting.com/game/pokemon-platinum/booster-box</t>
        </is>
      </c>
      <c r="O662" s="4" t="inlineStr">
        <is>
          <t>https://www.tcgplayer.com/product/98592</t>
        </is>
      </c>
    </row>
    <row r="663">
      <c r="A663" s="2" t="inlineStr">
        <is>
          <t>Primal Clash Booster Box</t>
        </is>
      </c>
      <c r="B663" s="3">
        <f>IF(I663&lt;&gt;"",I663,IF(J663&lt;&gt;"",J663,IF(K663&lt;&gt;"",K663,L663)))</f>
        <v>3436.5</v>
      </c>
      <c r="C663" s="3">
        <f>MEDIAN(I663:L663)</f>
        <v>3436.5</v>
      </c>
      <c r="D663" s="3">
        <f>ROUND(C663*(1-Settings!$B$2),2)</f>
        <v>2405.55</v>
      </c>
      <c r="E663" s="3">
        <f>ROUND(C663*(1-Settings!$B$3),2)</f>
        <v>2405.55</v>
      </c>
      <c r="F663" s="2" t="inlineStr">
        <is>
          <t>Pokemon</t>
        </is>
      </c>
      <c r="G663" s="2" t="inlineStr">
        <is>
          <t>Box</t>
        </is>
      </c>
      <c r="H663" s="2" t="inlineStr">
        <is>
          <t>Primal Clash</t>
        </is>
      </c>
      <c r="I663" s="3" t="n">
        <v>3436.5</v>
      </c>
      <c r="J663" s="3" t="n"/>
      <c r="K663" s="3" t="n"/>
      <c r="L663" s="3" t="n"/>
      <c r="M663" s="2" t="inlineStr">
        <is>
          <t>PriceCharting</t>
        </is>
      </c>
      <c r="N663" s="4" t="inlineStr">
        <is>
          <t>https://www.pricecharting.com/game/pokemon-primal-clash/booster-box</t>
        </is>
      </c>
    </row>
    <row r="664">
      <c r="A664" s="2" t="inlineStr">
        <is>
          <t>Prismatic Evolutions Booster Bundle Display Box</t>
        </is>
      </c>
      <c r="B664" s="3">
        <f>IF(I664&lt;&gt;"",I664,IF(J664&lt;&gt;"",J664,IF(K664&lt;&gt;"",K664,L664)))</f>
        <v>1337.48</v>
      </c>
      <c r="C664" s="3">
        <f>MEDIAN(I664:L664)</f>
        <v>1337.48</v>
      </c>
      <c r="D664" s="3">
        <f>ROUND(C664*(1-Settings!$B$2),2)</f>
        <v>936.24</v>
      </c>
      <c r="E664" s="3">
        <f>ROUND(C664*(1-Settings!$B$3),2)</f>
        <v>936.24</v>
      </c>
      <c r="F664" s="2" t="inlineStr">
        <is>
          <t>Pokemon</t>
        </is>
      </c>
      <c r="G664" s="2" t="inlineStr">
        <is>
          <t>Box</t>
        </is>
      </c>
      <c r="H664" s="2" t="inlineStr">
        <is>
          <t>Prismatic Evolutions</t>
        </is>
      </c>
      <c r="I664" s="3" t="n">
        <v>1337.48</v>
      </c>
      <c r="J664" s="3" t="n"/>
      <c r="K664" s="3" t="n"/>
      <c r="L664" s="3" t="n"/>
      <c r="M664" s="2" t="inlineStr">
        <is>
          <t>PriceCharting</t>
        </is>
      </c>
      <c r="N664" s="4" t="inlineStr">
        <is>
          <t>https://www.pricecharting.com/game/pokemon-prismatic-evolutions/booster-bundle-display-box</t>
        </is>
      </c>
    </row>
    <row r="665">
      <c r="A665" s="2" t="inlineStr">
        <is>
          <t>Rebel Clash Half Booster Box</t>
        </is>
      </c>
      <c r="B665" s="3">
        <f>IF(I665&lt;&gt;"",I665,IF(J665&lt;&gt;"",J665,IF(K665&lt;&gt;"",K665,L665)))</f>
        <v>174.5</v>
      </c>
      <c r="C665" s="3">
        <f>MEDIAN(I665:L665)</f>
        <v>174.5</v>
      </c>
      <c r="D665" s="3">
        <f>ROUND(C665*(1-Settings!$B$2),2)</f>
        <v>122.15</v>
      </c>
      <c r="E665" s="3">
        <f>ROUND(C665*(1-Settings!$B$3),2)</f>
        <v>122.15</v>
      </c>
      <c r="F665" s="2" t="inlineStr">
        <is>
          <t>Pokemon</t>
        </is>
      </c>
      <c r="G665" s="2" t="inlineStr">
        <is>
          <t>Box</t>
        </is>
      </c>
      <c r="H665" s="2" t="inlineStr">
        <is>
          <t>Rebel Clash</t>
        </is>
      </c>
      <c r="I665" s="3" t="n">
        <v>174.5</v>
      </c>
      <c r="J665" s="3" t="n"/>
      <c r="K665" s="3" t="n"/>
      <c r="L665" s="3" t="n"/>
      <c r="M665" s="2" t="inlineStr">
        <is>
          <t>PriceCharting</t>
        </is>
      </c>
      <c r="N665" s="4" t="inlineStr">
        <is>
          <t>https://www.pricecharting.com/game/pokemon-rebel-clash/half-booster-box</t>
        </is>
      </c>
    </row>
    <row r="666">
      <c r="A666" s="2" t="inlineStr">
        <is>
          <t>Rising Rivals Booster Box</t>
        </is>
      </c>
      <c r="B666" s="3">
        <f>IF(I666&lt;&gt;"",I666,IF(J666&lt;&gt;"",J666,IF(K666&lt;&gt;"",K666,L666)))</f>
        <v>8492.83</v>
      </c>
      <c r="C666" s="3">
        <f>MEDIAN(I666:L666)</f>
        <v>8492.83</v>
      </c>
      <c r="D666" s="3">
        <f>ROUND(C666*(1-Settings!$B$2),2)</f>
        <v>5944.98</v>
      </c>
      <c r="E666" s="3">
        <f>ROUND(C666*(1-Settings!$B$3),2)</f>
        <v>5944.98</v>
      </c>
      <c r="F666" s="2" t="inlineStr">
        <is>
          <t>Pokemon</t>
        </is>
      </c>
      <c r="G666" s="2" t="inlineStr">
        <is>
          <t>Box</t>
        </is>
      </c>
      <c r="H666" s="2" t="inlineStr">
        <is>
          <t>Rising Rivals</t>
        </is>
      </c>
      <c r="I666" s="3" t="n">
        <v>8492.83</v>
      </c>
      <c r="J666" s="3" t="n"/>
      <c r="K666" s="3" t="n"/>
      <c r="L666" s="3" t="n"/>
      <c r="M666" s="2" t="inlineStr">
        <is>
          <t>PriceCharting + TCGplayer</t>
        </is>
      </c>
      <c r="N666" s="4" t="inlineStr">
        <is>
          <t>https://www.pricecharting.com/game/pokemon-rising-rivals/booster-box</t>
        </is>
      </c>
      <c r="O666" s="4" t="inlineStr">
        <is>
          <t>https://www.tcgplayer.com/product/98543</t>
        </is>
      </c>
    </row>
    <row r="667">
      <c r="A667" s="2" t="inlineStr">
        <is>
          <t>Roaring Skies Booster Box</t>
        </is>
      </c>
      <c r="B667" s="3">
        <f>IF(I667&lt;&gt;"",I667,IF(J667&lt;&gt;"",J667,IF(K667&lt;&gt;"",K667,L667)))</f>
        <v>4275.5</v>
      </c>
      <c r="C667" s="3">
        <f>MEDIAN(I667:L667)</f>
        <v>4275.5</v>
      </c>
      <c r="D667" s="3">
        <f>ROUND(C667*(1-Settings!$B$2),2)</f>
        <v>2992.85</v>
      </c>
      <c r="E667" s="3">
        <f>ROUND(C667*(1-Settings!$B$3),2)</f>
        <v>2992.85</v>
      </c>
      <c r="F667" s="2" t="inlineStr">
        <is>
          <t>Pokemon</t>
        </is>
      </c>
      <c r="G667" s="2" t="inlineStr">
        <is>
          <t>Box</t>
        </is>
      </c>
      <c r="H667" s="2" t="inlineStr">
        <is>
          <t>Roaring Skies</t>
        </is>
      </c>
      <c r="I667" s="3" t="n">
        <v>4275.5</v>
      </c>
      <c r="J667" s="3" t="n"/>
      <c r="K667" s="3" t="n"/>
      <c r="L667" s="3" t="n"/>
      <c r="M667" s="2" t="inlineStr">
        <is>
          <t>PriceCharting</t>
        </is>
      </c>
      <c r="N667" s="4" t="inlineStr">
        <is>
          <t>https://www.pricecharting.com/game/pokemon-roaring-skies/booster-box</t>
        </is>
      </c>
    </row>
    <row r="668">
      <c r="A668" s="2" t="inlineStr">
        <is>
          <t>Dark Phantasma Booster Box</t>
        </is>
      </c>
      <c r="B668" s="3">
        <f>IF(I668&lt;&gt;"",I668,IF(J668&lt;&gt;"",J668,IF(K668&lt;&gt;"",K668,L668)))</f>
        <v>148.17</v>
      </c>
      <c r="C668" s="3">
        <f>MEDIAN(I668:L668)</f>
        <v>136.57999999999998</v>
      </c>
      <c r="D668" s="3">
        <f>ROUND(C668*(1-Settings!$B$2),2)</f>
        <v>95.61</v>
      </c>
      <c r="E668" s="3">
        <f>ROUND(C668*(1-Settings!$B$3),2)</f>
        <v>95.61</v>
      </c>
      <c r="F668" s="2" t="inlineStr">
        <is>
          <t>Pokemon</t>
        </is>
      </c>
      <c r="G668" s="2" t="inlineStr">
        <is>
          <t>Box</t>
        </is>
      </c>
      <c r="H668" s="2" t="inlineStr">
        <is>
          <t>S10a: Dark Phantasma</t>
        </is>
      </c>
      <c r="I668" s="3" t="n"/>
      <c r="J668" s="3" t="n">
        <v>148.17</v>
      </c>
      <c r="K668" s="3" t="n"/>
      <c r="L668" s="3" t="n">
        <v>124.99</v>
      </c>
      <c r="M668" s="2" t="inlineStr">
        <is>
          <t>TCGplayer</t>
        </is>
      </c>
      <c r="O668" s="4" t="inlineStr">
        <is>
          <t>https://www.tcgplayer.com/product/575042</t>
        </is>
      </c>
    </row>
    <row r="669">
      <c r="A669" s="2" t="inlineStr">
        <is>
          <t>Pokemon GO Booster Box</t>
        </is>
      </c>
      <c r="B669" s="3">
        <f>IF(I669&lt;&gt;"",I669,IF(J669&lt;&gt;"",J669,IF(K669&lt;&gt;"",K669,L669)))</f>
        <v>141.23</v>
      </c>
      <c r="C669" s="3">
        <f>MEDIAN(I669:L669)</f>
        <v>145.61</v>
      </c>
      <c r="D669" s="3">
        <f>ROUND(C669*(1-Settings!$B$2),2)</f>
        <v>101.93</v>
      </c>
      <c r="E669" s="3">
        <f>ROUND(C669*(1-Settings!$B$3),2)</f>
        <v>101.93</v>
      </c>
      <c r="F669" s="2" t="inlineStr">
        <is>
          <t>Pokemon</t>
        </is>
      </c>
      <c r="G669" s="2" t="inlineStr">
        <is>
          <t>Box</t>
        </is>
      </c>
      <c r="H669" s="2" t="inlineStr">
        <is>
          <t>S10b: Pokemon GO</t>
        </is>
      </c>
      <c r="I669" s="3" t="n"/>
      <c r="J669" s="3" t="n">
        <v>141.23</v>
      </c>
      <c r="K669" s="3" t="n"/>
      <c r="L669" s="3" t="n">
        <v>149.99</v>
      </c>
      <c r="M669" s="2" t="inlineStr">
        <is>
          <t>TCGplayer</t>
        </is>
      </c>
      <c r="O669" s="4" t="inlineStr">
        <is>
          <t>https://www.tcgplayer.com/product/575040</t>
        </is>
      </c>
    </row>
    <row r="670">
      <c r="A670" s="2" t="inlineStr">
        <is>
          <t>Time Gazer Booster Box</t>
        </is>
      </c>
      <c r="B670" s="3">
        <f>IF(I670&lt;&gt;"",I670,IF(J670&lt;&gt;"",J670,IF(K670&lt;&gt;"",K670,L670)))</f>
        <v>151.9</v>
      </c>
      <c r="C670" s="3">
        <f>MEDIAN(I670:L670)</f>
        <v>150.45</v>
      </c>
      <c r="D670" s="3">
        <f>ROUND(C670*(1-Settings!$B$2),2)</f>
        <v>105.32</v>
      </c>
      <c r="E670" s="3">
        <f>ROUND(C670*(1-Settings!$B$3),2)</f>
        <v>105.32</v>
      </c>
      <c r="F670" s="2" t="inlineStr">
        <is>
          <t>Pokemon</t>
        </is>
      </c>
      <c r="G670" s="2" t="inlineStr">
        <is>
          <t>Box</t>
        </is>
      </c>
      <c r="H670" s="2" t="inlineStr">
        <is>
          <t>S10D: Time Gazer</t>
        </is>
      </c>
      <c r="I670" s="3" t="n"/>
      <c r="J670" s="3" t="n">
        <v>151.9</v>
      </c>
      <c r="K670" s="3" t="n"/>
      <c r="L670" s="3" t="n">
        <v>149</v>
      </c>
      <c r="M670" s="2" t="inlineStr">
        <is>
          <t>TCGplayer</t>
        </is>
      </c>
      <c r="O670" s="4" t="inlineStr">
        <is>
          <t>https://www.tcgplayer.com/product/571832</t>
        </is>
      </c>
    </row>
    <row r="671">
      <c r="A671" s="2" t="inlineStr">
        <is>
          <t>Space Juggler Booster Box</t>
        </is>
      </c>
      <c r="B671" s="3">
        <f>IF(I671&lt;&gt;"",I671,IF(J671&lt;&gt;"",J671,IF(K671&lt;&gt;"",K671,L671)))</f>
        <v>130.03</v>
      </c>
      <c r="C671" s="3">
        <f>MEDIAN(I671:L671)</f>
        <v>108.00999999999999</v>
      </c>
      <c r="D671" s="3">
        <f>ROUND(C671*(1-Settings!$B$2),2)</f>
        <v>75.61</v>
      </c>
      <c r="E671" s="3">
        <f>ROUND(C671*(1-Settings!$B$3),2)</f>
        <v>75.61</v>
      </c>
      <c r="F671" s="2" t="inlineStr">
        <is>
          <t>Pokemon</t>
        </is>
      </c>
      <c r="G671" s="2" t="inlineStr">
        <is>
          <t>Box</t>
        </is>
      </c>
      <c r="H671" s="2" t="inlineStr">
        <is>
          <t>S10P: Space Juggler</t>
        </is>
      </c>
      <c r="I671" s="3" t="n"/>
      <c r="J671" s="3" t="n">
        <v>130.03</v>
      </c>
      <c r="K671" s="3" t="n"/>
      <c r="L671" s="3" t="n">
        <v>85.98999999999999</v>
      </c>
      <c r="M671" s="2" t="inlineStr">
        <is>
          <t>TCGplayer</t>
        </is>
      </c>
      <c r="O671" s="4" t="inlineStr">
        <is>
          <t>https://www.tcgplayer.com/product/575036</t>
        </is>
      </c>
    </row>
    <row r="672">
      <c r="A672" s="2" t="inlineStr">
        <is>
          <t>Lost Abyss Booster Box</t>
        </is>
      </c>
      <c r="B672" s="3">
        <f>IF(I672&lt;&gt;"",I672,IF(J672&lt;&gt;"",J672,IF(K672&lt;&gt;"",K672,L672)))</f>
        <v>366.73</v>
      </c>
      <c r="C672" s="3">
        <f>MEDIAN(I672:L672)</f>
        <v>245.865</v>
      </c>
      <c r="D672" s="3">
        <f>ROUND(C672*(1-Settings!$B$2),2)</f>
        <v>172.11</v>
      </c>
      <c r="E672" s="3">
        <f>ROUND(C672*(1-Settings!$B$3),2)</f>
        <v>172.11</v>
      </c>
      <c r="F672" s="2" t="inlineStr">
        <is>
          <t>Pokemon</t>
        </is>
      </c>
      <c r="G672" s="2" t="inlineStr">
        <is>
          <t>Box</t>
        </is>
      </c>
      <c r="H672" s="2" t="inlineStr">
        <is>
          <t>S11: Lost Abyss</t>
        </is>
      </c>
      <c r="I672" s="3" t="n"/>
      <c r="J672" s="3" t="n">
        <v>366.73</v>
      </c>
      <c r="K672" s="3" t="n"/>
      <c r="L672" s="3" t="n">
        <v>125</v>
      </c>
      <c r="M672" s="2" t="inlineStr">
        <is>
          <t>TCGplayer</t>
        </is>
      </c>
      <c r="O672" s="4" t="inlineStr">
        <is>
          <t>https://www.tcgplayer.com/product/574954</t>
        </is>
      </c>
    </row>
    <row r="673">
      <c r="A673" s="2" t="inlineStr">
        <is>
          <t>Incandescent Arcana Booster Box</t>
        </is>
      </c>
      <c r="B673" s="3">
        <f>IF(I673&lt;&gt;"",I673,IF(J673&lt;&gt;"",J673,IF(K673&lt;&gt;"",K673,L673)))</f>
        <v>97.8</v>
      </c>
      <c r="C673" s="3">
        <f>MEDIAN(I673:L673)</f>
        <v>99.9</v>
      </c>
      <c r="D673" s="3">
        <f>ROUND(C673*(1-Settings!$B$2),2)</f>
        <v>69.93</v>
      </c>
      <c r="E673" s="3">
        <f>ROUND(C673*(1-Settings!$B$3),2)</f>
        <v>69.93</v>
      </c>
      <c r="F673" s="2" t="inlineStr">
        <is>
          <t>Pokemon</t>
        </is>
      </c>
      <c r="G673" s="2" t="inlineStr">
        <is>
          <t>Box</t>
        </is>
      </c>
      <c r="H673" s="2" t="inlineStr">
        <is>
          <t>S11a: Incandescent Arcana</t>
        </is>
      </c>
      <c r="I673" s="3" t="n"/>
      <c r="J673" s="3" t="n">
        <v>97.8</v>
      </c>
      <c r="K673" s="3" t="n"/>
      <c r="L673" s="3" t="n">
        <v>102</v>
      </c>
      <c r="M673" s="2" t="inlineStr">
        <is>
          <t>TCGplayer</t>
        </is>
      </c>
      <c r="O673" s="4" t="inlineStr">
        <is>
          <t>https://www.tcgplayer.com/product/574876</t>
        </is>
      </c>
    </row>
    <row r="674">
      <c r="A674" s="2" t="inlineStr">
        <is>
          <t>Paradigm Trigger Booster Box</t>
        </is>
      </c>
      <c r="B674" s="3">
        <f>IF(I674&lt;&gt;"",I674,IF(J674&lt;&gt;"",J674,IF(K674&lt;&gt;"",K674,L674)))</f>
        <v>171.05</v>
      </c>
      <c r="C674" s="3">
        <f>MEDIAN(I674:L674)</f>
        <v>165.52</v>
      </c>
      <c r="D674" s="3">
        <f>ROUND(C674*(1-Settings!$B$2),2)</f>
        <v>115.86</v>
      </c>
      <c r="E674" s="3">
        <f>ROUND(C674*(1-Settings!$B$3),2)</f>
        <v>115.86</v>
      </c>
      <c r="F674" s="2" t="inlineStr">
        <is>
          <t>Pokemon</t>
        </is>
      </c>
      <c r="G674" s="2" t="inlineStr">
        <is>
          <t>Box</t>
        </is>
      </c>
      <c r="H674" s="2" t="inlineStr">
        <is>
          <t>S12: Paradigm Trigger</t>
        </is>
      </c>
      <c r="I674" s="3" t="n"/>
      <c r="J674" s="3" t="n">
        <v>171.05</v>
      </c>
      <c r="K674" s="3" t="n"/>
      <c r="L674" s="3" t="n">
        <v>159.99</v>
      </c>
      <c r="M674" s="2" t="inlineStr">
        <is>
          <t>TCGplayer</t>
        </is>
      </c>
      <c r="O674" s="4" t="inlineStr">
        <is>
          <t>https://www.tcgplayer.com/product/565250</t>
        </is>
      </c>
    </row>
    <row r="675">
      <c r="A675" s="2" t="inlineStr">
        <is>
          <t>VSTAR Universe Booster Box</t>
        </is>
      </c>
      <c r="B675" s="3">
        <f>IF(I675&lt;&gt;"",I675,IF(J675&lt;&gt;"",J675,IF(K675&lt;&gt;"",K675,L675)))</f>
        <v>217.9</v>
      </c>
      <c r="C675" s="3">
        <f>MEDIAN(I675:L675)</f>
        <v>196.445</v>
      </c>
      <c r="D675" s="3">
        <f>ROUND(C675*(1-Settings!$B$2),2)</f>
        <v>137.51</v>
      </c>
      <c r="E675" s="3">
        <f>ROUND(C675*(1-Settings!$B$3),2)</f>
        <v>137.51</v>
      </c>
      <c r="F675" s="2" t="inlineStr">
        <is>
          <t>Pokemon</t>
        </is>
      </c>
      <c r="G675" s="2" t="inlineStr">
        <is>
          <t>Box</t>
        </is>
      </c>
      <c r="H675" s="2" t="inlineStr">
        <is>
          <t>S12a: VSTAR Universe</t>
        </is>
      </c>
      <c r="I675" s="3" t="n"/>
      <c r="J675" s="3" t="n">
        <v>217.9</v>
      </c>
      <c r="K675" s="3" t="n"/>
      <c r="L675" s="3" t="n">
        <v>174.99</v>
      </c>
      <c r="M675" s="2" t="inlineStr">
        <is>
          <t>TCGplayer</t>
        </is>
      </c>
      <c r="O675" s="4" t="inlineStr">
        <is>
          <t>https://www.tcgplayer.com/product/565252</t>
        </is>
      </c>
    </row>
    <row r="676">
      <c r="A676" s="2" t="inlineStr">
        <is>
          <t>VMAX Rising Booster Box</t>
        </is>
      </c>
      <c r="B676" s="3">
        <f>IF(I676&lt;&gt;"",I676,IF(J676&lt;&gt;"",J676,IF(K676&lt;&gt;"",K676,L676)))</f>
        <v>585.0</v>
      </c>
      <c r="C676" s="3">
        <f>MEDIAN(I676:L676)</f>
        <v>585.0</v>
      </c>
      <c r="D676" s="3">
        <f>ROUND(C676*(1-Settings!$B$2),2)</f>
        <v>409.5</v>
      </c>
      <c r="E676" s="3">
        <f>ROUND(C676*(1-Settings!$B$3),2)</f>
        <v>409.5</v>
      </c>
      <c r="F676" s="2" t="inlineStr">
        <is>
          <t>Pokemon</t>
        </is>
      </c>
      <c r="G676" s="2" t="inlineStr">
        <is>
          <t>Box</t>
        </is>
      </c>
      <c r="H676" s="2" t="inlineStr">
        <is>
          <t>S1a: VMAX Rising</t>
        </is>
      </c>
      <c r="I676" s="3" t="n"/>
      <c r="J676" s="3" t="n"/>
      <c r="K676" s="3" t="n"/>
      <c r="L676" s="3" t="n">
        <v>585</v>
      </c>
      <c r="M676" s="2" t="inlineStr">
        <is>
          <t>TCGplayer</t>
        </is>
      </c>
      <c r="O676" s="4" t="inlineStr">
        <is>
          <t>https://www.tcgplayer.com/product/574874</t>
        </is>
      </c>
    </row>
    <row r="677">
      <c r="A677" s="2" t="inlineStr">
        <is>
          <t>Shield Booster Box</t>
        </is>
      </c>
      <c r="B677" s="3">
        <f>IF(I677&lt;&gt;"",I677,IF(J677&lt;&gt;"",J677,IF(K677&lt;&gt;"",K677,L677)))</f>
        <v>999.99</v>
      </c>
      <c r="C677" s="3">
        <f>MEDIAN(I677:L677)</f>
        <v>999.99</v>
      </c>
      <c r="D677" s="3">
        <f>ROUND(C677*(1-Settings!$B$2),2)</f>
        <v>699.99</v>
      </c>
      <c r="E677" s="3">
        <f>ROUND(C677*(1-Settings!$B$3),2)</f>
        <v>699.99</v>
      </c>
      <c r="F677" s="2" t="inlineStr">
        <is>
          <t>Pokemon</t>
        </is>
      </c>
      <c r="G677" s="2" t="inlineStr">
        <is>
          <t>Box</t>
        </is>
      </c>
      <c r="H677" s="2" t="inlineStr">
        <is>
          <t>S1H: Shield</t>
        </is>
      </c>
      <c r="I677" s="3" t="n"/>
      <c r="J677" s="3" t="n"/>
      <c r="K677" s="3" t="n"/>
      <c r="L677" s="3" t="n">
        <v>999.99</v>
      </c>
      <c r="M677" s="2" t="inlineStr">
        <is>
          <t>TCGplayer</t>
        </is>
      </c>
      <c r="O677" s="4" t="inlineStr">
        <is>
          <t>https://www.tcgplayer.com/product/574871</t>
        </is>
      </c>
    </row>
    <row r="678">
      <c r="A678" s="2" t="inlineStr">
        <is>
          <t>Sword Booster Box</t>
        </is>
      </c>
      <c r="B678" s="3">
        <f>IF(I678&lt;&gt;"",I678,IF(J678&lt;&gt;"",J678,IF(K678&lt;&gt;"",K678,L678)))</f>
        <v>84.99</v>
      </c>
      <c r="C678" s="3">
        <f>MEDIAN(I678:L678)</f>
        <v>84.99</v>
      </c>
      <c r="D678" s="3">
        <f>ROUND(C678*(1-Settings!$B$2),2)</f>
        <v>59.49</v>
      </c>
      <c r="E678" s="3">
        <f>ROUND(C678*(1-Settings!$B$3),2)</f>
        <v>59.49</v>
      </c>
      <c r="F678" s="2" t="inlineStr">
        <is>
          <t>Pokemon</t>
        </is>
      </c>
      <c r="G678" s="2" t="inlineStr">
        <is>
          <t>Box</t>
        </is>
      </c>
      <c r="H678" s="2" t="inlineStr">
        <is>
          <t>S1W: Sword</t>
        </is>
      </c>
      <c r="I678" s="3" t="n"/>
      <c r="J678" s="3" t="n"/>
      <c r="K678" s="3" t="n"/>
      <c r="L678" s="3" t="n">
        <v>84.98999999999999</v>
      </c>
      <c r="M678" s="2" t="inlineStr">
        <is>
          <t>TCGplayer</t>
        </is>
      </c>
      <c r="O678" s="4" t="inlineStr">
        <is>
          <t>https://www.tcgplayer.com/product/574796</t>
        </is>
      </c>
    </row>
    <row r="679">
      <c r="A679" s="2" t="inlineStr">
        <is>
          <t>Rebellion Crash Booster Box</t>
        </is>
      </c>
      <c r="B679" s="3">
        <f>IF(I679&lt;&gt;"",I679,IF(J679&lt;&gt;"",J679,IF(K679&lt;&gt;"",K679,L679)))</f>
        <v>450.0</v>
      </c>
      <c r="C679" s="3">
        <f>MEDIAN(I679:L679)</f>
        <v>450.0</v>
      </c>
      <c r="D679" s="3">
        <f>ROUND(C679*(1-Settings!$B$2),2)</f>
        <v>315.0</v>
      </c>
      <c r="E679" s="3">
        <f>ROUND(C679*(1-Settings!$B$3),2)</f>
        <v>315.0</v>
      </c>
      <c r="F679" s="2" t="inlineStr">
        <is>
          <t>Pokemon</t>
        </is>
      </c>
      <c r="G679" s="2" t="inlineStr">
        <is>
          <t>Box</t>
        </is>
      </c>
      <c r="H679" s="2" t="inlineStr">
        <is>
          <t>S2: Rebellion Crash</t>
        </is>
      </c>
      <c r="I679" s="3" t="n"/>
      <c r="J679" s="3" t="n"/>
      <c r="K679" s="3" t="n"/>
      <c r="L679" s="3" t="n">
        <v>450</v>
      </c>
      <c r="M679" s="2" t="inlineStr">
        <is>
          <t>TCGplayer</t>
        </is>
      </c>
      <c r="O679" s="4" t="inlineStr">
        <is>
          <t>https://www.tcgplayer.com/product/574371</t>
        </is>
      </c>
    </row>
    <row r="680">
      <c r="A680" s="2" t="inlineStr">
        <is>
          <t>Explosive Walker Booster Box</t>
        </is>
      </c>
      <c r="B680" s="3">
        <f>IF(I680&lt;&gt;"",I680,IF(J680&lt;&gt;"",J680,IF(K680&lt;&gt;"",K680,L680)))</f>
        <v>187.5</v>
      </c>
      <c r="C680" s="3">
        <f>MEDIAN(I680:L680)</f>
        <v>187.5</v>
      </c>
      <c r="D680" s="3">
        <f>ROUND(C680*(1-Settings!$B$2),2)</f>
        <v>131.25</v>
      </c>
      <c r="E680" s="3">
        <f>ROUND(C680*(1-Settings!$B$3),2)</f>
        <v>131.25</v>
      </c>
      <c r="F680" s="2" t="inlineStr">
        <is>
          <t>Pokemon</t>
        </is>
      </c>
      <c r="G680" s="2" t="inlineStr">
        <is>
          <t>Box</t>
        </is>
      </c>
      <c r="H680" s="2" t="inlineStr">
        <is>
          <t>S2a: Explosive Walker</t>
        </is>
      </c>
      <c r="I680" s="3" t="n"/>
      <c r="J680" s="3" t="n">
        <v>187.5</v>
      </c>
      <c r="K680" s="3" t="n"/>
      <c r="L680" s="3" t="n"/>
      <c r="M680" s="2" t="inlineStr">
        <is>
          <t>TCGplayer</t>
        </is>
      </c>
      <c r="O680" s="4" t="inlineStr">
        <is>
          <t>https://www.tcgplayer.com/product/571840</t>
        </is>
      </c>
    </row>
    <row r="681">
      <c r="A681" s="2" t="inlineStr">
        <is>
          <t>Infinity Zone Booster Box</t>
        </is>
      </c>
      <c r="B681" s="3">
        <f>IF(I681&lt;&gt;"",I681,IF(J681&lt;&gt;"",J681,IF(K681&lt;&gt;"",K681,L681)))</f>
        <v>189.99</v>
      </c>
      <c r="C681" s="3">
        <f>MEDIAN(I681:L681)</f>
        <v>369.995</v>
      </c>
      <c r="D681" s="3">
        <f>ROUND(C681*(1-Settings!$B$2),2)</f>
        <v>259.0</v>
      </c>
      <c r="E681" s="3">
        <f>ROUND(C681*(1-Settings!$B$3),2)</f>
        <v>259.0</v>
      </c>
      <c r="F681" s="2" t="inlineStr">
        <is>
          <t>Pokemon</t>
        </is>
      </c>
      <c r="G681" s="2" t="inlineStr">
        <is>
          <t>Box</t>
        </is>
      </c>
      <c r="H681" s="2" t="inlineStr">
        <is>
          <t>S3: Infinity Zone</t>
        </is>
      </c>
      <c r="I681" s="3" t="n"/>
      <c r="J681" s="3" t="n">
        <v>189.99</v>
      </c>
      <c r="K681" s="3" t="n"/>
      <c r="L681" s="3" t="n">
        <v>550</v>
      </c>
      <c r="M681" s="2" t="inlineStr">
        <is>
          <t>TCGplayer</t>
        </is>
      </c>
      <c r="O681" s="4" t="inlineStr">
        <is>
          <t>https://www.tcgplayer.com/product/571838</t>
        </is>
      </c>
    </row>
    <row r="682">
      <c r="A682" s="2" t="inlineStr">
        <is>
          <t>Legendary Heartbeat Booster Box</t>
        </is>
      </c>
      <c r="B682" s="3">
        <f>IF(I682&lt;&gt;"",I682,IF(J682&lt;&gt;"",J682,IF(K682&lt;&gt;"",K682,L682)))</f>
        <v>179.95</v>
      </c>
      <c r="C682" s="3">
        <f>MEDIAN(I682:L682)</f>
        <v>214.97</v>
      </c>
      <c r="D682" s="3">
        <f>ROUND(C682*(1-Settings!$B$2),2)</f>
        <v>150.48</v>
      </c>
      <c r="E682" s="3">
        <f>ROUND(C682*(1-Settings!$B$3),2)</f>
        <v>150.48</v>
      </c>
      <c r="F682" s="2" t="inlineStr">
        <is>
          <t>Pokemon</t>
        </is>
      </c>
      <c r="G682" s="2" t="inlineStr">
        <is>
          <t>Box</t>
        </is>
      </c>
      <c r="H682" s="2" t="inlineStr">
        <is>
          <t>S3a: Legendary Heartbeat</t>
        </is>
      </c>
      <c r="I682" s="3" t="n"/>
      <c r="J682" s="3" t="n">
        <v>179.95</v>
      </c>
      <c r="K682" s="3" t="n"/>
      <c r="L682" s="3" t="n">
        <v>249.99</v>
      </c>
      <c r="M682" s="2" t="inlineStr">
        <is>
          <t>TCGplayer</t>
        </is>
      </c>
      <c r="O682" s="4" t="inlineStr">
        <is>
          <t>https://www.tcgplayer.com/product/571836</t>
        </is>
      </c>
    </row>
    <row r="683">
      <c r="A683" s="2" t="inlineStr">
        <is>
          <t>Amazing Volt Tackle Booster Box</t>
        </is>
      </c>
      <c r="B683" s="3">
        <f>IF(I683&lt;&gt;"",I683,IF(J683&lt;&gt;"",J683,IF(K683&lt;&gt;"",K683,L683)))</f>
        <v>209.94</v>
      </c>
      <c r="C683" s="3">
        <f>MEDIAN(I683:L683)</f>
        <v>235.92</v>
      </c>
      <c r="D683" s="3">
        <f>ROUND(C683*(1-Settings!$B$2),2)</f>
        <v>165.14</v>
      </c>
      <c r="E683" s="3">
        <f>ROUND(C683*(1-Settings!$B$3),2)</f>
        <v>165.14</v>
      </c>
      <c r="F683" s="2" t="inlineStr">
        <is>
          <t>Pokemon</t>
        </is>
      </c>
      <c r="G683" s="2" t="inlineStr">
        <is>
          <t>Box</t>
        </is>
      </c>
      <c r="H683" s="2" t="inlineStr">
        <is>
          <t>S4: Amazing Volt Tackle</t>
        </is>
      </c>
      <c r="I683" s="3" t="n"/>
      <c r="J683" s="3" t="n">
        <v>209.94</v>
      </c>
      <c r="K683" s="3" t="n"/>
      <c r="L683" s="3" t="n">
        <v>261.9</v>
      </c>
      <c r="M683" s="2" t="inlineStr">
        <is>
          <t>TCGplayer</t>
        </is>
      </c>
      <c r="O683" s="4" t="inlineStr">
        <is>
          <t>https://www.tcgplayer.com/product/565373</t>
        </is>
      </c>
    </row>
    <row r="684">
      <c r="A684" s="2" t="inlineStr">
        <is>
          <t>Shiny Star V Booster Box</t>
        </is>
      </c>
      <c r="B684" s="3">
        <f>IF(I684&lt;&gt;"",I684,IF(J684&lt;&gt;"",J684,IF(K684&lt;&gt;"",K684,L684)))</f>
        <v>168.17</v>
      </c>
      <c r="C684" s="3">
        <f>MEDIAN(I684:L684)</f>
        <v>161.07</v>
      </c>
      <c r="D684" s="3">
        <f>ROUND(C684*(1-Settings!$B$2),2)</f>
        <v>112.75</v>
      </c>
      <c r="E684" s="3">
        <f>ROUND(C684*(1-Settings!$B$3),2)</f>
        <v>112.75</v>
      </c>
      <c r="F684" s="2" t="inlineStr">
        <is>
          <t>Pokemon</t>
        </is>
      </c>
      <c r="G684" s="2" t="inlineStr">
        <is>
          <t>Box</t>
        </is>
      </c>
      <c r="H684" s="2" t="inlineStr">
        <is>
          <t>S4a: Shiny Star V</t>
        </is>
      </c>
      <c r="I684" s="3" t="n"/>
      <c r="J684" s="3" t="n">
        <v>168.17</v>
      </c>
      <c r="K684" s="3" t="n"/>
      <c r="L684" s="3" t="n">
        <v>153.97</v>
      </c>
      <c r="M684" s="2" t="inlineStr">
        <is>
          <t>TCGplayer</t>
        </is>
      </c>
      <c r="O684" s="4" t="inlineStr">
        <is>
          <t>https://www.tcgplayer.com/product/565369</t>
        </is>
      </c>
    </row>
    <row r="685">
      <c r="A685" s="2" t="inlineStr">
        <is>
          <t>Peerless Fighters Master Booster Box</t>
        </is>
      </c>
      <c r="B685" s="3">
        <f>IF(I685&lt;&gt;"",I685,IF(J685&lt;&gt;"",J685,IF(K685&lt;&gt;"",K685,L685)))</f>
        <v>178.28</v>
      </c>
      <c r="C685" s="3">
        <f>MEDIAN(I685:L685)</f>
        <v>188.14</v>
      </c>
      <c r="D685" s="3">
        <f>ROUND(C685*(1-Settings!$B$2),2)</f>
        <v>131.7</v>
      </c>
      <c r="E685" s="3">
        <f>ROUND(C685*(1-Settings!$B$3),2)</f>
        <v>131.7</v>
      </c>
      <c r="F685" s="2" t="inlineStr">
        <is>
          <t>Pokemon</t>
        </is>
      </c>
      <c r="G685" s="2" t="inlineStr">
        <is>
          <t>Box</t>
        </is>
      </c>
      <c r="H685" s="2" t="inlineStr">
        <is>
          <t>S5a: Peerless Fighters</t>
        </is>
      </c>
      <c r="I685" s="3" t="n"/>
      <c r="J685" s="3" t="n">
        <v>178.28</v>
      </c>
      <c r="K685" s="3" t="n"/>
      <c r="L685" s="3" t="n">
        <v>198</v>
      </c>
      <c r="M685" s="2" t="inlineStr">
        <is>
          <t>TCGplayer</t>
        </is>
      </c>
      <c r="O685" s="4" t="inlineStr">
        <is>
          <t>https://www.tcgplayer.com/product/565362</t>
        </is>
      </c>
    </row>
    <row r="686">
      <c r="A686" s="2" t="inlineStr">
        <is>
          <t>Single Strike Master Booster Box</t>
        </is>
      </c>
      <c r="B686" s="3">
        <f>IF(I686&lt;&gt;"",I686,IF(J686&lt;&gt;"",J686,IF(K686&lt;&gt;"",K686,L686)))</f>
        <v>175.82</v>
      </c>
      <c r="C686" s="3">
        <f>MEDIAN(I686:L686)</f>
        <v>200.905</v>
      </c>
      <c r="D686" s="3">
        <f>ROUND(C686*(1-Settings!$B$2),2)</f>
        <v>140.63</v>
      </c>
      <c r="E686" s="3">
        <f>ROUND(C686*(1-Settings!$B$3),2)</f>
        <v>140.63</v>
      </c>
      <c r="F686" s="2" t="inlineStr">
        <is>
          <t>Pokemon</t>
        </is>
      </c>
      <c r="G686" s="2" t="inlineStr">
        <is>
          <t>Box</t>
        </is>
      </c>
      <c r="H686" s="2" t="inlineStr">
        <is>
          <t>S5I: Single Strike Master</t>
        </is>
      </c>
      <c r="I686" s="3" t="n"/>
      <c r="J686" s="3" t="n">
        <v>175.82</v>
      </c>
      <c r="K686" s="3" t="n"/>
      <c r="L686" s="3" t="n">
        <v>225.99</v>
      </c>
      <c r="M686" s="2" t="inlineStr">
        <is>
          <t>TCGplayer</t>
        </is>
      </c>
      <c r="O686" s="4" t="inlineStr">
        <is>
          <t>https://www.tcgplayer.com/product/565361</t>
        </is>
      </c>
    </row>
    <row r="687">
      <c r="A687" s="2" t="inlineStr">
        <is>
          <t>Rapid Strike Master Booster Box</t>
        </is>
      </c>
      <c r="B687" s="3">
        <f>IF(I687&lt;&gt;"",I687,IF(J687&lt;&gt;"",J687,IF(K687&lt;&gt;"",K687,L687)))</f>
        <v>169.07</v>
      </c>
      <c r="C687" s="3">
        <f>MEDIAN(I687:L687)</f>
        <v>197.53</v>
      </c>
      <c r="D687" s="3">
        <f>ROUND(C687*(1-Settings!$B$2),2)</f>
        <v>138.27</v>
      </c>
      <c r="E687" s="3">
        <f>ROUND(C687*(1-Settings!$B$3),2)</f>
        <v>138.27</v>
      </c>
      <c r="F687" s="2" t="inlineStr">
        <is>
          <t>Pokemon</t>
        </is>
      </c>
      <c r="G687" s="2" t="inlineStr">
        <is>
          <t>Box</t>
        </is>
      </c>
      <c r="H687" s="2" t="inlineStr">
        <is>
          <t>S5R: Rapid Strike Master</t>
        </is>
      </c>
      <c r="I687" s="3" t="n"/>
      <c r="J687" s="3" t="n">
        <v>169.07</v>
      </c>
      <c r="K687" s="3" t="n"/>
      <c r="L687" s="3" t="n">
        <v>225.99</v>
      </c>
      <c r="M687" s="2" t="inlineStr">
        <is>
          <t>TCGplayer</t>
        </is>
      </c>
      <c r="O687" s="4" t="inlineStr">
        <is>
          <t>https://www.tcgplayer.com/product/565358</t>
        </is>
      </c>
    </row>
    <row r="688">
      <c r="A688" s="2" t="inlineStr">
        <is>
          <t>Eevee Heroes Booster Box</t>
        </is>
      </c>
      <c r="B688" s="3">
        <f>IF(I688&lt;&gt;"",I688,IF(J688&lt;&gt;"",J688,IF(K688&lt;&gt;"",K688,L688)))</f>
        <v>895.98</v>
      </c>
      <c r="C688" s="3">
        <f>MEDIAN(I688:L688)</f>
        <v>555.04</v>
      </c>
      <c r="D688" s="3">
        <f>ROUND(C688*(1-Settings!$B$2),2)</f>
        <v>388.53</v>
      </c>
      <c r="E688" s="3">
        <f>ROUND(C688*(1-Settings!$B$3),2)</f>
        <v>388.53</v>
      </c>
      <c r="F688" s="2" t="inlineStr">
        <is>
          <t>Pokemon</t>
        </is>
      </c>
      <c r="G688" s="2" t="inlineStr">
        <is>
          <t>Box</t>
        </is>
      </c>
      <c r="H688" s="2" t="inlineStr">
        <is>
          <t>S6a: Eevee Heroes</t>
        </is>
      </c>
      <c r="I688" s="3" t="n"/>
      <c r="J688" s="3" t="n">
        <v>895.98</v>
      </c>
      <c r="K688" s="3" t="n"/>
      <c r="L688" s="3" t="n">
        <v>214.1</v>
      </c>
      <c r="M688" s="2" t="inlineStr">
        <is>
          <t>TCGplayer</t>
        </is>
      </c>
      <c r="O688" s="4" t="inlineStr">
        <is>
          <t>https://www.tcgplayer.com/product/565351</t>
        </is>
      </c>
    </row>
    <row r="689">
      <c r="A689" s="2" t="inlineStr">
        <is>
          <t>Silver Lance Booster Box</t>
        </is>
      </c>
      <c r="B689" s="3">
        <f>IF(I689&lt;&gt;"",I689,IF(J689&lt;&gt;"",J689,IF(K689&lt;&gt;"",K689,L689)))</f>
        <v>96.38</v>
      </c>
      <c r="C689" s="3">
        <f>MEDIAN(I689:L689)</f>
        <v>111.695</v>
      </c>
      <c r="D689" s="3">
        <f>ROUND(C689*(1-Settings!$B$2),2)</f>
        <v>78.19</v>
      </c>
      <c r="E689" s="3">
        <f>ROUND(C689*(1-Settings!$B$3),2)</f>
        <v>78.19</v>
      </c>
      <c r="F689" s="2" t="inlineStr">
        <is>
          <t>Pokemon</t>
        </is>
      </c>
      <c r="G689" s="2" t="inlineStr">
        <is>
          <t>Box</t>
        </is>
      </c>
      <c r="H689" s="2" t="inlineStr">
        <is>
          <t>S6H: Silver Lance</t>
        </is>
      </c>
      <c r="I689" s="3" t="n"/>
      <c r="J689" s="3" t="n">
        <v>96.38</v>
      </c>
      <c r="K689" s="3" t="n"/>
      <c r="L689" s="3" t="n">
        <v>127.01</v>
      </c>
      <c r="M689" s="2" t="inlineStr">
        <is>
          <t>TCGplayer</t>
        </is>
      </c>
      <c r="O689" s="4" t="inlineStr">
        <is>
          <t>https://www.tcgplayer.com/product/565348</t>
        </is>
      </c>
    </row>
    <row r="690">
      <c r="A690" s="2" t="inlineStr">
        <is>
          <t>Skyscraping Perfection Booster Box</t>
        </is>
      </c>
      <c r="B690" s="3">
        <f>IF(I690&lt;&gt;"",I690,IF(J690&lt;&gt;"",J690,IF(K690&lt;&gt;"",K690,L690)))</f>
        <v>126.4</v>
      </c>
      <c r="C690" s="3">
        <f>MEDIAN(I690:L690)</f>
        <v>126.4</v>
      </c>
      <c r="D690" s="3">
        <f>ROUND(C690*(1-Settings!$B$2),2)</f>
        <v>88.48</v>
      </c>
      <c r="E690" s="3">
        <f>ROUND(C690*(1-Settings!$B$3),2)</f>
        <v>88.48</v>
      </c>
      <c r="F690" s="2" t="inlineStr">
        <is>
          <t>Pokemon</t>
        </is>
      </c>
      <c r="G690" s="2" t="inlineStr">
        <is>
          <t>Box</t>
        </is>
      </c>
      <c r="H690" s="2" t="inlineStr">
        <is>
          <t>S7D: Skyscraping Perfection</t>
        </is>
      </c>
      <c r="I690" s="3" t="n"/>
      <c r="J690" s="3" t="n">
        <v>126.4</v>
      </c>
      <c r="K690" s="3" t="n"/>
      <c r="L690" s="3" t="n">
        <v>126.4</v>
      </c>
      <c r="M690" s="2" t="inlineStr">
        <is>
          <t>TCGplayer</t>
        </is>
      </c>
      <c r="O690" s="4" t="inlineStr">
        <is>
          <t>https://www.tcgplayer.com/product/565344</t>
        </is>
      </c>
    </row>
    <row r="691">
      <c r="A691" s="2" t="inlineStr">
        <is>
          <t>Fusion Arts Booster Box</t>
        </is>
      </c>
      <c r="B691" s="3">
        <f>IF(I691&lt;&gt;"",I691,IF(J691&lt;&gt;"",J691,IF(K691&lt;&gt;"",K691,L691)))</f>
        <v>329.15</v>
      </c>
      <c r="C691" s="3">
        <f>MEDIAN(I691:L691)</f>
        <v>224.075</v>
      </c>
      <c r="D691" s="3">
        <f>ROUND(C691*(1-Settings!$B$2),2)</f>
        <v>156.85</v>
      </c>
      <c r="E691" s="3">
        <f>ROUND(C691*(1-Settings!$B$3),2)</f>
        <v>156.85</v>
      </c>
      <c r="F691" s="2" t="inlineStr">
        <is>
          <t>Pokemon</t>
        </is>
      </c>
      <c r="G691" s="2" t="inlineStr">
        <is>
          <t>Box</t>
        </is>
      </c>
      <c r="H691" s="2" t="inlineStr">
        <is>
          <t>S8: Fusion Arts</t>
        </is>
      </c>
      <c r="I691" s="3" t="n"/>
      <c r="J691" s="3" t="n">
        <v>329.15</v>
      </c>
      <c r="K691" s="3" t="n"/>
      <c r="L691" s="3" t="n">
        <v>119</v>
      </c>
      <c r="M691" s="2" t="inlineStr">
        <is>
          <t>TCGplayer</t>
        </is>
      </c>
      <c r="O691" s="4" t="inlineStr">
        <is>
          <t>https://www.tcgplayer.com/product/565262</t>
        </is>
      </c>
    </row>
    <row r="692">
      <c r="A692" s="2" t="inlineStr">
        <is>
          <t>25th Anniversary Collection Booster Box</t>
        </is>
      </c>
      <c r="B692" s="3">
        <f>IF(I692&lt;&gt;"",I692,IF(J692&lt;&gt;"",J692,IF(K692&lt;&gt;"",K692,L692)))</f>
        <v>381.31</v>
      </c>
      <c r="C692" s="3">
        <f>MEDIAN(I692:L692)</f>
        <v>360.655</v>
      </c>
      <c r="D692" s="3">
        <f>ROUND(C692*(1-Settings!$B$2),2)</f>
        <v>252.46</v>
      </c>
      <c r="E692" s="3">
        <f>ROUND(C692*(1-Settings!$B$3),2)</f>
        <v>252.46</v>
      </c>
      <c r="F692" s="2" t="inlineStr">
        <is>
          <t>Pokemon</t>
        </is>
      </c>
      <c r="G692" s="2" t="inlineStr">
        <is>
          <t>Box</t>
        </is>
      </c>
      <c r="H692" s="2" t="inlineStr">
        <is>
          <t>S8a: 25th Anniversary Collection</t>
        </is>
      </c>
      <c r="I692" s="3" t="n"/>
      <c r="J692" s="3" t="n">
        <v>381.31</v>
      </c>
      <c r="K692" s="3" t="n"/>
      <c r="L692" s="3" t="n">
        <v>340</v>
      </c>
      <c r="M692" s="2" t="inlineStr">
        <is>
          <t>TCGplayer</t>
        </is>
      </c>
      <c r="O692" s="4" t="inlineStr">
        <is>
          <t>https://www.tcgplayer.com/product/565260</t>
        </is>
      </c>
    </row>
    <row r="693">
      <c r="A693" s="2" t="inlineStr">
        <is>
          <t>VMAX Climax Booster Box</t>
        </is>
      </c>
      <c r="B693" s="3">
        <f>IF(I693&lt;&gt;"",I693,IF(J693&lt;&gt;"",J693,IF(K693&lt;&gt;"",K693,L693)))</f>
        <v>231.92</v>
      </c>
      <c r="C693" s="3">
        <f>MEDIAN(I693:L693)</f>
        <v>195.95999999999998</v>
      </c>
      <c r="D693" s="3">
        <f>ROUND(C693*(1-Settings!$B$2),2)</f>
        <v>137.17</v>
      </c>
      <c r="E693" s="3">
        <f>ROUND(C693*(1-Settings!$B$3),2)</f>
        <v>137.17</v>
      </c>
      <c r="F693" s="2" t="inlineStr">
        <is>
          <t>Pokemon</t>
        </is>
      </c>
      <c r="G693" s="2" t="inlineStr">
        <is>
          <t>Box</t>
        </is>
      </c>
      <c r="H693" s="2" t="inlineStr">
        <is>
          <t>S8b: VMAX Climax</t>
        </is>
      </c>
      <c r="I693" s="3" t="n"/>
      <c r="J693" s="3" t="n">
        <v>231.92</v>
      </c>
      <c r="K693" s="3" t="n"/>
      <c r="L693" s="3" t="n">
        <v>160</v>
      </c>
      <c r="M693" s="2" t="inlineStr">
        <is>
          <t>TCGplayer</t>
        </is>
      </c>
      <c r="O693" s="4" t="inlineStr">
        <is>
          <t>https://www.tcgplayer.com/product/565259</t>
        </is>
      </c>
    </row>
    <row r="694">
      <c r="A694" s="2" t="inlineStr">
        <is>
          <t>Star Birth Booster Box</t>
        </is>
      </c>
      <c r="B694" s="3">
        <f>IF(I694&lt;&gt;"",I694,IF(J694&lt;&gt;"",J694,IF(K694&lt;&gt;"",K694,L694)))</f>
        <v>179.37</v>
      </c>
      <c r="C694" s="3">
        <f>MEDIAN(I694:L694)</f>
        <v>127.185</v>
      </c>
      <c r="D694" s="3">
        <f>ROUND(C694*(1-Settings!$B$2),2)</f>
        <v>89.03</v>
      </c>
      <c r="E694" s="3">
        <f>ROUND(C694*(1-Settings!$B$3),2)</f>
        <v>89.03</v>
      </c>
      <c r="F694" s="2" t="inlineStr">
        <is>
          <t>Pokemon</t>
        </is>
      </c>
      <c r="G694" s="2" t="inlineStr">
        <is>
          <t>Box</t>
        </is>
      </c>
      <c r="H694" s="2" t="inlineStr">
        <is>
          <t>S9: Star Birth</t>
        </is>
      </c>
      <c r="I694" s="3" t="n"/>
      <c r="J694" s="3" t="n">
        <v>179.37</v>
      </c>
      <c r="K694" s="3" t="n"/>
      <c r="L694" s="3" t="n">
        <v>75</v>
      </c>
      <c r="M694" s="2" t="inlineStr">
        <is>
          <t>TCGplayer</t>
        </is>
      </c>
      <c r="O694" s="4" t="inlineStr">
        <is>
          <t>https://www.tcgplayer.com/product/565256</t>
        </is>
      </c>
    </row>
    <row r="695">
      <c r="A695" s="2" t="inlineStr">
        <is>
          <t>Battle Region Booster Box</t>
        </is>
      </c>
      <c r="B695" s="3">
        <f>IF(I695&lt;&gt;"",I695,IF(J695&lt;&gt;"",J695,IF(K695&lt;&gt;"",K695,L695)))</f>
        <v>94.48</v>
      </c>
      <c r="C695" s="3">
        <f>MEDIAN(I695:L695)</f>
        <v>94.185</v>
      </c>
      <c r="D695" s="3">
        <f>ROUND(C695*(1-Settings!$B$2),2)</f>
        <v>65.93</v>
      </c>
      <c r="E695" s="3">
        <f>ROUND(C695*(1-Settings!$B$3),2)</f>
        <v>65.93</v>
      </c>
      <c r="F695" s="2" t="inlineStr">
        <is>
          <t>Pokemon</t>
        </is>
      </c>
      <c r="G695" s="2" t="inlineStr">
        <is>
          <t>Box</t>
        </is>
      </c>
      <c r="H695" s="2" t="inlineStr">
        <is>
          <t>S9a: Battle Region</t>
        </is>
      </c>
      <c r="I695" s="3" t="n"/>
      <c r="J695" s="3" t="n">
        <v>94.48</v>
      </c>
      <c r="K695" s="3" t="n"/>
      <c r="L695" s="3" t="n">
        <v>93.89</v>
      </c>
      <c r="M695" s="2" t="inlineStr">
        <is>
          <t>TCGplayer</t>
        </is>
      </c>
      <c r="O695" s="4" t="inlineStr">
        <is>
          <t>https://www.tcgplayer.com/product/565255</t>
        </is>
      </c>
    </row>
    <row r="696">
      <c r="A696" s="2" t="inlineStr">
        <is>
          <t>Secret Wonders Booster Box</t>
        </is>
      </c>
      <c r="B696" s="3">
        <f>IF(I696&lt;&gt;"",I696,IF(J696&lt;&gt;"",J696,IF(K696&lt;&gt;"",K696,L696)))</f>
        <v>11400.0</v>
      </c>
      <c r="C696" s="3">
        <f>MEDIAN(I696:L696)</f>
        <v>11400.0</v>
      </c>
      <c r="D696" s="3">
        <f>ROUND(C696*(1-Settings!$B$2),2)</f>
        <v>7980.0</v>
      </c>
      <c r="E696" s="3">
        <f>ROUND(C696*(1-Settings!$B$3),2)</f>
        <v>7980.0</v>
      </c>
      <c r="F696" s="2" t="inlineStr">
        <is>
          <t>Pokemon</t>
        </is>
      </c>
      <c r="G696" s="2" t="inlineStr">
        <is>
          <t>Box</t>
        </is>
      </c>
      <c r="H696" s="2" t="inlineStr">
        <is>
          <t>Secret Wonders</t>
        </is>
      </c>
      <c r="I696" s="3" t="n">
        <v>11400</v>
      </c>
      <c r="J696" s="3" t="n"/>
      <c r="K696" s="3" t="n"/>
      <c r="L696" s="3" t="n"/>
      <c r="M696" s="2" t="inlineStr">
        <is>
          <t>PriceCharting + TCGplayer</t>
        </is>
      </c>
      <c r="N696" s="4" t="inlineStr">
        <is>
          <t>https://www.pricecharting.com/game/pokemon-secret-wonders/booster-box</t>
        </is>
      </c>
      <c r="O696" s="4" t="inlineStr">
        <is>
          <t>https://www.tcgplayer.com/product/98568</t>
        </is>
      </c>
    </row>
    <row r="697">
      <c r="A697" s="2" t="inlineStr">
        <is>
          <t>Shining Fates Mini Tins Display Box</t>
        </is>
      </c>
      <c r="B697" s="3">
        <f>IF(I697&lt;&gt;"",I697,IF(J697&lt;&gt;"",J697,IF(K697&lt;&gt;"",K697,L697)))</f>
        <v>262.4</v>
      </c>
      <c r="C697" s="3">
        <f>MEDIAN(I697:L697)</f>
        <v>262.4</v>
      </c>
      <c r="D697" s="3">
        <f>ROUND(C697*(1-Settings!$B$2),2)</f>
        <v>183.68</v>
      </c>
      <c r="E697" s="3">
        <f>ROUND(C697*(1-Settings!$B$3),2)</f>
        <v>183.68</v>
      </c>
      <c r="F697" s="2" t="inlineStr">
        <is>
          <t>Pokemon</t>
        </is>
      </c>
      <c r="G697" s="2" t="inlineStr">
        <is>
          <t>Box</t>
        </is>
      </c>
      <c r="H697" s="2" t="inlineStr">
        <is>
          <t>Shining Fates</t>
        </is>
      </c>
      <c r="I697" s="3" t="n">
        <v>262.4</v>
      </c>
      <c r="J697" s="3" t="n"/>
      <c r="K697" s="3" t="n"/>
      <c r="L697" s="3" t="n"/>
      <c r="M697" s="2" t="inlineStr">
        <is>
          <t>PriceCharting</t>
        </is>
      </c>
      <c r="N697" s="4" t="inlineStr">
        <is>
          <t>https://www.pricecharting.com/game/pokemon-shining-fates/mini-tins-display-box</t>
        </is>
      </c>
    </row>
    <row r="698">
      <c r="A698" s="2" t="inlineStr">
        <is>
          <t>Shrouded Fable Booster Bundle Display Box</t>
        </is>
      </c>
      <c r="B698" s="3">
        <f>IF(I698&lt;&gt;"",I698,IF(J698&lt;&gt;"",J698,IF(K698&lt;&gt;"",K698,L698)))</f>
        <v>555.0</v>
      </c>
      <c r="C698" s="3">
        <f>MEDIAN(I698:L698)</f>
        <v>555.0</v>
      </c>
      <c r="D698" s="3">
        <f>ROUND(C698*(1-Settings!$B$2),2)</f>
        <v>388.5</v>
      </c>
      <c r="E698" s="3">
        <f>ROUND(C698*(1-Settings!$B$3),2)</f>
        <v>388.5</v>
      </c>
      <c r="F698" s="2" t="inlineStr">
        <is>
          <t>Pokemon</t>
        </is>
      </c>
      <c r="G698" s="2" t="inlineStr">
        <is>
          <t>Box</t>
        </is>
      </c>
      <c r="H698" s="2" t="inlineStr">
        <is>
          <t>Shrouded Fable</t>
        </is>
      </c>
      <c r="I698" s="3" t="n">
        <v>555</v>
      </c>
      <c r="J698" s="3" t="n"/>
      <c r="K698" s="3" t="n"/>
      <c r="L698" s="3" t="n"/>
      <c r="M698" s="2" t="inlineStr">
        <is>
          <t>PriceCharting</t>
        </is>
      </c>
      <c r="N698" s="4" t="inlineStr">
        <is>
          <t>https://www.pricecharting.com/game/pokemon-shrouded-fable/booster-bundle-display-box</t>
        </is>
      </c>
    </row>
    <row r="699">
      <c r="A699" s="2" t="inlineStr">
        <is>
          <t>Silver Tempest Half Booster Box</t>
        </is>
      </c>
      <c r="B699" s="3">
        <f>IF(I699&lt;&gt;"",I699,IF(J699&lt;&gt;"",J699,IF(K699&lt;&gt;"",K699,L699)))</f>
        <v>263.87</v>
      </c>
      <c r="C699" s="3">
        <f>MEDIAN(I699:L699)</f>
        <v>263.87</v>
      </c>
      <c r="D699" s="3">
        <f>ROUND(C699*(1-Settings!$B$2),2)</f>
        <v>184.71</v>
      </c>
      <c r="E699" s="3">
        <f>ROUND(C699*(1-Settings!$B$3),2)</f>
        <v>184.71</v>
      </c>
      <c r="F699" s="2" t="inlineStr">
        <is>
          <t>Pokemon</t>
        </is>
      </c>
      <c r="G699" s="2" t="inlineStr">
        <is>
          <t>Box</t>
        </is>
      </c>
      <c r="H699" s="2" t="inlineStr">
        <is>
          <t>Silver Tempest</t>
        </is>
      </c>
      <c r="I699" s="3" t="n">
        <v>263.87</v>
      </c>
      <c r="J699" s="3" t="n"/>
      <c r="K699" s="3" t="n"/>
      <c r="L699" s="3" t="n"/>
      <c r="M699" s="2" t="inlineStr">
        <is>
          <t>PriceCharting</t>
        </is>
      </c>
      <c r="N699" s="4" t="inlineStr">
        <is>
          <t>https://www.pricecharting.com/game/pokemon-silver-tempest/half-booster-box</t>
        </is>
      </c>
    </row>
    <row r="700">
      <c r="A700" s="2" t="inlineStr">
        <is>
          <t>Skyridge Booster Box</t>
        </is>
      </c>
      <c r="B700" s="3">
        <f>IF(I700&lt;&gt;"",I700,IF(J700&lt;&gt;"",J700,IF(K700&lt;&gt;"",K700,L700)))</f>
        <v>206250.0</v>
      </c>
      <c r="C700" s="3">
        <f>MEDIAN(I700:L700)</f>
        <v>206250.0</v>
      </c>
      <c r="D700" s="3">
        <f>ROUND(C700*(1-Settings!$B$2),2)</f>
        <v>144375.0</v>
      </c>
      <c r="E700" s="3">
        <f>ROUND(C700*(1-Settings!$B$3),2)</f>
        <v>144375.0</v>
      </c>
      <c r="F700" s="2" t="inlineStr">
        <is>
          <t>Pokemon</t>
        </is>
      </c>
      <c r="G700" s="2" t="inlineStr">
        <is>
          <t>Box</t>
        </is>
      </c>
      <c r="H700" s="2" t="inlineStr">
        <is>
          <t>Skyridge</t>
        </is>
      </c>
      <c r="I700" s="3" t="n">
        <v>206250</v>
      </c>
      <c r="J700" s="3" t="n"/>
      <c r="K700" s="3" t="n"/>
      <c r="L700" s="3" t="n"/>
      <c r="M700" s="2" t="inlineStr">
        <is>
          <t>PriceCharting</t>
        </is>
      </c>
      <c r="N700" s="4" t="inlineStr">
        <is>
          <t>https://www.pricecharting.com/game/pokemon-skyridge/booster-box</t>
        </is>
      </c>
    </row>
    <row r="701">
      <c r="A701" s="2" t="inlineStr">
        <is>
          <t>Burning Shadows Booster Box</t>
        </is>
      </c>
      <c r="B701" s="3">
        <f>IF(I701&lt;&gt;"",I701,IF(J701&lt;&gt;"",J701,IF(K701&lt;&gt;"",K701,L701)))</f>
        <v>1185.65</v>
      </c>
      <c r="C701" s="3">
        <f>MEDIAN(I701:L701)</f>
        <v>1241.3400000000001</v>
      </c>
      <c r="D701" s="3">
        <f>ROUND(C701*(1-Settings!$B$2),2)</f>
        <v>868.94</v>
      </c>
      <c r="E701" s="3">
        <f>ROUND(C701*(1-Settings!$B$3),2)</f>
        <v>868.94</v>
      </c>
      <c r="F701" s="2" t="inlineStr">
        <is>
          <t>Pokemon</t>
        </is>
      </c>
      <c r="G701" s="2" t="inlineStr">
        <is>
          <t>Box</t>
        </is>
      </c>
      <c r="H701" s="2" t="inlineStr">
        <is>
          <t>SM - Burning Shadows</t>
        </is>
      </c>
      <c r="I701" s="3" t="n">
        <v>1185.65</v>
      </c>
      <c r="J701" s="3" t="n">
        <v>1282.68</v>
      </c>
      <c r="K701" s="3" t="n">
        <v>2999.99</v>
      </c>
      <c r="L701" s="3" t="n">
        <v>1200</v>
      </c>
      <c r="M701" s="2" t="inlineStr">
        <is>
          <t>PriceCharting + TCGplayer</t>
        </is>
      </c>
      <c r="N701" s="4" t="inlineStr">
        <is>
          <t>https://www.pricecharting.com/game/pokemon-burning-shadows/booster-box</t>
        </is>
      </c>
      <c r="O701" s="4" t="inlineStr">
        <is>
          <t>https://www.tcgplayer.com/product/133773</t>
        </is>
      </c>
    </row>
    <row r="702">
      <c r="A702" s="2" t="inlineStr">
        <is>
          <t>Celestial Storm Booster Box</t>
        </is>
      </c>
      <c r="B702" s="3">
        <f>IF(I702&lt;&gt;"",I702,IF(J702&lt;&gt;"",J702,IF(K702&lt;&gt;"",K702,L702)))</f>
        <v>2376.0</v>
      </c>
      <c r="C702" s="3">
        <f>MEDIAN(I702:L702)</f>
        <v>2774.635</v>
      </c>
      <c r="D702" s="3">
        <f>ROUND(C702*(1-Settings!$B$2),2)</f>
        <v>1942.24</v>
      </c>
      <c r="E702" s="3">
        <f>ROUND(C702*(1-Settings!$B$3),2)</f>
        <v>1942.24</v>
      </c>
      <c r="F702" s="2" t="inlineStr">
        <is>
          <t>Pokemon</t>
        </is>
      </c>
      <c r="G702" s="2" t="inlineStr">
        <is>
          <t>Box</t>
        </is>
      </c>
      <c r="H702" s="2" t="inlineStr">
        <is>
          <t>SM - Celestial Storm</t>
        </is>
      </c>
      <c r="I702" s="3" t="n">
        <v>2376</v>
      </c>
      <c r="J702" s="3" t="n">
        <v>2559.28</v>
      </c>
      <c r="K702" s="3" t="n">
        <v>2999.5</v>
      </c>
      <c r="L702" s="3" t="n">
        <v>2989.99</v>
      </c>
      <c r="M702" s="2" t="inlineStr">
        <is>
          <t>PriceCharting + TCGplayer</t>
        </is>
      </c>
      <c r="N702" s="4" t="inlineStr">
        <is>
          <t>https://www.pricecharting.com/game/pokemon-celestial-storm/booster-box</t>
        </is>
      </c>
      <c r="O702" s="4" t="inlineStr">
        <is>
          <t>https://www.tcgplayer.com/product/170273</t>
        </is>
      </c>
    </row>
    <row r="703">
      <c r="A703" s="2" t="inlineStr">
        <is>
          <t>Crimson Invasion Booster Box</t>
        </is>
      </c>
      <c r="B703" s="3">
        <f>IF(I703&lt;&gt;"",I703,IF(J703&lt;&gt;"",J703,IF(K703&lt;&gt;"",K703,L703)))</f>
        <v>640.16</v>
      </c>
      <c r="C703" s="3">
        <f>MEDIAN(I703:L703)</f>
        <v>672.78</v>
      </c>
      <c r="D703" s="3">
        <f>ROUND(C703*(1-Settings!$B$2),2)</f>
        <v>470.95</v>
      </c>
      <c r="E703" s="3">
        <f>ROUND(C703*(1-Settings!$B$3),2)</f>
        <v>470.95</v>
      </c>
      <c r="F703" s="2" t="inlineStr">
        <is>
          <t>Pokemon</t>
        </is>
      </c>
      <c r="G703" s="2" t="inlineStr">
        <is>
          <t>Box</t>
        </is>
      </c>
      <c r="H703" s="2" t="inlineStr">
        <is>
          <t>SM - Crimson Invasion</t>
        </is>
      </c>
      <c r="I703" s="3" t="n">
        <v>640.16</v>
      </c>
      <c r="J703" s="3" t="n">
        <v>676.5599999999999</v>
      </c>
      <c r="K703" s="3" t="n">
        <v>720</v>
      </c>
      <c r="L703" s="3" t="n">
        <v>669</v>
      </c>
      <c r="M703" s="2" t="inlineStr">
        <is>
          <t>PriceCharting + TCGplayer</t>
        </is>
      </c>
      <c r="N703" s="4" t="inlineStr">
        <is>
          <t>https://www.pricecharting.com/game/pokemon-crimson-invasion/booster-box</t>
        </is>
      </c>
      <c r="O703" s="4" t="inlineStr">
        <is>
          <t>https://www.tcgplayer.com/product/146995</t>
        </is>
      </c>
    </row>
    <row r="704">
      <c r="A704" s="2" t="inlineStr">
        <is>
          <t>Forbidden Light Booster Box</t>
        </is>
      </c>
      <c r="B704" s="3">
        <f>IF(I704&lt;&gt;"",I704,IF(J704&lt;&gt;"",J704,IF(K704&lt;&gt;"",K704,L704)))</f>
        <v>1426.0</v>
      </c>
      <c r="C704" s="3">
        <f>MEDIAN(I704:L704)</f>
        <v>1623.9850000000001</v>
      </c>
      <c r="D704" s="3">
        <f>ROUND(C704*(1-Settings!$B$2),2)</f>
        <v>1136.79</v>
      </c>
      <c r="E704" s="3">
        <f>ROUND(C704*(1-Settings!$B$3),2)</f>
        <v>1136.79</v>
      </c>
      <c r="F704" s="2" t="inlineStr">
        <is>
          <t>Pokemon</t>
        </is>
      </c>
      <c r="G704" s="2" t="inlineStr">
        <is>
          <t>Box</t>
        </is>
      </c>
      <c r="H704" s="2" t="inlineStr">
        <is>
          <t>SM - Forbidden Light</t>
        </is>
      </c>
      <c r="I704" s="3" t="n">
        <v>1426</v>
      </c>
      <c r="J704" s="3" t="n">
        <v>1647.98</v>
      </c>
      <c r="K704" s="3" t="n">
        <v>1869.5</v>
      </c>
      <c r="L704" s="3" t="n">
        <v>1599.99</v>
      </c>
      <c r="M704" s="2" t="inlineStr">
        <is>
          <t>PriceCharting + TCGplayer</t>
        </is>
      </c>
      <c r="N704" s="4" t="inlineStr">
        <is>
          <t>https://www.pricecharting.com/game/pokemon-forbidden-light/booster-box</t>
        </is>
      </c>
      <c r="O704" s="4" t="inlineStr">
        <is>
          <t>https://www.tcgplayer.com/product/164296</t>
        </is>
      </c>
    </row>
    <row r="705">
      <c r="A705" s="2" t="inlineStr">
        <is>
          <t>Lost Thunder Booster Box</t>
        </is>
      </c>
      <c r="B705" s="3">
        <f>IF(I705&lt;&gt;"",I705,IF(J705&lt;&gt;"",J705,IF(K705&lt;&gt;"",K705,L705)))</f>
        <v>1795.0</v>
      </c>
      <c r="C705" s="3">
        <f>MEDIAN(I705:L705)</f>
        <v>1997.495</v>
      </c>
      <c r="D705" s="3">
        <f>ROUND(C705*(1-Settings!$B$2),2)</f>
        <v>1398.25</v>
      </c>
      <c r="E705" s="3">
        <f>ROUND(C705*(1-Settings!$B$3),2)</f>
        <v>1398.25</v>
      </c>
      <c r="F705" s="2" t="inlineStr">
        <is>
          <t>Pokemon</t>
        </is>
      </c>
      <c r="G705" s="2" t="inlineStr">
        <is>
          <t>Box</t>
        </is>
      </c>
      <c r="H705" s="2" t="inlineStr">
        <is>
          <t>SM - Lost Thunder</t>
        </is>
      </c>
      <c r="I705" s="3" t="n">
        <v>1795</v>
      </c>
      <c r="J705" s="3" t="n">
        <v>1582.5</v>
      </c>
      <c r="K705" s="3" t="n">
        <v>3548.97</v>
      </c>
      <c r="L705" s="3" t="n">
        <v>2199.99</v>
      </c>
      <c r="M705" s="2" t="inlineStr">
        <is>
          <t>PriceCharting + TCGplayer</t>
        </is>
      </c>
      <c r="N705" s="4" t="inlineStr">
        <is>
          <t>https://www.pricecharting.com/game/pokemon-lost-thunder/booster-box</t>
        </is>
      </c>
      <c r="O705" s="4" t="inlineStr">
        <is>
          <t>https://www.tcgplayer.com/product/175509</t>
        </is>
      </c>
    </row>
    <row r="706">
      <c r="A706" s="2" t="inlineStr">
        <is>
          <t>Team Up Booster Box</t>
        </is>
      </c>
      <c r="B706" s="3">
        <f>IF(I706&lt;&gt;"",I706,IF(J706&lt;&gt;"",J706,IF(K706&lt;&gt;"",K706,L706)))</f>
        <v>12443.19</v>
      </c>
      <c r="C706" s="3">
        <f>MEDIAN(I706:L706)</f>
        <v>13721.44</v>
      </c>
      <c r="D706" s="3">
        <f>ROUND(C706*(1-Settings!$B$2),2)</f>
        <v>9605.01</v>
      </c>
      <c r="E706" s="3">
        <f>ROUND(C706*(1-Settings!$B$3),2)</f>
        <v>9605.01</v>
      </c>
      <c r="F706" s="2" t="inlineStr">
        <is>
          <t>Pokemon</t>
        </is>
      </c>
      <c r="G706" s="2" t="inlineStr">
        <is>
          <t>Box</t>
        </is>
      </c>
      <c r="H706" s="2" t="inlineStr">
        <is>
          <t>SM - Team Up</t>
        </is>
      </c>
      <c r="I706" s="3" t="n">
        <v>12443.19</v>
      </c>
      <c r="J706" s="3" t="n">
        <v>11650</v>
      </c>
      <c r="K706" s="3" t="n">
        <v>19999.84</v>
      </c>
      <c r="L706" s="3" t="n">
        <v>14999.69</v>
      </c>
      <c r="M706" s="2" t="inlineStr">
        <is>
          <t>PriceCharting + TCGplayer</t>
        </is>
      </c>
      <c r="N706" s="4" t="inlineStr">
        <is>
          <t>https://www.pricecharting.com/game/pokemon-team-up/booster-box</t>
        </is>
      </c>
      <c r="O706" s="4" t="inlineStr">
        <is>
          <t>https://www.tcgplayer.com/product/181698</t>
        </is>
      </c>
    </row>
    <row r="707">
      <c r="A707" s="2" t="inlineStr">
        <is>
          <t>Ultra Prism Booster Box</t>
        </is>
      </c>
      <c r="B707" s="3">
        <f>IF(I707&lt;&gt;"",I707,IF(J707&lt;&gt;"",J707,IF(K707&lt;&gt;"",K707,L707)))</f>
        <v>1500.63</v>
      </c>
      <c r="C707" s="3">
        <f>MEDIAN(I707:L707)</f>
        <v>1608.3049999999998</v>
      </c>
      <c r="D707" s="3">
        <f>ROUND(C707*(1-Settings!$B$2),2)</f>
        <v>1125.81</v>
      </c>
      <c r="E707" s="3">
        <f>ROUND(C707*(1-Settings!$B$3),2)</f>
        <v>1125.81</v>
      </c>
      <c r="F707" s="2" t="inlineStr">
        <is>
          <t>Pokemon</t>
        </is>
      </c>
      <c r="G707" s="2" t="inlineStr">
        <is>
          <t>Box</t>
        </is>
      </c>
      <c r="H707" s="2" t="inlineStr">
        <is>
          <t>SM - Ultra Prism</t>
        </is>
      </c>
      <c r="I707" s="3" t="n">
        <v>1500.63</v>
      </c>
      <c r="J707" s="3" t="n">
        <v>1516.62</v>
      </c>
      <c r="K707" s="3" t="n">
        <v>1850</v>
      </c>
      <c r="L707" s="3" t="n">
        <v>1699.99</v>
      </c>
      <c r="M707" s="2" t="inlineStr">
        <is>
          <t>PriceCharting + TCGplayer</t>
        </is>
      </c>
      <c r="N707" s="4" t="inlineStr">
        <is>
          <t>https://www.pricecharting.com/game/pokemon-ultra-prism/booster-box</t>
        </is>
      </c>
      <c r="O707" s="4" t="inlineStr">
        <is>
          <t>https://www.tcgplayer.com/product/155661</t>
        </is>
      </c>
    </row>
    <row r="708">
      <c r="A708" s="2" t="inlineStr">
        <is>
          <t>Unbroken Bonds Booster Box</t>
        </is>
      </c>
      <c r="B708" s="3">
        <f>IF(I708&lt;&gt;"",I708,IF(J708&lt;&gt;"",J708,IF(K708&lt;&gt;"",K708,L708)))</f>
        <v>2538.28</v>
      </c>
      <c r="C708" s="3">
        <f>MEDIAN(I708:L708)</f>
        <v>2704.68</v>
      </c>
      <c r="D708" s="3">
        <f>ROUND(C708*(1-Settings!$B$2),2)</f>
        <v>1893.28</v>
      </c>
      <c r="E708" s="3">
        <f>ROUND(C708*(1-Settings!$B$3),2)</f>
        <v>1893.28</v>
      </c>
      <c r="F708" s="2" t="inlineStr">
        <is>
          <t>Pokemon</t>
        </is>
      </c>
      <c r="G708" s="2" t="inlineStr">
        <is>
          <t>Box</t>
        </is>
      </c>
      <c r="H708" s="2" t="inlineStr">
        <is>
          <t>SM - Unbroken Bonds</t>
        </is>
      </c>
      <c r="I708" s="3" t="n">
        <v>2538.28</v>
      </c>
      <c r="J708" s="3" t="n">
        <v>2609.39</v>
      </c>
      <c r="K708" s="3" t="n">
        <v>4497.95</v>
      </c>
      <c r="L708" s="3" t="n">
        <v>2799.97</v>
      </c>
      <c r="M708" s="2" t="inlineStr">
        <is>
          <t>PriceCharting + TCGplayer</t>
        </is>
      </c>
      <c r="N708" s="4" t="inlineStr">
        <is>
          <t>https://www.pricecharting.com/game/pokemon-unbroken-bonds/booster-box</t>
        </is>
      </c>
      <c r="O708" s="4" t="inlineStr">
        <is>
          <t>https://www.tcgplayer.com/product/185717</t>
        </is>
      </c>
    </row>
    <row r="709">
      <c r="A709" s="2" t="inlineStr">
        <is>
          <t>Unified Minds Booster Box</t>
        </is>
      </c>
      <c r="B709" s="3">
        <f>IF(I709&lt;&gt;"",I709,IF(J709&lt;&gt;"",J709,IF(K709&lt;&gt;"",K709,L709)))</f>
        <v>3225.18</v>
      </c>
      <c r="C709" s="3">
        <f>MEDIAN(I709:L709)</f>
        <v>3364.59</v>
      </c>
      <c r="D709" s="3">
        <f>ROUND(C709*(1-Settings!$B$2),2)</f>
        <v>2355.21</v>
      </c>
      <c r="E709" s="3">
        <f>ROUND(C709*(1-Settings!$B$3),2)</f>
        <v>2355.21</v>
      </c>
      <c r="F709" s="2" t="inlineStr">
        <is>
          <t>Pokemon</t>
        </is>
      </c>
      <c r="G709" s="2" t="inlineStr">
        <is>
          <t>Box</t>
        </is>
      </c>
      <c r="H709" s="2" t="inlineStr">
        <is>
          <t>SM - Unified Minds</t>
        </is>
      </c>
      <c r="I709" s="3" t="n">
        <v>3225.18</v>
      </c>
      <c r="J709" s="3" t="n">
        <v>3240.3</v>
      </c>
      <c r="K709" s="3" t="n">
        <v>4402.49</v>
      </c>
      <c r="L709" s="3" t="n">
        <v>3488.88</v>
      </c>
      <c r="M709" s="2" t="inlineStr">
        <is>
          <t>PriceCharting + TCGplayer</t>
        </is>
      </c>
      <c r="N709" s="4" t="inlineStr">
        <is>
          <t>https://www.pricecharting.com/game/pokemon-unified-minds/booster-box</t>
        </is>
      </c>
      <c r="O709" s="4" t="inlineStr">
        <is>
          <t>https://www.tcgplayer.com/product/191882</t>
        </is>
      </c>
    </row>
    <row r="710">
      <c r="A710" s="2" t="inlineStr">
        <is>
          <t>Sun &amp; Moon Booster Box</t>
        </is>
      </c>
      <c r="B710" s="3">
        <f>IF(I710&lt;&gt;"",I710,IF(J710&lt;&gt;"",J710,IF(K710&lt;&gt;"",K710,L710)))</f>
        <v>1004.99</v>
      </c>
      <c r="C710" s="3">
        <f>MEDIAN(I710:L710)</f>
        <v>1040.0</v>
      </c>
      <c r="D710" s="3">
        <f>ROUND(C710*(1-Settings!$B$2),2)</f>
        <v>728.0</v>
      </c>
      <c r="E710" s="3">
        <f>ROUND(C710*(1-Settings!$B$3),2)</f>
        <v>728.0</v>
      </c>
      <c r="F710" s="2" t="inlineStr">
        <is>
          <t>Pokemon</t>
        </is>
      </c>
      <c r="G710" s="2" t="inlineStr">
        <is>
          <t>Box</t>
        </is>
      </c>
      <c r="H710" s="2" t="inlineStr">
        <is>
          <t>SM Base Set</t>
        </is>
      </c>
      <c r="I710" s="3" t="n"/>
      <c r="J710" s="3" t="n">
        <v>1004.99</v>
      </c>
      <c r="K710" s="3" t="n">
        <v>1109.49</v>
      </c>
      <c r="L710" s="3" t="n">
        <v>1040</v>
      </c>
      <c r="M710" s="2" t="inlineStr">
        <is>
          <t>TCGplayer</t>
        </is>
      </c>
      <c r="O710" s="4" t="inlineStr">
        <is>
          <t>https://www.tcgplayer.com/product/126048</t>
        </is>
      </c>
    </row>
    <row r="711">
      <c r="A711" s="2" t="inlineStr">
        <is>
          <t>Double Blaze Booster Box</t>
        </is>
      </c>
      <c r="B711" s="3">
        <f>IF(I711&lt;&gt;"",I711,IF(J711&lt;&gt;"",J711,IF(K711&lt;&gt;"",K711,L711)))</f>
        <v>549.99</v>
      </c>
      <c r="C711" s="3">
        <f>MEDIAN(I711:L711)</f>
        <v>699.99</v>
      </c>
      <c r="D711" s="3">
        <f>ROUND(C711*(1-Settings!$B$2),2)</f>
        <v>489.99</v>
      </c>
      <c r="E711" s="3">
        <f>ROUND(C711*(1-Settings!$B$3),2)</f>
        <v>489.99</v>
      </c>
      <c r="F711" s="2" t="inlineStr">
        <is>
          <t>Pokemon</t>
        </is>
      </c>
      <c r="G711" s="2" t="inlineStr">
        <is>
          <t>Box</t>
        </is>
      </c>
      <c r="H711" s="2" t="inlineStr">
        <is>
          <t>SM10: Double Blaze</t>
        </is>
      </c>
      <c r="I711" s="3" t="n"/>
      <c r="J711" s="3" t="n">
        <v>549.99</v>
      </c>
      <c r="K711" s="3" t="n"/>
      <c r="L711" s="3" t="n">
        <v>849.99</v>
      </c>
      <c r="M711" s="2" t="inlineStr">
        <is>
          <t>TCGplayer</t>
        </is>
      </c>
      <c r="O711" s="4" t="inlineStr">
        <is>
          <t>https://www.tcgplayer.com/product/576914</t>
        </is>
      </c>
    </row>
    <row r="712">
      <c r="A712" s="2" t="inlineStr">
        <is>
          <t>GG End Booster Box</t>
        </is>
      </c>
      <c r="B712" s="3">
        <f>IF(I712&lt;&gt;"",I712,IF(J712&lt;&gt;"",J712,IF(K712&lt;&gt;"",K712,L712)))</f>
        <v>595.0</v>
      </c>
      <c r="C712" s="3">
        <f>MEDIAN(I712:L712)</f>
        <v>1194.995</v>
      </c>
      <c r="D712" s="3">
        <f>ROUND(C712*(1-Settings!$B$2),2)</f>
        <v>836.5</v>
      </c>
      <c r="E712" s="3">
        <f>ROUND(C712*(1-Settings!$B$3),2)</f>
        <v>836.5</v>
      </c>
      <c r="F712" s="2" t="inlineStr">
        <is>
          <t>Pokemon</t>
        </is>
      </c>
      <c r="G712" s="2" t="inlineStr">
        <is>
          <t>Box</t>
        </is>
      </c>
      <c r="H712" s="2" t="inlineStr">
        <is>
          <t>SM10a: GG End</t>
        </is>
      </c>
      <c r="I712" s="3" t="n"/>
      <c r="J712" s="3" t="n">
        <v>595</v>
      </c>
      <c r="K712" s="3" t="n"/>
      <c r="L712" s="3" t="n">
        <v>1794.99</v>
      </c>
      <c r="M712" s="2" t="inlineStr">
        <is>
          <t>TCGplayer</t>
        </is>
      </c>
      <c r="O712" s="4" t="inlineStr">
        <is>
          <t>https://www.tcgplayer.com/product/576951</t>
        </is>
      </c>
    </row>
    <row r="713">
      <c r="A713" s="2" t="inlineStr">
        <is>
          <t>Sky Legend Booster Box</t>
        </is>
      </c>
      <c r="B713" s="3">
        <f>IF(I713&lt;&gt;"",I713,IF(J713&lt;&gt;"",J713,IF(K713&lt;&gt;"",K713,L713)))</f>
        <v>615.0</v>
      </c>
      <c r="C713" s="3">
        <f>MEDIAN(I713:L713)</f>
        <v>731.995</v>
      </c>
      <c r="D713" s="3">
        <f>ROUND(C713*(1-Settings!$B$2),2)</f>
        <v>512.4</v>
      </c>
      <c r="E713" s="3">
        <f>ROUND(C713*(1-Settings!$B$3),2)</f>
        <v>512.4</v>
      </c>
      <c r="F713" s="2" t="inlineStr">
        <is>
          <t>Pokemon</t>
        </is>
      </c>
      <c r="G713" s="2" t="inlineStr">
        <is>
          <t>Box</t>
        </is>
      </c>
      <c r="H713" s="2" t="inlineStr">
        <is>
          <t>SM10b: Sky Legend</t>
        </is>
      </c>
      <c r="I713" s="3" t="n"/>
      <c r="J713" s="3" t="n">
        <v>615</v>
      </c>
      <c r="K713" s="3" t="n"/>
      <c r="L713" s="3" t="n">
        <v>848.99</v>
      </c>
      <c r="M713" s="2" t="inlineStr">
        <is>
          <t>TCGplayer</t>
        </is>
      </c>
      <c r="O713" s="4" t="inlineStr">
        <is>
          <t>https://www.tcgplayer.com/product/576953</t>
        </is>
      </c>
    </row>
    <row r="714">
      <c r="A714" s="2" t="inlineStr">
        <is>
          <t>Miracle Twin Booster Box</t>
        </is>
      </c>
      <c r="B714" s="3">
        <f>IF(I714&lt;&gt;"",I714,IF(J714&lt;&gt;"",J714,IF(K714&lt;&gt;"",K714,L714)))</f>
        <v>1099.9</v>
      </c>
      <c r="C714" s="3">
        <f>MEDIAN(I714:L714)</f>
        <v>1099.9</v>
      </c>
      <c r="D714" s="3">
        <f>ROUND(C714*(1-Settings!$B$2),2)</f>
        <v>769.93</v>
      </c>
      <c r="E714" s="3">
        <f>ROUND(C714*(1-Settings!$B$3),2)</f>
        <v>769.93</v>
      </c>
      <c r="F714" s="2" t="inlineStr">
        <is>
          <t>Pokemon</t>
        </is>
      </c>
      <c r="G714" s="2" t="inlineStr">
        <is>
          <t>Box</t>
        </is>
      </c>
      <c r="H714" s="2" t="inlineStr">
        <is>
          <t>SM11: Miracle Twin</t>
        </is>
      </c>
      <c r="I714" s="3" t="n"/>
      <c r="J714" s="3" t="n"/>
      <c r="K714" s="3" t="n"/>
      <c r="L714" s="3" t="n">
        <v>1099.9</v>
      </c>
      <c r="M714" s="2" t="inlineStr">
        <is>
          <t>TCGplayer</t>
        </is>
      </c>
      <c r="O714" s="4" t="inlineStr">
        <is>
          <t>https://www.tcgplayer.com/product/576917</t>
        </is>
      </c>
    </row>
    <row r="715">
      <c r="A715" s="2" t="inlineStr">
        <is>
          <t>Remix Bout Booster Box</t>
        </is>
      </c>
      <c r="B715" s="3">
        <f>IF(I715&lt;&gt;"",I715,IF(J715&lt;&gt;"",J715,IF(K715&lt;&gt;"",K715,L715)))</f>
        <v>648.99</v>
      </c>
      <c r="C715" s="3">
        <f>MEDIAN(I715:L715)</f>
        <v>924.49</v>
      </c>
      <c r="D715" s="3">
        <f>ROUND(C715*(1-Settings!$B$2),2)</f>
        <v>647.14</v>
      </c>
      <c r="E715" s="3">
        <f>ROUND(C715*(1-Settings!$B$3),2)</f>
        <v>647.14</v>
      </c>
      <c r="F715" s="2" t="inlineStr">
        <is>
          <t>Pokemon</t>
        </is>
      </c>
      <c r="G715" s="2" t="inlineStr">
        <is>
          <t>Box</t>
        </is>
      </c>
      <c r="H715" s="2" t="inlineStr">
        <is>
          <t>SM11a: Remix Bout</t>
        </is>
      </c>
      <c r="I715" s="3" t="n"/>
      <c r="J715" s="3" t="n">
        <v>648.99</v>
      </c>
      <c r="K715" s="3" t="n"/>
      <c r="L715" s="3" t="n">
        <v>1199.99</v>
      </c>
      <c r="M715" s="2" t="inlineStr">
        <is>
          <t>TCGplayer</t>
        </is>
      </c>
      <c r="O715" s="4" t="inlineStr">
        <is>
          <t>https://www.tcgplayer.com/product/576955</t>
        </is>
      </c>
    </row>
    <row r="716">
      <c r="A716" s="2" t="inlineStr">
        <is>
          <t>Dream League Booster Box</t>
        </is>
      </c>
      <c r="B716" s="3">
        <f>IF(I716&lt;&gt;"",I716,IF(J716&lt;&gt;"",J716,IF(K716&lt;&gt;"",K716,L716)))</f>
        <v>770.0</v>
      </c>
      <c r="C716" s="3">
        <f>MEDIAN(I716:L716)</f>
        <v>781.0</v>
      </c>
      <c r="D716" s="3">
        <f>ROUND(C716*(1-Settings!$B$2),2)</f>
        <v>546.7</v>
      </c>
      <c r="E716" s="3">
        <f>ROUND(C716*(1-Settings!$B$3),2)</f>
        <v>546.7</v>
      </c>
      <c r="F716" s="2" t="inlineStr">
        <is>
          <t>Pokemon</t>
        </is>
      </c>
      <c r="G716" s="2" t="inlineStr">
        <is>
          <t>Box</t>
        </is>
      </c>
      <c r="H716" s="2" t="inlineStr">
        <is>
          <t>SM11b: Dream League</t>
        </is>
      </c>
      <c r="I716" s="3" t="n"/>
      <c r="J716" s="3" t="n">
        <v>770</v>
      </c>
      <c r="K716" s="3" t="n"/>
      <c r="L716" s="3" t="n">
        <v>792</v>
      </c>
      <c r="M716" s="2" t="inlineStr">
        <is>
          <t>TCGplayer</t>
        </is>
      </c>
      <c r="O716" s="4" t="inlineStr">
        <is>
          <t>https://www.tcgplayer.com/product/576957</t>
        </is>
      </c>
    </row>
    <row r="717">
      <c r="A717" s="2" t="inlineStr">
        <is>
          <t>Alter Genesis Booster Box</t>
        </is>
      </c>
      <c r="B717" s="3">
        <f>IF(I717&lt;&gt;"",I717,IF(J717&lt;&gt;"",J717,IF(K717&lt;&gt;"",K717,L717)))</f>
        <v>599.0</v>
      </c>
      <c r="C717" s="3">
        <f>MEDIAN(I717:L717)</f>
        <v>669.475</v>
      </c>
      <c r="D717" s="3">
        <f>ROUND(C717*(1-Settings!$B$2),2)</f>
        <v>468.63</v>
      </c>
      <c r="E717" s="3">
        <f>ROUND(C717*(1-Settings!$B$3),2)</f>
        <v>468.63</v>
      </c>
      <c r="F717" s="2" t="inlineStr">
        <is>
          <t>Pokemon</t>
        </is>
      </c>
      <c r="G717" s="2" t="inlineStr">
        <is>
          <t>Box</t>
        </is>
      </c>
      <c r="H717" s="2" t="inlineStr">
        <is>
          <t>SM12: Alter Genesis</t>
        </is>
      </c>
      <c r="I717" s="3" t="n"/>
      <c r="J717" s="3" t="n">
        <v>599</v>
      </c>
      <c r="K717" s="3" t="n"/>
      <c r="L717" s="3" t="n">
        <v>739.95</v>
      </c>
      <c r="M717" s="2" t="inlineStr">
        <is>
          <t>TCGplayer</t>
        </is>
      </c>
      <c r="O717" s="4" t="inlineStr">
        <is>
          <t>https://www.tcgplayer.com/product/576919</t>
        </is>
      </c>
    </row>
    <row r="718">
      <c r="A718" s="2" t="inlineStr">
        <is>
          <t>TAG TEAM GX: Tag All Stars Booster Box</t>
        </is>
      </c>
      <c r="B718" s="3">
        <f>IF(I718&lt;&gt;"",I718,IF(J718&lt;&gt;"",J718,IF(K718&lt;&gt;"",K718,L718)))</f>
        <v>976.14</v>
      </c>
      <c r="C718" s="3">
        <f>MEDIAN(I718:L718)</f>
        <v>1038.07</v>
      </c>
      <c r="D718" s="3">
        <f>ROUND(C718*(1-Settings!$B$2),2)</f>
        <v>726.65</v>
      </c>
      <c r="E718" s="3">
        <f>ROUND(C718*(1-Settings!$B$3),2)</f>
        <v>726.65</v>
      </c>
      <c r="F718" s="2" t="inlineStr">
        <is>
          <t>Pokemon</t>
        </is>
      </c>
      <c r="G718" s="2" t="inlineStr">
        <is>
          <t>Box</t>
        </is>
      </c>
      <c r="H718" s="2" t="inlineStr">
        <is>
          <t>SM12a: TAG TEAM GX: Tag All Stars</t>
        </is>
      </c>
      <c r="I718" s="3" t="n"/>
      <c r="J718" s="3" t="n">
        <v>976.14</v>
      </c>
      <c r="K718" s="3" t="n"/>
      <c r="L718" s="3" t="n">
        <v>1100</v>
      </c>
      <c r="M718" s="2" t="inlineStr">
        <is>
          <t>TCGplayer</t>
        </is>
      </c>
      <c r="O718" s="4" t="inlineStr">
        <is>
          <t>https://www.tcgplayer.com/product/576964</t>
        </is>
      </c>
    </row>
    <row r="719">
      <c r="A719" s="2" t="inlineStr">
        <is>
          <t>Ultra Force Booster Box</t>
        </is>
      </c>
      <c r="B719" s="3">
        <f>IF(I719&lt;&gt;"",I719,IF(J719&lt;&gt;"",J719,IF(K719&lt;&gt;"",K719,L719)))</f>
        <v>230.0</v>
      </c>
      <c r="C719" s="3">
        <f>MEDIAN(I719:L719)</f>
        <v>465.0</v>
      </c>
      <c r="D719" s="3">
        <f>ROUND(C719*(1-Settings!$B$2),2)</f>
        <v>325.5</v>
      </c>
      <c r="E719" s="3">
        <f>ROUND(C719*(1-Settings!$B$3),2)</f>
        <v>325.5</v>
      </c>
      <c r="F719" s="2" t="inlineStr">
        <is>
          <t>Pokemon</t>
        </is>
      </c>
      <c r="G719" s="2" t="inlineStr">
        <is>
          <t>Box</t>
        </is>
      </c>
      <c r="H719" s="2" t="inlineStr">
        <is>
          <t>SM5+: Ultra Force</t>
        </is>
      </c>
      <c r="I719" s="3" t="n"/>
      <c r="J719" s="3" t="n">
        <v>230</v>
      </c>
      <c r="K719" s="3" t="n"/>
      <c r="L719" s="3" t="n">
        <v>700</v>
      </c>
      <c r="M719" s="2" t="inlineStr">
        <is>
          <t>TCGplayer</t>
        </is>
      </c>
      <c r="O719" s="4" t="inlineStr">
        <is>
          <t>https://www.tcgplayer.com/product/576927</t>
        </is>
      </c>
    </row>
    <row r="720">
      <c r="A720" s="2" t="inlineStr">
        <is>
          <t>Ultra Sun Booster Box</t>
        </is>
      </c>
      <c r="B720" s="3">
        <f>IF(I720&lt;&gt;"",I720,IF(J720&lt;&gt;"",J720,IF(K720&lt;&gt;"",K720,L720)))</f>
        <v>500.0</v>
      </c>
      <c r="C720" s="3">
        <f>MEDIAN(I720:L720)</f>
        <v>500.0</v>
      </c>
      <c r="D720" s="3">
        <f>ROUND(C720*(1-Settings!$B$2),2)</f>
        <v>350.0</v>
      </c>
      <c r="E720" s="3">
        <f>ROUND(C720*(1-Settings!$B$3),2)</f>
        <v>350.0</v>
      </c>
      <c r="F720" s="2" t="inlineStr">
        <is>
          <t>Pokemon</t>
        </is>
      </c>
      <c r="G720" s="2" t="inlineStr">
        <is>
          <t>Box</t>
        </is>
      </c>
      <c r="H720" s="2" t="inlineStr">
        <is>
          <t>SM5S: Ultra Sun</t>
        </is>
      </c>
      <c r="I720" s="3" t="n"/>
      <c r="J720" s="3" t="n">
        <v>500</v>
      </c>
      <c r="K720" s="3" t="n"/>
      <c r="L720" s="3" t="n"/>
      <c r="M720" s="2" t="inlineStr">
        <is>
          <t>TCGplayer</t>
        </is>
      </c>
      <c r="O720" s="4" t="inlineStr">
        <is>
          <t>https://www.tcgplayer.com/product/576902</t>
        </is>
      </c>
    </row>
    <row r="721">
      <c r="A721" s="2" t="inlineStr">
        <is>
          <t>Champion Road Booster Box</t>
        </is>
      </c>
      <c r="B721" s="3">
        <f>IF(I721&lt;&gt;"",I721,IF(J721&lt;&gt;"",J721,IF(K721&lt;&gt;"",K721,L721)))</f>
        <v>820.0</v>
      </c>
      <c r="C721" s="3">
        <f>MEDIAN(I721:L721)</f>
        <v>820.0</v>
      </c>
      <c r="D721" s="3">
        <f>ROUND(C721*(1-Settings!$B$2),2)</f>
        <v>574.0</v>
      </c>
      <c r="E721" s="3">
        <f>ROUND(C721*(1-Settings!$B$3),2)</f>
        <v>574.0</v>
      </c>
      <c r="F721" s="2" t="inlineStr">
        <is>
          <t>Pokemon</t>
        </is>
      </c>
      <c r="G721" s="2" t="inlineStr">
        <is>
          <t>Box</t>
        </is>
      </c>
      <c r="H721" s="2" t="inlineStr">
        <is>
          <t>SM6b: Champion Road</t>
        </is>
      </c>
      <c r="I721" s="3" t="n"/>
      <c r="J721" s="3" t="n"/>
      <c r="K721" s="3" t="n"/>
      <c r="L721" s="3" t="n">
        <v>820</v>
      </c>
      <c r="M721" s="2" t="inlineStr">
        <is>
          <t>TCGplayer</t>
        </is>
      </c>
      <c r="O721" s="4" t="inlineStr">
        <is>
          <t>https://www.tcgplayer.com/product/576931</t>
        </is>
      </c>
    </row>
    <row r="722">
      <c r="A722" s="2" t="inlineStr">
        <is>
          <t>Sky-Splitting Charisma Booster Box</t>
        </is>
      </c>
      <c r="B722" s="3">
        <f>IF(I722&lt;&gt;"",I722,IF(J722&lt;&gt;"",J722,IF(K722&lt;&gt;"",K722,L722)))</f>
        <v>1999.99</v>
      </c>
      <c r="C722" s="3">
        <f>MEDIAN(I722:L722)</f>
        <v>1999.99</v>
      </c>
      <c r="D722" s="3">
        <f>ROUND(C722*(1-Settings!$B$2),2)</f>
        <v>1399.99</v>
      </c>
      <c r="E722" s="3">
        <f>ROUND(C722*(1-Settings!$B$3),2)</f>
        <v>1399.99</v>
      </c>
      <c r="F722" s="2" t="inlineStr">
        <is>
          <t>Pokemon</t>
        </is>
      </c>
      <c r="G722" s="2" t="inlineStr">
        <is>
          <t>Box</t>
        </is>
      </c>
      <c r="H722" s="2" t="inlineStr">
        <is>
          <t>SM7: Sky-Splitting Charisma</t>
        </is>
      </c>
      <c r="I722" s="3" t="n"/>
      <c r="J722" s="3" t="n">
        <v>1999.99</v>
      </c>
      <c r="K722" s="3" t="n"/>
      <c r="L722" s="3" t="n"/>
      <c r="M722" s="2" t="inlineStr">
        <is>
          <t>TCGplayer</t>
        </is>
      </c>
      <c r="O722" s="4" t="inlineStr">
        <is>
          <t>https://www.tcgplayer.com/product/576908</t>
        </is>
      </c>
    </row>
    <row r="723">
      <c r="A723" s="2" t="inlineStr">
        <is>
          <t>Thunderclap Spark Booster Box</t>
        </is>
      </c>
      <c r="B723" s="3">
        <f>IF(I723&lt;&gt;"",I723,IF(J723&lt;&gt;"",J723,IF(K723&lt;&gt;"",K723,L723)))</f>
        <v>340.0</v>
      </c>
      <c r="C723" s="3">
        <f>MEDIAN(I723:L723)</f>
        <v>340.0</v>
      </c>
      <c r="D723" s="3">
        <f>ROUND(C723*(1-Settings!$B$2),2)</f>
        <v>238.0</v>
      </c>
      <c r="E723" s="3">
        <f>ROUND(C723*(1-Settings!$B$3),2)</f>
        <v>238.0</v>
      </c>
      <c r="F723" s="2" t="inlineStr">
        <is>
          <t>Pokemon</t>
        </is>
      </c>
      <c r="G723" s="2" t="inlineStr">
        <is>
          <t>Box</t>
        </is>
      </c>
      <c r="H723" s="2" t="inlineStr">
        <is>
          <t>SM7a: Thunderclap Spark</t>
        </is>
      </c>
      <c r="I723" s="3" t="n"/>
      <c r="J723" s="3" t="n">
        <v>340</v>
      </c>
      <c r="K723" s="3" t="n"/>
      <c r="L723" s="3" t="n"/>
      <c r="M723" s="2" t="inlineStr">
        <is>
          <t>TCGplayer</t>
        </is>
      </c>
      <c r="O723" s="4" t="inlineStr">
        <is>
          <t>https://www.tcgplayer.com/product/576940</t>
        </is>
      </c>
    </row>
    <row r="724">
      <c r="A724" s="2" t="inlineStr">
        <is>
          <t>Fairy Rise Booster Box</t>
        </is>
      </c>
      <c r="B724" s="3">
        <f>IF(I724&lt;&gt;"",I724,IF(J724&lt;&gt;"",J724,IF(K724&lt;&gt;"",K724,L724)))</f>
        <v>309.99</v>
      </c>
      <c r="C724" s="3">
        <f>MEDIAN(I724:L724)</f>
        <v>394.995</v>
      </c>
      <c r="D724" s="3">
        <f>ROUND(C724*(1-Settings!$B$2),2)</f>
        <v>276.5</v>
      </c>
      <c r="E724" s="3">
        <f>ROUND(C724*(1-Settings!$B$3),2)</f>
        <v>276.5</v>
      </c>
      <c r="F724" s="2" t="inlineStr">
        <is>
          <t>Pokemon</t>
        </is>
      </c>
      <c r="G724" s="2" t="inlineStr">
        <is>
          <t>Box</t>
        </is>
      </c>
      <c r="H724" s="2" t="inlineStr">
        <is>
          <t>SM7b: Fairy Rise</t>
        </is>
      </c>
      <c r="I724" s="3" t="n"/>
      <c r="J724" s="3" t="n">
        <v>309.99</v>
      </c>
      <c r="K724" s="3" t="n"/>
      <c r="L724" s="3" t="n">
        <v>480</v>
      </c>
      <c r="M724" s="2" t="inlineStr">
        <is>
          <t>TCGplayer</t>
        </is>
      </c>
      <c r="O724" s="4" t="inlineStr">
        <is>
          <t>https://www.tcgplayer.com/product/576942</t>
        </is>
      </c>
    </row>
    <row r="725">
      <c r="A725" s="2" t="inlineStr">
        <is>
          <t>Super-Burst Impact Booster Box</t>
        </is>
      </c>
      <c r="B725" s="3">
        <f>IF(I725&lt;&gt;"",I725,IF(J725&lt;&gt;"",J725,IF(K725&lt;&gt;"",K725,L725)))</f>
        <v>1200.0</v>
      </c>
      <c r="C725" s="3">
        <f>MEDIAN(I725:L725)</f>
        <v>1200.0</v>
      </c>
      <c r="D725" s="3">
        <f>ROUND(C725*(1-Settings!$B$2),2)</f>
        <v>840.0</v>
      </c>
      <c r="E725" s="3">
        <f>ROUND(C725*(1-Settings!$B$3),2)</f>
        <v>840.0</v>
      </c>
      <c r="F725" s="2" t="inlineStr">
        <is>
          <t>Pokemon</t>
        </is>
      </c>
      <c r="G725" s="2" t="inlineStr">
        <is>
          <t>Box</t>
        </is>
      </c>
      <c r="H725" s="2" t="inlineStr">
        <is>
          <t>SM8: Super-Burst Impact</t>
        </is>
      </c>
      <c r="I725" s="3" t="n"/>
      <c r="J725" s="3" t="n"/>
      <c r="K725" s="3" t="n"/>
      <c r="L725" s="3" t="n">
        <v>1200</v>
      </c>
      <c r="M725" s="2" t="inlineStr">
        <is>
          <t>TCGplayer</t>
        </is>
      </c>
      <c r="O725" s="4" t="inlineStr">
        <is>
          <t>https://www.tcgplayer.com/product/576910</t>
        </is>
      </c>
    </row>
    <row r="726">
      <c r="A726" s="2" t="inlineStr">
        <is>
          <t>Dark Order Booster Box</t>
        </is>
      </c>
      <c r="B726" s="3">
        <f>IF(I726&lt;&gt;"",I726,IF(J726&lt;&gt;"",J726,IF(K726&lt;&gt;"",K726,L726)))</f>
        <v>354.96</v>
      </c>
      <c r="C726" s="3">
        <f>MEDIAN(I726:L726)</f>
        <v>354.96</v>
      </c>
      <c r="D726" s="3">
        <f>ROUND(C726*(1-Settings!$B$2),2)</f>
        <v>248.47</v>
      </c>
      <c r="E726" s="3">
        <f>ROUND(C726*(1-Settings!$B$3),2)</f>
        <v>248.47</v>
      </c>
      <c r="F726" s="2" t="inlineStr">
        <is>
          <t>Pokemon</t>
        </is>
      </c>
      <c r="G726" s="2" t="inlineStr">
        <is>
          <t>Box</t>
        </is>
      </c>
      <c r="H726" s="2" t="inlineStr">
        <is>
          <t>SM8a: Dark Order</t>
        </is>
      </c>
      <c r="I726" s="3" t="n"/>
      <c r="J726" s="3" t="n">
        <v>354.96</v>
      </c>
      <c r="K726" s="3" t="n"/>
      <c r="L726" s="3" t="n">
        <v>354.96</v>
      </c>
      <c r="M726" s="2" t="inlineStr">
        <is>
          <t>TCGplayer</t>
        </is>
      </c>
      <c r="O726" s="4" t="inlineStr">
        <is>
          <t>https://www.tcgplayer.com/product/576944</t>
        </is>
      </c>
    </row>
    <row r="727">
      <c r="A727" s="2" t="inlineStr">
        <is>
          <t>Tag Bolt Booster Box</t>
        </is>
      </c>
      <c r="B727" s="3">
        <f>IF(I727&lt;&gt;"",I727,IF(J727&lt;&gt;"",J727,IF(K727&lt;&gt;"",K727,L727)))</f>
        <v>3399.99</v>
      </c>
      <c r="C727" s="3">
        <f>MEDIAN(I727:L727)</f>
        <v>3399.99</v>
      </c>
      <c r="D727" s="3">
        <f>ROUND(C727*(1-Settings!$B$2),2)</f>
        <v>2379.99</v>
      </c>
      <c r="E727" s="3">
        <f>ROUND(C727*(1-Settings!$B$3),2)</f>
        <v>2379.99</v>
      </c>
      <c r="F727" s="2" t="inlineStr">
        <is>
          <t>Pokemon</t>
        </is>
      </c>
      <c r="G727" s="2" t="inlineStr">
        <is>
          <t>Box</t>
        </is>
      </c>
      <c r="H727" s="2" t="inlineStr">
        <is>
          <t>SM9: Tag Bolt</t>
        </is>
      </c>
      <c r="I727" s="3" t="n"/>
      <c r="J727" s="3" t="n"/>
      <c r="K727" s="3" t="n"/>
      <c r="L727" s="3" t="n">
        <v>3399.99</v>
      </c>
      <c r="M727" s="2" t="inlineStr">
        <is>
          <t>TCGplayer</t>
        </is>
      </c>
      <c r="O727" s="4" t="inlineStr">
        <is>
          <t>https://www.tcgplayer.com/product/576912</t>
        </is>
      </c>
    </row>
    <row r="728">
      <c r="A728" s="2" t="inlineStr">
        <is>
          <t>Full Metal Wall Booster Box</t>
        </is>
      </c>
      <c r="B728" s="3">
        <f>IF(I728&lt;&gt;"",I728,IF(J728&lt;&gt;"",J728,IF(K728&lt;&gt;"",K728,L728)))</f>
        <v>425.0</v>
      </c>
      <c r="C728" s="3">
        <f>MEDIAN(I728:L728)</f>
        <v>425.0</v>
      </c>
      <c r="D728" s="3">
        <f>ROUND(C728*(1-Settings!$B$2),2)</f>
        <v>297.5</v>
      </c>
      <c r="E728" s="3">
        <f>ROUND(C728*(1-Settings!$B$3),2)</f>
        <v>297.5</v>
      </c>
      <c r="F728" s="2" t="inlineStr">
        <is>
          <t>Pokemon</t>
        </is>
      </c>
      <c r="G728" s="2" t="inlineStr">
        <is>
          <t>Box</t>
        </is>
      </c>
      <c r="H728" s="2" t="inlineStr">
        <is>
          <t>SM9b: Full Metal Wall</t>
        </is>
      </c>
      <c r="I728" s="3" t="n"/>
      <c r="J728" s="3" t="n"/>
      <c r="K728" s="3" t="n"/>
      <c r="L728" s="3" t="n">
        <v>425</v>
      </c>
      <c r="M728" s="2" t="inlineStr">
        <is>
          <t>TCGplayer</t>
        </is>
      </c>
      <c r="O728" s="4" t="inlineStr">
        <is>
          <t>https://www.tcgplayer.com/product/576948</t>
        </is>
      </c>
    </row>
    <row r="729">
      <c r="A729" s="2" t="inlineStr">
        <is>
          <t>Great Detective Pikachu Booster Box</t>
        </is>
      </c>
      <c r="B729" s="3">
        <f>IF(I729&lt;&gt;"",I729,IF(J729&lt;&gt;"",J729,IF(K729&lt;&gt;"",K729,L729)))</f>
        <v>500.0</v>
      </c>
      <c r="C729" s="3">
        <f>MEDIAN(I729:L729)</f>
        <v>500.0</v>
      </c>
      <c r="D729" s="3">
        <f>ROUND(C729*(1-Settings!$B$2),2)</f>
        <v>350.0</v>
      </c>
      <c r="E729" s="3">
        <f>ROUND(C729*(1-Settings!$B$3),2)</f>
        <v>350.0</v>
      </c>
      <c r="F729" s="2" t="inlineStr">
        <is>
          <t>Pokemon</t>
        </is>
      </c>
      <c r="G729" s="2" t="inlineStr">
        <is>
          <t>Box</t>
        </is>
      </c>
      <c r="H729" s="2" t="inlineStr">
        <is>
          <t>smP2: Great Detective Pikachu</t>
        </is>
      </c>
      <c r="I729" s="3" t="n"/>
      <c r="J729" s="3" t="n"/>
      <c r="K729" s="3" t="n"/>
      <c r="L729" s="3" t="n">
        <v>500</v>
      </c>
      <c r="M729" s="2" t="inlineStr">
        <is>
          <t>TCGplayer</t>
        </is>
      </c>
      <c r="O729" s="4" t="inlineStr">
        <is>
          <t>https://www.tcgplayer.com/product/656901</t>
        </is>
      </c>
    </row>
    <row r="730">
      <c r="A730" s="2" t="inlineStr">
        <is>
          <t>Steam Siege Booster Box</t>
        </is>
      </c>
      <c r="B730" s="3">
        <f>IF(I730&lt;&gt;"",I730,IF(J730&lt;&gt;"",J730,IF(K730&lt;&gt;"",K730,L730)))</f>
        <v>1184.69</v>
      </c>
      <c r="C730" s="3">
        <f>MEDIAN(I730:L730)</f>
        <v>1184.69</v>
      </c>
      <c r="D730" s="3">
        <f>ROUND(C730*(1-Settings!$B$2),2)</f>
        <v>829.28</v>
      </c>
      <c r="E730" s="3">
        <f>ROUND(C730*(1-Settings!$B$3),2)</f>
        <v>829.28</v>
      </c>
      <c r="F730" s="2" t="inlineStr">
        <is>
          <t>Pokemon</t>
        </is>
      </c>
      <c r="G730" s="2" t="inlineStr">
        <is>
          <t>Box</t>
        </is>
      </c>
      <c r="H730" s="2" t="inlineStr">
        <is>
          <t>Steam Siege</t>
        </is>
      </c>
      <c r="I730" s="3" t="n">
        <v>1184.69</v>
      </c>
      <c r="J730" s="3" t="n"/>
      <c r="K730" s="3" t="n"/>
      <c r="L730" s="3" t="n"/>
      <c r="M730" s="2" t="inlineStr">
        <is>
          <t>PriceCharting</t>
        </is>
      </c>
      <c r="N730" s="4" t="inlineStr">
        <is>
          <t>https://www.pricecharting.com/game/pokemon-steam-siege/booster-box</t>
        </is>
      </c>
    </row>
    <row r="731">
      <c r="A731" s="2" t="inlineStr">
        <is>
          <t>Stellar Crown Booster Box</t>
        </is>
      </c>
      <c r="B731" s="3">
        <f>IF(I731&lt;&gt;"",I731,IF(J731&lt;&gt;"",J731,IF(K731&lt;&gt;"",K731,L731)))</f>
        <v>301.42</v>
      </c>
      <c r="C731" s="3">
        <f>MEDIAN(I731:L731)</f>
        <v>301.42</v>
      </c>
      <c r="D731" s="3">
        <f>ROUND(C731*(1-Settings!$B$2),2)</f>
        <v>210.99</v>
      </c>
      <c r="E731" s="3">
        <f>ROUND(C731*(1-Settings!$B$3),2)</f>
        <v>210.99</v>
      </c>
      <c r="F731" s="2" t="inlineStr">
        <is>
          <t>Pokemon</t>
        </is>
      </c>
      <c r="G731" s="2" t="inlineStr">
        <is>
          <t>Box</t>
        </is>
      </c>
      <c r="H731" s="2" t="inlineStr">
        <is>
          <t>Stellar Crown</t>
        </is>
      </c>
      <c r="I731" s="3" t="n">
        <v>301.42</v>
      </c>
      <c r="J731" s="3" t="n"/>
      <c r="K731" s="3" t="n"/>
      <c r="L731" s="3" t="n"/>
      <c r="M731" s="2" t="inlineStr">
        <is>
          <t>PriceCharting</t>
        </is>
      </c>
      <c r="N731" s="4" t="inlineStr">
        <is>
          <t>https://www.pricecharting.com/game/pokemon-stellar-crown/booster-box</t>
        </is>
      </c>
    </row>
    <row r="732">
      <c r="A732" s="2" t="inlineStr">
        <is>
          <t>Stellar Crown Build &amp; Battle Display Box</t>
        </is>
      </c>
      <c r="B732" s="3">
        <f>IF(I732&lt;&gt;"",I732,IF(J732&lt;&gt;"",J732,IF(K732&lt;&gt;"",K732,L732)))</f>
        <v>355.0</v>
      </c>
      <c r="C732" s="3">
        <f>MEDIAN(I732:L732)</f>
        <v>355.0</v>
      </c>
      <c r="D732" s="3">
        <f>ROUND(C732*(1-Settings!$B$2),2)</f>
        <v>248.5</v>
      </c>
      <c r="E732" s="3">
        <f>ROUND(C732*(1-Settings!$B$3),2)</f>
        <v>248.5</v>
      </c>
      <c r="F732" s="2" t="inlineStr">
        <is>
          <t>Pokemon</t>
        </is>
      </c>
      <c r="G732" s="2" t="inlineStr">
        <is>
          <t>Box</t>
        </is>
      </c>
      <c r="H732" s="2" t="inlineStr">
        <is>
          <t>Stellar Crown</t>
        </is>
      </c>
      <c r="I732" s="3" t="n">
        <v>355</v>
      </c>
      <c r="J732" s="3" t="n"/>
      <c r="K732" s="3" t="n"/>
      <c r="L732" s="3" t="n"/>
      <c r="M732" s="2" t="inlineStr">
        <is>
          <t>PriceCharting</t>
        </is>
      </c>
      <c r="N732" s="4" t="inlineStr">
        <is>
          <t>https://www.pricecharting.com/game/pokemon-stellar-crown/build-&amp;-battle-display-box</t>
        </is>
      </c>
    </row>
    <row r="733">
      <c r="A733" s="2" t="inlineStr">
        <is>
          <t>Stellar Crown Half Booster Box</t>
        </is>
      </c>
      <c r="B733" s="3">
        <f>IF(I733&lt;&gt;"",I733,IF(J733&lt;&gt;"",J733,IF(K733&lt;&gt;"",K733,L733)))</f>
        <v>198.59</v>
      </c>
      <c r="C733" s="3">
        <f>MEDIAN(I733:L733)</f>
        <v>198.59</v>
      </c>
      <c r="D733" s="3">
        <f>ROUND(C733*(1-Settings!$B$2),2)</f>
        <v>139.01</v>
      </c>
      <c r="E733" s="3">
        <f>ROUND(C733*(1-Settings!$B$3),2)</f>
        <v>139.01</v>
      </c>
      <c r="F733" s="2" t="inlineStr">
        <is>
          <t>Pokemon</t>
        </is>
      </c>
      <c r="G733" s="2" t="inlineStr">
        <is>
          <t>Box</t>
        </is>
      </c>
      <c r="H733" s="2" t="inlineStr">
        <is>
          <t>Stellar Crown</t>
        </is>
      </c>
      <c r="I733" s="3" t="n">
        <v>198.59</v>
      </c>
      <c r="J733" s="3" t="n"/>
      <c r="K733" s="3" t="n"/>
      <c r="L733" s="3" t="n"/>
      <c r="M733" s="2" t="inlineStr">
        <is>
          <t>PriceCharting</t>
        </is>
      </c>
      <c r="N733" s="4" t="inlineStr">
        <is>
          <t>https://www.pricecharting.com/game/pokemon-stellar-crown/half-booster-box</t>
        </is>
      </c>
    </row>
    <row r="734">
      <c r="A734" s="2" t="inlineStr">
        <is>
          <t>Stormfront Booster Box</t>
        </is>
      </c>
      <c r="B734" s="3">
        <f>IF(I734&lt;&gt;"",I734,IF(J734&lt;&gt;"",J734,IF(K734&lt;&gt;"",K734,L734)))</f>
        <v>8553.72</v>
      </c>
      <c r="C734" s="3">
        <f>MEDIAN(I734:L734)</f>
        <v>8553.72</v>
      </c>
      <c r="D734" s="3">
        <f>ROUND(C734*(1-Settings!$B$2),2)</f>
        <v>5987.6</v>
      </c>
      <c r="E734" s="3">
        <f>ROUND(C734*(1-Settings!$B$3),2)</f>
        <v>5987.6</v>
      </c>
      <c r="F734" s="2" t="inlineStr">
        <is>
          <t>Pokemon</t>
        </is>
      </c>
      <c r="G734" s="2" t="inlineStr">
        <is>
          <t>Box</t>
        </is>
      </c>
      <c r="H734" s="2" t="inlineStr">
        <is>
          <t>Stormfront</t>
        </is>
      </c>
      <c r="I734" s="3" t="n">
        <v>8553.719999999999</v>
      </c>
      <c r="J734" s="3" t="n"/>
      <c r="K734" s="3" t="n"/>
      <c r="L734" s="3" t="n"/>
      <c r="M734" s="2" t="inlineStr">
        <is>
          <t>PriceCharting</t>
        </is>
      </c>
      <c r="N734" s="4" t="inlineStr">
        <is>
          <t>https://www.pricecharting.com/game/pokemon-stormfront/booster-box</t>
        </is>
      </c>
    </row>
    <row r="735">
      <c r="A735" s="2" t="inlineStr">
        <is>
          <t>Supreme Victors Booster Box</t>
        </is>
      </c>
      <c r="B735" s="3">
        <f>IF(I735&lt;&gt;"",I735,IF(J735&lt;&gt;"",J735,IF(K735&lt;&gt;"",K735,L735)))</f>
        <v>14197.41</v>
      </c>
      <c r="C735" s="3">
        <f>MEDIAN(I735:L735)</f>
        <v>14197.41</v>
      </c>
      <c r="D735" s="3">
        <f>ROUND(C735*(1-Settings!$B$2),2)</f>
        <v>9938.19</v>
      </c>
      <c r="E735" s="3">
        <f>ROUND(C735*(1-Settings!$B$3),2)</f>
        <v>9938.19</v>
      </c>
      <c r="F735" s="2" t="inlineStr">
        <is>
          <t>Pokemon</t>
        </is>
      </c>
      <c r="G735" s="2" t="inlineStr">
        <is>
          <t>Box</t>
        </is>
      </c>
      <c r="H735" s="2" t="inlineStr">
        <is>
          <t>Supreme Victors</t>
        </is>
      </c>
      <c r="I735" s="3" t="n">
        <v>14197.41</v>
      </c>
      <c r="J735" s="3" t="n"/>
      <c r="K735" s="3" t="n"/>
      <c r="L735" s="3" t="n"/>
      <c r="M735" s="2" t="inlineStr">
        <is>
          <t>PriceCharting + TCGplayer</t>
        </is>
      </c>
      <c r="N735" s="4" t="inlineStr">
        <is>
          <t>https://www.pricecharting.com/game/pokemon-supreme-victors/booster-box</t>
        </is>
      </c>
      <c r="O735" s="4" t="inlineStr">
        <is>
          <t>https://www.tcgplayer.com/product/98575</t>
        </is>
      </c>
    </row>
    <row r="736">
      <c r="A736" s="2" t="inlineStr">
        <is>
          <t>Surging Sparks Build &amp; Battle Display Box</t>
        </is>
      </c>
      <c r="B736" s="3">
        <f>IF(I736&lt;&gt;"",I736,IF(J736&lt;&gt;"",J736,IF(K736&lt;&gt;"",K736,L736)))</f>
        <v>327.5</v>
      </c>
      <c r="C736" s="3">
        <f>MEDIAN(I736:L736)</f>
        <v>327.5</v>
      </c>
      <c r="D736" s="3">
        <f>ROUND(C736*(1-Settings!$B$2),2)</f>
        <v>229.25</v>
      </c>
      <c r="E736" s="3">
        <f>ROUND(C736*(1-Settings!$B$3),2)</f>
        <v>229.25</v>
      </c>
      <c r="F736" s="2" t="inlineStr">
        <is>
          <t>Pokemon</t>
        </is>
      </c>
      <c r="G736" s="2" t="inlineStr">
        <is>
          <t>Box</t>
        </is>
      </c>
      <c r="H736" s="2" t="inlineStr">
        <is>
          <t>Surging Sparks</t>
        </is>
      </c>
      <c r="I736" s="3" t="n">
        <v>327.5</v>
      </c>
      <c r="J736" s="3" t="n"/>
      <c r="K736" s="3" t="n"/>
      <c r="L736" s="3" t="n"/>
      <c r="M736" s="2" t="inlineStr">
        <is>
          <t>PriceCharting</t>
        </is>
      </c>
      <c r="N736" s="4" t="inlineStr">
        <is>
          <t>https://www.pricecharting.com/game/pokemon-surging-sparks/build-&amp;-battle-display-box</t>
        </is>
      </c>
    </row>
    <row r="737">
      <c r="A737" s="2" t="inlineStr">
        <is>
          <t>Scarlet &amp; Violet Booster Box</t>
        </is>
      </c>
      <c r="B737" s="3">
        <f>IF(I737&lt;&gt;"",I737,IF(J737&lt;&gt;"",J737,IF(K737&lt;&gt;"",K737,L737)))</f>
        <v>293.36</v>
      </c>
      <c r="C737" s="3">
        <f>MEDIAN(I737:L737)</f>
        <v>293.36</v>
      </c>
      <c r="D737" s="3">
        <f>ROUND(C737*(1-Settings!$B$2),2)</f>
        <v>205.35</v>
      </c>
      <c r="E737" s="3">
        <f>ROUND(C737*(1-Settings!$B$3),2)</f>
        <v>205.35</v>
      </c>
      <c r="F737" s="2" t="inlineStr">
        <is>
          <t>Pokemon</t>
        </is>
      </c>
      <c r="G737" s="2" t="inlineStr">
        <is>
          <t>Box</t>
        </is>
      </c>
      <c r="H737" s="2" t="inlineStr">
        <is>
          <t>SV01: Scarlet &amp; Violet Base Set</t>
        </is>
      </c>
      <c r="I737" s="3" t="n"/>
      <c r="J737" s="3" t="n">
        <v>293.36</v>
      </c>
      <c r="K737" s="3" t="n">
        <v>340</v>
      </c>
      <c r="L737" s="3" t="n">
        <v>281.99</v>
      </c>
      <c r="M737" s="2" t="inlineStr">
        <is>
          <t>TCGplayer</t>
        </is>
      </c>
      <c r="O737" s="4" t="inlineStr">
        <is>
          <t>https://www.tcgplayer.com/product/476452</t>
        </is>
      </c>
    </row>
    <row r="738">
      <c r="A738" s="2" t="inlineStr">
        <is>
          <t>Paldea Evolved Booster Box</t>
        </is>
      </c>
      <c r="B738" s="3">
        <f>IF(I738&lt;&gt;"",I738,IF(J738&lt;&gt;"",J738,IF(K738&lt;&gt;"",K738,L738)))</f>
        <v>460.01</v>
      </c>
      <c r="C738" s="3">
        <f>MEDIAN(I738:L738)</f>
        <v>458.81</v>
      </c>
      <c r="D738" s="3">
        <f>ROUND(C738*(1-Settings!$B$2),2)</f>
        <v>321.17</v>
      </c>
      <c r="E738" s="3">
        <f>ROUND(C738*(1-Settings!$B$3),2)</f>
        <v>321.17</v>
      </c>
      <c r="F738" s="2" t="inlineStr">
        <is>
          <t>Pokemon</t>
        </is>
      </c>
      <c r="G738" s="2" t="inlineStr">
        <is>
          <t>Box</t>
        </is>
      </c>
      <c r="H738" s="2" t="inlineStr">
        <is>
          <t>SV02: Paldea Evolved</t>
        </is>
      </c>
      <c r="I738" s="3" t="n">
        <v>460.01</v>
      </c>
      <c r="J738" s="3" t="n">
        <v>457.61</v>
      </c>
      <c r="K738" s="3" t="n">
        <v>549.99</v>
      </c>
      <c r="L738" s="3" t="n">
        <v>454.98</v>
      </c>
      <c r="M738" s="2" t="inlineStr">
        <is>
          <t>PriceCharting + TCGplayer</t>
        </is>
      </c>
      <c r="N738" s="4" t="inlineStr">
        <is>
          <t>https://www.pricecharting.com/game/pokemon-paldea-evolved/booster-box</t>
        </is>
      </c>
      <c r="O738" s="4" t="inlineStr">
        <is>
          <t>https://www.tcgplayer.com/product/493975</t>
        </is>
      </c>
    </row>
    <row r="739">
      <c r="A739" s="2" t="inlineStr">
        <is>
          <t>Paldea Evolved Half Booster Box</t>
        </is>
      </c>
      <c r="B739" s="3">
        <f>IF(I739&lt;&gt;"",I739,IF(J739&lt;&gt;"",J739,IF(K739&lt;&gt;"",K739,L739)))</f>
        <v>216.76</v>
      </c>
      <c r="C739" s="3">
        <f>MEDIAN(I739:L739)</f>
        <v>253.33</v>
      </c>
      <c r="D739" s="3">
        <f>ROUND(C739*(1-Settings!$B$2),2)</f>
        <v>177.33</v>
      </c>
      <c r="E739" s="3">
        <f>ROUND(C739*(1-Settings!$B$3),2)</f>
        <v>177.33</v>
      </c>
      <c r="F739" s="2" t="inlineStr">
        <is>
          <t>Pokemon</t>
        </is>
      </c>
      <c r="G739" s="2" t="inlineStr">
        <is>
          <t>Box</t>
        </is>
      </c>
      <c r="H739" s="2" t="inlineStr">
        <is>
          <t>SV02: Paldea Evolved</t>
        </is>
      </c>
      <c r="I739" s="3" t="n">
        <v>216.76</v>
      </c>
      <c r="J739" s="3" t="n">
        <v>253.33</v>
      </c>
      <c r="K739" s="3" t="n"/>
      <c r="L739" s="3" t="n">
        <v>260</v>
      </c>
      <c r="M739" s="2" t="inlineStr">
        <is>
          <t>PriceCharting + TCGplayer</t>
        </is>
      </c>
      <c r="N739" s="4" t="inlineStr">
        <is>
          <t>https://www.pricecharting.com/game/pokemon-paldea-evolved/half-booster-box</t>
        </is>
      </c>
      <c r="O739" s="4" t="inlineStr">
        <is>
          <t>https://www.tcgplayer.com/product/649413</t>
        </is>
      </c>
    </row>
    <row r="740">
      <c r="A740" s="2" t="inlineStr">
        <is>
          <t>Obsidian Flames Booster Box</t>
        </is>
      </c>
      <c r="B740" s="3">
        <f>IF(I740&lt;&gt;"",I740,IF(J740&lt;&gt;"",J740,IF(K740&lt;&gt;"",K740,L740)))</f>
        <v>359.75</v>
      </c>
      <c r="C740" s="3">
        <f>MEDIAN(I740:L740)</f>
        <v>363.7</v>
      </c>
      <c r="D740" s="3">
        <f>ROUND(C740*(1-Settings!$B$2),2)</f>
        <v>254.59</v>
      </c>
      <c r="E740" s="3">
        <f>ROUND(C740*(1-Settings!$B$3),2)</f>
        <v>254.59</v>
      </c>
      <c r="F740" s="2" t="inlineStr">
        <is>
          <t>Pokemon</t>
        </is>
      </c>
      <c r="G740" s="2" t="inlineStr">
        <is>
          <t>Box</t>
        </is>
      </c>
      <c r="H740" s="2" t="inlineStr">
        <is>
          <t>SV03: Obsidian Flames</t>
        </is>
      </c>
      <c r="I740" s="3" t="n">
        <v>359.75</v>
      </c>
      <c r="J740" s="3" t="n">
        <v>367.65</v>
      </c>
      <c r="K740" s="3" t="n">
        <v>423.99</v>
      </c>
      <c r="L740" s="3" t="n">
        <v>41.29</v>
      </c>
      <c r="M740" s="2" t="inlineStr">
        <is>
          <t>PriceCharting + TCGplayer</t>
        </is>
      </c>
      <c r="N740" s="4" t="inlineStr">
        <is>
          <t>https://www.pricecharting.com/game/pokemon-obsidian-flames/booster-box</t>
        </is>
      </c>
      <c r="O740" s="4" t="inlineStr">
        <is>
          <t>https://www.tcgplayer.com/product/501257</t>
        </is>
      </c>
    </row>
    <row r="741">
      <c r="A741" s="2" t="inlineStr">
        <is>
          <t>Paradox Rift Booster Box</t>
        </is>
      </c>
      <c r="B741" s="3">
        <f>IF(I741&lt;&gt;"",I741,IF(J741&lt;&gt;"",J741,IF(K741&lt;&gt;"",K741,L741)))</f>
        <v>280.99</v>
      </c>
      <c r="C741" s="3">
        <f>MEDIAN(I741:L741)</f>
        <v>282.405</v>
      </c>
      <c r="D741" s="3">
        <f>ROUND(C741*(1-Settings!$B$2),2)</f>
        <v>197.68</v>
      </c>
      <c r="E741" s="3">
        <f>ROUND(C741*(1-Settings!$B$3),2)</f>
        <v>197.68</v>
      </c>
      <c r="F741" s="2" t="inlineStr">
        <is>
          <t>Pokemon</t>
        </is>
      </c>
      <c r="G741" s="2" t="inlineStr">
        <is>
          <t>Box</t>
        </is>
      </c>
      <c r="H741" s="2" t="inlineStr">
        <is>
          <t>SV04: Paradox Rift</t>
        </is>
      </c>
      <c r="I741" s="3" t="n">
        <v>280.99</v>
      </c>
      <c r="J741" s="3" t="n">
        <v>283.82</v>
      </c>
      <c r="K741" s="3" t="n">
        <v>325</v>
      </c>
      <c r="L741" s="3" t="n">
        <v>50</v>
      </c>
      <c r="M741" s="2" t="inlineStr">
        <is>
          <t>PriceCharting + TCGplayer</t>
        </is>
      </c>
      <c r="N741" s="4" t="inlineStr">
        <is>
          <t>https://www.pricecharting.com/game/pokemon-paradox-rift/booster-box</t>
        </is>
      </c>
      <c r="O741" s="4" t="inlineStr">
        <is>
          <t>https://www.tcgplayer.com/product/512821</t>
        </is>
      </c>
    </row>
    <row r="742">
      <c r="A742" s="2" t="inlineStr">
        <is>
          <t>Temporal Forces Booster Box</t>
        </is>
      </c>
      <c r="B742" s="3">
        <f>IF(I742&lt;&gt;"",I742,IF(J742&lt;&gt;"",J742,IF(K742&lt;&gt;"",K742,L742)))</f>
        <v>309.99</v>
      </c>
      <c r="C742" s="3">
        <f>MEDIAN(I742:L742)</f>
        <v>308.45500000000004</v>
      </c>
      <c r="D742" s="3">
        <f>ROUND(C742*(1-Settings!$B$2),2)</f>
        <v>215.92</v>
      </c>
      <c r="E742" s="3">
        <f>ROUND(C742*(1-Settings!$B$3),2)</f>
        <v>215.92</v>
      </c>
      <c r="F742" s="2" t="inlineStr">
        <is>
          <t>Pokemon</t>
        </is>
      </c>
      <c r="G742" s="2" t="inlineStr">
        <is>
          <t>Box</t>
        </is>
      </c>
      <c r="H742" s="2" t="inlineStr">
        <is>
          <t>SV05: Temporal Forces</t>
        </is>
      </c>
      <c r="I742" s="3" t="n">
        <v>309.99</v>
      </c>
      <c r="J742" s="3" t="n">
        <v>306.92</v>
      </c>
      <c r="K742" s="3" t="n">
        <v>339.99</v>
      </c>
      <c r="L742" s="3" t="n">
        <v>34.99</v>
      </c>
      <c r="M742" s="2" t="inlineStr">
        <is>
          <t>PriceCharting + TCGplayer</t>
        </is>
      </c>
      <c r="N742" s="4" t="inlineStr">
        <is>
          <t>https://www.pricecharting.com/game/pokemon-temporal-forces/booster-box</t>
        </is>
      </c>
      <c r="O742" s="4" t="inlineStr">
        <is>
          <t>https://www.tcgplayer.com/product/536225</t>
        </is>
      </c>
    </row>
    <row r="743">
      <c r="A743" s="2" t="inlineStr">
        <is>
          <t>Temporal Forces Half Booster Box</t>
        </is>
      </c>
      <c r="B743" s="3">
        <f>IF(I743&lt;&gt;"",I743,IF(J743&lt;&gt;"",J743,IF(K743&lt;&gt;"",K743,L743)))</f>
        <v>169.0</v>
      </c>
      <c r="C743" s="3">
        <f>MEDIAN(I743:L743)</f>
        <v>179.35500000000002</v>
      </c>
      <c r="D743" s="3">
        <f>ROUND(C743*(1-Settings!$B$2),2)</f>
        <v>125.55</v>
      </c>
      <c r="E743" s="3">
        <f>ROUND(C743*(1-Settings!$B$3),2)</f>
        <v>125.55</v>
      </c>
      <c r="F743" s="2" t="inlineStr">
        <is>
          <t>Pokemon</t>
        </is>
      </c>
      <c r="G743" s="2" t="inlineStr">
        <is>
          <t>Box</t>
        </is>
      </c>
      <c r="H743" s="2" t="inlineStr">
        <is>
          <t>SV05: Temporal Forces</t>
        </is>
      </c>
      <c r="I743" s="3" t="n">
        <v>169</v>
      </c>
      <c r="J743" s="3" t="n">
        <v>189.71</v>
      </c>
      <c r="K743" s="3" t="n"/>
      <c r="L743" s="3" t="n"/>
      <c r="M743" s="2" t="inlineStr">
        <is>
          <t>PriceCharting + TCGplayer</t>
        </is>
      </c>
      <c r="N743" s="4" t="inlineStr">
        <is>
          <t>https://www.pricecharting.com/game/pokemon-temporal-forces/half-booster-box</t>
        </is>
      </c>
      <c r="O743" s="4" t="inlineStr">
        <is>
          <t>https://www.tcgplayer.com/product/649416</t>
        </is>
      </c>
    </row>
    <row r="744">
      <c r="A744" s="2" t="inlineStr">
        <is>
          <t>Twilight Masqueade Half Booster Box</t>
        </is>
      </c>
      <c r="B744" s="3">
        <f>IF(I744&lt;&gt;"",I744,IF(J744&lt;&gt;"",J744,IF(K744&lt;&gt;"",K744,L744)))</f>
        <v>199.75</v>
      </c>
      <c r="C744" s="3">
        <f>MEDIAN(I744:L744)</f>
        <v>209.75</v>
      </c>
      <c r="D744" s="3">
        <f>ROUND(C744*(1-Settings!$B$2),2)</f>
        <v>146.83</v>
      </c>
      <c r="E744" s="3">
        <f>ROUND(C744*(1-Settings!$B$3),2)</f>
        <v>146.83</v>
      </c>
      <c r="F744" s="2" t="inlineStr">
        <is>
          <t>Pokemon</t>
        </is>
      </c>
      <c r="G744" s="2" t="inlineStr">
        <is>
          <t>Box</t>
        </is>
      </c>
      <c r="H744" s="2" t="inlineStr">
        <is>
          <t>SV06: Twilight Masquerade</t>
        </is>
      </c>
      <c r="I744" s="3" t="n"/>
      <c r="J744" s="3" t="n">
        <v>199.75</v>
      </c>
      <c r="K744" s="3" t="n">
        <v>209.75</v>
      </c>
      <c r="L744" s="3" t="n">
        <v>209.75</v>
      </c>
      <c r="M744" s="2" t="inlineStr">
        <is>
          <t>TCGplayer</t>
        </is>
      </c>
      <c r="O744" s="4" t="inlineStr">
        <is>
          <t>https://www.tcgplayer.com/product/649421</t>
        </is>
      </c>
    </row>
    <row r="745">
      <c r="A745" s="2" t="inlineStr">
        <is>
          <t>Twilight Masquerade Booster Box</t>
        </is>
      </c>
      <c r="B745" s="3">
        <f>IF(I745&lt;&gt;"",I745,IF(J745&lt;&gt;"",J745,IF(K745&lt;&gt;"",K745,L745)))</f>
        <v>339.27</v>
      </c>
      <c r="C745" s="3">
        <f>MEDIAN(I745:L745)</f>
        <v>339.975</v>
      </c>
      <c r="D745" s="3">
        <f>ROUND(C745*(1-Settings!$B$2),2)</f>
        <v>237.98</v>
      </c>
      <c r="E745" s="3">
        <f>ROUND(C745*(1-Settings!$B$3),2)</f>
        <v>237.98</v>
      </c>
      <c r="F745" s="2" t="inlineStr">
        <is>
          <t>Pokemon</t>
        </is>
      </c>
      <c r="G745" s="2" t="inlineStr">
        <is>
          <t>Box</t>
        </is>
      </c>
      <c r="H745" s="2" t="inlineStr">
        <is>
          <t>SV06: Twilight Masquerade</t>
        </is>
      </c>
      <c r="I745" s="3" t="n">
        <v>339.27</v>
      </c>
      <c r="J745" s="3" t="n">
        <v>340.68</v>
      </c>
      <c r="K745" s="3" t="n">
        <v>384.99</v>
      </c>
      <c r="L745" s="3" t="n">
        <v>34.99</v>
      </c>
      <c r="M745" s="2" t="inlineStr">
        <is>
          <t>PriceCharting + TCGplayer</t>
        </is>
      </c>
      <c r="N745" s="4" t="inlineStr">
        <is>
          <t>https://www.pricecharting.com/game/pokemon-twilight-masquerade/booster-box</t>
        </is>
      </c>
      <c r="O745" s="4" t="inlineStr">
        <is>
          <t>https://www.tcgplayer.com/product/543846</t>
        </is>
      </c>
    </row>
    <row r="746">
      <c r="A746" s="2" t="inlineStr">
        <is>
          <t>Stellar Crown Booster Box</t>
        </is>
      </c>
      <c r="B746" s="3">
        <f>IF(I746&lt;&gt;"",I746,IF(J746&lt;&gt;"",J746,IF(K746&lt;&gt;"",K746,L746)))</f>
        <v>300.65</v>
      </c>
      <c r="C746" s="3">
        <f>MEDIAN(I746:L746)</f>
        <v>300.65</v>
      </c>
      <c r="D746" s="3">
        <f>ROUND(C746*(1-Settings!$B$2),2)</f>
        <v>210.46</v>
      </c>
      <c r="E746" s="3">
        <f>ROUND(C746*(1-Settings!$B$3),2)</f>
        <v>210.46</v>
      </c>
      <c r="F746" s="2" t="inlineStr">
        <is>
          <t>Pokemon</t>
        </is>
      </c>
      <c r="G746" s="2" t="inlineStr">
        <is>
          <t>Box</t>
        </is>
      </c>
      <c r="H746" s="2" t="inlineStr">
        <is>
          <t>SV07: Stellar Crown</t>
        </is>
      </c>
      <c r="I746" s="3" t="n"/>
      <c r="J746" s="3" t="n">
        <v>300.65</v>
      </c>
      <c r="K746" s="3" t="n">
        <v>353.99</v>
      </c>
      <c r="L746" s="3" t="n">
        <v>34.99</v>
      </c>
      <c r="M746" s="2" t="inlineStr">
        <is>
          <t>TCGplayer</t>
        </is>
      </c>
      <c r="O746" s="4" t="inlineStr">
        <is>
          <t>https://www.tcgplayer.com/product/557354</t>
        </is>
      </c>
    </row>
    <row r="747">
      <c r="A747" s="2" t="inlineStr">
        <is>
          <t>Surging Sparks Booster Box</t>
        </is>
      </c>
      <c r="B747" s="3">
        <f>IF(I747&lt;&gt;"",I747,IF(J747&lt;&gt;"",J747,IF(K747&lt;&gt;"",K747,L747)))</f>
        <v>298.75</v>
      </c>
      <c r="C747" s="3">
        <f>MEDIAN(I747:L747)</f>
        <v>301.86</v>
      </c>
      <c r="D747" s="3">
        <f>ROUND(C747*(1-Settings!$B$2),2)</f>
        <v>211.3</v>
      </c>
      <c r="E747" s="3">
        <f>ROUND(C747*(1-Settings!$B$3),2)</f>
        <v>211.3</v>
      </c>
      <c r="F747" s="2" t="inlineStr">
        <is>
          <t>Pokemon</t>
        </is>
      </c>
      <c r="G747" s="2" t="inlineStr">
        <is>
          <t>Box</t>
        </is>
      </c>
      <c r="H747" s="2" t="inlineStr">
        <is>
          <t>SV08: Surging Sparks</t>
        </is>
      </c>
      <c r="I747" s="3" t="n">
        <v>298.75</v>
      </c>
      <c r="J747" s="3" t="n">
        <v>304.97</v>
      </c>
      <c r="K747" s="3" t="n">
        <v>350</v>
      </c>
      <c r="L747" s="3" t="n">
        <v>42.44</v>
      </c>
      <c r="M747" s="2" t="inlineStr">
        <is>
          <t>PriceCharting + TCGplayer</t>
        </is>
      </c>
      <c r="N747" s="4" t="inlineStr">
        <is>
          <t>https://www.pricecharting.com/game/pokemon-surging-sparks/booster-box</t>
        </is>
      </c>
      <c r="O747" s="4" t="inlineStr">
        <is>
          <t>https://www.tcgplayer.com/product/565606</t>
        </is>
      </c>
    </row>
    <row r="748">
      <c r="A748" s="2" t="inlineStr">
        <is>
          <t>Surging Sparks Half Booster Box</t>
        </is>
      </c>
      <c r="B748" s="3">
        <f>IF(I748&lt;&gt;"",I748,IF(J748&lt;&gt;"",J748,IF(K748&lt;&gt;"",K748,L748)))</f>
        <v>162.13</v>
      </c>
      <c r="C748" s="3">
        <f>MEDIAN(I748:L748)</f>
        <v>191.495</v>
      </c>
      <c r="D748" s="3">
        <f>ROUND(C748*(1-Settings!$B$2),2)</f>
        <v>134.05</v>
      </c>
      <c r="E748" s="3">
        <f>ROUND(C748*(1-Settings!$B$3),2)</f>
        <v>134.05</v>
      </c>
      <c r="F748" s="2" t="inlineStr">
        <is>
          <t>Pokemon</t>
        </is>
      </c>
      <c r="G748" s="2" t="inlineStr">
        <is>
          <t>Box</t>
        </is>
      </c>
      <c r="H748" s="2" t="inlineStr">
        <is>
          <t>SV08: Surging Sparks</t>
        </is>
      </c>
      <c r="I748" s="3" t="n">
        <v>162.13</v>
      </c>
      <c r="J748" s="3" t="n">
        <v>194.71</v>
      </c>
      <c r="K748" s="3" t="n">
        <v>194</v>
      </c>
      <c r="L748" s="3" t="n">
        <v>188.99</v>
      </c>
      <c r="M748" s="2" t="inlineStr">
        <is>
          <t>PriceCharting + TCGplayer</t>
        </is>
      </c>
      <c r="N748" s="4" t="inlineStr">
        <is>
          <t>https://www.pricecharting.com/game/pokemon-surging-sparks/half-booster-box</t>
        </is>
      </c>
      <c r="O748" s="4" t="inlineStr">
        <is>
          <t>https://www.tcgplayer.com/product/646039</t>
        </is>
      </c>
    </row>
    <row r="749">
      <c r="A749" s="2" t="inlineStr">
        <is>
          <t>Journey Together Booster Box</t>
        </is>
      </c>
      <c r="B749" s="3">
        <f>IF(I749&lt;&gt;"",I749,IF(J749&lt;&gt;"",J749,IF(K749&lt;&gt;"",K749,L749)))</f>
        <v>222.97</v>
      </c>
      <c r="C749" s="3">
        <f>MEDIAN(I749:L749)</f>
        <v>207.755</v>
      </c>
      <c r="D749" s="3">
        <f>ROUND(C749*(1-Settings!$B$2),2)</f>
        <v>145.43</v>
      </c>
      <c r="E749" s="3">
        <f>ROUND(C749*(1-Settings!$B$3),2)</f>
        <v>145.43</v>
      </c>
      <c r="F749" s="2" t="inlineStr">
        <is>
          <t>Pokemon</t>
        </is>
      </c>
      <c r="G749" s="2" t="inlineStr">
        <is>
          <t>Box</t>
        </is>
      </c>
      <c r="H749" s="2" t="inlineStr">
        <is>
          <t>SV09: Journey Together</t>
        </is>
      </c>
      <c r="I749" s="3" t="n">
        <v>222.97</v>
      </c>
      <c r="J749" s="3" t="n">
        <v>192.54</v>
      </c>
      <c r="K749" s="3" t="n">
        <v>263.96</v>
      </c>
      <c r="L749" s="3" t="n">
        <v>191.12</v>
      </c>
      <c r="M749" s="2" t="inlineStr">
        <is>
          <t>PriceCharting + TCGplayer</t>
        </is>
      </c>
      <c r="N749" s="4" t="inlineStr">
        <is>
          <t>https://www.pricecharting.com/game/pokemon-journey-together/booster-box</t>
        </is>
      </c>
      <c r="O749" s="4" t="inlineStr">
        <is>
          <t>https://www.tcgplayer.com/product/610931</t>
        </is>
      </c>
    </row>
    <row r="750">
      <c r="A750" s="2" t="inlineStr">
        <is>
          <t>Journey Together Enhanced Booster Box</t>
        </is>
      </c>
      <c r="B750" s="3">
        <f>IF(I750&lt;&gt;"",I750,IF(J750&lt;&gt;"",J750,IF(K750&lt;&gt;"",K750,L750)))</f>
        <v>238.86</v>
      </c>
      <c r="C750" s="3">
        <f>MEDIAN(I750:L750)</f>
        <v>238.86</v>
      </c>
      <c r="D750" s="3">
        <f>ROUND(C750*(1-Settings!$B$2),2)</f>
        <v>167.2</v>
      </c>
      <c r="E750" s="3">
        <f>ROUND(C750*(1-Settings!$B$3),2)</f>
        <v>167.2</v>
      </c>
      <c r="F750" s="2" t="inlineStr">
        <is>
          <t>Pokemon</t>
        </is>
      </c>
      <c r="G750" s="2" t="inlineStr">
        <is>
          <t>Box</t>
        </is>
      </c>
      <c r="H750" s="2" t="inlineStr">
        <is>
          <t>SV09: Journey Together</t>
        </is>
      </c>
      <c r="I750" s="3" t="n"/>
      <c r="J750" s="3" t="n">
        <v>238.86</v>
      </c>
      <c r="K750" s="3" t="n">
        <v>294.93</v>
      </c>
      <c r="L750" s="3" t="n">
        <v>149.99</v>
      </c>
      <c r="M750" s="2" t="inlineStr">
        <is>
          <t>TCGplayer</t>
        </is>
      </c>
      <c r="O750" s="4" t="inlineStr">
        <is>
          <t>https://www.tcgplayer.com/product/623628</t>
        </is>
      </c>
    </row>
    <row r="751">
      <c r="A751" s="2" t="inlineStr">
        <is>
          <t>Journey Together Half Booster Box</t>
        </is>
      </c>
      <c r="B751" s="3">
        <f>IF(I751&lt;&gt;"",I751,IF(J751&lt;&gt;"",J751,IF(K751&lt;&gt;"",K751,L751)))</f>
        <v>135.68</v>
      </c>
      <c r="C751" s="3">
        <f>MEDIAN(I751:L751)</f>
        <v>234.505</v>
      </c>
      <c r="D751" s="3">
        <f>ROUND(C751*(1-Settings!$B$2),2)</f>
        <v>164.15</v>
      </c>
      <c r="E751" s="3">
        <f>ROUND(C751*(1-Settings!$B$3),2)</f>
        <v>164.15</v>
      </c>
      <c r="F751" s="2" t="inlineStr">
        <is>
          <t>Pokemon</t>
        </is>
      </c>
      <c r="G751" s="2" t="inlineStr">
        <is>
          <t>Box</t>
        </is>
      </c>
      <c r="H751" s="2" t="inlineStr">
        <is>
          <t>SV09: Journey Together</t>
        </is>
      </c>
      <c r="I751" s="3" t="n">
        <v>135.68</v>
      </c>
      <c r="J751" s="3" t="n">
        <v>333.33</v>
      </c>
      <c r="K751" s="3" t="n"/>
      <c r="L751" s="3" t="n"/>
      <c r="M751" s="2" t="inlineStr">
        <is>
          <t>PriceCharting + TCGplayer</t>
        </is>
      </c>
      <c r="N751" s="4" t="inlineStr">
        <is>
          <t>https://www.pricecharting.com/game/pokemon-journey-together/half-booster-box</t>
        </is>
      </c>
      <c r="O751" s="4" t="inlineStr">
        <is>
          <t>https://www.tcgplayer.com/product/649492</t>
        </is>
      </c>
    </row>
    <row r="752">
      <c r="A752" s="2" t="inlineStr">
        <is>
          <t>Destined Rivals Booster Box</t>
        </is>
      </c>
      <c r="B752" s="3">
        <f>IF(I752&lt;&gt;"",I752,IF(J752&lt;&gt;"",J752,IF(K752&lt;&gt;"",K752,L752)))</f>
        <v>407.5</v>
      </c>
      <c r="C752" s="3">
        <f>MEDIAN(I752:L752)</f>
        <v>406.45500000000004</v>
      </c>
      <c r="D752" s="3">
        <f>ROUND(C752*(1-Settings!$B$2),2)</f>
        <v>284.52</v>
      </c>
      <c r="E752" s="3">
        <f>ROUND(C752*(1-Settings!$B$3),2)</f>
        <v>284.52</v>
      </c>
      <c r="F752" s="2" t="inlineStr">
        <is>
          <t>Pokemon</t>
        </is>
      </c>
      <c r="G752" s="2" t="inlineStr">
        <is>
          <t>Box</t>
        </is>
      </c>
      <c r="H752" s="2" t="inlineStr">
        <is>
          <t>SV10: Destined Rivals</t>
        </is>
      </c>
      <c r="I752" s="3" t="n">
        <v>407.5</v>
      </c>
      <c r="J752" s="3" t="n">
        <v>405.41</v>
      </c>
      <c r="K752" s="3" t="n">
        <v>539.9400000000001</v>
      </c>
      <c r="L752" s="3" t="n">
        <v>41.71</v>
      </c>
      <c r="M752" s="2" t="inlineStr">
        <is>
          <t>PriceCharting + TCGplayer</t>
        </is>
      </c>
      <c r="N752" s="4" t="inlineStr">
        <is>
          <t>https://www.pricecharting.com/game/pokemon-destined-rivals/booster-box</t>
        </is>
      </c>
      <c r="O752" s="4" t="inlineStr">
        <is>
          <t>https://www.tcgplayer.com/product/624679</t>
        </is>
      </c>
    </row>
    <row r="753">
      <c r="A753" s="2" t="inlineStr">
        <is>
          <t>Glory of Team Rocket Booster Box</t>
        </is>
      </c>
      <c r="B753" s="3">
        <f>IF(I753&lt;&gt;"",I753,IF(J753&lt;&gt;"",J753,IF(K753&lt;&gt;"",K753,L753)))</f>
        <v>162.81</v>
      </c>
      <c r="C753" s="3">
        <f>MEDIAN(I753:L753)</f>
        <v>101.315</v>
      </c>
      <c r="D753" s="3">
        <f>ROUND(C753*(1-Settings!$B$2),2)</f>
        <v>70.92</v>
      </c>
      <c r="E753" s="3">
        <f>ROUND(C753*(1-Settings!$B$3),2)</f>
        <v>70.92</v>
      </c>
      <c r="F753" s="2" t="inlineStr">
        <is>
          <t>Pokemon</t>
        </is>
      </c>
      <c r="G753" s="2" t="inlineStr">
        <is>
          <t>Box</t>
        </is>
      </c>
      <c r="H753" s="2" t="inlineStr">
        <is>
          <t>SV10: The Glory of Team Rocket</t>
        </is>
      </c>
      <c r="I753" s="3" t="n"/>
      <c r="J753" s="3" t="n">
        <v>162.81</v>
      </c>
      <c r="K753" s="3" t="n"/>
      <c r="L753" s="3" t="n">
        <v>39.82</v>
      </c>
      <c r="M753" s="2" t="inlineStr">
        <is>
          <t>TCGplayer</t>
        </is>
      </c>
      <c r="O753" s="4" t="inlineStr">
        <is>
          <t>https://www.tcgplayer.com/product/629197</t>
        </is>
      </c>
    </row>
    <row r="754">
      <c r="A754" s="2" t="inlineStr">
        <is>
          <t>Black Bolt Booster Box</t>
        </is>
      </c>
      <c r="B754" s="3">
        <f>IF(I754&lt;&gt;"",I754,IF(J754&lt;&gt;"",J754,IF(K754&lt;&gt;"",K754,L754)))</f>
        <v>151.21</v>
      </c>
      <c r="C754" s="3">
        <f>MEDIAN(I754:L754)</f>
        <v>115.605</v>
      </c>
      <c r="D754" s="3">
        <f>ROUND(C754*(1-Settings!$B$2),2)</f>
        <v>80.92</v>
      </c>
      <c r="E754" s="3">
        <f>ROUND(C754*(1-Settings!$B$3),2)</f>
        <v>80.92</v>
      </c>
      <c r="F754" s="2" t="inlineStr">
        <is>
          <t>Pokemon</t>
        </is>
      </c>
      <c r="G754" s="2" t="inlineStr">
        <is>
          <t>Box</t>
        </is>
      </c>
      <c r="H754" s="2" t="inlineStr">
        <is>
          <t>SV11B: Black Bolt</t>
        </is>
      </c>
      <c r="I754" s="3" t="n"/>
      <c r="J754" s="3" t="n">
        <v>151.21</v>
      </c>
      <c r="K754" s="3" t="n"/>
      <c r="L754" s="3" t="n">
        <v>80</v>
      </c>
      <c r="M754" s="2" t="inlineStr">
        <is>
          <t>TCGplayer</t>
        </is>
      </c>
      <c r="O754" s="4" t="inlineStr">
        <is>
          <t>https://www.tcgplayer.com/product/637384</t>
        </is>
      </c>
    </row>
    <row r="755">
      <c r="A755" s="2" t="inlineStr">
        <is>
          <t>Black Bolt Deluxe Booster Box</t>
        </is>
      </c>
      <c r="B755" s="3">
        <f>IF(I755&lt;&gt;"",I755,IF(J755&lt;&gt;"",J755,IF(K755&lt;&gt;"",K755,L755)))</f>
        <v>221.23</v>
      </c>
      <c r="C755" s="3">
        <f>MEDIAN(I755:L755)</f>
        <v>200.61</v>
      </c>
      <c r="D755" s="3">
        <f>ROUND(C755*(1-Settings!$B$2),2)</f>
        <v>140.43</v>
      </c>
      <c r="E755" s="3">
        <f>ROUND(C755*(1-Settings!$B$3),2)</f>
        <v>140.43</v>
      </c>
      <c r="F755" s="2" t="inlineStr">
        <is>
          <t>Pokemon</t>
        </is>
      </c>
      <c r="G755" s="2" t="inlineStr">
        <is>
          <t>Box</t>
        </is>
      </c>
      <c r="H755" s="2" t="inlineStr">
        <is>
          <t>SV11B: Black Bolt</t>
        </is>
      </c>
      <c r="I755" s="3" t="n"/>
      <c r="J755" s="3" t="n">
        <v>221.23</v>
      </c>
      <c r="K755" s="3" t="n"/>
      <c r="L755" s="3" t="n">
        <v>179.99</v>
      </c>
      <c r="M755" s="2" t="inlineStr">
        <is>
          <t>TCGplayer</t>
        </is>
      </c>
      <c r="O755" s="4" t="inlineStr">
        <is>
          <t>https://www.tcgplayer.com/product/637491</t>
        </is>
      </c>
    </row>
    <row r="756">
      <c r="A756" s="2" t="inlineStr">
        <is>
          <t>White Flare Booster Box</t>
        </is>
      </c>
      <c r="B756" s="3">
        <f>IF(I756&lt;&gt;"",I756,IF(J756&lt;&gt;"",J756,IF(K756&lt;&gt;"",K756,L756)))</f>
        <v>123.03</v>
      </c>
      <c r="C756" s="3">
        <f>MEDIAN(I756:L756)</f>
        <v>101.515</v>
      </c>
      <c r="D756" s="3">
        <f>ROUND(C756*(1-Settings!$B$2),2)</f>
        <v>71.06</v>
      </c>
      <c r="E756" s="3">
        <f>ROUND(C756*(1-Settings!$B$3),2)</f>
        <v>71.06</v>
      </c>
      <c r="F756" s="2" t="inlineStr">
        <is>
          <t>Pokemon</t>
        </is>
      </c>
      <c r="G756" s="2" t="inlineStr">
        <is>
          <t>Box</t>
        </is>
      </c>
      <c r="H756" s="2" t="inlineStr">
        <is>
          <t>SV11W: White Flare</t>
        </is>
      </c>
      <c r="I756" s="3" t="n"/>
      <c r="J756" s="3" t="n">
        <v>123.03</v>
      </c>
      <c r="K756" s="3" t="n"/>
      <c r="L756" s="3" t="n">
        <v>80</v>
      </c>
      <c r="M756" s="2" t="inlineStr">
        <is>
          <t>TCGplayer</t>
        </is>
      </c>
      <c r="O756" s="4" t="inlineStr">
        <is>
          <t>https://www.tcgplayer.com/product/637386</t>
        </is>
      </c>
    </row>
    <row r="757">
      <c r="A757" s="2" t="inlineStr">
        <is>
          <t>White Flare Deluxe Booster Box</t>
        </is>
      </c>
      <c r="B757" s="3">
        <f>IF(I757&lt;&gt;"",I757,IF(J757&lt;&gt;"",J757,IF(K757&lt;&gt;"",K757,L757)))</f>
        <v>145.02</v>
      </c>
      <c r="C757" s="3">
        <f>MEDIAN(I757:L757)</f>
        <v>158.91000000000003</v>
      </c>
      <c r="D757" s="3">
        <f>ROUND(C757*(1-Settings!$B$2),2)</f>
        <v>111.24</v>
      </c>
      <c r="E757" s="3">
        <f>ROUND(C757*(1-Settings!$B$3),2)</f>
        <v>111.24</v>
      </c>
      <c r="F757" s="2" t="inlineStr">
        <is>
          <t>Pokemon</t>
        </is>
      </c>
      <c r="G757" s="2" t="inlineStr">
        <is>
          <t>Box</t>
        </is>
      </c>
      <c r="H757" s="2" t="inlineStr">
        <is>
          <t>SV11W: White Flare</t>
        </is>
      </c>
      <c r="I757" s="3" t="n"/>
      <c r="J757" s="3" t="n">
        <v>145.02</v>
      </c>
      <c r="K757" s="3" t="n"/>
      <c r="L757" s="3" t="n">
        <v>172.8</v>
      </c>
      <c r="M757" s="2" t="inlineStr">
        <is>
          <t>TCGplayer</t>
        </is>
      </c>
      <c r="O757" s="4" t="inlineStr">
        <is>
          <t>https://www.tcgplayer.com/product/637492</t>
        </is>
      </c>
    </row>
    <row r="758">
      <c r="A758" s="2" t="inlineStr">
        <is>
          <t>Triple Beat Booster Box</t>
        </is>
      </c>
      <c r="B758" s="3">
        <f>IF(I758&lt;&gt;"",I758,IF(J758&lt;&gt;"",J758,IF(K758&lt;&gt;"",K758,L758)))</f>
        <v>151.51</v>
      </c>
      <c r="C758" s="3">
        <f>MEDIAN(I758:L758)</f>
        <v>120.19999999999999</v>
      </c>
      <c r="D758" s="3">
        <f>ROUND(C758*(1-Settings!$B$2),2)</f>
        <v>84.14</v>
      </c>
      <c r="E758" s="3">
        <f>ROUND(C758*(1-Settings!$B$3),2)</f>
        <v>84.14</v>
      </c>
      <c r="F758" s="2" t="inlineStr">
        <is>
          <t>Pokemon</t>
        </is>
      </c>
      <c r="G758" s="2" t="inlineStr">
        <is>
          <t>Box</t>
        </is>
      </c>
      <c r="H758" s="2" t="inlineStr">
        <is>
          <t>SV1a: Triplet Beat</t>
        </is>
      </c>
      <c r="I758" s="3" t="n"/>
      <c r="J758" s="3" t="n">
        <v>151.51</v>
      </c>
      <c r="K758" s="3" t="n"/>
      <c r="L758" s="3" t="n">
        <v>88.89</v>
      </c>
      <c r="M758" s="2" t="inlineStr">
        <is>
          <t>TCGplayer</t>
        </is>
      </c>
      <c r="O758" s="4" t="inlineStr">
        <is>
          <t>https://www.tcgplayer.com/product/565248</t>
        </is>
      </c>
    </row>
    <row r="759">
      <c r="A759" s="2" t="inlineStr">
        <is>
          <t>Scarlet ex Booster Box</t>
        </is>
      </c>
      <c r="B759" s="3">
        <f>IF(I759&lt;&gt;"",I759,IF(J759&lt;&gt;"",J759,IF(K759&lt;&gt;"",K759,L759)))</f>
        <v>104.17</v>
      </c>
      <c r="C759" s="3">
        <f>MEDIAN(I759:L759)</f>
        <v>87.08500000000001</v>
      </c>
      <c r="D759" s="3">
        <f>ROUND(C759*(1-Settings!$B$2),2)</f>
        <v>60.96</v>
      </c>
      <c r="E759" s="3">
        <f>ROUND(C759*(1-Settings!$B$3),2)</f>
        <v>60.96</v>
      </c>
      <c r="F759" s="2" t="inlineStr">
        <is>
          <t>Pokemon</t>
        </is>
      </c>
      <c r="G759" s="2" t="inlineStr">
        <is>
          <t>Box</t>
        </is>
      </c>
      <c r="H759" s="2" t="inlineStr">
        <is>
          <t>SV1S: Scarlet ex</t>
        </is>
      </c>
      <c r="I759" s="3" t="n"/>
      <c r="J759" s="3" t="n">
        <v>104.17</v>
      </c>
      <c r="K759" s="3" t="n"/>
      <c r="L759" s="3" t="n">
        <v>70</v>
      </c>
      <c r="M759" s="2" t="inlineStr">
        <is>
          <t>TCGplayer</t>
        </is>
      </c>
      <c r="O759" s="4" t="inlineStr">
        <is>
          <t>https://www.tcgplayer.com/product/565247</t>
        </is>
      </c>
    </row>
    <row r="760">
      <c r="A760" s="2" t="inlineStr">
        <is>
          <t>Violet ex Booster Box</t>
        </is>
      </c>
      <c r="B760" s="3">
        <f>IF(I760&lt;&gt;"",I760,IF(J760&lt;&gt;"",J760,IF(K760&lt;&gt;"",K760,L760)))</f>
        <v>86.19</v>
      </c>
      <c r="C760" s="3">
        <f>MEDIAN(I760:L760)</f>
        <v>80.595</v>
      </c>
      <c r="D760" s="3">
        <f>ROUND(C760*(1-Settings!$B$2),2)</f>
        <v>56.42</v>
      </c>
      <c r="E760" s="3">
        <f>ROUND(C760*(1-Settings!$B$3),2)</f>
        <v>56.42</v>
      </c>
      <c r="F760" s="2" t="inlineStr">
        <is>
          <t>Pokemon</t>
        </is>
      </c>
      <c r="G760" s="2" t="inlineStr">
        <is>
          <t>Box</t>
        </is>
      </c>
      <c r="H760" s="2" t="inlineStr">
        <is>
          <t>SV1V: Violet ex</t>
        </is>
      </c>
      <c r="I760" s="3" t="n"/>
      <c r="J760" s="3" t="n">
        <v>86.19</v>
      </c>
      <c r="K760" s="3" t="n"/>
      <c r="L760" s="3" t="n">
        <v>75</v>
      </c>
      <c r="M760" s="2" t="inlineStr">
        <is>
          <t>TCGplayer</t>
        </is>
      </c>
      <c r="O760" s="4" t="inlineStr">
        <is>
          <t>https://www.tcgplayer.com/product/565244</t>
        </is>
      </c>
    </row>
    <row r="761">
      <c r="A761" s="2" t="inlineStr">
        <is>
          <t>Pokemon Card 151 Booster Box</t>
        </is>
      </c>
      <c r="B761" s="3">
        <f>IF(I761&lt;&gt;"",I761,IF(J761&lt;&gt;"",J761,IF(K761&lt;&gt;"",K761,L761)))</f>
        <v>239.66</v>
      </c>
      <c r="C761" s="3">
        <f>MEDIAN(I761:L761)</f>
        <v>142.325</v>
      </c>
      <c r="D761" s="3">
        <f>ROUND(C761*(1-Settings!$B$2),2)</f>
        <v>99.63</v>
      </c>
      <c r="E761" s="3">
        <f>ROUND(C761*(1-Settings!$B$3),2)</f>
        <v>99.63</v>
      </c>
      <c r="F761" s="2" t="inlineStr">
        <is>
          <t>Pokemon</t>
        </is>
      </c>
      <c r="G761" s="2" t="inlineStr">
        <is>
          <t>Box</t>
        </is>
      </c>
      <c r="H761" s="2" t="inlineStr">
        <is>
          <t>SV2a: Pokemon Card 151</t>
        </is>
      </c>
      <c r="I761" s="3" t="n"/>
      <c r="J761" s="3" t="n">
        <v>239.66</v>
      </c>
      <c r="K761" s="3" t="n"/>
      <c r="L761" s="3" t="n">
        <v>44.99</v>
      </c>
      <c r="M761" s="2" t="inlineStr">
        <is>
          <t>TCGplayer</t>
        </is>
      </c>
      <c r="O761" s="4" t="inlineStr">
        <is>
          <t>https://www.tcgplayer.com/product/565243</t>
        </is>
      </c>
    </row>
    <row r="762">
      <c r="A762" s="2" t="inlineStr">
        <is>
          <t>Clay Burst Booster Box</t>
        </is>
      </c>
      <c r="B762" s="3">
        <f>IF(I762&lt;&gt;"",I762,IF(J762&lt;&gt;"",J762,IF(K762&lt;&gt;"",K762,L762)))</f>
        <v>105.05</v>
      </c>
      <c r="C762" s="3">
        <f>MEDIAN(I762:L762)</f>
        <v>95.025</v>
      </c>
      <c r="D762" s="3">
        <f>ROUND(C762*(1-Settings!$B$2),2)</f>
        <v>66.52</v>
      </c>
      <c r="E762" s="3">
        <f>ROUND(C762*(1-Settings!$B$3),2)</f>
        <v>66.52</v>
      </c>
      <c r="F762" s="2" t="inlineStr">
        <is>
          <t>Pokemon</t>
        </is>
      </c>
      <c r="G762" s="2" t="inlineStr">
        <is>
          <t>Box</t>
        </is>
      </c>
      <c r="H762" s="2" t="inlineStr">
        <is>
          <t>SV2D: Clay Burst</t>
        </is>
      </c>
      <c r="I762" s="3" t="n"/>
      <c r="J762" s="3" t="n">
        <v>105.05</v>
      </c>
      <c r="K762" s="3" t="n"/>
      <c r="L762" s="3" t="n">
        <v>85</v>
      </c>
      <c r="M762" s="2" t="inlineStr">
        <is>
          <t>TCGplayer</t>
        </is>
      </c>
      <c r="O762" s="4" t="inlineStr">
        <is>
          <t>https://www.tcgplayer.com/product/565240</t>
        </is>
      </c>
    </row>
    <row r="763">
      <c r="A763" s="2" t="inlineStr">
        <is>
          <t>Snow Hazard Booster Box</t>
        </is>
      </c>
      <c r="B763" s="3">
        <f>IF(I763&lt;&gt;"",I763,IF(J763&lt;&gt;"",J763,IF(K763&lt;&gt;"",K763,L763)))</f>
        <v>105.28</v>
      </c>
      <c r="C763" s="3">
        <f>MEDIAN(I763:L763)</f>
        <v>97.63499999999999</v>
      </c>
      <c r="D763" s="3">
        <f>ROUND(C763*(1-Settings!$B$2),2)</f>
        <v>68.34</v>
      </c>
      <c r="E763" s="3">
        <f>ROUND(C763*(1-Settings!$B$3),2)</f>
        <v>68.34</v>
      </c>
      <c r="F763" s="2" t="inlineStr">
        <is>
          <t>Pokemon</t>
        </is>
      </c>
      <c r="G763" s="2" t="inlineStr">
        <is>
          <t>Box</t>
        </is>
      </c>
      <c r="H763" s="2" t="inlineStr">
        <is>
          <t>SV2P: Snow Hazard</t>
        </is>
      </c>
      <c r="I763" s="3" t="n"/>
      <c r="J763" s="3" t="n">
        <v>105.28</v>
      </c>
      <c r="K763" s="3" t="n"/>
      <c r="L763" s="3" t="n">
        <v>89.98999999999999</v>
      </c>
      <c r="M763" s="2" t="inlineStr">
        <is>
          <t>TCGplayer</t>
        </is>
      </c>
      <c r="O763" s="4" t="inlineStr">
        <is>
          <t>https://www.tcgplayer.com/product/565239</t>
        </is>
      </c>
    </row>
    <row r="764">
      <c r="A764" s="2" t="inlineStr">
        <is>
          <t>Ruler of the Black Flame Booster Box</t>
        </is>
      </c>
      <c r="B764" s="3">
        <f>IF(I764&lt;&gt;"",I764,IF(J764&lt;&gt;"",J764,IF(K764&lt;&gt;"",K764,L764)))</f>
        <v>152.78</v>
      </c>
      <c r="C764" s="3">
        <f>MEDIAN(I764:L764)</f>
        <v>95.84</v>
      </c>
      <c r="D764" s="3">
        <f>ROUND(C764*(1-Settings!$B$2),2)</f>
        <v>67.09</v>
      </c>
      <c r="E764" s="3">
        <f>ROUND(C764*(1-Settings!$B$3),2)</f>
        <v>67.09</v>
      </c>
      <c r="F764" s="2" t="inlineStr">
        <is>
          <t>Pokemon</t>
        </is>
      </c>
      <c r="G764" s="2" t="inlineStr">
        <is>
          <t>Box</t>
        </is>
      </c>
      <c r="H764" s="2" t="inlineStr">
        <is>
          <t>SV3: Ruler of the Black Flame</t>
        </is>
      </c>
      <c r="I764" s="3" t="n"/>
      <c r="J764" s="3" t="n">
        <v>152.78</v>
      </c>
      <c r="K764" s="3" t="n"/>
      <c r="L764" s="3" t="n">
        <v>38.9</v>
      </c>
      <c r="M764" s="2" t="inlineStr">
        <is>
          <t>TCGplayer</t>
        </is>
      </c>
      <c r="O764" s="4" t="inlineStr">
        <is>
          <t>https://www.tcgplayer.com/product/565236</t>
        </is>
      </c>
    </row>
    <row r="765">
      <c r="A765" s="2" t="inlineStr">
        <is>
          <t>Raging Surf Booster Box</t>
        </is>
      </c>
      <c r="B765" s="3">
        <f>IF(I765&lt;&gt;"",I765,IF(J765&lt;&gt;"",J765,IF(K765&lt;&gt;"",K765,L765)))</f>
        <v>111.1</v>
      </c>
      <c r="C765" s="3">
        <f>MEDIAN(I765:L765)</f>
        <v>75.545</v>
      </c>
      <c r="D765" s="3">
        <f>ROUND(C765*(1-Settings!$B$2),2)</f>
        <v>52.88</v>
      </c>
      <c r="E765" s="3">
        <f>ROUND(C765*(1-Settings!$B$3),2)</f>
        <v>52.88</v>
      </c>
      <c r="F765" s="2" t="inlineStr">
        <is>
          <t>Pokemon</t>
        </is>
      </c>
      <c r="G765" s="2" t="inlineStr">
        <is>
          <t>Box</t>
        </is>
      </c>
      <c r="H765" s="2" t="inlineStr">
        <is>
          <t>SV3a: Raging Surf</t>
        </is>
      </c>
      <c r="I765" s="3" t="n"/>
      <c r="J765" s="3" t="n">
        <v>111.1</v>
      </c>
      <c r="K765" s="3" t="n"/>
      <c r="L765" s="3" t="n">
        <v>39.99</v>
      </c>
      <c r="M765" s="2" t="inlineStr">
        <is>
          <t>TCGplayer</t>
        </is>
      </c>
      <c r="O765" s="4" t="inlineStr">
        <is>
          <t>https://www.tcgplayer.com/product/565235</t>
        </is>
      </c>
    </row>
    <row r="766">
      <c r="A766" s="2" t="inlineStr">
        <is>
          <t>Shiny Treasure ex High Class Booster Box</t>
        </is>
      </c>
      <c r="B766" s="3">
        <f>IF(I766&lt;&gt;"",I766,IF(J766&lt;&gt;"",J766,IF(K766&lt;&gt;"",K766,L766)))</f>
        <v>115.21</v>
      </c>
      <c r="C766" s="3">
        <f>MEDIAN(I766:L766)</f>
        <v>117.1</v>
      </c>
      <c r="D766" s="3">
        <f>ROUND(C766*(1-Settings!$B$2),2)</f>
        <v>81.97</v>
      </c>
      <c r="E766" s="3">
        <f>ROUND(C766*(1-Settings!$B$3),2)</f>
        <v>81.97</v>
      </c>
      <c r="F766" s="2" t="inlineStr">
        <is>
          <t>Pokemon</t>
        </is>
      </c>
      <c r="G766" s="2" t="inlineStr">
        <is>
          <t>Box</t>
        </is>
      </c>
      <c r="H766" s="2" t="inlineStr">
        <is>
          <t>SV4a: Shiny Treasure ex</t>
        </is>
      </c>
      <c r="I766" s="3" t="n"/>
      <c r="J766" s="3" t="n">
        <v>115.21</v>
      </c>
      <c r="K766" s="3" t="n"/>
      <c r="L766" s="3" t="n">
        <v>118.99</v>
      </c>
      <c r="M766" s="2" t="inlineStr">
        <is>
          <t>TCGplayer</t>
        </is>
      </c>
      <c r="O766" s="4" t="inlineStr">
        <is>
          <t>https://www.tcgplayer.com/product/565232</t>
        </is>
      </c>
    </row>
    <row r="767">
      <c r="A767" s="2" t="inlineStr">
        <is>
          <t>Ancient Roar Booster Box</t>
        </is>
      </c>
      <c r="B767" s="3">
        <f>IF(I767&lt;&gt;"",I767,IF(J767&lt;&gt;"",J767,IF(K767&lt;&gt;"",K767,L767)))</f>
        <v>100.34</v>
      </c>
      <c r="C767" s="3">
        <f>MEDIAN(I767:L767)</f>
        <v>67.665</v>
      </c>
      <c r="D767" s="3">
        <f>ROUND(C767*(1-Settings!$B$2),2)</f>
        <v>47.37</v>
      </c>
      <c r="E767" s="3">
        <f>ROUND(C767*(1-Settings!$B$3),2)</f>
        <v>47.37</v>
      </c>
      <c r="F767" s="2" t="inlineStr">
        <is>
          <t>Pokemon</t>
        </is>
      </c>
      <c r="G767" s="2" t="inlineStr">
        <is>
          <t>Box</t>
        </is>
      </c>
      <c r="H767" s="2" t="inlineStr">
        <is>
          <t>SV4K: Ancient Roar</t>
        </is>
      </c>
      <c r="I767" s="3" t="n"/>
      <c r="J767" s="3" t="n">
        <v>100.34</v>
      </c>
      <c r="K767" s="3" t="n"/>
      <c r="L767" s="3" t="n">
        <v>34.99</v>
      </c>
      <c r="M767" s="2" t="inlineStr">
        <is>
          <t>TCGplayer</t>
        </is>
      </c>
      <c r="O767" s="4" t="inlineStr">
        <is>
          <t>https://www.tcgplayer.com/product/565231</t>
        </is>
      </c>
    </row>
    <row r="768">
      <c r="A768" s="2" t="inlineStr">
        <is>
          <t>Future Flash Booster Box</t>
        </is>
      </c>
      <c r="B768" s="3">
        <f>IF(I768&lt;&gt;"",I768,IF(J768&lt;&gt;"",J768,IF(K768&lt;&gt;"",K768,L768)))</f>
        <v>89.58</v>
      </c>
      <c r="C768" s="3">
        <f>MEDIAN(I768:L768)</f>
        <v>62.285</v>
      </c>
      <c r="D768" s="3">
        <f>ROUND(C768*(1-Settings!$B$2),2)</f>
        <v>43.6</v>
      </c>
      <c r="E768" s="3">
        <f>ROUND(C768*(1-Settings!$B$3),2)</f>
        <v>43.6</v>
      </c>
      <c r="F768" s="2" t="inlineStr">
        <is>
          <t>Pokemon</t>
        </is>
      </c>
      <c r="G768" s="2" t="inlineStr">
        <is>
          <t>Box</t>
        </is>
      </c>
      <c r="H768" s="2" t="inlineStr">
        <is>
          <t>SV4M: Future Flash</t>
        </is>
      </c>
      <c r="I768" s="3" t="n"/>
      <c r="J768" s="3" t="n">
        <v>89.58</v>
      </c>
      <c r="K768" s="3" t="n"/>
      <c r="L768" s="3" t="n">
        <v>34.99</v>
      </c>
      <c r="M768" s="2" t="inlineStr">
        <is>
          <t>TCGplayer</t>
        </is>
      </c>
      <c r="O768" s="4" t="inlineStr">
        <is>
          <t>https://www.tcgplayer.com/product/565228</t>
        </is>
      </c>
    </row>
    <row r="769">
      <c r="A769" s="2" t="inlineStr">
        <is>
          <t>Crimson Haze Booster Box</t>
        </is>
      </c>
      <c r="B769" s="3">
        <f>IF(I769&lt;&gt;"",I769,IF(J769&lt;&gt;"",J769,IF(K769&lt;&gt;"",K769,L769)))</f>
        <v>120.59</v>
      </c>
      <c r="C769" s="3">
        <f>MEDIAN(I769:L769)</f>
        <v>77.79</v>
      </c>
      <c r="D769" s="3">
        <f>ROUND(C769*(1-Settings!$B$2),2)</f>
        <v>54.45</v>
      </c>
      <c r="E769" s="3">
        <f>ROUND(C769*(1-Settings!$B$3),2)</f>
        <v>54.45</v>
      </c>
      <c r="F769" s="2" t="inlineStr">
        <is>
          <t>Pokemon</t>
        </is>
      </c>
      <c r="G769" s="2" t="inlineStr">
        <is>
          <t>Box</t>
        </is>
      </c>
      <c r="H769" s="2" t="inlineStr">
        <is>
          <t>SV5a: Crimson Haze</t>
        </is>
      </c>
      <c r="I769" s="3" t="n"/>
      <c r="J769" s="3" t="n">
        <v>120.59</v>
      </c>
      <c r="K769" s="3" t="n"/>
      <c r="L769" s="3" t="n">
        <v>34.99</v>
      </c>
      <c r="M769" s="2" t="inlineStr">
        <is>
          <t>TCGplayer</t>
        </is>
      </c>
      <c r="O769" s="4" t="inlineStr">
        <is>
          <t>https://www.tcgplayer.com/product/565226</t>
        </is>
      </c>
    </row>
    <row r="770">
      <c r="A770" s="2" t="inlineStr">
        <is>
          <t>Wild Force Booster Box</t>
        </is>
      </c>
      <c r="B770" s="3">
        <f>IF(I770&lt;&gt;"",I770,IF(J770&lt;&gt;"",J770,IF(K770&lt;&gt;"",K770,L770)))</f>
        <v>102.48</v>
      </c>
      <c r="C770" s="3">
        <f>MEDIAN(I770:L770)</f>
        <v>68.735</v>
      </c>
      <c r="D770" s="3">
        <f>ROUND(C770*(1-Settings!$B$2),2)</f>
        <v>48.11</v>
      </c>
      <c r="E770" s="3">
        <f>ROUND(C770*(1-Settings!$B$3),2)</f>
        <v>48.11</v>
      </c>
      <c r="F770" s="2" t="inlineStr">
        <is>
          <t>Pokemon</t>
        </is>
      </c>
      <c r="G770" s="2" t="inlineStr">
        <is>
          <t>Box</t>
        </is>
      </c>
      <c r="H770" s="2" t="inlineStr">
        <is>
          <t>SV5K: Wild Force</t>
        </is>
      </c>
      <c r="I770" s="3" t="n"/>
      <c r="J770" s="3" t="n">
        <v>102.48</v>
      </c>
      <c r="K770" s="3" t="n"/>
      <c r="L770" s="3" t="n">
        <v>34.99</v>
      </c>
      <c r="M770" s="2" t="inlineStr">
        <is>
          <t>TCGplayer</t>
        </is>
      </c>
      <c r="O770" s="4" t="inlineStr">
        <is>
          <t>https://www.tcgplayer.com/product/565225</t>
        </is>
      </c>
    </row>
    <row r="771">
      <c r="A771" s="2" t="inlineStr">
        <is>
          <t>Cyber Judge Booster Box</t>
        </is>
      </c>
      <c r="B771" s="3">
        <f>IF(I771&lt;&gt;"",I771,IF(J771&lt;&gt;"",J771,IF(K771&lt;&gt;"",K771,L771)))</f>
        <v>86.09</v>
      </c>
      <c r="C771" s="3">
        <f>MEDIAN(I771:L771)</f>
        <v>60.455</v>
      </c>
      <c r="D771" s="3">
        <f>ROUND(C771*(1-Settings!$B$2),2)</f>
        <v>42.32</v>
      </c>
      <c r="E771" s="3">
        <f>ROUND(C771*(1-Settings!$B$3),2)</f>
        <v>42.32</v>
      </c>
      <c r="F771" s="2" t="inlineStr">
        <is>
          <t>Pokemon</t>
        </is>
      </c>
      <c r="G771" s="2" t="inlineStr">
        <is>
          <t>Box</t>
        </is>
      </c>
      <c r="H771" s="2" t="inlineStr">
        <is>
          <t>SV5M: Cyber Judge</t>
        </is>
      </c>
      <c r="I771" s="3" t="n"/>
      <c r="J771" s="3" t="n">
        <v>86.09</v>
      </c>
      <c r="K771" s="3" t="n"/>
      <c r="L771" s="3" t="n">
        <v>34.82</v>
      </c>
      <c r="M771" s="2" t="inlineStr">
        <is>
          <t>TCGplayer</t>
        </is>
      </c>
      <c r="O771" s="4" t="inlineStr">
        <is>
          <t>https://www.tcgplayer.com/product/565222</t>
        </is>
      </c>
    </row>
    <row r="772">
      <c r="A772" s="2" t="inlineStr">
        <is>
          <t>Transformation Mask Booster Box</t>
        </is>
      </c>
      <c r="B772" s="3">
        <f>IF(I772&lt;&gt;"",I772,IF(J772&lt;&gt;"",J772,IF(K772&lt;&gt;"",K772,L772)))</f>
        <v>98.07</v>
      </c>
      <c r="C772" s="3">
        <f>MEDIAN(I772:L772)</f>
        <v>66.435</v>
      </c>
      <c r="D772" s="3">
        <f>ROUND(C772*(1-Settings!$B$2),2)</f>
        <v>46.5</v>
      </c>
      <c r="E772" s="3">
        <f>ROUND(C772*(1-Settings!$B$3),2)</f>
        <v>46.5</v>
      </c>
      <c r="F772" s="2" t="inlineStr">
        <is>
          <t>Pokemon</t>
        </is>
      </c>
      <c r="G772" s="2" t="inlineStr">
        <is>
          <t>Box</t>
        </is>
      </c>
      <c r="H772" s="2" t="inlineStr">
        <is>
          <t>SV6: Transformation Mask</t>
        </is>
      </c>
      <c r="I772" s="3" t="n"/>
      <c r="J772" s="3" t="n">
        <v>98.06999999999999</v>
      </c>
      <c r="K772" s="3" t="n"/>
      <c r="L772" s="3" t="n">
        <v>34.8</v>
      </c>
      <c r="M772" s="2" t="inlineStr">
        <is>
          <t>TCGplayer</t>
        </is>
      </c>
      <c r="O772" s="4" t="inlineStr">
        <is>
          <t>https://www.tcgplayer.com/product/565221</t>
        </is>
      </c>
    </row>
    <row r="773">
      <c r="A773" s="2" t="inlineStr">
        <is>
          <t>Night Wanderer Booster Box</t>
        </is>
      </c>
      <c r="B773" s="3">
        <f>IF(I773&lt;&gt;"",I773,IF(J773&lt;&gt;"",J773,IF(K773&lt;&gt;"",K773,L773)))</f>
        <v>88.12</v>
      </c>
      <c r="C773" s="3">
        <f>MEDIAN(I773:L773)</f>
        <v>61.55500000000001</v>
      </c>
      <c r="D773" s="3">
        <f>ROUND(C773*(1-Settings!$B$2),2)</f>
        <v>43.09</v>
      </c>
      <c r="E773" s="3">
        <f>ROUND(C773*(1-Settings!$B$3),2)</f>
        <v>43.09</v>
      </c>
      <c r="F773" s="2" t="inlineStr">
        <is>
          <t>Pokemon</t>
        </is>
      </c>
      <c r="G773" s="2" t="inlineStr">
        <is>
          <t>Box</t>
        </is>
      </c>
      <c r="H773" s="2" t="inlineStr">
        <is>
          <t>SV6a: Night Wanderer</t>
        </is>
      </c>
      <c r="I773" s="3" t="n"/>
      <c r="J773" s="3" t="n">
        <v>88.12</v>
      </c>
      <c r="K773" s="3" t="n"/>
      <c r="L773" s="3" t="n">
        <v>34.99</v>
      </c>
      <c r="M773" s="2" t="inlineStr">
        <is>
          <t>TCGplayer</t>
        </is>
      </c>
      <c r="O773" s="4" t="inlineStr">
        <is>
          <t>https://www.tcgplayer.com/product/565218</t>
        </is>
      </c>
    </row>
    <row r="774">
      <c r="A774" s="2" t="inlineStr">
        <is>
          <t>Stellar Miracle Booster Box</t>
        </is>
      </c>
      <c r="B774" s="3">
        <f>IF(I774&lt;&gt;"",I774,IF(J774&lt;&gt;"",J774,IF(K774&lt;&gt;"",K774,L774)))</f>
        <v>89.0</v>
      </c>
      <c r="C774" s="3">
        <f>MEDIAN(I774:L774)</f>
        <v>77.41499999999999</v>
      </c>
      <c r="D774" s="3">
        <f>ROUND(C774*(1-Settings!$B$2),2)</f>
        <v>54.19</v>
      </c>
      <c r="E774" s="3">
        <f>ROUND(C774*(1-Settings!$B$3),2)</f>
        <v>54.19</v>
      </c>
      <c r="F774" s="2" t="inlineStr">
        <is>
          <t>Pokemon</t>
        </is>
      </c>
      <c r="G774" s="2" t="inlineStr">
        <is>
          <t>Box</t>
        </is>
      </c>
      <c r="H774" s="2" t="inlineStr">
        <is>
          <t>SV7: Stellar Miracle</t>
        </is>
      </c>
      <c r="I774" s="3" t="n"/>
      <c r="J774" s="3" t="n">
        <v>89</v>
      </c>
      <c r="K774" s="3" t="n"/>
      <c r="L774" s="3" t="n">
        <v>65.83</v>
      </c>
      <c r="M774" s="2" t="inlineStr">
        <is>
          <t>TCGplayer</t>
        </is>
      </c>
      <c r="O774" s="4" t="inlineStr">
        <is>
          <t>https://www.tcgplayer.com/product/565217</t>
        </is>
      </c>
    </row>
    <row r="775">
      <c r="A775" s="2" t="inlineStr">
        <is>
          <t>Paradise Dragona Booster Box</t>
        </is>
      </c>
      <c r="B775" s="3">
        <f>IF(I775&lt;&gt;"",I775,IF(J775&lt;&gt;"",J775,IF(K775&lt;&gt;"",K775,L775)))</f>
        <v>114.47</v>
      </c>
      <c r="C775" s="3">
        <f>MEDIAN(I775:L775)</f>
        <v>79.73</v>
      </c>
      <c r="D775" s="3">
        <f>ROUND(C775*(1-Settings!$B$2),2)</f>
        <v>55.81</v>
      </c>
      <c r="E775" s="3">
        <f>ROUND(C775*(1-Settings!$B$3),2)</f>
        <v>55.81</v>
      </c>
      <c r="F775" s="2" t="inlineStr">
        <is>
          <t>Pokemon</t>
        </is>
      </c>
      <c r="G775" s="2" t="inlineStr">
        <is>
          <t>Box</t>
        </is>
      </c>
      <c r="H775" s="2" t="inlineStr">
        <is>
          <t>SV7a: Paradise Dragona</t>
        </is>
      </c>
      <c r="I775" s="3" t="n"/>
      <c r="J775" s="3" t="n">
        <v>114.47</v>
      </c>
      <c r="K775" s="3" t="n"/>
      <c r="L775" s="3" t="n">
        <v>44.99</v>
      </c>
      <c r="M775" s="2" t="inlineStr">
        <is>
          <t>TCGplayer</t>
        </is>
      </c>
      <c r="O775" s="4" t="inlineStr">
        <is>
          <t>https://www.tcgplayer.com/product/580709</t>
        </is>
      </c>
    </row>
    <row r="776">
      <c r="A776" s="2" t="inlineStr">
        <is>
          <t>Super Electric Breaker Booster Box</t>
        </is>
      </c>
      <c r="B776" s="3">
        <f>IF(I776&lt;&gt;"",I776,IF(J776&lt;&gt;"",J776,IF(K776&lt;&gt;"",K776,L776)))</f>
        <v>144.96</v>
      </c>
      <c r="C776" s="3">
        <f>MEDIAN(I776:L776)</f>
        <v>92.605</v>
      </c>
      <c r="D776" s="3">
        <f>ROUND(C776*(1-Settings!$B$2),2)</f>
        <v>64.82</v>
      </c>
      <c r="E776" s="3">
        <f>ROUND(C776*(1-Settings!$B$3),2)</f>
        <v>64.82</v>
      </c>
      <c r="F776" s="2" t="inlineStr">
        <is>
          <t>Pokemon</t>
        </is>
      </c>
      <c r="G776" s="2" t="inlineStr">
        <is>
          <t>Box</t>
        </is>
      </c>
      <c r="H776" s="2" t="inlineStr">
        <is>
          <t>SV8: Super Electric Breaker</t>
        </is>
      </c>
      <c r="I776" s="3" t="n"/>
      <c r="J776" s="3" t="n">
        <v>144.96</v>
      </c>
      <c r="K776" s="3" t="n"/>
      <c r="L776" s="3" t="n">
        <v>40.25</v>
      </c>
      <c r="M776" s="2" t="inlineStr">
        <is>
          <t>TCGplayer</t>
        </is>
      </c>
      <c r="O776" s="4" t="inlineStr">
        <is>
          <t>https://www.tcgplayer.com/product/587728</t>
        </is>
      </c>
    </row>
    <row r="777">
      <c r="A777" s="2" t="inlineStr">
        <is>
          <t>Terastal Fest ex Booster Box</t>
        </is>
      </c>
      <c r="B777" s="3">
        <f>IF(I777&lt;&gt;"",I777,IF(J777&lt;&gt;"",J777,IF(K777&lt;&gt;"",K777,L777)))</f>
        <v>111.72</v>
      </c>
      <c r="C777" s="3">
        <f>MEDIAN(I777:L777)</f>
        <v>96.61</v>
      </c>
      <c r="D777" s="3">
        <f>ROUND(C777*(1-Settings!$B$2),2)</f>
        <v>67.63</v>
      </c>
      <c r="E777" s="3">
        <f>ROUND(C777*(1-Settings!$B$3),2)</f>
        <v>67.63</v>
      </c>
      <c r="F777" s="2" t="inlineStr">
        <is>
          <t>Pokemon</t>
        </is>
      </c>
      <c r="G777" s="2" t="inlineStr">
        <is>
          <t>Box</t>
        </is>
      </c>
      <c r="H777" s="2" t="inlineStr">
        <is>
          <t>SV8a: Terastal Fest ex</t>
        </is>
      </c>
      <c r="I777" s="3" t="n"/>
      <c r="J777" s="3" t="n">
        <v>111.72</v>
      </c>
      <c r="K777" s="3" t="n"/>
      <c r="L777" s="3" t="n">
        <v>81.5</v>
      </c>
      <c r="M777" s="2" t="inlineStr">
        <is>
          <t>TCGplayer</t>
        </is>
      </c>
      <c r="O777" s="4" t="inlineStr">
        <is>
          <t>https://www.tcgplayer.com/product/603428</t>
        </is>
      </c>
    </row>
    <row r="778">
      <c r="A778" s="2" t="inlineStr">
        <is>
          <t>Battle Partners Booster Box</t>
        </is>
      </c>
      <c r="B778" s="3">
        <f>IF(I778&lt;&gt;"",I778,IF(J778&lt;&gt;"",J778,IF(K778&lt;&gt;"",K778,L778)))</f>
        <v>88.06</v>
      </c>
      <c r="C778" s="3">
        <f>MEDIAN(I778:L778)</f>
        <v>66.025</v>
      </c>
      <c r="D778" s="3">
        <f>ROUND(C778*(1-Settings!$B$2),2)</f>
        <v>46.22</v>
      </c>
      <c r="E778" s="3">
        <f>ROUND(C778*(1-Settings!$B$3),2)</f>
        <v>46.22</v>
      </c>
      <c r="F778" s="2" t="inlineStr">
        <is>
          <t>Pokemon</t>
        </is>
      </c>
      <c r="G778" s="2" t="inlineStr">
        <is>
          <t>Box</t>
        </is>
      </c>
      <c r="H778" s="2" t="inlineStr">
        <is>
          <t>SV9: Battle Partners</t>
        </is>
      </c>
      <c r="I778" s="3" t="n"/>
      <c r="J778" s="3" t="n">
        <v>88.06</v>
      </c>
      <c r="K778" s="3" t="n"/>
      <c r="L778" s="3" t="n">
        <v>43.99</v>
      </c>
      <c r="M778" s="2" t="inlineStr">
        <is>
          <t>TCGplayer</t>
        </is>
      </c>
      <c r="O778" s="4" t="inlineStr">
        <is>
          <t>https://www.tcgplayer.com/product/614707</t>
        </is>
      </c>
    </row>
    <row r="779">
      <c r="A779" s="2" t="inlineStr">
        <is>
          <t>Heat Wave Arena Booster Box</t>
        </is>
      </c>
      <c r="B779" s="3">
        <f>IF(I779&lt;&gt;"",I779,IF(J779&lt;&gt;"",J779,IF(K779&lt;&gt;"",K779,L779)))</f>
        <v>127.57</v>
      </c>
      <c r="C779" s="3">
        <f>MEDIAN(I779:L779)</f>
        <v>86.235</v>
      </c>
      <c r="D779" s="3">
        <f>ROUND(C779*(1-Settings!$B$2),2)</f>
        <v>60.36</v>
      </c>
      <c r="E779" s="3">
        <f>ROUND(C779*(1-Settings!$B$3),2)</f>
        <v>60.36</v>
      </c>
      <c r="F779" s="2" t="inlineStr">
        <is>
          <t>Pokemon</t>
        </is>
      </c>
      <c r="G779" s="2" t="inlineStr">
        <is>
          <t>Box</t>
        </is>
      </c>
      <c r="H779" s="2" t="inlineStr">
        <is>
          <t>SV9a: Heat Wave Arena</t>
        </is>
      </c>
      <c r="I779" s="3" t="n"/>
      <c r="J779" s="3" t="n">
        <v>127.57</v>
      </c>
      <c r="K779" s="3" t="n"/>
      <c r="L779" s="3" t="n">
        <v>44.9</v>
      </c>
      <c r="M779" s="2" t="inlineStr">
        <is>
          <t>TCGplayer</t>
        </is>
      </c>
      <c r="O779" s="4" t="inlineStr">
        <is>
          <t>https://www.tcgplayer.com/product/623310</t>
        </is>
      </c>
    </row>
    <row r="780">
      <c r="A780" s="2" t="inlineStr">
        <is>
          <t>Sword &amp; Shield Booster Box</t>
        </is>
      </c>
      <c r="B780" s="3">
        <f>IF(I780&lt;&gt;"",I780,IF(J780&lt;&gt;"",J780,IF(K780&lt;&gt;"",K780,L780)))</f>
        <v>688.99</v>
      </c>
      <c r="C780" s="3">
        <f>MEDIAN(I780:L780)</f>
        <v>688.99</v>
      </c>
      <c r="D780" s="3">
        <f>ROUND(C780*(1-Settings!$B$2),2)</f>
        <v>482.29</v>
      </c>
      <c r="E780" s="3">
        <f>ROUND(C780*(1-Settings!$B$3),2)</f>
        <v>482.29</v>
      </c>
      <c r="F780" s="2" t="inlineStr">
        <is>
          <t>Pokemon</t>
        </is>
      </c>
      <c r="G780" s="2" t="inlineStr">
        <is>
          <t>Box</t>
        </is>
      </c>
      <c r="H780" s="2" t="inlineStr">
        <is>
          <t>SWSH01: Sword &amp; Shield Base Set</t>
        </is>
      </c>
      <c r="I780" s="3" t="n"/>
      <c r="J780" s="3" t="n">
        <v>688.99</v>
      </c>
      <c r="K780" s="3" t="n">
        <v>1085</v>
      </c>
      <c r="L780" s="3" t="n">
        <v>450</v>
      </c>
      <c r="M780" s="2" t="inlineStr">
        <is>
          <t>TCGplayer</t>
        </is>
      </c>
      <c r="O780" s="4" t="inlineStr">
        <is>
          <t>https://www.tcgplayer.com/product/206027</t>
        </is>
      </c>
    </row>
    <row r="781">
      <c r="A781" s="2" t="inlineStr">
        <is>
          <t>Rebel Clash Booster Box</t>
        </is>
      </c>
      <c r="B781" s="3">
        <f>IF(I781&lt;&gt;"",I781,IF(J781&lt;&gt;"",J781,IF(K781&lt;&gt;"",K781,L781)))</f>
        <v>443.4</v>
      </c>
      <c r="C781" s="3">
        <f>MEDIAN(I781:L781)</f>
        <v>485.93</v>
      </c>
      <c r="D781" s="3">
        <f>ROUND(C781*(1-Settings!$B$2),2)</f>
        <v>340.15</v>
      </c>
      <c r="E781" s="3">
        <f>ROUND(C781*(1-Settings!$B$3),2)</f>
        <v>340.15</v>
      </c>
      <c r="F781" s="2" t="inlineStr">
        <is>
          <t>Pokemon</t>
        </is>
      </c>
      <c r="G781" s="2" t="inlineStr">
        <is>
          <t>Box</t>
        </is>
      </c>
      <c r="H781" s="2" t="inlineStr">
        <is>
          <t>SWSH02: Rebel Clash</t>
        </is>
      </c>
      <c r="I781" s="3" t="n">
        <v>443.4</v>
      </c>
      <c r="J781" s="3" t="n">
        <v>482.86</v>
      </c>
      <c r="K781" s="3" t="n">
        <v>590</v>
      </c>
      <c r="L781" s="3" t="n">
        <v>489</v>
      </c>
      <c r="M781" s="2" t="inlineStr">
        <is>
          <t>PriceCharting + TCGplayer</t>
        </is>
      </c>
      <c r="N781" s="4" t="inlineStr">
        <is>
          <t>https://www.pricecharting.com/game/pokemon-rebel-clash/booster-box</t>
        </is>
      </c>
      <c r="O781" s="4" t="inlineStr">
        <is>
          <t>https://www.tcgplayer.com/product/210561</t>
        </is>
      </c>
    </row>
    <row r="782">
      <c r="A782" s="2" t="inlineStr">
        <is>
          <t>Darkness Ablaze Booster Box</t>
        </is>
      </c>
      <c r="B782" s="3">
        <f>IF(I782&lt;&gt;"",I782,IF(J782&lt;&gt;"",J782,IF(K782&lt;&gt;"",K782,L782)))</f>
        <v>330.0</v>
      </c>
      <c r="C782" s="3">
        <f>MEDIAN(I782:L782)</f>
        <v>342.55</v>
      </c>
      <c r="D782" s="3">
        <f>ROUND(C782*(1-Settings!$B$2),2)</f>
        <v>239.79</v>
      </c>
      <c r="E782" s="3">
        <f>ROUND(C782*(1-Settings!$B$3),2)</f>
        <v>239.79</v>
      </c>
      <c r="F782" s="2" t="inlineStr">
        <is>
          <t>Pokemon</t>
        </is>
      </c>
      <c r="G782" s="2" t="inlineStr">
        <is>
          <t>Box</t>
        </is>
      </c>
      <c r="H782" s="2" t="inlineStr">
        <is>
          <t>SWSH03: Darkness Ablaze</t>
        </is>
      </c>
      <c r="I782" s="3" t="n">
        <v>330</v>
      </c>
      <c r="J782" s="3" t="n">
        <v>355.1</v>
      </c>
      <c r="K782" s="3" t="n">
        <v>400</v>
      </c>
      <c r="L782" s="3" t="n">
        <v>330</v>
      </c>
      <c r="M782" s="2" t="inlineStr">
        <is>
          <t>PriceCharting + TCGplayer</t>
        </is>
      </c>
      <c r="N782" s="4" t="inlineStr">
        <is>
          <t>https://www.pricecharting.com/game/pokemon-darkness-ablaze/booster-box</t>
        </is>
      </c>
      <c r="O782" s="4" t="inlineStr">
        <is>
          <t>https://www.tcgplayer.com/product/216853</t>
        </is>
      </c>
    </row>
    <row r="783">
      <c r="A783" s="2" t="inlineStr">
        <is>
          <t>Vivid Voltage Booster Box</t>
        </is>
      </c>
      <c r="B783" s="3">
        <f>IF(I783&lt;&gt;"",I783,IF(J783&lt;&gt;"",J783,IF(K783&lt;&gt;"",K783,L783)))</f>
        <v>301.78</v>
      </c>
      <c r="C783" s="3">
        <f>MEDIAN(I783:L783)</f>
        <v>319.135</v>
      </c>
      <c r="D783" s="3">
        <f>ROUND(C783*(1-Settings!$B$2),2)</f>
        <v>223.39</v>
      </c>
      <c r="E783" s="3">
        <f>ROUND(C783*(1-Settings!$B$3),2)</f>
        <v>223.39</v>
      </c>
      <c r="F783" s="2" t="inlineStr">
        <is>
          <t>Pokemon</t>
        </is>
      </c>
      <c r="G783" s="2" t="inlineStr">
        <is>
          <t>Box</t>
        </is>
      </c>
      <c r="H783" s="2" t="inlineStr">
        <is>
          <t>SWSH04: Vivid Voltage</t>
        </is>
      </c>
      <c r="I783" s="3" t="n">
        <v>301.78</v>
      </c>
      <c r="J783" s="3" t="n">
        <v>315.31</v>
      </c>
      <c r="K783" s="3" t="n">
        <v>377.5</v>
      </c>
      <c r="L783" s="3" t="n">
        <v>322.96</v>
      </c>
      <c r="M783" s="2" t="inlineStr">
        <is>
          <t>PriceCharting + TCGplayer</t>
        </is>
      </c>
      <c r="N783" s="4" t="inlineStr">
        <is>
          <t>https://www.pricecharting.com/game/pokemon-vivid-voltage/booster-box</t>
        </is>
      </c>
      <c r="O783" s="4" t="inlineStr">
        <is>
          <t>https://www.tcgplayer.com/product/221313</t>
        </is>
      </c>
    </row>
    <row r="784">
      <c r="A784" s="2" t="inlineStr">
        <is>
          <t>Battle Styles Booster Box</t>
        </is>
      </c>
      <c r="B784" s="3">
        <f>IF(I784&lt;&gt;"",I784,IF(J784&lt;&gt;"",J784,IF(K784&lt;&gt;"",K784,L784)))</f>
        <v>275.0</v>
      </c>
      <c r="C784" s="3">
        <f>MEDIAN(I784:L784)</f>
        <v>282.865</v>
      </c>
      <c r="D784" s="3">
        <f>ROUND(C784*(1-Settings!$B$2),2)</f>
        <v>198.01</v>
      </c>
      <c r="E784" s="3">
        <f>ROUND(C784*(1-Settings!$B$3),2)</f>
        <v>198.01</v>
      </c>
      <c r="F784" s="2" t="inlineStr">
        <is>
          <t>Pokemon</t>
        </is>
      </c>
      <c r="G784" s="2" t="inlineStr">
        <is>
          <t>Box</t>
        </is>
      </c>
      <c r="H784" s="2" t="inlineStr">
        <is>
          <t>SWSH05: Battle Styles</t>
        </is>
      </c>
      <c r="I784" s="3" t="n">
        <v>275</v>
      </c>
      <c r="J784" s="3" t="n">
        <v>280.73</v>
      </c>
      <c r="K784" s="3" t="n">
        <v>340</v>
      </c>
      <c r="L784" s="3" t="n">
        <v>285</v>
      </c>
      <c r="M784" s="2" t="inlineStr">
        <is>
          <t>PriceCharting + TCGplayer</t>
        </is>
      </c>
      <c r="N784" s="4" t="inlineStr">
        <is>
          <t>https://www.pricecharting.com/game/pokemon-battle-styles/booster-box</t>
        </is>
      </c>
      <c r="O784" s="4" t="inlineStr">
        <is>
          <t>https://www.tcgplayer.com/product/229277</t>
        </is>
      </c>
    </row>
    <row r="785">
      <c r="A785" s="2" t="inlineStr">
        <is>
          <t>Chilling Reign Booster Box</t>
        </is>
      </c>
      <c r="B785" s="3">
        <f>IF(I785&lt;&gt;"",I785,IF(J785&lt;&gt;"",J785,IF(K785&lt;&gt;"",K785,L785)))</f>
        <v>451.0</v>
      </c>
      <c r="C785" s="3">
        <f>MEDIAN(I785:L785)</f>
        <v>455.08000000000004</v>
      </c>
      <c r="D785" s="3">
        <f>ROUND(C785*(1-Settings!$B$2),2)</f>
        <v>318.56</v>
      </c>
      <c r="E785" s="3">
        <f>ROUND(C785*(1-Settings!$B$3),2)</f>
        <v>318.56</v>
      </c>
      <c r="F785" s="2" t="inlineStr">
        <is>
          <t>Pokemon</t>
        </is>
      </c>
      <c r="G785" s="2" t="inlineStr">
        <is>
          <t>Box</t>
        </is>
      </c>
      <c r="H785" s="2" t="inlineStr">
        <is>
          <t>SWSH06: Chilling Reign</t>
        </is>
      </c>
      <c r="I785" s="3" t="n">
        <v>451</v>
      </c>
      <c r="J785" s="3" t="n">
        <v>459.16</v>
      </c>
      <c r="K785" s="3" t="n">
        <v>530</v>
      </c>
      <c r="L785" s="3" t="n">
        <v>430</v>
      </c>
      <c r="M785" s="2" t="inlineStr">
        <is>
          <t>PriceCharting + TCGplayer</t>
        </is>
      </c>
      <c r="N785" s="4" t="inlineStr">
        <is>
          <t>https://www.pricecharting.com/game/pokemon-chilling-reign/booster-box</t>
        </is>
      </c>
      <c r="O785" s="4" t="inlineStr">
        <is>
          <t>https://www.tcgplayer.com/product/236258</t>
        </is>
      </c>
    </row>
    <row r="786">
      <c r="A786" s="2" t="inlineStr">
        <is>
          <t>Evolving Skies Booster Box</t>
        </is>
      </c>
      <c r="B786" s="3">
        <f>IF(I786&lt;&gt;"",I786,IF(J786&lt;&gt;"",J786,IF(K786&lt;&gt;"",K786,L786)))</f>
        <v>2280.0</v>
      </c>
      <c r="C786" s="3">
        <f>MEDIAN(I786:L786)</f>
        <v>2259.035</v>
      </c>
      <c r="D786" s="3">
        <f>ROUND(C786*(1-Settings!$B$2),2)</f>
        <v>1581.32</v>
      </c>
      <c r="E786" s="3">
        <f>ROUND(C786*(1-Settings!$B$3),2)</f>
        <v>1581.32</v>
      </c>
      <c r="F786" s="2" t="inlineStr">
        <is>
          <t>Pokemon</t>
        </is>
      </c>
      <c r="G786" s="2" t="inlineStr">
        <is>
          <t>Box</t>
        </is>
      </c>
      <c r="H786" s="2" t="inlineStr">
        <is>
          <t>SWSH07: Evolving Skies</t>
        </is>
      </c>
      <c r="I786" s="3" t="n">
        <v>2280</v>
      </c>
      <c r="J786" s="3" t="n">
        <v>2238.07</v>
      </c>
      <c r="K786" s="3" t="n">
        <v>3000</v>
      </c>
      <c r="L786" s="3" t="n">
        <v>1849.75</v>
      </c>
      <c r="M786" s="2" t="inlineStr">
        <is>
          <t>PriceCharting + TCGplayer</t>
        </is>
      </c>
      <c r="N786" s="4" t="inlineStr">
        <is>
          <t>https://www.pricecharting.com/game/pokemon-evolving-skies/booster-box</t>
        </is>
      </c>
      <c r="O786" s="4" t="inlineStr">
        <is>
          <t>https://www.tcgplayer.com/product/242436</t>
        </is>
      </c>
    </row>
    <row r="787">
      <c r="A787" s="2" t="inlineStr">
        <is>
          <t>Evolving Skies Half Booster Box</t>
        </is>
      </c>
      <c r="B787" s="3">
        <f>IF(I787&lt;&gt;"",I787,IF(J787&lt;&gt;"",J787,IF(K787&lt;&gt;"",K787,L787)))</f>
        <v>1025.04</v>
      </c>
      <c r="C787" s="3">
        <f>MEDIAN(I787:L787)</f>
        <v>2197.5</v>
      </c>
      <c r="D787" s="3">
        <f>ROUND(C787*(1-Settings!$B$2),2)</f>
        <v>1538.25</v>
      </c>
      <c r="E787" s="3">
        <f>ROUND(C787*(1-Settings!$B$3),2)</f>
        <v>1538.25</v>
      </c>
      <c r="F787" s="2" t="inlineStr">
        <is>
          <t>Pokemon</t>
        </is>
      </c>
      <c r="G787" s="2" t="inlineStr">
        <is>
          <t>Box</t>
        </is>
      </c>
      <c r="H787" s="2" t="inlineStr">
        <is>
          <t>SWSH07: Evolving Skies</t>
        </is>
      </c>
      <c r="I787" s="3" t="n">
        <v>1025.04</v>
      </c>
      <c r="J787" s="3" t="n">
        <v>1595</v>
      </c>
      <c r="K787" s="3" t="n">
        <v>2800</v>
      </c>
      <c r="L787" s="3" t="n">
        <v>2800</v>
      </c>
      <c r="M787" s="2" t="inlineStr">
        <is>
          <t>PriceCharting + TCGplayer</t>
        </is>
      </c>
      <c r="N787" s="4" t="inlineStr">
        <is>
          <t>https://www.pricecharting.com/game/pokemon-evolving-skies/half-booster-box</t>
        </is>
      </c>
      <c r="O787" s="4" t="inlineStr">
        <is>
          <t>https://www.tcgplayer.com/product/641794</t>
        </is>
      </c>
    </row>
    <row r="788">
      <c r="A788" s="2" t="inlineStr">
        <is>
          <t>Fusion Strike Booster Box</t>
        </is>
      </c>
      <c r="B788" s="3">
        <f>IF(I788&lt;&gt;"",I788,IF(J788&lt;&gt;"",J788,IF(K788&lt;&gt;"",K788,L788)))</f>
        <v>952.5</v>
      </c>
      <c r="C788" s="3">
        <f>MEDIAN(I788:L788)</f>
        <v>971.88</v>
      </c>
      <c r="D788" s="3">
        <f>ROUND(C788*(1-Settings!$B$2),2)</f>
        <v>680.32</v>
      </c>
      <c r="E788" s="3">
        <f>ROUND(C788*(1-Settings!$B$3),2)</f>
        <v>680.32</v>
      </c>
      <c r="F788" s="2" t="inlineStr">
        <is>
          <t>Pokemon</t>
        </is>
      </c>
      <c r="G788" s="2" t="inlineStr">
        <is>
          <t>Box</t>
        </is>
      </c>
      <c r="H788" s="2" t="inlineStr">
        <is>
          <t>SWSH08: Fusion Strike</t>
        </is>
      </c>
      <c r="I788" s="3" t="n">
        <v>952.5</v>
      </c>
      <c r="J788" s="3" t="n">
        <v>973.76</v>
      </c>
      <c r="K788" s="3" t="n">
        <v>1250</v>
      </c>
      <c r="L788" s="3" t="n">
        <v>970</v>
      </c>
      <c r="M788" s="2" t="inlineStr">
        <is>
          <t>PriceCharting + TCGplayer</t>
        </is>
      </c>
      <c r="N788" s="4" t="inlineStr">
        <is>
          <t>https://www.pricecharting.com/game/pokemon-fusion-strike/booster-box</t>
        </is>
      </c>
      <c r="O788" s="4" t="inlineStr">
        <is>
          <t>https://www.tcgplayer.com/product/247654</t>
        </is>
      </c>
    </row>
    <row r="789">
      <c r="A789" s="2" t="inlineStr">
        <is>
          <t>Brilliant Stars Booster Box</t>
        </is>
      </c>
      <c r="B789" s="3">
        <f>IF(I789&lt;&gt;"",I789,IF(J789&lt;&gt;"",J789,IF(K789&lt;&gt;"",K789,L789)))</f>
        <v>560.56</v>
      </c>
      <c r="C789" s="3">
        <f>MEDIAN(I789:L789)</f>
        <v>560.005</v>
      </c>
      <c r="D789" s="3">
        <f>ROUND(C789*(1-Settings!$B$2),2)</f>
        <v>392.0</v>
      </c>
      <c r="E789" s="3">
        <f>ROUND(C789*(1-Settings!$B$3),2)</f>
        <v>392.0</v>
      </c>
      <c r="F789" s="2" t="inlineStr">
        <is>
          <t>Pokemon</t>
        </is>
      </c>
      <c r="G789" s="2" t="inlineStr">
        <is>
          <t>Box</t>
        </is>
      </c>
      <c r="H789" s="2" t="inlineStr">
        <is>
          <t>SWSH09: Brilliant Stars</t>
        </is>
      </c>
      <c r="I789" s="3" t="n">
        <v>560.5599999999999</v>
      </c>
      <c r="J789" s="3" t="n">
        <v>559.45</v>
      </c>
      <c r="K789" s="3" t="n">
        <v>649.99</v>
      </c>
      <c r="L789" s="3" t="n">
        <v>442.01</v>
      </c>
      <c r="M789" s="2" t="inlineStr">
        <is>
          <t>PriceCharting + TCGplayer</t>
        </is>
      </c>
      <c r="N789" s="4" t="inlineStr">
        <is>
          <t>https://www.pricecharting.com/game/pokemon-brilliant-stars/booster-box</t>
        </is>
      </c>
      <c r="O789" s="4" t="inlineStr">
        <is>
          <t>https://www.tcgplayer.com/product/256141</t>
        </is>
      </c>
    </row>
    <row r="790">
      <c r="A790" s="2" t="inlineStr">
        <is>
          <t>Astral Radiance Booster Box</t>
        </is>
      </c>
      <c r="B790" s="3">
        <f>IF(I790&lt;&gt;"",I790,IF(J790&lt;&gt;"",J790,IF(K790&lt;&gt;"",K790,L790)))</f>
        <v>399.48</v>
      </c>
      <c r="C790" s="3">
        <f>MEDIAN(I790:L790)</f>
        <v>405.655</v>
      </c>
      <c r="D790" s="3">
        <f>ROUND(C790*(1-Settings!$B$2),2)</f>
        <v>283.96</v>
      </c>
      <c r="E790" s="3">
        <f>ROUND(C790*(1-Settings!$B$3),2)</f>
        <v>283.96</v>
      </c>
      <c r="F790" s="2" t="inlineStr">
        <is>
          <t>Pokemon</t>
        </is>
      </c>
      <c r="G790" s="2" t="inlineStr">
        <is>
          <t>Box</t>
        </is>
      </c>
      <c r="H790" s="2" t="inlineStr">
        <is>
          <t>SWSH10: Astral Radiance</t>
        </is>
      </c>
      <c r="I790" s="3" t="n">
        <v>399.48</v>
      </c>
      <c r="J790" s="3" t="n">
        <v>411.83</v>
      </c>
      <c r="K790" s="3" t="n">
        <v>449.98</v>
      </c>
      <c r="L790" s="3" t="n">
        <v>390</v>
      </c>
      <c r="M790" s="2" t="inlineStr">
        <is>
          <t>PriceCharting + TCGplayer</t>
        </is>
      </c>
      <c r="N790" s="4" t="inlineStr">
        <is>
          <t>https://www.pricecharting.com/game/pokemon-astral-radiance/booster-box</t>
        </is>
      </c>
      <c r="O790" s="4" t="inlineStr">
        <is>
          <t>https://www.tcgplayer.com/product/265519</t>
        </is>
      </c>
    </row>
    <row r="791">
      <c r="A791" s="2" t="inlineStr">
        <is>
          <t>Astral Radiance Half Booster Box</t>
        </is>
      </c>
      <c r="B791" s="3">
        <f>IF(I791&lt;&gt;"",I791,IF(J791&lt;&gt;"",J791,IF(K791&lt;&gt;"",K791,L791)))</f>
        <v>249.99</v>
      </c>
      <c r="C791" s="3">
        <f>MEDIAN(I791:L791)</f>
        <v>249.99</v>
      </c>
      <c r="D791" s="3">
        <f>ROUND(C791*(1-Settings!$B$2),2)</f>
        <v>174.99</v>
      </c>
      <c r="E791" s="3">
        <f>ROUND(C791*(1-Settings!$B$3),2)</f>
        <v>174.99</v>
      </c>
      <c r="F791" s="2" t="inlineStr">
        <is>
          <t>Pokemon</t>
        </is>
      </c>
      <c r="G791" s="2" t="inlineStr">
        <is>
          <t>Box</t>
        </is>
      </c>
      <c r="H791" s="2" t="inlineStr">
        <is>
          <t>SWSH10: Astral Radiance</t>
        </is>
      </c>
      <c r="I791" s="3" t="n"/>
      <c r="J791" s="3" t="n"/>
      <c r="K791" s="3" t="n">
        <v>249.99</v>
      </c>
      <c r="L791" s="3" t="n">
        <v>249.99</v>
      </c>
      <c r="M791" s="2" t="inlineStr">
        <is>
          <t>TCGplayer</t>
        </is>
      </c>
      <c r="O791" s="4" t="inlineStr">
        <is>
          <t>https://www.tcgplayer.com/product/704916</t>
        </is>
      </c>
    </row>
    <row r="792">
      <c r="A792" s="2" t="inlineStr">
        <is>
          <t>Lost Origin Booster Box</t>
        </is>
      </c>
      <c r="B792" s="3">
        <f>IF(I792&lt;&gt;"",I792,IF(J792&lt;&gt;"",J792,IF(K792&lt;&gt;"",K792,L792)))</f>
        <v>725.24</v>
      </c>
      <c r="C792" s="3">
        <f>MEDIAN(I792:L792)</f>
        <v>729.185</v>
      </c>
      <c r="D792" s="3">
        <f>ROUND(C792*(1-Settings!$B$2),2)</f>
        <v>510.43</v>
      </c>
      <c r="E792" s="3">
        <f>ROUND(C792*(1-Settings!$B$3),2)</f>
        <v>510.43</v>
      </c>
      <c r="F792" s="2" t="inlineStr">
        <is>
          <t>Pokemon</t>
        </is>
      </c>
      <c r="G792" s="2" t="inlineStr">
        <is>
          <t>Box</t>
        </is>
      </c>
      <c r="H792" s="2" t="inlineStr">
        <is>
          <t>SWSH11: Lost Origin</t>
        </is>
      </c>
      <c r="I792" s="3" t="n">
        <v>725.24</v>
      </c>
      <c r="J792" s="3" t="n">
        <v>733.13</v>
      </c>
      <c r="K792" s="3" t="n">
        <v>877</v>
      </c>
      <c r="L792" s="3" t="n">
        <v>599.99</v>
      </c>
      <c r="M792" s="2" t="inlineStr">
        <is>
          <t>PriceCharting + TCGplayer</t>
        </is>
      </c>
      <c r="N792" s="4" t="inlineStr">
        <is>
          <t>https://www.pricecharting.com/game/pokemon-lost-origin/booster-box</t>
        </is>
      </c>
      <c r="O792" s="4" t="inlineStr">
        <is>
          <t>https://www.tcgplayer.com/product/277324</t>
        </is>
      </c>
    </row>
    <row r="793">
      <c r="A793" s="2" t="inlineStr">
        <is>
          <t>Silver Tempest Booster Box</t>
        </is>
      </c>
      <c r="B793" s="3">
        <f>IF(I793&lt;&gt;"",I793,IF(J793&lt;&gt;"",J793,IF(K793&lt;&gt;"",K793,L793)))</f>
        <v>510.0</v>
      </c>
      <c r="C793" s="3">
        <f>MEDIAN(I793:L793)</f>
        <v>516.625</v>
      </c>
      <c r="D793" s="3">
        <f>ROUND(C793*(1-Settings!$B$2),2)</f>
        <v>361.64</v>
      </c>
      <c r="E793" s="3">
        <f>ROUND(C793*(1-Settings!$B$3),2)</f>
        <v>361.64</v>
      </c>
      <c r="F793" s="2" t="inlineStr">
        <is>
          <t>Pokemon</t>
        </is>
      </c>
      <c r="G793" s="2" t="inlineStr">
        <is>
          <t>Box</t>
        </is>
      </c>
      <c r="H793" s="2" t="inlineStr">
        <is>
          <t>SWSH12: Silver Tempest</t>
        </is>
      </c>
      <c r="I793" s="3" t="n">
        <v>510</v>
      </c>
      <c r="J793" s="3" t="n">
        <v>523.25</v>
      </c>
      <c r="K793" s="3" t="n">
        <v>572.46</v>
      </c>
      <c r="L793" s="3" t="n">
        <v>503.3</v>
      </c>
      <c r="M793" s="2" t="inlineStr">
        <is>
          <t>PriceCharting + TCGplayer</t>
        </is>
      </c>
      <c r="N793" s="4" t="inlineStr">
        <is>
          <t>https://www.pricecharting.com/game/pokemon-silver-tempest/booster-box</t>
        </is>
      </c>
      <c r="O793" s="4" t="inlineStr">
        <is>
          <t>https://www.tcgplayer.com/product/283389</t>
        </is>
      </c>
    </row>
    <row r="794">
      <c r="A794" s="2" t="inlineStr">
        <is>
          <t>Team Rocket Booster Box</t>
        </is>
      </c>
      <c r="B794" s="3">
        <f>IF(I794&lt;&gt;"",I794,IF(J794&lt;&gt;"",J794,IF(K794&lt;&gt;"",K794,L794)))</f>
        <v>11404.31</v>
      </c>
      <c r="C794" s="3">
        <f>MEDIAN(I794:L794)</f>
        <v>11404.31</v>
      </c>
      <c r="D794" s="3">
        <f>ROUND(C794*(1-Settings!$B$2),2)</f>
        <v>7983.02</v>
      </c>
      <c r="E794" s="3">
        <f>ROUND(C794*(1-Settings!$B$3),2)</f>
        <v>7983.02</v>
      </c>
      <c r="F794" s="2" t="inlineStr">
        <is>
          <t>Pokemon</t>
        </is>
      </c>
      <c r="G794" s="2" t="inlineStr">
        <is>
          <t>Box</t>
        </is>
      </c>
      <c r="H794" s="2" t="inlineStr">
        <is>
          <t>Team Rocket</t>
        </is>
      </c>
      <c r="I794" s="3" t="n">
        <v>11404.31</v>
      </c>
      <c r="J794" s="3" t="n"/>
      <c r="K794" s="3" t="n"/>
      <c r="L794" s="3" t="n"/>
      <c r="M794" s="2" t="inlineStr">
        <is>
          <t>PriceCharting</t>
        </is>
      </c>
      <c r="N794" s="4" t="inlineStr">
        <is>
          <t>https://www.pricecharting.com/game/pokemon-team-rocket/booster-box</t>
        </is>
      </c>
    </row>
    <row r="795">
      <c r="A795" s="2" t="inlineStr">
        <is>
          <t>Team Rocket Booster Box [1st Edition]</t>
        </is>
      </c>
      <c r="B795" s="3">
        <f>IF(I795&lt;&gt;"",I795,IF(J795&lt;&gt;"",J795,IF(K795&lt;&gt;"",K795,L795)))</f>
        <v>32619.86</v>
      </c>
      <c r="C795" s="3">
        <f>MEDIAN(I795:L795)</f>
        <v>32619.86</v>
      </c>
      <c r="D795" s="3">
        <f>ROUND(C795*(1-Settings!$B$2),2)</f>
        <v>22833.9</v>
      </c>
      <c r="E795" s="3">
        <f>ROUND(C795*(1-Settings!$B$3),2)</f>
        <v>22833.9</v>
      </c>
      <c r="F795" s="2" t="inlineStr">
        <is>
          <t>Pokemon</t>
        </is>
      </c>
      <c r="G795" s="2" t="inlineStr">
        <is>
          <t>Box</t>
        </is>
      </c>
      <c r="H795" s="2" t="inlineStr">
        <is>
          <t>Team Rocket</t>
        </is>
      </c>
      <c r="I795" s="3" t="n">
        <v>32619.86</v>
      </c>
      <c r="J795" s="3" t="n"/>
      <c r="K795" s="3" t="n"/>
      <c r="L795" s="3" t="n"/>
      <c r="M795" s="2" t="inlineStr">
        <is>
          <t>PriceCharting + TCGplayer</t>
        </is>
      </c>
      <c r="N795" s="4" t="inlineStr">
        <is>
          <t>https://www.pricecharting.com/game/pokemon-team-rocket/booster-box-1st-edition</t>
        </is>
      </c>
      <c r="O795" s="4" t="inlineStr">
        <is>
          <t>https://www.tcgplayer.com/product/209436</t>
        </is>
      </c>
    </row>
    <row r="796">
      <c r="A796" s="2" t="inlineStr">
        <is>
          <t>Team Rocket Booster Box [Unlimited Edition]</t>
        </is>
      </c>
      <c r="B796" s="3">
        <f>IF(I796&lt;&gt;"",I796,IF(J796&lt;&gt;"",J796,IF(K796&lt;&gt;"",K796,L796)))</f>
        <v>36000.0</v>
      </c>
      <c r="C796" s="3">
        <f>MEDIAN(I796:L796)</f>
        <v>36000.0</v>
      </c>
      <c r="D796" s="3">
        <f>ROUND(C796*(1-Settings!$B$2),2)</f>
        <v>25200.0</v>
      </c>
      <c r="E796" s="3">
        <f>ROUND(C796*(1-Settings!$B$3),2)</f>
        <v>25200.0</v>
      </c>
      <c r="F796" s="2" t="inlineStr">
        <is>
          <t>Pokemon</t>
        </is>
      </c>
      <c r="G796" s="2" t="inlineStr">
        <is>
          <t>Box</t>
        </is>
      </c>
      <c r="H796" s="2" t="inlineStr">
        <is>
          <t>Team Rocket</t>
        </is>
      </c>
      <c r="I796" s="3" t="n"/>
      <c r="J796" s="3" t="n"/>
      <c r="K796" s="3" t="n">
        <v>36000</v>
      </c>
      <c r="L796" s="3" t="n">
        <v>36000</v>
      </c>
      <c r="M796" s="2" t="inlineStr">
        <is>
          <t>TCGplayer</t>
        </is>
      </c>
      <c r="O796" s="4" t="inlineStr">
        <is>
          <t>https://www.tcgplayer.com/product/209437</t>
        </is>
      </c>
    </row>
    <row r="797">
      <c r="A797" s="2" t="inlineStr">
        <is>
          <t>Team Up Build &amp; Battle Display Box</t>
        </is>
      </c>
      <c r="B797" s="3">
        <f>IF(I797&lt;&gt;"",I797,IF(J797&lt;&gt;"",J797,IF(K797&lt;&gt;"",K797,L797)))</f>
        <v>11229.0</v>
      </c>
      <c r="C797" s="3">
        <f>MEDIAN(I797:L797)</f>
        <v>11229.0</v>
      </c>
      <c r="D797" s="3">
        <f>ROUND(C797*(1-Settings!$B$2),2)</f>
        <v>7860.3</v>
      </c>
      <c r="E797" s="3">
        <f>ROUND(C797*(1-Settings!$B$3),2)</f>
        <v>7860.3</v>
      </c>
      <c r="F797" s="2" t="inlineStr">
        <is>
          <t>Pokemon</t>
        </is>
      </c>
      <c r="G797" s="2" t="inlineStr">
        <is>
          <t>Box</t>
        </is>
      </c>
      <c r="H797" s="2" t="inlineStr">
        <is>
          <t>Team Up</t>
        </is>
      </c>
      <c r="I797" s="3" t="n">
        <v>11229</v>
      </c>
      <c r="J797" s="3" t="n"/>
      <c r="K797" s="3" t="n"/>
      <c r="L797" s="3" t="n"/>
      <c r="M797" s="2" t="inlineStr">
        <is>
          <t>PriceCharting</t>
        </is>
      </c>
      <c r="N797" s="4" t="inlineStr">
        <is>
          <t>https://www.pricecharting.com/game/pokemon-team-up/build-&amp;-battle-display-box</t>
        </is>
      </c>
    </row>
    <row r="798">
      <c r="A798" s="2" t="inlineStr">
        <is>
          <t>Triumphant Booster Box</t>
        </is>
      </c>
      <c r="B798" s="3">
        <f>IF(I798&lt;&gt;"",I798,IF(J798&lt;&gt;"",J798,IF(K798&lt;&gt;"",K798,L798)))</f>
        <v>5188.71</v>
      </c>
      <c r="C798" s="3">
        <f>MEDIAN(I798:L798)</f>
        <v>5188.71</v>
      </c>
      <c r="D798" s="3">
        <f>ROUND(C798*(1-Settings!$B$2),2)</f>
        <v>3632.1</v>
      </c>
      <c r="E798" s="3">
        <f>ROUND(C798*(1-Settings!$B$3),2)</f>
        <v>3632.1</v>
      </c>
      <c r="F798" s="2" t="inlineStr">
        <is>
          <t>Pokemon</t>
        </is>
      </c>
      <c r="G798" s="2" t="inlineStr">
        <is>
          <t>Box</t>
        </is>
      </c>
      <c r="H798" s="2" t="inlineStr">
        <is>
          <t>Triumphant</t>
        </is>
      </c>
      <c r="I798" s="3" t="n">
        <v>5188.71</v>
      </c>
      <c r="J798" s="3" t="n"/>
      <c r="K798" s="3" t="n"/>
      <c r="L798" s="3" t="n"/>
      <c r="M798" s="2" t="inlineStr">
        <is>
          <t>PriceCharting + TCGplayer</t>
        </is>
      </c>
      <c r="N798" s="4" t="inlineStr">
        <is>
          <t>https://www.pricecharting.com/game/pokemon-triumphant/booster-box</t>
        </is>
      </c>
      <c r="O798" s="4" t="inlineStr">
        <is>
          <t>https://www.tcgplayer.com/product/98535</t>
        </is>
      </c>
    </row>
    <row r="799">
      <c r="A799" s="2" t="inlineStr">
        <is>
          <t>Twilight Masquerade Build &amp; Battle Display Box</t>
        </is>
      </c>
      <c r="B799" s="3">
        <f>IF(I799&lt;&gt;"",I799,IF(J799&lt;&gt;"",J799,IF(K799&lt;&gt;"",K799,L799)))</f>
        <v>400.0</v>
      </c>
      <c r="C799" s="3">
        <f>MEDIAN(I799:L799)</f>
        <v>400.0</v>
      </c>
      <c r="D799" s="3">
        <f>ROUND(C799*(1-Settings!$B$2),2)</f>
        <v>280.0</v>
      </c>
      <c r="E799" s="3">
        <f>ROUND(C799*(1-Settings!$B$3),2)</f>
        <v>280.0</v>
      </c>
      <c r="F799" s="2" t="inlineStr">
        <is>
          <t>Pokemon</t>
        </is>
      </c>
      <c r="G799" s="2" t="inlineStr">
        <is>
          <t>Box</t>
        </is>
      </c>
      <c r="H799" s="2" t="inlineStr">
        <is>
          <t>Twilight Masquerade</t>
        </is>
      </c>
      <c r="I799" s="3" t="n">
        <v>400</v>
      </c>
      <c r="J799" s="3" t="n"/>
      <c r="K799" s="3" t="n"/>
      <c r="L799" s="3" t="n"/>
      <c r="M799" s="2" t="inlineStr">
        <is>
          <t>PriceCharting</t>
        </is>
      </c>
      <c r="N799" s="4" t="inlineStr">
        <is>
          <t>https://www.pricecharting.com/game/pokemon-twilight-masquerade/build-&amp;-battle-display-box</t>
        </is>
      </c>
    </row>
    <row r="800">
      <c r="A800" s="2" t="inlineStr">
        <is>
          <t>Twilight Masquerade Half Booster Box</t>
        </is>
      </c>
      <c r="B800" s="3">
        <f>IF(I800&lt;&gt;"",I800,IF(J800&lt;&gt;"",J800,IF(K800&lt;&gt;"",K800,L800)))</f>
        <v>169.44</v>
      </c>
      <c r="C800" s="3">
        <f>MEDIAN(I800:L800)</f>
        <v>169.44</v>
      </c>
      <c r="D800" s="3">
        <f>ROUND(C800*(1-Settings!$B$2),2)</f>
        <v>118.61</v>
      </c>
      <c r="E800" s="3">
        <f>ROUND(C800*(1-Settings!$B$3),2)</f>
        <v>118.61</v>
      </c>
      <c r="F800" s="2" t="inlineStr">
        <is>
          <t>Pokemon</t>
        </is>
      </c>
      <c r="G800" s="2" t="inlineStr">
        <is>
          <t>Box</t>
        </is>
      </c>
      <c r="H800" s="2" t="inlineStr">
        <is>
          <t>Twilight Masquerade</t>
        </is>
      </c>
      <c r="I800" s="3" t="n">
        <v>169.44</v>
      </c>
      <c r="J800" s="3" t="n"/>
      <c r="K800" s="3" t="n"/>
      <c r="L800" s="3" t="n"/>
      <c r="M800" s="2" t="inlineStr">
        <is>
          <t>PriceCharting</t>
        </is>
      </c>
      <c r="N800" s="4" t="inlineStr">
        <is>
          <t>https://www.pricecharting.com/game/pokemon-twilight-masquerade/half-booster-box</t>
        </is>
      </c>
    </row>
    <row r="801">
      <c r="A801" s="2" t="inlineStr">
        <is>
          <t>Undaunted Booster Box</t>
        </is>
      </c>
      <c r="B801" s="3">
        <f>IF(I801&lt;&gt;"",I801,IF(J801&lt;&gt;"",J801,IF(K801&lt;&gt;"",K801,L801)))</f>
        <v>7710.5</v>
      </c>
      <c r="C801" s="3">
        <f>MEDIAN(I801:L801)</f>
        <v>7710.5</v>
      </c>
      <c r="D801" s="3">
        <f>ROUND(C801*(1-Settings!$B$2),2)</f>
        <v>5397.35</v>
      </c>
      <c r="E801" s="3">
        <f>ROUND(C801*(1-Settings!$B$3),2)</f>
        <v>5397.35</v>
      </c>
      <c r="F801" s="2" t="inlineStr">
        <is>
          <t>Pokemon</t>
        </is>
      </c>
      <c r="G801" s="2" t="inlineStr">
        <is>
          <t>Box</t>
        </is>
      </c>
      <c r="H801" s="2" t="inlineStr">
        <is>
          <t>Undaunted</t>
        </is>
      </c>
      <c r="I801" s="3" t="n">
        <v>7710.5</v>
      </c>
      <c r="J801" s="3" t="n"/>
      <c r="K801" s="3" t="n"/>
      <c r="L801" s="3" t="n"/>
      <c r="M801" s="2" t="inlineStr">
        <is>
          <t>PriceCharting + TCGplayer</t>
        </is>
      </c>
      <c r="N801" s="4" t="inlineStr">
        <is>
          <t>https://www.pricecharting.com/game/pokemon-undaunted/booster-box</t>
        </is>
      </c>
      <c r="O801" s="4" t="inlineStr">
        <is>
          <t>https://www.tcgplayer.com/product/98587</t>
        </is>
      </c>
    </row>
    <row r="802">
      <c r="A802" s="2" t="inlineStr">
        <is>
          <t>Unleashed Booster Box</t>
        </is>
      </c>
      <c r="B802" s="3">
        <f>IF(I802&lt;&gt;"",I802,IF(J802&lt;&gt;"",J802,IF(K802&lt;&gt;"",K802,L802)))</f>
        <v>3850.64</v>
      </c>
      <c r="C802" s="3">
        <f>MEDIAN(I802:L802)</f>
        <v>3850.64</v>
      </c>
      <c r="D802" s="3">
        <f>ROUND(C802*(1-Settings!$B$2),2)</f>
        <v>2695.45</v>
      </c>
      <c r="E802" s="3">
        <f>ROUND(C802*(1-Settings!$B$3),2)</f>
        <v>2695.45</v>
      </c>
      <c r="F802" s="2" t="inlineStr">
        <is>
          <t>Pokemon</t>
        </is>
      </c>
      <c r="G802" s="2" t="inlineStr">
        <is>
          <t>Box</t>
        </is>
      </c>
      <c r="H802" s="2" t="inlineStr">
        <is>
          <t>Unleashed</t>
        </is>
      </c>
      <c r="I802" s="3" t="n">
        <v>3850.64</v>
      </c>
      <c r="J802" s="3" t="n"/>
      <c r="K802" s="3" t="n"/>
      <c r="L802" s="3" t="n"/>
      <c r="M802" s="2" t="inlineStr">
        <is>
          <t>PriceCharting + TCGplayer</t>
        </is>
      </c>
      <c r="N802" s="4" t="inlineStr">
        <is>
          <t>https://www.pricecharting.com/game/pokemon-unleashed/booster-box</t>
        </is>
      </c>
      <c r="O802" s="4" t="inlineStr">
        <is>
          <t>https://www.tcgplayer.com/product/98583</t>
        </is>
      </c>
    </row>
    <row r="803">
      <c r="A803" s="2" t="inlineStr">
        <is>
          <t>Vivid Voltage Build &amp; Battle Display Box</t>
        </is>
      </c>
      <c r="B803" s="3">
        <f>IF(I803&lt;&gt;"",I803,IF(J803&lt;&gt;"",J803,IF(K803&lt;&gt;"",K803,L803)))</f>
        <v>652.21</v>
      </c>
      <c r="C803" s="3">
        <f>MEDIAN(I803:L803)</f>
        <v>652.21</v>
      </c>
      <c r="D803" s="3">
        <f>ROUND(C803*(1-Settings!$B$2),2)</f>
        <v>456.55</v>
      </c>
      <c r="E803" s="3">
        <f>ROUND(C803*(1-Settings!$B$3),2)</f>
        <v>456.55</v>
      </c>
      <c r="F803" s="2" t="inlineStr">
        <is>
          <t>Pokemon</t>
        </is>
      </c>
      <c r="G803" s="2" t="inlineStr">
        <is>
          <t>Box</t>
        </is>
      </c>
      <c r="H803" s="2" t="inlineStr">
        <is>
          <t>Vivid Voltage</t>
        </is>
      </c>
      <c r="I803" s="3" t="n">
        <v>652.21</v>
      </c>
      <c r="J803" s="3" t="n"/>
      <c r="K803" s="3" t="n"/>
      <c r="L803" s="3" t="n"/>
      <c r="M803" s="2" t="inlineStr">
        <is>
          <t>PriceCharting</t>
        </is>
      </c>
      <c r="N803" s="4" t="inlineStr">
        <is>
          <t>https://www.pricecharting.com/game/pokemon-vivid-voltage/build-&amp;-battle-display-box</t>
        </is>
      </c>
    </row>
    <row r="804">
      <c r="A804" s="2" t="inlineStr">
        <is>
          <t>White Flare Booster Bundle Display Box</t>
        </is>
      </c>
      <c r="B804" s="3">
        <f>IF(I804&lt;&gt;"",I804,IF(J804&lt;&gt;"",J804,IF(K804&lt;&gt;"",K804,L804)))</f>
        <v>968.0</v>
      </c>
      <c r="C804" s="3">
        <f>MEDIAN(I804:L804)</f>
        <v>968.0</v>
      </c>
      <c r="D804" s="3">
        <f>ROUND(C804*(1-Settings!$B$2),2)</f>
        <v>677.6</v>
      </c>
      <c r="E804" s="3">
        <f>ROUND(C804*(1-Settings!$B$3),2)</f>
        <v>677.6</v>
      </c>
      <c r="F804" s="2" t="inlineStr">
        <is>
          <t>Pokemon</t>
        </is>
      </c>
      <c r="G804" s="2" t="inlineStr">
        <is>
          <t>Box</t>
        </is>
      </c>
      <c r="H804" s="2" t="inlineStr">
        <is>
          <t>White Flare</t>
        </is>
      </c>
      <c r="I804" s="3" t="n">
        <v>968</v>
      </c>
      <c r="J804" s="3" t="n"/>
      <c r="K804" s="3" t="n"/>
      <c r="L804" s="3" t="n"/>
      <c r="M804" s="2" t="inlineStr">
        <is>
          <t>PriceCharting</t>
        </is>
      </c>
      <c r="N804" s="4" t="inlineStr">
        <is>
          <t>https://www.pricecharting.com/game/pokemon-white-flare/booster-bundle-display-box</t>
        </is>
      </c>
    </row>
    <row r="805">
      <c r="A805" s="2" t="inlineStr">
        <is>
          <t>Xy Booster Box</t>
        </is>
      </c>
      <c r="B805" s="3">
        <f>IF(I805&lt;&gt;"",I805,IF(J805&lt;&gt;"",J805,IF(K805&lt;&gt;"",K805,L805)))</f>
        <v>3290.15</v>
      </c>
      <c r="C805" s="3">
        <f>MEDIAN(I805:L805)</f>
        <v>3290.15</v>
      </c>
      <c r="D805" s="3">
        <f>ROUND(C805*(1-Settings!$B$2),2)</f>
        <v>2303.11</v>
      </c>
      <c r="E805" s="3">
        <f>ROUND(C805*(1-Settings!$B$3),2)</f>
        <v>2303.11</v>
      </c>
      <c r="F805" s="2" t="inlineStr">
        <is>
          <t>Pokemon</t>
        </is>
      </c>
      <c r="G805" s="2" t="inlineStr">
        <is>
          <t>Box</t>
        </is>
      </c>
      <c r="H805" s="2" t="inlineStr">
        <is>
          <t>Xy</t>
        </is>
      </c>
      <c r="I805" s="3" t="n">
        <v>3290.15</v>
      </c>
      <c r="J805" s="3" t="n"/>
      <c r="K805" s="3" t="n"/>
      <c r="L805" s="3" t="n"/>
      <c r="M805" s="2" t="inlineStr">
        <is>
          <t>PriceCharting</t>
        </is>
      </c>
      <c r="N805" s="4" t="inlineStr">
        <is>
          <t>https://www.pricecharting.com/game/pokemon-xy/booster-box</t>
        </is>
      </c>
    </row>
    <row r="806">
      <c r="A806" s="2" t="inlineStr">
        <is>
          <t>XY BREAKthrough Booster Box</t>
        </is>
      </c>
      <c r="B806" s="3">
        <f>IF(I806&lt;&gt;"",I806,IF(J806&lt;&gt;"",J806,IF(K806&lt;&gt;"",K806,L806)))</f>
        <v>3238.35</v>
      </c>
      <c r="C806" s="3">
        <f>MEDIAN(I806:L806)</f>
        <v>3238.35</v>
      </c>
      <c r="D806" s="3">
        <f>ROUND(C806*(1-Settings!$B$2),2)</f>
        <v>2266.85</v>
      </c>
      <c r="E806" s="3">
        <f>ROUND(C806*(1-Settings!$B$3),2)</f>
        <v>2266.85</v>
      </c>
      <c r="F806" s="2" t="inlineStr">
        <is>
          <t>Pokemon</t>
        </is>
      </c>
      <c r="G806" s="2" t="inlineStr">
        <is>
          <t>Box</t>
        </is>
      </c>
      <c r="H806" s="2" t="inlineStr">
        <is>
          <t>XY - BREAKthrough</t>
        </is>
      </c>
      <c r="I806" s="3" t="n"/>
      <c r="J806" s="3" t="n">
        <v>3238.35</v>
      </c>
      <c r="K806" s="3" t="n"/>
      <c r="L806" s="3" t="n"/>
      <c r="M806" s="2" t="inlineStr">
        <is>
          <t>TCGplayer</t>
        </is>
      </c>
      <c r="O806" s="4" t="inlineStr">
        <is>
          <t>https://www.tcgplayer.com/product/107101</t>
        </is>
      </c>
    </row>
    <row r="807">
      <c r="A807" s="2" t="inlineStr">
        <is>
          <t>XY Evolutions Booster Box</t>
        </is>
      </c>
      <c r="B807" s="3">
        <f>IF(I807&lt;&gt;"",I807,IF(J807&lt;&gt;"",J807,IF(K807&lt;&gt;"",K807,L807)))</f>
        <v>2585.75</v>
      </c>
      <c r="C807" s="3">
        <f>MEDIAN(I807:L807)</f>
        <v>2585.75</v>
      </c>
      <c r="D807" s="3">
        <f>ROUND(C807*(1-Settings!$B$2),2)</f>
        <v>1810.03</v>
      </c>
      <c r="E807" s="3">
        <f>ROUND(C807*(1-Settings!$B$3),2)</f>
        <v>1810.03</v>
      </c>
      <c r="F807" s="2" t="inlineStr">
        <is>
          <t>Pokemon</t>
        </is>
      </c>
      <c r="G807" s="2" t="inlineStr">
        <is>
          <t>Box</t>
        </is>
      </c>
      <c r="H807" s="2" t="inlineStr">
        <is>
          <t>XY - Evolutions</t>
        </is>
      </c>
      <c r="I807" s="3" t="n"/>
      <c r="J807" s="3" t="n">
        <v>2585.75</v>
      </c>
      <c r="K807" s="3" t="n">
        <v>3179.99</v>
      </c>
      <c r="L807" s="3" t="n">
        <v>75</v>
      </c>
      <c r="M807" s="2" t="inlineStr">
        <is>
          <t>TCGplayer</t>
        </is>
      </c>
      <c r="O807" s="4" t="inlineStr">
        <is>
          <t>https://www.tcgplayer.com/product/123446</t>
        </is>
      </c>
    </row>
    <row r="808">
      <c r="A808" s="2" t="inlineStr">
        <is>
          <t>XY Fates Collide Booster Box</t>
        </is>
      </c>
      <c r="B808" s="3">
        <f>IF(I808&lt;&gt;"",I808,IF(J808&lt;&gt;"",J808,IF(K808&lt;&gt;"",K808,L808)))</f>
        <v>2754.99</v>
      </c>
      <c r="C808" s="3">
        <f>MEDIAN(I808:L808)</f>
        <v>6499.99</v>
      </c>
      <c r="D808" s="3">
        <f>ROUND(C808*(1-Settings!$B$2),2)</f>
        <v>4549.99</v>
      </c>
      <c r="E808" s="3">
        <f>ROUND(C808*(1-Settings!$B$3),2)</f>
        <v>4549.99</v>
      </c>
      <c r="F808" s="2" t="inlineStr">
        <is>
          <t>Pokemon</t>
        </is>
      </c>
      <c r="G808" s="2" t="inlineStr">
        <is>
          <t>Box</t>
        </is>
      </c>
      <c r="H808" s="2" t="inlineStr">
        <is>
          <t>XY - Fates Collide</t>
        </is>
      </c>
      <c r="I808" s="3" t="n"/>
      <c r="J808" s="3" t="n">
        <v>2754.99</v>
      </c>
      <c r="K808" s="3" t="n">
        <v>6989.95</v>
      </c>
      <c r="L808" s="3" t="n">
        <v>6499.99</v>
      </c>
      <c r="M808" s="2" t="inlineStr">
        <is>
          <t>TCGplayer</t>
        </is>
      </c>
      <c r="O808" s="4" t="inlineStr">
        <is>
          <t>https://www.tcgplayer.com/product/117478</t>
        </is>
      </c>
    </row>
    <row r="809">
      <c r="A809" s="2" t="inlineStr">
        <is>
          <t>Flashfire Booster Box</t>
        </is>
      </c>
      <c r="B809" s="3">
        <f>IF(I809&lt;&gt;"",I809,IF(J809&lt;&gt;"",J809,IF(K809&lt;&gt;"",K809,L809)))</f>
        <v>10572.96</v>
      </c>
      <c r="C809" s="3">
        <f>MEDIAN(I809:L809)</f>
        <v>12000.0</v>
      </c>
      <c r="D809" s="3">
        <f>ROUND(C809*(1-Settings!$B$2),2)</f>
        <v>8400.0</v>
      </c>
      <c r="E809" s="3">
        <f>ROUND(C809*(1-Settings!$B$3),2)</f>
        <v>8400.0</v>
      </c>
      <c r="F809" s="2" t="inlineStr">
        <is>
          <t>Pokemon</t>
        </is>
      </c>
      <c r="G809" s="2" t="inlineStr">
        <is>
          <t>Box</t>
        </is>
      </c>
      <c r="H809" s="2" t="inlineStr">
        <is>
          <t>XY - Flashfire</t>
        </is>
      </c>
      <c r="I809" s="3" t="n">
        <v>10572.96</v>
      </c>
      <c r="J809" s="3" t="n"/>
      <c r="K809" s="3" t="n">
        <v>12000</v>
      </c>
      <c r="L809" s="3" t="n">
        <v>12000</v>
      </c>
      <c r="M809" s="2" t="inlineStr">
        <is>
          <t>PriceCharting + TCGplayer</t>
        </is>
      </c>
      <c r="N809" s="4" t="inlineStr">
        <is>
          <t>https://www.pricecharting.com/game/pokemon-flashfire/booster-box</t>
        </is>
      </c>
      <c r="O809" s="4" t="inlineStr">
        <is>
          <t>https://www.tcgplayer.com/product/91594</t>
        </is>
      </c>
    </row>
    <row r="810">
      <c r="A810" s="2" t="inlineStr">
        <is>
          <t>Furious Fists Booster Box</t>
        </is>
      </c>
      <c r="B810" s="3">
        <f>IF(I810&lt;&gt;"",I810,IF(J810&lt;&gt;"",J810,IF(K810&lt;&gt;"",K810,L810)))</f>
        <v>4115.59</v>
      </c>
      <c r="C810" s="3">
        <f>MEDIAN(I810:L810)</f>
        <v>5858.725</v>
      </c>
      <c r="D810" s="3">
        <f>ROUND(C810*(1-Settings!$B$2),2)</f>
        <v>4101.11</v>
      </c>
      <c r="E810" s="3">
        <f>ROUND(C810*(1-Settings!$B$3),2)</f>
        <v>4101.11</v>
      </c>
      <c r="F810" s="2" t="inlineStr">
        <is>
          <t>Pokemon</t>
        </is>
      </c>
      <c r="G810" s="2" t="inlineStr">
        <is>
          <t>Box</t>
        </is>
      </c>
      <c r="H810" s="2" t="inlineStr">
        <is>
          <t>XY - Furious Fists</t>
        </is>
      </c>
      <c r="I810" s="3" t="n">
        <v>4115.59</v>
      </c>
      <c r="J810" s="3" t="n">
        <v>4717.5</v>
      </c>
      <c r="K810" s="3" t="n">
        <v>6999.95</v>
      </c>
      <c r="L810" s="3" t="n">
        <v>6999.95</v>
      </c>
      <c r="M810" s="2" t="inlineStr">
        <is>
          <t>PriceCharting + TCGplayer</t>
        </is>
      </c>
      <c r="N810" s="4" t="inlineStr">
        <is>
          <t>https://www.pricecharting.com/game/pokemon-furious-fists/booster-box</t>
        </is>
      </c>
      <c r="O810" s="4" t="inlineStr">
        <is>
          <t>https://www.tcgplayer.com/product/92168</t>
        </is>
      </c>
    </row>
    <row r="811">
      <c r="A811" s="2" t="inlineStr">
        <is>
          <t>XY Primal Clash Booster Box</t>
        </is>
      </c>
      <c r="B811" s="3">
        <f>IF(I811&lt;&gt;"",I811,IF(J811&lt;&gt;"",J811,IF(K811&lt;&gt;"",K811,L811)))</f>
        <v>3899.99</v>
      </c>
      <c r="C811" s="3">
        <f>MEDIAN(I811:L811)</f>
        <v>8999.99</v>
      </c>
      <c r="D811" s="3">
        <f>ROUND(C811*(1-Settings!$B$2),2)</f>
        <v>6299.99</v>
      </c>
      <c r="E811" s="3">
        <f>ROUND(C811*(1-Settings!$B$3),2)</f>
        <v>6299.99</v>
      </c>
      <c r="F811" s="2" t="inlineStr">
        <is>
          <t>Pokemon</t>
        </is>
      </c>
      <c r="G811" s="2" t="inlineStr">
        <is>
          <t>Box</t>
        </is>
      </c>
      <c r="H811" s="2" t="inlineStr">
        <is>
          <t>XY - Primal Clash</t>
        </is>
      </c>
      <c r="I811" s="3" t="n"/>
      <c r="J811" s="3" t="n">
        <v>3899.99</v>
      </c>
      <c r="K811" s="3" t="n">
        <v>8999.99</v>
      </c>
      <c r="L811" s="3" t="n">
        <v>8999.99</v>
      </c>
      <c r="M811" s="2" t="inlineStr">
        <is>
          <t>TCGplayer</t>
        </is>
      </c>
      <c r="O811" s="4" t="inlineStr">
        <is>
          <t>https://www.tcgplayer.com/product/97750</t>
        </is>
      </c>
    </row>
    <row r="812">
      <c r="A812" s="2" t="inlineStr">
        <is>
          <t>XY Roaring Skies Booster Box</t>
        </is>
      </c>
      <c r="B812" s="3">
        <f>IF(I812&lt;&gt;"",I812,IF(J812&lt;&gt;"",J812,IF(K812&lt;&gt;"",K812,L812)))</f>
        <v>4362.23</v>
      </c>
      <c r="C812" s="3">
        <f>MEDIAN(I812:L812)</f>
        <v>4625.0</v>
      </c>
      <c r="D812" s="3">
        <f>ROUND(C812*(1-Settings!$B$2),2)</f>
        <v>3237.5</v>
      </c>
      <c r="E812" s="3">
        <f>ROUND(C812*(1-Settings!$B$3),2)</f>
        <v>3237.5</v>
      </c>
      <c r="F812" s="2" t="inlineStr">
        <is>
          <t>Pokemon</t>
        </is>
      </c>
      <c r="G812" s="2" t="inlineStr">
        <is>
          <t>Box</t>
        </is>
      </c>
      <c r="H812" s="2" t="inlineStr">
        <is>
          <t>XY - Roaring Skies</t>
        </is>
      </c>
      <c r="I812" s="3" t="n"/>
      <c r="J812" s="3" t="n">
        <v>4362.23</v>
      </c>
      <c r="K812" s="3" t="n">
        <v>5499.99</v>
      </c>
      <c r="L812" s="3" t="n">
        <v>4625</v>
      </c>
      <c r="M812" s="2" t="inlineStr">
        <is>
          <t>TCGplayer</t>
        </is>
      </c>
      <c r="O812" s="4" t="inlineStr">
        <is>
          <t>https://www.tcgplayer.com/product/98026</t>
        </is>
      </c>
    </row>
    <row r="813">
      <c r="A813" s="2" t="inlineStr">
        <is>
          <t>Steam Siege Booster Box</t>
        </is>
      </c>
      <c r="B813" s="3">
        <f>IF(I813&lt;&gt;"",I813,IF(J813&lt;&gt;"",J813,IF(K813&lt;&gt;"",K813,L813)))</f>
        <v>1350.0</v>
      </c>
      <c r="C813" s="3">
        <f>MEDIAN(I813:L813)</f>
        <v>1400.0</v>
      </c>
      <c r="D813" s="3">
        <f>ROUND(C813*(1-Settings!$B$2),2)</f>
        <v>980.0</v>
      </c>
      <c r="E813" s="3">
        <f>ROUND(C813*(1-Settings!$B$3),2)</f>
        <v>980.0</v>
      </c>
      <c r="F813" s="2" t="inlineStr">
        <is>
          <t>Pokemon</t>
        </is>
      </c>
      <c r="G813" s="2" t="inlineStr">
        <is>
          <t>Box</t>
        </is>
      </c>
      <c r="H813" s="2" t="inlineStr">
        <is>
          <t>XY - Steam Siege</t>
        </is>
      </c>
      <c r="I813" s="3" t="n"/>
      <c r="J813" s="3" t="n">
        <v>1350</v>
      </c>
      <c r="K813" s="3" t="n">
        <v>1697.97</v>
      </c>
      <c r="L813" s="3" t="n">
        <v>1400</v>
      </c>
      <c r="M813" s="2" t="inlineStr">
        <is>
          <t>TCGplayer</t>
        </is>
      </c>
      <c r="O813" s="4" t="inlineStr">
        <is>
          <t>https://www.tcgplayer.com/product/120076</t>
        </is>
      </c>
    </row>
    <row r="814">
      <c r="A814" s="2" t="inlineStr">
        <is>
          <t>30th Celebration Elite Trainer Box [Pokemon Center]</t>
        </is>
      </c>
      <c r="B814" s="3">
        <f>IF(I814&lt;&gt;"",I814,IF(J814&lt;&gt;"",J814,IF(K814&lt;&gt;"",K814,L814)))</f>
        <v>293.08</v>
      </c>
      <c r="C814" s="3">
        <f>MEDIAN(I814:L814)</f>
        <v>293.08</v>
      </c>
      <c r="D814" s="3">
        <f>ROUND(C814*(1-Settings!$B$2),2)</f>
        <v>205.16</v>
      </c>
      <c r="E814" s="3">
        <f>ROUND(C814*(1-Settings!$B$3),2)</f>
        <v>205.16</v>
      </c>
      <c r="F814" s="2" t="inlineStr">
        <is>
          <t>Pokemon</t>
        </is>
      </c>
      <c r="G814" s="2" t="inlineStr">
        <is>
          <t>Coffret</t>
        </is>
      </c>
      <c r="H814" s="2" t="inlineStr">
        <is>
          <t>30th Celebration</t>
        </is>
      </c>
      <c r="I814" s="3" t="n">
        <v>293.08</v>
      </c>
      <c r="J814" s="3" t="n"/>
      <c r="K814" s="3" t="n"/>
      <c r="L814" s="3" t="n"/>
      <c r="M814" s="2" t="inlineStr">
        <is>
          <t>PriceCharting</t>
        </is>
      </c>
      <c r="N814" s="4" t="inlineStr">
        <is>
          <t>https://www.pricecharting.com/game/pokemon-30th-celebration/elite-trainer-box-pokemon-center</t>
        </is>
      </c>
    </row>
    <row r="815">
      <c r="A815" s="2" t="inlineStr">
        <is>
          <t>30th Celebration Sealed Tin: Greninja ex</t>
        </is>
      </c>
      <c r="B815" s="3">
        <f>IF(I815&lt;&gt;"",I815,IF(J815&lt;&gt;"",J815,IF(K815&lt;&gt;"",K815,L815)))</f>
        <v>55.5</v>
      </c>
      <c r="C815" s="3">
        <f>MEDIAN(I815:L815)</f>
        <v>55.5</v>
      </c>
      <c r="D815" s="3">
        <f>ROUND(C815*(1-Settings!$B$2),2)</f>
        <v>38.85</v>
      </c>
      <c r="E815" s="3">
        <f>ROUND(C815*(1-Settings!$B$3),2)</f>
        <v>38.85</v>
      </c>
      <c r="F815" s="2" t="inlineStr">
        <is>
          <t>Pokemon</t>
        </is>
      </c>
      <c r="G815" s="2" t="inlineStr">
        <is>
          <t>Coffret</t>
        </is>
      </c>
      <c r="H815" s="2" t="inlineStr">
        <is>
          <t>30th Celebration</t>
        </is>
      </c>
      <c r="I815" s="3" t="n">
        <v>55.5</v>
      </c>
      <c r="J815" s="3" t="n"/>
      <c r="K815" s="3" t="n"/>
      <c r="L815" s="3" t="n"/>
      <c r="M815" s="2" t="inlineStr">
        <is>
          <t>PriceCharting</t>
        </is>
      </c>
      <c r="N815" s="4" t="inlineStr">
        <is>
          <t>https://www.pricecharting.com/game/pokemon-30th-celebration/sealed-tin-greninja-ex</t>
        </is>
      </c>
    </row>
    <row r="816">
      <c r="A816" s="2" t="inlineStr">
        <is>
          <t>30th Celebration Sealed Tin: Sylveon ex</t>
        </is>
      </c>
      <c r="B816" s="3">
        <f>IF(I816&lt;&gt;"",I816,IF(J816&lt;&gt;"",J816,IF(K816&lt;&gt;"",K816,L816)))</f>
        <v>58.56</v>
      </c>
      <c r="C816" s="3">
        <f>MEDIAN(I816:L816)</f>
        <v>58.56</v>
      </c>
      <c r="D816" s="3">
        <f>ROUND(C816*(1-Settings!$B$2),2)</f>
        <v>40.99</v>
      </c>
      <c r="E816" s="3">
        <f>ROUND(C816*(1-Settings!$B$3),2)</f>
        <v>40.99</v>
      </c>
      <c r="F816" s="2" t="inlineStr">
        <is>
          <t>Pokemon</t>
        </is>
      </c>
      <c r="G816" s="2" t="inlineStr">
        <is>
          <t>Coffret</t>
        </is>
      </c>
      <c r="H816" s="2" t="inlineStr">
        <is>
          <t>30th Celebration</t>
        </is>
      </c>
      <c r="I816" s="3" t="n">
        <v>58.56</v>
      </c>
      <c r="J816" s="3" t="n"/>
      <c r="K816" s="3" t="n"/>
      <c r="L816" s="3" t="n"/>
      <c r="M816" s="2" t="inlineStr">
        <is>
          <t>PriceCharting</t>
        </is>
      </c>
      <c r="N816" s="4" t="inlineStr">
        <is>
          <t>https://www.pricecharting.com/game/pokemon-30th-celebration/sealed-tin-sylveon-ex</t>
        </is>
      </c>
    </row>
    <row r="817">
      <c r="A817" s="2" t="inlineStr">
        <is>
          <t>Premium Trainer's XY Collection</t>
        </is>
      </c>
      <c r="B817" s="3">
        <f>IF(I817&lt;&gt;"",I817,IF(J817&lt;&gt;"",J817,IF(K817&lt;&gt;"",K817,L817)))</f>
        <v>3125.0</v>
      </c>
      <c r="C817" s="3">
        <f>MEDIAN(I817:L817)</f>
        <v>3499.99</v>
      </c>
      <c r="D817" s="3">
        <f>ROUND(C817*(1-Settings!$B$2),2)</f>
        <v>2449.99</v>
      </c>
      <c r="E817" s="3">
        <f>ROUND(C817*(1-Settings!$B$3),2)</f>
        <v>2449.99</v>
      </c>
      <c r="F817" s="2" t="inlineStr">
        <is>
          <t>Pokemon</t>
        </is>
      </c>
      <c r="G817" s="2" t="inlineStr">
        <is>
          <t>Coffret</t>
        </is>
      </c>
      <c r="H817" s="2" t="inlineStr">
        <is>
          <t>Alternate Art Promos</t>
        </is>
      </c>
      <c r="I817" s="3" t="n"/>
      <c r="J817" s="3" t="n">
        <v>3125</v>
      </c>
      <c r="K817" s="3" t="n">
        <v>3749.99</v>
      </c>
      <c r="L817" s="3" t="n">
        <v>3499.99</v>
      </c>
      <c r="M817" s="2" t="inlineStr">
        <is>
          <t>TCGplayer</t>
        </is>
      </c>
      <c r="O817" s="4" t="inlineStr">
        <is>
          <t>https://www.tcgplayer.com/product/148226</t>
        </is>
      </c>
    </row>
    <row r="818">
      <c r="A818" s="2" t="inlineStr">
        <is>
          <t>Ancient Origins Rayquaza Pin Collection</t>
        </is>
      </c>
      <c r="B818" s="3">
        <f>IF(I818&lt;&gt;"",I818,IF(J818&lt;&gt;"",J818,IF(K818&lt;&gt;"",K818,L818)))</f>
        <v>596.69</v>
      </c>
      <c r="C818" s="3">
        <f>MEDIAN(I818:L818)</f>
        <v>596.69</v>
      </c>
      <c r="D818" s="3">
        <f>ROUND(C818*(1-Settings!$B$2),2)</f>
        <v>417.68</v>
      </c>
      <c r="E818" s="3">
        <f>ROUND(C818*(1-Settings!$B$3),2)</f>
        <v>417.68</v>
      </c>
      <c r="F818" s="2" t="inlineStr">
        <is>
          <t>Pokemon</t>
        </is>
      </c>
      <c r="G818" s="2" t="inlineStr">
        <is>
          <t>Coffret</t>
        </is>
      </c>
      <c r="H818" s="2" t="inlineStr">
        <is>
          <t>Ancient Origins</t>
        </is>
      </c>
      <c r="I818" s="3" t="n">
        <v>596.6900000000001</v>
      </c>
      <c r="J818" s="3" t="n"/>
      <c r="K818" s="3" t="n"/>
      <c r="L818" s="3" t="n"/>
      <c r="M818" s="2" t="inlineStr">
        <is>
          <t>PriceCharting</t>
        </is>
      </c>
      <c r="N818" s="4" t="inlineStr">
        <is>
          <t>https://www.pricecharting.com/game/pokemon-ancient-origins/rayquaza-pin-collection</t>
        </is>
      </c>
    </row>
    <row r="819">
      <c r="A819" s="2" t="inlineStr">
        <is>
          <t>Ancient Origins Tyranitar Pin Collection</t>
        </is>
      </c>
      <c r="B819" s="3">
        <f>IF(I819&lt;&gt;"",I819,IF(J819&lt;&gt;"",J819,IF(K819&lt;&gt;"",K819,L819)))</f>
        <v>420.0</v>
      </c>
      <c r="C819" s="3">
        <f>MEDIAN(I819:L819)</f>
        <v>420.0</v>
      </c>
      <c r="D819" s="3">
        <f>ROUND(C819*(1-Settings!$B$2),2)</f>
        <v>294.0</v>
      </c>
      <c r="E819" s="3">
        <f>ROUND(C819*(1-Settings!$B$3),2)</f>
        <v>294.0</v>
      </c>
      <c r="F819" s="2" t="inlineStr">
        <is>
          <t>Pokemon</t>
        </is>
      </c>
      <c r="G819" s="2" t="inlineStr">
        <is>
          <t>Coffret</t>
        </is>
      </c>
      <c r="H819" s="2" t="inlineStr">
        <is>
          <t>Ancient Origins</t>
        </is>
      </c>
      <c r="I819" s="3" t="n">
        <v>420</v>
      </c>
      <c r="J819" s="3" t="n"/>
      <c r="K819" s="3" t="n"/>
      <c r="L819" s="3" t="n"/>
      <c r="M819" s="2" t="inlineStr">
        <is>
          <t>PriceCharting</t>
        </is>
      </c>
      <c r="N819" s="4" t="inlineStr">
        <is>
          <t>https://www.pricecharting.com/game/pokemon-ancient-origins/tyranitar-pin-collection</t>
        </is>
      </c>
    </row>
    <row r="820">
      <c r="A820" s="2" t="inlineStr">
        <is>
          <t>Arceus Darkrai 3-Pack Blister</t>
        </is>
      </c>
      <c r="B820" s="3">
        <f>IF(I820&lt;&gt;"",I820,IF(J820&lt;&gt;"",J820,IF(K820&lt;&gt;"",K820,L820)))</f>
        <v>70.0</v>
      </c>
      <c r="C820" s="3">
        <f>MEDIAN(I820:L820)</f>
        <v>70.0</v>
      </c>
      <c r="D820" s="3">
        <f>ROUND(C820*(1-Settings!$B$2),2)</f>
        <v>49.0</v>
      </c>
      <c r="E820" s="3">
        <f>ROUND(C820*(1-Settings!$B$3),2)</f>
        <v>49.0</v>
      </c>
      <c r="F820" s="2" t="inlineStr">
        <is>
          <t>Pokemon</t>
        </is>
      </c>
      <c r="G820" s="2" t="inlineStr">
        <is>
          <t>Coffret</t>
        </is>
      </c>
      <c r="H820" s="2" t="inlineStr">
        <is>
          <t>Arceus</t>
        </is>
      </c>
      <c r="I820" s="3" t="n">
        <v>70</v>
      </c>
      <c r="J820" s="3" t="n"/>
      <c r="K820" s="3" t="n"/>
      <c r="L820" s="3" t="n"/>
      <c r="M820" s="2" t="inlineStr">
        <is>
          <t>PriceCharting</t>
        </is>
      </c>
      <c r="N820" s="4" t="inlineStr">
        <is>
          <t>https://www.pricecharting.com/game/pokemon-arceus/darkrai-3-pack-blister</t>
        </is>
      </c>
    </row>
    <row r="821">
      <c r="A821" s="2" t="inlineStr">
        <is>
          <t>Ascended Heroes 2 Pack Blister Collection: Erika</t>
        </is>
      </c>
      <c r="B821" s="3">
        <f>IF(I821&lt;&gt;"",I821,IF(J821&lt;&gt;"",J821,IF(K821&lt;&gt;"",K821,L821)))</f>
        <v>31.41</v>
      </c>
      <c r="C821" s="3">
        <f>MEDIAN(I821:L821)</f>
        <v>31.41</v>
      </c>
      <c r="D821" s="3">
        <f>ROUND(C821*(1-Settings!$B$2),2)</f>
        <v>21.99</v>
      </c>
      <c r="E821" s="3">
        <f>ROUND(C821*(1-Settings!$B$3),2)</f>
        <v>21.99</v>
      </c>
      <c r="F821" s="2" t="inlineStr">
        <is>
          <t>Pokemon</t>
        </is>
      </c>
      <c r="G821" s="2" t="inlineStr">
        <is>
          <t>Coffret</t>
        </is>
      </c>
      <c r="H821" s="2" t="inlineStr">
        <is>
          <t>Ascended Heroes</t>
        </is>
      </c>
      <c r="I821" s="3" t="n">
        <v>31.41</v>
      </c>
      <c r="J821" s="3" t="n"/>
      <c r="K821" s="3" t="n"/>
      <c r="L821" s="3" t="n"/>
      <c r="M821" s="2" t="inlineStr">
        <is>
          <t>PriceCharting</t>
        </is>
      </c>
      <c r="N821" s="4" t="inlineStr">
        <is>
          <t>https://www.pricecharting.com/game/pokemon-ascended-heroes/2-pack-blister-collection-erika</t>
        </is>
      </c>
    </row>
    <row r="822">
      <c r="A822" s="2" t="inlineStr">
        <is>
          <t>Ascended Heroes 2 Pack Blister Collection: Larry</t>
        </is>
      </c>
      <c r="B822" s="3">
        <f>IF(I822&lt;&gt;"",I822,IF(J822&lt;&gt;"",J822,IF(K822&lt;&gt;"",K822,L822)))</f>
        <v>32.3</v>
      </c>
      <c r="C822" s="3">
        <f>MEDIAN(I822:L822)</f>
        <v>32.3</v>
      </c>
      <c r="D822" s="3">
        <f>ROUND(C822*(1-Settings!$B$2),2)</f>
        <v>22.61</v>
      </c>
      <c r="E822" s="3">
        <f>ROUND(C822*(1-Settings!$B$3),2)</f>
        <v>22.61</v>
      </c>
      <c r="F822" s="2" t="inlineStr">
        <is>
          <t>Pokemon</t>
        </is>
      </c>
      <c r="G822" s="2" t="inlineStr">
        <is>
          <t>Coffret</t>
        </is>
      </c>
      <c r="H822" s="2" t="inlineStr">
        <is>
          <t>Ascended Heroes</t>
        </is>
      </c>
      <c r="I822" s="3" t="n">
        <v>32.3</v>
      </c>
      <c r="J822" s="3" t="n"/>
      <c r="K822" s="3" t="n"/>
      <c r="L822" s="3" t="n"/>
      <c r="M822" s="2" t="inlineStr">
        <is>
          <t>PriceCharting</t>
        </is>
      </c>
      <c r="N822" s="4" t="inlineStr">
        <is>
          <t>https://www.pricecharting.com/game/pokemon-ascended-heroes/2-pack-blister-collection-larry</t>
        </is>
      </c>
    </row>
    <row r="823">
      <c r="A823" s="2" t="inlineStr">
        <is>
          <t>Ascended Heroes Costco 5-Pack Mini Tin</t>
        </is>
      </c>
      <c r="B823" s="3">
        <f>IF(I823&lt;&gt;"",I823,IF(J823&lt;&gt;"",J823,IF(K823&lt;&gt;"",K823,L823)))</f>
        <v>173.38</v>
      </c>
      <c r="C823" s="3">
        <f>MEDIAN(I823:L823)</f>
        <v>173.38</v>
      </c>
      <c r="D823" s="3">
        <f>ROUND(C823*(1-Settings!$B$2),2)</f>
        <v>121.37</v>
      </c>
      <c r="E823" s="3">
        <f>ROUND(C823*(1-Settings!$B$3),2)</f>
        <v>121.37</v>
      </c>
      <c r="F823" s="2" t="inlineStr">
        <is>
          <t>Pokemon</t>
        </is>
      </c>
      <c r="G823" s="2" t="inlineStr">
        <is>
          <t>Coffret</t>
        </is>
      </c>
      <c r="H823" s="2" t="inlineStr">
        <is>
          <t>Ascended Heroes</t>
        </is>
      </c>
      <c r="I823" s="3" t="n">
        <v>173.38</v>
      </c>
      <c r="J823" s="3" t="n"/>
      <c r="K823" s="3" t="n"/>
      <c r="L823" s="3" t="n"/>
      <c r="M823" s="2" t="inlineStr">
        <is>
          <t>PriceCharting</t>
        </is>
      </c>
      <c r="N823" s="4" t="inlineStr">
        <is>
          <t>https://www.pricecharting.com/game/pokemon-ascended-heroes/costco-5-pack-mini-tin</t>
        </is>
      </c>
    </row>
    <row r="824">
      <c r="A824" s="2" t="inlineStr">
        <is>
          <t>Ascended Heroes Elite Trainer Box [Pokemon Center]</t>
        </is>
      </c>
      <c r="B824" s="3">
        <f>IF(I824&lt;&gt;"",I824,IF(J824&lt;&gt;"",J824,IF(K824&lt;&gt;"",K824,L824)))</f>
        <v>347.77</v>
      </c>
      <c r="C824" s="3">
        <f>MEDIAN(I824:L824)</f>
        <v>347.77</v>
      </c>
      <c r="D824" s="3">
        <f>ROUND(C824*(1-Settings!$B$2),2)</f>
        <v>243.44</v>
      </c>
      <c r="E824" s="3">
        <f>ROUND(C824*(1-Settings!$B$3),2)</f>
        <v>243.44</v>
      </c>
      <c r="F824" s="2" t="inlineStr">
        <is>
          <t>Pokemon</t>
        </is>
      </c>
      <c r="G824" s="2" t="inlineStr">
        <is>
          <t>Coffret</t>
        </is>
      </c>
      <c r="H824" s="2" t="inlineStr">
        <is>
          <t>Ascended Heroes</t>
        </is>
      </c>
      <c r="I824" s="3" t="n">
        <v>347.77</v>
      </c>
      <c r="J824" s="3" t="n"/>
      <c r="K824" s="3" t="n"/>
      <c r="L824" s="3" t="n"/>
      <c r="M824" s="2" t="inlineStr">
        <is>
          <t>PriceCharting</t>
        </is>
      </c>
      <c r="N824" s="4" t="inlineStr">
        <is>
          <t>https://www.pricecharting.com/game/pokemon-ascended-heroes/elite-trainer-box-pokemon-center</t>
        </is>
      </c>
    </row>
    <row r="825">
      <c r="A825" s="2" t="inlineStr">
        <is>
          <t>Ascended Heroes Sealed Premium Poster Collection: Mega Gardevoir</t>
        </is>
      </c>
      <c r="B825" s="3">
        <f>IF(I825&lt;&gt;"",I825,IF(J825&lt;&gt;"",J825,IF(K825&lt;&gt;"",K825,L825)))</f>
        <v>141.44</v>
      </c>
      <c r="C825" s="3">
        <f>MEDIAN(I825:L825)</f>
        <v>141.44</v>
      </c>
      <c r="D825" s="3">
        <f>ROUND(C825*(1-Settings!$B$2),2)</f>
        <v>99.01</v>
      </c>
      <c r="E825" s="3">
        <f>ROUND(C825*(1-Settings!$B$3),2)</f>
        <v>99.01</v>
      </c>
      <c r="F825" s="2" t="inlineStr">
        <is>
          <t>Pokemon</t>
        </is>
      </c>
      <c r="G825" s="2" t="inlineStr">
        <is>
          <t>Coffret</t>
        </is>
      </c>
      <c r="H825" s="2" t="inlineStr">
        <is>
          <t>Ascended Heroes</t>
        </is>
      </c>
      <c r="I825" s="3" t="n">
        <v>141.44</v>
      </c>
      <c r="J825" s="3" t="n"/>
      <c r="K825" s="3" t="n"/>
      <c r="L825" s="3" t="n"/>
      <c r="M825" s="2" t="inlineStr">
        <is>
          <t>PriceCharting</t>
        </is>
      </c>
      <c r="N825" s="4" t="inlineStr">
        <is>
          <t>https://www.pricecharting.com/game/pokemon-ascended-heroes/sealed-premium-poster-collection-mega-gardevoir</t>
        </is>
      </c>
    </row>
    <row r="826">
      <c r="A826" s="2" t="inlineStr">
        <is>
          <t>Ascended Heroes Sealed Tin [Mega Emboar Ex]</t>
        </is>
      </c>
      <c r="B826" s="3">
        <f>IF(I826&lt;&gt;"",I826,IF(J826&lt;&gt;"",J826,IF(K826&lt;&gt;"",K826,L826)))</f>
        <v>45.0</v>
      </c>
      <c r="C826" s="3">
        <f>MEDIAN(I826:L826)</f>
        <v>45.0</v>
      </c>
      <c r="D826" s="3">
        <f>ROUND(C826*(1-Settings!$B$2),2)</f>
        <v>31.5</v>
      </c>
      <c r="E826" s="3">
        <f>ROUND(C826*(1-Settings!$B$3),2)</f>
        <v>31.5</v>
      </c>
      <c r="F826" s="2" t="inlineStr">
        <is>
          <t>Pokemon</t>
        </is>
      </c>
      <c r="G826" s="2" t="inlineStr">
        <is>
          <t>Coffret</t>
        </is>
      </c>
      <c r="H826" s="2" t="inlineStr">
        <is>
          <t>Ascended Heroes</t>
        </is>
      </c>
      <c r="I826" s="3" t="n">
        <v>45</v>
      </c>
      <c r="J826" s="3" t="n"/>
      <c r="K826" s="3" t="n"/>
      <c r="L826" s="3" t="n"/>
      <c r="M826" s="2" t="inlineStr">
        <is>
          <t>PriceCharting</t>
        </is>
      </c>
      <c r="N826" s="4" t="inlineStr">
        <is>
          <t>https://www.pricecharting.com/game/pokemon-ascended-heroes/sealed-tin-mega-emboar-ex</t>
        </is>
      </c>
    </row>
    <row r="827">
      <c r="A827" s="2" t="inlineStr">
        <is>
          <t>Ascended Heroes Sealed Tin [Mega Feraligatr Ex]</t>
        </is>
      </c>
      <c r="B827" s="3">
        <f>IF(I827&lt;&gt;"",I827,IF(J827&lt;&gt;"",J827,IF(K827&lt;&gt;"",K827,L827)))</f>
        <v>44.9</v>
      </c>
      <c r="C827" s="3">
        <f>MEDIAN(I827:L827)</f>
        <v>44.9</v>
      </c>
      <c r="D827" s="3">
        <f>ROUND(C827*(1-Settings!$B$2),2)</f>
        <v>31.43</v>
      </c>
      <c r="E827" s="3">
        <f>ROUND(C827*(1-Settings!$B$3),2)</f>
        <v>31.43</v>
      </c>
      <c r="F827" s="2" t="inlineStr">
        <is>
          <t>Pokemon</t>
        </is>
      </c>
      <c r="G827" s="2" t="inlineStr">
        <is>
          <t>Coffret</t>
        </is>
      </c>
      <c r="H827" s="2" t="inlineStr">
        <is>
          <t>Ascended Heroes</t>
        </is>
      </c>
      <c r="I827" s="3" t="n">
        <v>44.9</v>
      </c>
      <c r="J827" s="3" t="n"/>
      <c r="K827" s="3" t="n"/>
      <c r="L827" s="3" t="n"/>
      <c r="M827" s="2" t="inlineStr">
        <is>
          <t>PriceCharting</t>
        </is>
      </c>
      <c r="N827" s="4" t="inlineStr">
        <is>
          <t>https://www.pricecharting.com/game/pokemon-ascended-heroes/sealed-tin-mega-feraligatr-ex</t>
        </is>
      </c>
    </row>
    <row r="828">
      <c r="A828" s="2" t="inlineStr">
        <is>
          <t>Ascended Heroes Sealed Tin [Mega Meganium Ex]</t>
        </is>
      </c>
      <c r="B828" s="3">
        <f>IF(I828&lt;&gt;"",I828,IF(J828&lt;&gt;"",J828,IF(K828&lt;&gt;"",K828,L828)))</f>
        <v>45.93</v>
      </c>
      <c r="C828" s="3">
        <f>MEDIAN(I828:L828)</f>
        <v>45.93</v>
      </c>
      <c r="D828" s="3">
        <f>ROUND(C828*(1-Settings!$B$2),2)</f>
        <v>32.15</v>
      </c>
      <c r="E828" s="3">
        <f>ROUND(C828*(1-Settings!$B$3),2)</f>
        <v>32.15</v>
      </c>
      <c r="F828" s="2" t="inlineStr">
        <is>
          <t>Pokemon</t>
        </is>
      </c>
      <c r="G828" s="2" t="inlineStr">
        <is>
          <t>Coffret</t>
        </is>
      </c>
      <c r="H828" s="2" t="inlineStr">
        <is>
          <t>Ascended Heroes</t>
        </is>
      </c>
      <c r="I828" s="3" t="n">
        <v>45.93</v>
      </c>
      <c r="J828" s="3" t="n"/>
      <c r="K828" s="3" t="n"/>
      <c r="L828" s="3" t="n"/>
      <c r="M828" s="2" t="inlineStr">
        <is>
          <t>PriceCharting</t>
        </is>
      </c>
      <c r="N828" s="4" t="inlineStr">
        <is>
          <t>https://www.pricecharting.com/game/pokemon-ascended-heroes/sealed-tin-mega-meganium-ex</t>
        </is>
      </c>
    </row>
    <row r="829">
      <c r="A829" s="2" t="inlineStr">
        <is>
          <t>Ascended Heroes Tech Sticker Collection: Charmander</t>
        </is>
      </c>
      <c r="B829" s="3">
        <f>IF(I829&lt;&gt;"",I829,IF(J829&lt;&gt;"",J829,IF(K829&lt;&gt;"",K829,L829)))</f>
        <v>37.99</v>
      </c>
      <c r="C829" s="3">
        <f>MEDIAN(I829:L829)</f>
        <v>37.99</v>
      </c>
      <c r="D829" s="3">
        <f>ROUND(C829*(1-Settings!$B$2),2)</f>
        <v>26.59</v>
      </c>
      <c r="E829" s="3">
        <f>ROUND(C829*(1-Settings!$B$3),2)</f>
        <v>26.59</v>
      </c>
      <c r="F829" s="2" t="inlineStr">
        <is>
          <t>Pokemon</t>
        </is>
      </c>
      <c r="G829" s="2" t="inlineStr">
        <is>
          <t>Coffret</t>
        </is>
      </c>
      <c r="H829" s="2" t="inlineStr">
        <is>
          <t>Ascended Heroes</t>
        </is>
      </c>
      <c r="I829" s="3" t="n">
        <v>37.99</v>
      </c>
      <c r="J829" s="3" t="n"/>
      <c r="K829" s="3" t="n"/>
      <c r="L829" s="3" t="n"/>
      <c r="M829" s="2" t="inlineStr">
        <is>
          <t>PriceCharting</t>
        </is>
      </c>
      <c r="N829" s="4" t="inlineStr">
        <is>
          <t>https://www.pricecharting.com/game/pokemon-ascended-heroes/tech-sticker-collection-charmander</t>
        </is>
      </c>
    </row>
    <row r="830">
      <c r="A830" s="2" t="inlineStr">
        <is>
          <t>Ascended Heroes Tech Sticker Collection: Gastly</t>
        </is>
      </c>
      <c r="B830" s="3">
        <f>IF(I830&lt;&gt;"",I830,IF(J830&lt;&gt;"",J830,IF(K830&lt;&gt;"",K830,L830)))</f>
        <v>39.25</v>
      </c>
      <c r="C830" s="3">
        <f>MEDIAN(I830:L830)</f>
        <v>39.25</v>
      </c>
      <c r="D830" s="3">
        <f>ROUND(C830*(1-Settings!$B$2),2)</f>
        <v>27.48</v>
      </c>
      <c r="E830" s="3">
        <f>ROUND(C830*(1-Settings!$B$3),2)</f>
        <v>27.48</v>
      </c>
      <c r="F830" s="2" t="inlineStr">
        <is>
          <t>Pokemon</t>
        </is>
      </c>
      <c r="G830" s="2" t="inlineStr">
        <is>
          <t>Coffret</t>
        </is>
      </c>
      <c r="H830" s="2" t="inlineStr">
        <is>
          <t>Ascended Heroes</t>
        </is>
      </c>
      <c r="I830" s="3" t="n">
        <v>39.25</v>
      </c>
      <c r="J830" s="3" t="n"/>
      <c r="K830" s="3" t="n"/>
      <c r="L830" s="3" t="n"/>
      <c r="M830" s="2" t="inlineStr">
        <is>
          <t>PriceCharting</t>
        </is>
      </c>
      <c r="N830" s="4" t="inlineStr">
        <is>
          <t>https://www.pricecharting.com/game/pokemon-ascended-heroes/tech-sticker-collection-gastly</t>
        </is>
      </c>
    </row>
    <row r="831">
      <c r="A831" s="2" t="inlineStr">
        <is>
          <t>Astral Radiance Back to School Eevee Eraser 2-Pack Blister</t>
        </is>
      </c>
      <c r="B831" s="3">
        <f>IF(I831&lt;&gt;"",I831,IF(J831&lt;&gt;"",J831,IF(K831&lt;&gt;"",K831,L831)))</f>
        <v>59.46</v>
      </c>
      <c r="C831" s="3">
        <f>MEDIAN(I831:L831)</f>
        <v>59.46</v>
      </c>
      <c r="D831" s="3">
        <f>ROUND(C831*(1-Settings!$B$2),2)</f>
        <v>41.62</v>
      </c>
      <c r="E831" s="3">
        <f>ROUND(C831*(1-Settings!$B$3),2)</f>
        <v>41.62</v>
      </c>
      <c r="F831" s="2" t="inlineStr">
        <is>
          <t>Pokemon</t>
        </is>
      </c>
      <c r="G831" s="2" t="inlineStr">
        <is>
          <t>Coffret</t>
        </is>
      </c>
      <c r="H831" s="2" t="inlineStr">
        <is>
          <t>Astral Radiance</t>
        </is>
      </c>
      <c r="I831" s="3" t="n">
        <v>59.46</v>
      </c>
      <c r="J831" s="3" t="n"/>
      <c r="K831" s="3" t="n"/>
      <c r="L831" s="3" t="n"/>
      <c r="M831" s="2" t="inlineStr">
        <is>
          <t>PriceCharting</t>
        </is>
      </c>
      <c r="N831" s="4" t="inlineStr">
        <is>
          <t>https://www.pricecharting.com/game/pokemon-astral-radiance/back-to-school-eevee-eraser-2-pack-blister</t>
        </is>
      </c>
    </row>
    <row r="832">
      <c r="A832" s="2" t="inlineStr">
        <is>
          <t>Astral Radiance Eevee 3-Pack Blister</t>
        </is>
      </c>
      <c r="B832" s="3">
        <f>IF(I832&lt;&gt;"",I832,IF(J832&lt;&gt;"",J832,IF(K832&lt;&gt;"",K832,L832)))</f>
        <v>39.5</v>
      </c>
      <c r="C832" s="3">
        <f>MEDIAN(I832:L832)</f>
        <v>39.5</v>
      </c>
      <c r="D832" s="3">
        <f>ROUND(C832*(1-Settings!$B$2),2)</f>
        <v>27.65</v>
      </c>
      <c r="E832" s="3">
        <f>ROUND(C832*(1-Settings!$B$3),2)</f>
        <v>27.65</v>
      </c>
      <c r="F832" s="2" t="inlineStr">
        <is>
          <t>Pokemon</t>
        </is>
      </c>
      <c r="G832" s="2" t="inlineStr">
        <is>
          <t>Coffret</t>
        </is>
      </c>
      <c r="H832" s="2" t="inlineStr">
        <is>
          <t>Astral Radiance</t>
        </is>
      </c>
      <c r="I832" s="3" t="n">
        <v>39.5</v>
      </c>
      <c r="J832" s="3" t="n"/>
      <c r="K832" s="3" t="n"/>
      <c r="L832" s="3" t="n"/>
      <c r="M832" s="2" t="inlineStr">
        <is>
          <t>PriceCharting</t>
        </is>
      </c>
      <c r="N832" s="4" t="inlineStr">
        <is>
          <t>https://www.pricecharting.com/game/pokemon-astral-radiance/eevee-3-pack-blister</t>
        </is>
      </c>
    </row>
    <row r="833">
      <c r="A833" s="2" t="inlineStr">
        <is>
          <t>Astral Radiance Elite Trainer Box [Pokemon Center]</t>
        </is>
      </c>
      <c r="B833" s="3">
        <f>IF(I833&lt;&gt;"",I833,IF(J833&lt;&gt;"",J833,IF(K833&lt;&gt;"",K833,L833)))</f>
        <v>180.0</v>
      </c>
      <c r="C833" s="3">
        <f>MEDIAN(I833:L833)</f>
        <v>180.0</v>
      </c>
      <c r="D833" s="3">
        <f>ROUND(C833*(1-Settings!$B$2),2)</f>
        <v>126.0</v>
      </c>
      <c r="E833" s="3">
        <f>ROUND(C833*(1-Settings!$B$3),2)</f>
        <v>126.0</v>
      </c>
      <c r="F833" s="2" t="inlineStr">
        <is>
          <t>Pokemon</t>
        </is>
      </c>
      <c r="G833" s="2" t="inlineStr">
        <is>
          <t>Coffret</t>
        </is>
      </c>
      <c r="H833" s="2" t="inlineStr">
        <is>
          <t>Astral Radiance</t>
        </is>
      </c>
      <c r="I833" s="3" t="n">
        <v>180</v>
      </c>
      <c r="J833" s="3" t="n"/>
      <c r="K833" s="3" t="n"/>
      <c r="L833" s="3" t="n"/>
      <c r="M833" s="2" t="inlineStr">
        <is>
          <t>PriceCharting</t>
        </is>
      </c>
      <c r="N833" s="4" t="inlineStr">
        <is>
          <t>https://www.pricecharting.com/game/pokemon-astral-radiance/elite-trainer-box-pokemon-center</t>
        </is>
      </c>
    </row>
    <row r="834">
      <c r="A834" s="2" t="inlineStr">
        <is>
          <t>Astral Radiance Hanger Box</t>
        </is>
      </c>
      <c r="B834" s="3">
        <f>IF(I834&lt;&gt;"",I834,IF(J834&lt;&gt;"",J834,IF(K834&lt;&gt;"",K834,L834)))</f>
        <v>42.5</v>
      </c>
      <c r="C834" s="3">
        <f>MEDIAN(I834:L834)</f>
        <v>42.5</v>
      </c>
      <c r="D834" s="3">
        <f>ROUND(C834*(1-Settings!$B$2),2)</f>
        <v>29.75</v>
      </c>
      <c r="E834" s="3">
        <f>ROUND(C834*(1-Settings!$B$3),2)</f>
        <v>29.75</v>
      </c>
      <c r="F834" s="2" t="inlineStr">
        <is>
          <t>Pokemon</t>
        </is>
      </c>
      <c r="G834" s="2" t="inlineStr">
        <is>
          <t>Coffret</t>
        </is>
      </c>
      <c r="H834" s="2" t="inlineStr">
        <is>
          <t>Astral Radiance</t>
        </is>
      </c>
      <c r="I834" s="3" t="n">
        <v>42.5</v>
      </c>
      <c r="J834" s="3" t="n"/>
      <c r="K834" s="3" t="n"/>
      <c r="L834" s="3" t="n"/>
      <c r="M834" s="2" t="inlineStr">
        <is>
          <t>PriceCharting</t>
        </is>
      </c>
      <c r="N834" s="4" t="inlineStr">
        <is>
          <t>https://www.pricecharting.com/game/pokemon-astral-radiance/hanger-box</t>
        </is>
      </c>
    </row>
    <row r="835">
      <c r="A835" s="2" t="inlineStr">
        <is>
          <t>Astral Radiance Jirachi V Box</t>
        </is>
      </c>
      <c r="B835" s="3">
        <f>IF(I835&lt;&gt;"",I835,IF(J835&lt;&gt;"",J835,IF(K835&lt;&gt;"",K835,L835)))</f>
        <v>63.86</v>
      </c>
      <c r="C835" s="3">
        <f>MEDIAN(I835:L835)</f>
        <v>63.86</v>
      </c>
      <c r="D835" s="3">
        <f>ROUND(C835*(1-Settings!$B$2),2)</f>
        <v>44.7</v>
      </c>
      <c r="E835" s="3">
        <f>ROUND(C835*(1-Settings!$B$3),2)</f>
        <v>44.7</v>
      </c>
      <c r="F835" s="2" t="inlineStr">
        <is>
          <t>Pokemon</t>
        </is>
      </c>
      <c r="G835" s="2" t="inlineStr">
        <is>
          <t>Coffret</t>
        </is>
      </c>
      <c r="H835" s="2" t="inlineStr">
        <is>
          <t>Astral Radiance</t>
        </is>
      </c>
      <c r="I835" s="3" t="n">
        <v>63.86</v>
      </c>
      <c r="J835" s="3" t="n"/>
      <c r="K835" s="3" t="n"/>
      <c r="L835" s="3" t="n"/>
      <c r="M835" s="2" t="inlineStr">
        <is>
          <t>PriceCharting</t>
        </is>
      </c>
      <c r="N835" s="4" t="inlineStr">
        <is>
          <t>https://www.pricecharting.com/game/pokemon-astral-radiance/jirachi-v-box</t>
        </is>
      </c>
    </row>
    <row r="836">
      <c r="A836" s="2" t="inlineStr">
        <is>
          <t>Astral Radiance Sylveon 3-Pack Blister</t>
        </is>
      </c>
      <c r="B836" s="3">
        <f>IF(I836&lt;&gt;"",I836,IF(J836&lt;&gt;"",J836,IF(K836&lt;&gt;"",K836,L836)))</f>
        <v>23.81</v>
      </c>
      <c r="C836" s="3">
        <f>MEDIAN(I836:L836)</f>
        <v>23.81</v>
      </c>
      <c r="D836" s="3">
        <f>ROUND(C836*(1-Settings!$B$2),2)</f>
        <v>16.67</v>
      </c>
      <c r="E836" s="3">
        <f>ROUND(C836*(1-Settings!$B$3),2)</f>
        <v>16.67</v>
      </c>
      <c r="F836" s="2" t="inlineStr">
        <is>
          <t>Pokemon</t>
        </is>
      </c>
      <c r="G836" s="2" t="inlineStr">
        <is>
          <t>Coffret</t>
        </is>
      </c>
      <c r="H836" s="2" t="inlineStr">
        <is>
          <t>Astral Radiance</t>
        </is>
      </c>
      <c r="I836" s="3" t="n">
        <v>23.81</v>
      </c>
      <c r="J836" s="3" t="n"/>
      <c r="K836" s="3" t="n"/>
      <c r="L836" s="3" t="n"/>
      <c r="M836" s="2" t="inlineStr">
        <is>
          <t>PriceCharting</t>
        </is>
      </c>
      <c r="N836" s="4" t="inlineStr">
        <is>
          <t>https://www.pricecharting.com/game/pokemon-astral-radiance/sylveon-3-pack-blister</t>
        </is>
      </c>
    </row>
    <row r="837">
      <c r="A837" s="2" t="inlineStr">
        <is>
          <t>Astral Radiance Toxel 1-Pack Blister</t>
        </is>
      </c>
      <c r="B837" s="3">
        <f>IF(I837&lt;&gt;"",I837,IF(J837&lt;&gt;"",J837,IF(K837&lt;&gt;"",K837,L837)))</f>
        <v>14.99</v>
      </c>
      <c r="C837" s="3">
        <f>MEDIAN(I837:L837)</f>
        <v>14.99</v>
      </c>
      <c r="D837" s="3">
        <f>ROUND(C837*(1-Settings!$B$2),2)</f>
        <v>10.49</v>
      </c>
      <c r="E837" s="3">
        <f>ROUND(C837*(1-Settings!$B$3),2)</f>
        <v>10.49</v>
      </c>
      <c r="F837" s="2" t="inlineStr">
        <is>
          <t>Pokemon</t>
        </is>
      </c>
      <c r="G837" s="2" t="inlineStr">
        <is>
          <t>Coffret</t>
        </is>
      </c>
      <c r="H837" s="2" t="inlineStr">
        <is>
          <t>Astral Radiance</t>
        </is>
      </c>
      <c r="I837" s="3" t="n">
        <v>14.99</v>
      </c>
      <c r="J837" s="3" t="n"/>
      <c r="K837" s="3" t="n"/>
      <c r="L837" s="3" t="n"/>
      <c r="M837" s="2" t="inlineStr">
        <is>
          <t>PriceCharting</t>
        </is>
      </c>
      <c r="N837" s="4" t="inlineStr">
        <is>
          <t>https://www.pricecharting.com/game/pokemon-astral-radiance/toxel-1-pack-blister</t>
        </is>
      </c>
    </row>
    <row r="838">
      <c r="A838" s="2" t="inlineStr">
        <is>
          <t>Battle Styles Blastoise VMAX Battle Box</t>
        </is>
      </c>
      <c r="B838" s="3">
        <f>IF(I838&lt;&gt;"",I838,IF(J838&lt;&gt;"",J838,IF(K838&lt;&gt;"",K838,L838)))</f>
        <v>99.99</v>
      </c>
      <c r="C838" s="3">
        <f>MEDIAN(I838:L838)</f>
        <v>99.99</v>
      </c>
      <c r="D838" s="3">
        <f>ROUND(C838*(1-Settings!$B$2),2)</f>
        <v>69.99</v>
      </c>
      <c r="E838" s="3">
        <f>ROUND(C838*(1-Settings!$B$3),2)</f>
        <v>69.99</v>
      </c>
      <c r="F838" s="2" t="inlineStr">
        <is>
          <t>Pokemon</t>
        </is>
      </c>
      <c r="G838" s="2" t="inlineStr">
        <is>
          <t>Coffret</t>
        </is>
      </c>
      <c r="H838" s="2" t="inlineStr">
        <is>
          <t>Battle Styles</t>
        </is>
      </c>
      <c r="I838" s="3" t="n">
        <v>99.98999999999999</v>
      </c>
      <c r="J838" s="3" t="n"/>
      <c r="K838" s="3" t="n"/>
      <c r="L838" s="3" t="n"/>
      <c r="M838" s="2" t="inlineStr">
        <is>
          <t>PriceCharting</t>
        </is>
      </c>
      <c r="N838" s="4" t="inlineStr">
        <is>
          <t>https://www.pricecharting.com/game/pokemon-battle-styles/blastoise-vmax-battle-box</t>
        </is>
      </c>
    </row>
    <row r="839">
      <c r="A839" s="2" t="inlineStr">
        <is>
          <t>Battle Styles Dragonite V Box</t>
        </is>
      </c>
      <c r="B839" s="3">
        <f>IF(I839&lt;&gt;"",I839,IF(J839&lt;&gt;"",J839,IF(K839&lt;&gt;"",K839,L839)))</f>
        <v>115.0</v>
      </c>
      <c r="C839" s="3">
        <f>MEDIAN(I839:L839)</f>
        <v>115.0</v>
      </c>
      <c r="D839" s="3">
        <f>ROUND(C839*(1-Settings!$B$2),2)</f>
        <v>80.5</v>
      </c>
      <c r="E839" s="3">
        <f>ROUND(C839*(1-Settings!$B$3),2)</f>
        <v>80.5</v>
      </c>
      <c r="F839" s="2" t="inlineStr">
        <is>
          <t>Pokemon</t>
        </is>
      </c>
      <c r="G839" s="2" t="inlineStr">
        <is>
          <t>Coffret</t>
        </is>
      </c>
      <c r="H839" s="2" t="inlineStr">
        <is>
          <t>Battle Styles</t>
        </is>
      </c>
      <c r="I839" s="3" t="n">
        <v>115</v>
      </c>
      <c r="J839" s="3" t="n"/>
      <c r="K839" s="3" t="n"/>
      <c r="L839" s="3" t="n"/>
      <c r="M839" s="2" t="inlineStr">
        <is>
          <t>PriceCharting</t>
        </is>
      </c>
      <c r="N839" s="4" t="inlineStr">
        <is>
          <t>https://www.pricecharting.com/game/pokemon-battle-styles/dragonite-v-box</t>
        </is>
      </c>
    </row>
    <row r="840">
      <c r="A840" s="2" t="inlineStr">
        <is>
          <t>Battle Styles Eevee 3-Pack Blister</t>
        </is>
      </c>
      <c r="B840" s="3">
        <f>IF(I840&lt;&gt;"",I840,IF(J840&lt;&gt;"",J840,IF(K840&lt;&gt;"",K840,L840)))</f>
        <v>30.6</v>
      </c>
      <c r="C840" s="3">
        <f>MEDIAN(I840:L840)</f>
        <v>30.6</v>
      </c>
      <c r="D840" s="3">
        <f>ROUND(C840*(1-Settings!$B$2),2)</f>
        <v>21.42</v>
      </c>
      <c r="E840" s="3">
        <f>ROUND(C840*(1-Settings!$B$3),2)</f>
        <v>21.42</v>
      </c>
      <c r="F840" s="2" t="inlineStr">
        <is>
          <t>Pokemon</t>
        </is>
      </c>
      <c r="G840" s="2" t="inlineStr">
        <is>
          <t>Coffret</t>
        </is>
      </c>
      <c r="H840" s="2" t="inlineStr">
        <is>
          <t>Battle Styles</t>
        </is>
      </c>
      <c r="I840" s="3" t="n">
        <v>30.6</v>
      </c>
      <c r="J840" s="3" t="n"/>
      <c r="K840" s="3" t="n"/>
      <c r="L840" s="3" t="n"/>
      <c r="M840" s="2" t="inlineStr">
        <is>
          <t>PriceCharting</t>
        </is>
      </c>
      <c r="N840" s="4" t="inlineStr">
        <is>
          <t>https://www.pricecharting.com/game/pokemon-battle-styles/eevee-3-pack-blister</t>
        </is>
      </c>
    </row>
    <row r="841">
      <c r="A841" s="2" t="inlineStr">
        <is>
          <t>Battle Styles Elite Trainer Box [Rapid Strike Urshifu]</t>
        </is>
      </c>
      <c r="B841" s="3">
        <f>IF(I841&lt;&gt;"",I841,IF(J841&lt;&gt;"",J841,IF(K841&lt;&gt;"",K841,L841)))</f>
        <v>105.44</v>
      </c>
      <c r="C841" s="3">
        <f>MEDIAN(I841:L841)</f>
        <v>105.44</v>
      </c>
      <c r="D841" s="3">
        <f>ROUND(C841*(1-Settings!$B$2),2)</f>
        <v>73.81</v>
      </c>
      <c r="E841" s="3">
        <f>ROUND(C841*(1-Settings!$B$3),2)</f>
        <v>73.81</v>
      </c>
      <c r="F841" s="2" t="inlineStr">
        <is>
          <t>Pokemon</t>
        </is>
      </c>
      <c r="G841" s="2" t="inlineStr">
        <is>
          <t>Coffret</t>
        </is>
      </c>
      <c r="H841" s="2" t="inlineStr">
        <is>
          <t>Battle Styles</t>
        </is>
      </c>
      <c r="I841" s="3" t="n">
        <v>105.44</v>
      </c>
      <c r="J841" s="3" t="n"/>
      <c r="K841" s="3" t="n"/>
      <c r="L841" s="3" t="n"/>
      <c r="M841" s="2" t="inlineStr">
        <is>
          <t>PriceCharting</t>
        </is>
      </c>
      <c r="N841" s="4" t="inlineStr">
        <is>
          <t>https://www.pricecharting.com/game/pokemon-battle-styles/elite-trainer-box-rapid-strike-urshifu</t>
        </is>
      </c>
    </row>
    <row r="842">
      <c r="A842" s="2" t="inlineStr">
        <is>
          <t>Battle Styles Elite Trainer Box [Single Strike Urshifu]</t>
        </is>
      </c>
      <c r="B842" s="3">
        <f>IF(I842&lt;&gt;"",I842,IF(J842&lt;&gt;"",J842,IF(K842&lt;&gt;"",K842,L842)))</f>
        <v>115.0</v>
      </c>
      <c r="C842" s="3">
        <f>MEDIAN(I842:L842)</f>
        <v>115.0</v>
      </c>
      <c r="D842" s="3">
        <f>ROUND(C842*(1-Settings!$B$2),2)</f>
        <v>80.5</v>
      </c>
      <c r="E842" s="3">
        <f>ROUND(C842*(1-Settings!$B$3),2)</f>
        <v>80.5</v>
      </c>
      <c r="F842" s="2" t="inlineStr">
        <is>
          <t>Pokemon</t>
        </is>
      </c>
      <c r="G842" s="2" t="inlineStr">
        <is>
          <t>Coffret</t>
        </is>
      </c>
      <c r="H842" s="2" t="inlineStr">
        <is>
          <t>Battle Styles</t>
        </is>
      </c>
      <c r="I842" s="3" t="n">
        <v>115</v>
      </c>
      <c r="J842" s="3" t="n"/>
      <c r="K842" s="3" t="n"/>
      <c r="L842" s="3" t="n"/>
      <c r="M842" s="2" t="inlineStr">
        <is>
          <t>PriceCharting</t>
        </is>
      </c>
      <c r="N842" s="4" t="inlineStr">
        <is>
          <t>https://www.pricecharting.com/game/pokemon-battle-styles/elite-trainer-box-single-strike-urshifu</t>
        </is>
      </c>
    </row>
    <row r="843">
      <c r="A843" s="2" t="inlineStr">
        <is>
          <t>Battle Styles Jolteon 3-Pack Blister</t>
        </is>
      </c>
      <c r="B843" s="3">
        <f>IF(I843&lt;&gt;"",I843,IF(J843&lt;&gt;"",J843,IF(K843&lt;&gt;"",K843,L843)))</f>
        <v>37.95</v>
      </c>
      <c r="C843" s="3">
        <f>MEDIAN(I843:L843)</f>
        <v>37.95</v>
      </c>
      <c r="D843" s="3">
        <f>ROUND(C843*(1-Settings!$B$2),2)</f>
        <v>26.57</v>
      </c>
      <c r="E843" s="3">
        <f>ROUND(C843*(1-Settings!$B$3),2)</f>
        <v>26.57</v>
      </c>
      <c r="F843" s="2" t="inlineStr">
        <is>
          <t>Pokemon</t>
        </is>
      </c>
      <c r="G843" s="2" t="inlineStr">
        <is>
          <t>Coffret</t>
        </is>
      </c>
      <c r="H843" s="2" t="inlineStr">
        <is>
          <t>Battle Styles</t>
        </is>
      </c>
      <c r="I843" s="3" t="n">
        <v>37.95</v>
      </c>
      <c r="J843" s="3" t="n"/>
      <c r="K843" s="3" t="n"/>
      <c r="L843" s="3" t="n"/>
      <c r="M843" s="2" t="inlineStr">
        <is>
          <t>PriceCharting</t>
        </is>
      </c>
      <c r="N843" s="4" t="inlineStr">
        <is>
          <t>https://www.pricecharting.com/game/pokemon-battle-styles/jolteon-3-pack-blister</t>
        </is>
      </c>
    </row>
    <row r="844">
      <c r="A844" s="2" t="inlineStr">
        <is>
          <t>Battle Styles Spring 2021 Collector Chest</t>
        </is>
      </c>
      <c r="B844" s="3">
        <f>IF(I844&lt;&gt;"",I844,IF(J844&lt;&gt;"",J844,IF(K844&lt;&gt;"",K844,L844)))</f>
        <v>52.81</v>
      </c>
      <c r="C844" s="3">
        <f>MEDIAN(I844:L844)</f>
        <v>52.81</v>
      </c>
      <c r="D844" s="3">
        <f>ROUND(C844*(1-Settings!$B$2),2)</f>
        <v>36.97</v>
      </c>
      <c r="E844" s="3">
        <f>ROUND(C844*(1-Settings!$B$3),2)</f>
        <v>36.97</v>
      </c>
      <c r="F844" s="2" t="inlineStr">
        <is>
          <t>Pokemon</t>
        </is>
      </c>
      <c r="G844" s="2" t="inlineStr">
        <is>
          <t>Coffret</t>
        </is>
      </c>
      <c r="H844" s="2" t="inlineStr">
        <is>
          <t>Battle Styles</t>
        </is>
      </c>
      <c r="I844" s="3" t="n">
        <v>52.81</v>
      </c>
      <c r="J844" s="3" t="n"/>
      <c r="K844" s="3" t="n"/>
      <c r="L844" s="3" t="n"/>
      <c r="M844" s="2" t="inlineStr">
        <is>
          <t>PriceCharting</t>
        </is>
      </c>
      <c r="N844" s="4" t="inlineStr">
        <is>
          <t>https://www.pricecharting.com/game/pokemon-battle-styles/spring-2021-collector-chest</t>
        </is>
      </c>
    </row>
    <row r="845">
      <c r="A845" s="2" t="inlineStr">
        <is>
          <t>Battle Styles V Powers Tin: Eevee V</t>
        </is>
      </c>
      <c r="B845" s="3">
        <f>IF(I845&lt;&gt;"",I845,IF(J845&lt;&gt;"",J845,IF(K845&lt;&gt;"",K845,L845)))</f>
        <v>75.0</v>
      </c>
      <c r="C845" s="3">
        <f>MEDIAN(I845:L845)</f>
        <v>75.0</v>
      </c>
      <c r="D845" s="3">
        <f>ROUND(C845*(1-Settings!$B$2),2)</f>
        <v>52.5</v>
      </c>
      <c r="E845" s="3">
        <f>ROUND(C845*(1-Settings!$B$3),2)</f>
        <v>52.5</v>
      </c>
      <c r="F845" s="2" t="inlineStr">
        <is>
          <t>Pokemon</t>
        </is>
      </c>
      <c r="G845" s="2" t="inlineStr">
        <is>
          <t>Coffret</t>
        </is>
      </c>
      <c r="H845" s="2" t="inlineStr">
        <is>
          <t>Battle Styles</t>
        </is>
      </c>
      <c r="I845" s="3" t="n">
        <v>75</v>
      </c>
      <c r="J845" s="3" t="n"/>
      <c r="K845" s="3" t="n"/>
      <c r="L845" s="3" t="n"/>
      <c r="M845" s="2" t="inlineStr">
        <is>
          <t>PriceCharting</t>
        </is>
      </c>
      <c r="N845" s="4" t="inlineStr">
        <is>
          <t>https://www.pricecharting.com/game/pokemon-battle-styles/v-powers-tin-eevee-v</t>
        </is>
      </c>
    </row>
    <row r="846">
      <c r="A846" s="2" t="inlineStr">
        <is>
          <t>Battle Styles V Powers Tin: Eternatus V</t>
        </is>
      </c>
      <c r="B846" s="3">
        <f>IF(I846&lt;&gt;"",I846,IF(J846&lt;&gt;"",J846,IF(K846&lt;&gt;"",K846,L846)))</f>
        <v>68.0</v>
      </c>
      <c r="C846" s="3">
        <f>MEDIAN(I846:L846)</f>
        <v>68.0</v>
      </c>
      <c r="D846" s="3">
        <f>ROUND(C846*(1-Settings!$B$2),2)</f>
        <v>47.6</v>
      </c>
      <c r="E846" s="3">
        <f>ROUND(C846*(1-Settings!$B$3),2)</f>
        <v>47.6</v>
      </c>
      <c r="F846" s="2" t="inlineStr">
        <is>
          <t>Pokemon</t>
        </is>
      </c>
      <c r="G846" s="2" t="inlineStr">
        <is>
          <t>Coffret</t>
        </is>
      </c>
      <c r="H846" s="2" t="inlineStr">
        <is>
          <t>Battle Styles</t>
        </is>
      </c>
      <c r="I846" s="3" t="n">
        <v>68</v>
      </c>
      <c r="J846" s="3" t="n"/>
      <c r="K846" s="3" t="n"/>
      <c r="L846" s="3" t="n"/>
      <c r="M846" s="2" t="inlineStr">
        <is>
          <t>PriceCharting</t>
        </is>
      </c>
      <c r="N846" s="4" t="inlineStr">
        <is>
          <t>https://www.pricecharting.com/game/pokemon-battle-styles/v-powers-tin-eternatus-v</t>
        </is>
      </c>
    </row>
    <row r="847">
      <c r="A847" s="2" t="inlineStr">
        <is>
          <t>Battle Styles V Powers Tin: Eternatus V [International]</t>
        </is>
      </c>
      <c r="B847" s="3">
        <f>IF(I847&lt;&gt;"",I847,IF(J847&lt;&gt;"",J847,IF(K847&lt;&gt;"",K847,L847)))</f>
        <v>37.82</v>
      </c>
      <c r="C847" s="3">
        <f>MEDIAN(I847:L847)</f>
        <v>37.82</v>
      </c>
      <c r="D847" s="3">
        <f>ROUND(C847*(1-Settings!$B$2),2)</f>
        <v>26.47</v>
      </c>
      <c r="E847" s="3">
        <f>ROUND(C847*(1-Settings!$B$3),2)</f>
        <v>26.47</v>
      </c>
      <c r="F847" s="2" t="inlineStr">
        <is>
          <t>Pokemon</t>
        </is>
      </c>
      <c r="G847" s="2" t="inlineStr">
        <is>
          <t>Coffret</t>
        </is>
      </c>
      <c r="H847" s="2" t="inlineStr">
        <is>
          <t>Battle Styles</t>
        </is>
      </c>
      <c r="I847" s="3" t="n">
        <v>37.82</v>
      </c>
      <c r="J847" s="3" t="n"/>
      <c r="K847" s="3" t="n"/>
      <c r="L847" s="3" t="n"/>
      <c r="M847" s="2" t="inlineStr">
        <is>
          <t>PriceCharting</t>
        </is>
      </c>
      <c r="N847" s="4" t="inlineStr">
        <is>
          <t>https://www.pricecharting.com/game/pokemon-battle-styles/v-powers-tin-eternatus-v-international</t>
        </is>
      </c>
    </row>
    <row r="848">
      <c r="A848" s="2" t="inlineStr">
        <is>
          <t>Battle Styles V Powers Tin: Pikachu V</t>
        </is>
      </c>
      <c r="B848" s="3">
        <f>IF(I848&lt;&gt;"",I848,IF(J848&lt;&gt;"",J848,IF(K848&lt;&gt;"",K848,L848)))</f>
        <v>31.0</v>
      </c>
      <c r="C848" s="3">
        <f>MEDIAN(I848:L848)</f>
        <v>31.0</v>
      </c>
      <c r="D848" s="3">
        <f>ROUND(C848*(1-Settings!$B$2),2)</f>
        <v>21.7</v>
      </c>
      <c r="E848" s="3">
        <f>ROUND(C848*(1-Settings!$B$3),2)</f>
        <v>21.7</v>
      </c>
      <c r="F848" s="2" t="inlineStr">
        <is>
          <t>Pokemon</t>
        </is>
      </c>
      <c r="G848" s="2" t="inlineStr">
        <is>
          <t>Coffret</t>
        </is>
      </c>
      <c r="H848" s="2" t="inlineStr">
        <is>
          <t>Battle Styles</t>
        </is>
      </c>
      <c r="I848" s="3" t="n">
        <v>31</v>
      </c>
      <c r="J848" s="3" t="n"/>
      <c r="K848" s="3" t="n"/>
      <c r="L848" s="3" t="n"/>
      <c r="M848" s="2" t="inlineStr">
        <is>
          <t>PriceCharting</t>
        </is>
      </c>
      <c r="N848" s="4" t="inlineStr">
        <is>
          <t>https://www.pricecharting.com/game/pokemon-battle-styles/v-powers-tin-pikachu-v</t>
        </is>
      </c>
    </row>
    <row r="849">
      <c r="A849" s="2" t="inlineStr">
        <is>
          <t>Battle Styles V Strikers Tin - Empoleon</t>
        </is>
      </c>
      <c r="B849" s="3">
        <f>IF(I849&lt;&gt;"",I849,IF(J849&lt;&gt;"",J849,IF(K849&lt;&gt;"",K849,L849)))</f>
        <v>87.99</v>
      </c>
      <c r="C849" s="3">
        <f>MEDIAN(I849:L849)</f>
        <v>87.99</v>
      </c>
      <c r="D849" s="3">
        <f>ROUND(C849*(1-Settings!$B$2),2)</f>
        <v>61.59</v>
      </c>
      <c r="E849" s="3">
        <f>ROUND(C849*(1-Settings!$B$3),2)</f>
        <v>61.59</v>
      </c>
      <c r="F849" s="2" t="inlineStr">
        <is>
          <t>Pokemon</t>
        </is>
      </c>
      <c r="G849" s="2" t="inlineStr">
        <is>
          <t>Coffret</t>
        </is>
      </c>
      <c r="H849" s="2" t="inlineStr">
        <is>
          <t>Battle Styles</t>
        </is>
      </c>
      <c r="I849" s="3" t="n">
        <v>87.98999999999999</v>
      </c>
      <c r="J849" s="3" t="n"/>
      <c r="K849" s="3" t="n"/>
      <c r="L849" s="3" t="n"/>
      <c r="M849" s="2" t="inlineStr">
        <is>
          <t>PriceCharting</t>
        </is>
      </c>
      <c r="N849" s="4" t="inlineStr">
        <is>
          <t>https://www.pricecharting.com/game/pokemon-battle-styles/v-strikers-tin-empoleon</t>
        </is>
      </c>
    </row>
    <row r="850">
      <c r="A850" s="2" t="inlineStr">
        <is>
          <t>Battle Styles V Strikers Tin - Empoleon [International]</t>
        </is>
      </c>
      <c r="B850" s="3">
        <f>IF(I850&lt;&gt;"",I850,IF(J850&lt;&gt;"",J850,IF(K850&lt;&gt;"",K850,L850)))</f>
        <v>75.16</v>
      </c>
      <c r="C850" s="3">
        <f>MEDIAN(I850:L850)</f>
        <v>75.16</v>
      </c>
      <c r="D850" s="3">
        <f>ROUND(C850*(1-Settings!$B$2),2)</f>
        <v>52.61</v>
      </c>
      <c r="E850" s="3">
        <f>ROUND(C850*(1-Settings!$B$3),2)</f>
        <v>52.61</v>
      </c>
      <c r="F850" s="2" t="inlineStr">
        <is>
          <t>Pokemon</t>
        </is>
      </c>
      <c r="G850" s="2" t="inlineStr">
        <is>
          <t>Coffret</t>
        </is>
      </c>
      <c r="H850" s="2" t="inlineStr">
        <is>
          <t>Battle Styles</t>
        </is>
      </c>
      <c r="I850" s="3" t="n">
        <v>75.16</v>
      </c>
      <c r="J850" s="3" t="n"/>
      <c r="K850" s="3" t="n"/>
      <c r="L850" s="3" t="n"/>
      <c r="M850" s="2" t="inlineStr">
        <is>
          <t>PriceCharting</t>
        </is>
      </c>
      <c r="N850" s="4" t="inlineStr">
        <is>
          <t>https://www.pricecharting.com/game/pokemon-battle-styles/v-strikers-tin-empoleon-international</t>
        </is>
      </c>
    </row>
    <row r="851">
      <c r="A851" s="2" t="inlineStr">
        <is>
          <t>Battle Styles V Strikers Tin - Tyranitar</t>
        </is>
      </c>
      <c r="B851" s="3">
        <f>IF(I851&lt;&gt;"",I851,IF(J851&lt;&gt;"",J851,IF(K851&lt;&gt;"",K851,L851)))</f>
        <v>99.99</v>
      </c>
      <c r="C851" s="3">
        <f>MEDIAN(I851:L851)</f>
        <v>99.99</v>
      </c>
      <c r="D851" s="3">
        <f>ROUND(C851*(1-Settings!$B$2),2)</f>
        <v>69.99</v>
      </c>
      <c r="E851" s="3">
        <f>ROUND(C851*(1-Settings!$B$3),2)</f>
        <v>69.99</v>
      </c>
      <c r="F851" s="2" t="inlineStr">
        <is>
          <t>Pokemon</t>
        </is>
      </c>
      <c r="G851" s="2" t="inlineStr">
        <is>
          <t>Coffret</t>
        </is>
      </c>
      <c r="H851" s="2" t="inlineStr">
        <is>
          <t>Battle Styles</t>
        </is>
      </c>
      <c r="I851" s="3" t="n">
        <v>99.98999999999999</v>
      </c>
      <c r="J851" s="3" t="n"/>
      <c r="K851" s="3" t="n"/>
      <c r="L851" s="3" t="n"/>
      <c r="M851" s="2" t="inlineStr">
        <is>
          <t>PriceCharting</t>
        </is>
      </c>
      <c r="N851" s="4" t="inlineStr">
        <is>
          <t>https://www.pricecharting.com/game/pokemon-battle-styles/v-strikers-tin-tyranitar</t>
        </is>
      </c>
    </row>
    <row r="852">
      <c r="A852" s="2" t="inlineStr">
        <is>
          <t>Battle Styles V Strikers Tin - Tyranitar [International]</t>
        </is>
      </c>
      <c r="B852" s="3">
        <f>IF(I852&lt;&gt;"",I852,IF(J852&lt;&gt;"",J852,IF(K852&lt;&gt;"",K852,L852)))</f>
        <v>56.14</v>
      </c>
      <c r="C852" s="3">
        <f>MEDIAN(I852:L852)</f>
        <v>56.14</v>
      </c>
      <c r="D852" s="3">
        <f>ROUND(C852*(1-Settings!$B$2),2)</f>
        <v>39.3</v>
      </c>
      <c r="E852" s="3">
        <f>ROUND(C852*(1-Settings!$B$3),2)</f>
        <v>39.3</v>
      </c>
      <c r="F852" s="2" t="inlineStr">
        <is>
          <t>Pokemon</t>
        </is>
      </c>
      <c r="G852" s="2" t="inlineStr">
        <is>
          <t>Coffret</t>
        </is>
      </c>
      <c r="H852" s="2" t="inlineStr">
        <is>
          <t>Battle Styles</t>
        </is>
      </c>
      <c r="I852" s="3" t="n">
        <v>56.14</v>
      </c>
      <c r="J852" s="3" t="n"/>
      <c r="K852" s="3" t="n"/>
      <c r="L852" s="3" t="n"/>
      <c r="M852" s="2" t="inlineStr">
        <is>
          <t>PriceCharting</t>
        </is>
      </c>
      <c r="N852" s="4" t="inlineStr">
        <is>
          <t>https://www.pricecharting.com/game/pokemon-battle-styles/v-strikers-tin-tyranitar-international</t>
        </is>
      </c>
    </row>
    <row r="853">
      <c r="A853" s="2" t="inlineStr">
        <is>
          <t>Battle Styles Venusaur VMAX Battle Box</t>
        </is>
      </c>
      <c r="B853" s="3">
        <f>IF(I853&lt;&gt;"",I853,IF(J853&lt;&gt;"",J853,IF(K853&lt;&gt;"",K853,L853)))</f>
        <v>88.69</v>
      </c>
      <c r="C853" s="3">
        <f>MEDIAN(I853:L853)</f>
        <v>88.69</v>
      </c>
      <c r="D853" s="3">
        <f>ROUND(C853*(1-Settings!$B$2),2)</f>
        <v>62.08</v>
      </c>
      <c r="E853" s="3">
        <f>ROUND(C853*(1-Settings!$B$3),2)</f>
        <v>62.08</v>
      </c>
      <c r="F853" s="2" t="inlineStr">
        <is>
          <t>Pokemon</t>
        </is>
      </c>
      <c r="G853" s="2" t="inlineStr">
        <is>
          <t>Coffret</t>
        </is>
      </c>
      <c r="H853" s="2" t="inlineStr">
        <is>
          <t>Battle Styles</t>
        </is>
      </c>
      <c r="I853" s="3" t="n">
        <v>88.69</v>
      </c>
      <c r="J853" s="3" t="n"/>
      <c r="K853" s="3" t="n"/>
      <c r="L853" s="3" t="n"/>
      <c r="M853" s="2" t="inlineStr">
        <is>
          <t>PriceCharting</t>
        </is>
      </c>
      <c r="N853" s="4" t="inlineStr">
        <is>
          <t>https://www.pricecharting.com/game/pokemon-battle-styles/venusaur-vmax-battle-box</t>
        </is>
      </c>
    </row>
    <row r="854">
      <c r="A854" s="2" t="inlineStr">
        <is>
          <t>Black Bolt Elite Trainer Box [Pokemon Center]</t>
        </is>
      </c>
      <c r="B854" s="3">
        <f>IF(I854&lt;&gt;"",I854,IF(J854&lt;&gt;"",J854,IF(K854&lt;&gt;"",K854,L854)))</f>
        <v>263.0</v>
      </c>
      <c r="C854" s="3">
        <f>MEDIAN(I854:L854)</f>
        <v>263.0</v>
      </c>
      <c r="D854" s="3">
        <f>ROUND(C854*(1-Settings!$B$2),2)</f>
        <v>184.1</v>
      </c>
      <c r="E854" s="3">
        <f>ROUND(C854*(1-Settings!$B$3),2)</f>
        <v>184.1</v>
      </c>
      <c r="F854" s="2" t="inlineStr">
        <is>
          <t>Pokemon</t>
        </is>
      </c>
      <c r="G854" s="2" t="inlineStr">
        <is>
          <t>Coffret</t>
        </is>
      </c>
      <c r="H854" s="2" t="inlineStr">
        <is>
          <t>Black Bolt</t>
        </is>
      </c>
      <c r="I854" s="3" t="n">
        <v>263</v>
      </c>
      <c r="J854" s="3" t="n"/>
      <c r="K854" s="3" t="n"/>
      <c r="L854" s="3" t="n"/>
      <c r="M854" s="2" t="inlineStr">
        <is>
          <t>PriceCharting</t>
        </is>
      </c>
      <c r="N854" s="4" t="inlineStr">
        <is>
          <t>https://www.pricecharting.com/game/pokemon-black-bolt/elite-trainer-box-pokemon-center</t>
        </is>
      </c>
    </row>
    <row r="855">
      <c r="A855" s="2" t="inlineStr">
        <is>
          <t>Breakpoint Elite Trainer Box</t>
        </is>
      </c>
      <c r="B855" s="3">
        <f>IF(I855&lt;&gt;"",I855,IF(J855&lt;&gt;"",J855,IF(K855&lt;&gt;"",K855,L855)))</f>
        <v>736.95</v>
      </c>
      <c r="C855" s="3">
        <f>MEDIAN(I855:L855)</f>
        <v>736.95</v>
      </c>
      <c r="D855" s="3">
        <f>ROUND(C855*(1-Settings!$B$2),2)</f>
        <v>515.87</v>
      </c>
      <c r="E855" s="3">
        <f>ROUND(C855*(1-Settings!$B$3),2)</f>
        <v>515.87</v>
      </c>
      <c r="F855" s="2" t="inlineStr">
        <is>
          <t>Pokemon</t>
        </is>
      </c>
      <c r="G855" s="2" t="inlineStr">
        <is>
          <t>Coffret</t>
        </is>
      </c>
      <c r="H855" s="2" t="inlineStr">
        <is>
          <t>Breakpoint</t>
        </is>
      </c>
      <c r="I855" s="3" t="n">
        <v>736.95</v>
      </c>
      <c r="J855" s="3" t="n"/>
      <c r="K855" s="3" t="n"/>
      <c r="L855" s="3" t="n"/>
      <c r="M855" s="2" t="inlineStr">
        <is>
          <t>PriceCharting</t>
        </is>
      </c>
      <c r="N855" s="4" t="inlineStr">
        <is>
          <t>https://www.pricecharting.com/game/pokemon-breakpoint/elite-trainer-box</t>
        </is>
      </c>
    </row>
    <row r="856">
      <c r="A856" s="2" t="inlineStr">
        <is>
          <t>Breakpoint Triple Power Tin: Gyarados</t>
        </is>
      </c>
      <c r="B856" s="3">
        <f>IF(I856&lt;&gt;"",I856,IF(J856&lt;&gt;"",J856,IF(K856&lt;&gt;"",K856,L856)))</f>
        <v>397.97</v>
      </c>
      <c r="C856" s="3">
        <f>MEDIAN(I856:L856)</f>
        <v>397.97</v>
      </c>
      <c r="D856" s="3">
        <f>ROUND(C856*(1-Settings!$B$2),2)</f>
        <v>278.58</v>
      </c>
      <c r="E856" s="3">
        <f>ROUND(C856*(1-Settings!$B$3),2)</f>
        <v>278.58</v>
      </c>
      <c r="F856" s="2" t="inlineStr">
        <is>
          <t>Pokemon</t>
        </is>
      </c>
      <c r="G856" s="2" t="inlineStr">
        <is>
          <t>Coffret</t>
        </is>
      </c>
      <c r="H856" s="2" t="inlineStr">
        <is>
          <t>Breakpoint</t>
        </is>
      </c>
      <c r="I856" s="3" t="n">
        <v>397.97</v>
      </c>
      <c r="J856" s="3" t="n"/>
      <c r="K856" s="3" t="n"/>
      <c r="L856" s="3" t="n"/>
      <c r="M856" s="2" t="inlineStr">
        <is>
          <t>PriceCharting</t>
        </is>
      </c>
      <c r="N856" s="4" t="inlineStr">
        <is>
          <t>https://www.pricecharting.com/game/pokemon-breakpoint/triple-power-tin-gyarados</t>
        </is>
      </c>
    </row>
    <row r="857">
      <c r="A857" s="2" t="inlineStr">
        <is>
          <t>Breakpoint Triple Power Tin: Mewtwo</t>
        </is>
      </c>
      <c r="B857" s="3">
        <f>IF(I857&lt;&gt;"",I857,IF(J857&lt;&gt;"",J857,IF(K857&lt;&gt;"",K857,L857)))</f>
        <v>145.0</v>
      </c>
      <c r="C857" s="3">
        <f>MEDIAN(I857:L857)</f>
        <v>145.0</v>
      </c>
      <c r="D857" s="3">
        <f>ROUND(C857*(1-Settings!$B$2),2)</f>
        <v>101.5</v>
      </c>
      <c r="E857" s="3">
        <f>ROUND(C857*(1-Settings!$B$3),2)</f>
        <v>101.5</v>
      </c>
      <c r="F857" s="2" t="inlineStr">
        <is>
          <t>Pokemon</t>
        </is>
      </c>
      <c r="G857" s="2" t="inlineStr">
        <is>
          <t>Coffret</t>
        </is>
      </c>
      <c r="H857" s="2" t="inlineStr">
        <is>
          <t>Breakpoint</t>
        </is>
      </c>
      <c r="I857" s="3" t="n">
        <v>145</v>
      </c>
      <c r="J857" s="3" t="n"/>
      <c r="K857" s="3" t="n"/>
      <c r="L857" s="3" t="n"/>
      <c r="M857" s="2" t="inlineStr">
        <is>
          <t>PriceCharting</t>
        </is>
      </c>
      <c r="N857" s="4" t="inlineStr">
        <is>
          <t>https://www.pricecharting.com/game/pokemon-breakpoint/triple-power-tin-mewtwo</t>
        </is>
      </c>
    </row>
    <row r="858">
      <c r="A858" s="2" t="inlineStr">
        <is>
          <t>Breakpoint Triple Powers Tin: Machamp</t>
        </is>
      </c>
      <c r="B858" s="3">
        <f>IF(I858&lt;&gt;"",I858,IF(J858&lt;&gt;"",J858,IF(K858&lt;&gt;"",K858,L858)))</f>
        <v>250.0</v>
      </c>
      <c r="C858" s="3">
        <f>MEDIAN(I858:L858)</f>
        <v>250.0</v>
      </c>
      <c r="D858" s="3">
        <f>ROUND(C858*(1-Settings!$B$2),2)</f>
        <v>175.0</v>
      </c>
      <c r="E858" s="3">
        <f>ROUND(C858*(1-Settings!$B$3),2)</f>
        <v>175.0</v>
      </c>
      <c r="F858" s="2" t="inlineStr">
        <is>
          <t>Pokemon</t>
        </is>
      </c>
      <c r="G858" s="2" t="inlineStr">
        <is>
          <t>Coffret</t>
        </is>
      </c>
      <c r="H858" s="2" t="inlineStr">
        <is>
          <t>Breakpoint</t>
        </is>
      </c>
      <c r="I858" s="3" t="n">
        <v>250</v>
      </c>
      <c r="J858" s="3" t="n"/>
      <c r="K858" s="3" t="n"/>
      <c r="L858" s="3" t="n"/>
      <c r="M858" s="2" t="inlineStr">
        <is>
          <t>PriceCharting</t>
        </is>
      </c>
      <c r="N858" s="4" t="inlineStr">
        <is>
          <t>https://www.pricecharting.com/game/pokemon-breakpoint/triple-powers-tin-machamp</t>
        </is>
      </c>
    </row>
    <row r="859">
      <c r="A859" s="2" t="inlineStr">
        <is>
          <t>Brilliant Stars Arceus Spring 2022 Collector's Chest</t>
        </is>
      </c>
      <c r="B859" s="3">
        <f>IF(I859&lt;&gt;"",I859,IF(J859&lt;&gt;"",J859,IF(K859&lt;&gt;"",K859,L859)))</f>
        <v>84.93</v>
      </c>
      <c r="C859" s="3">
        <f>MEDIAN(I859:L859)</f>
        <v>84.93</v>
      </c>
      <c r="D859" s="3">
        <f>ROUND(C859*(1-Settings!$B$2),2)</f>
        <v>59.45</v>
      </c>
      <c r="E859" s="3">
        <f>ROUND(C859*(1-Settings!$B$3),2)</f>
        <v>59.45</v>
      </c>
      <c r="F859" s="2" t="inlineStr">
        <is>
          <t>Pokemon</t>
        </is>
      </c>
      <c r="G859" s="2" t="inlineStr">
        <is>
          <t>Coffret</t>
        </is>
      </c>
      <c r="H859" s="2" t="inlineStr">
        <is>
          <t>Brilliant Stars</t>
        </is>
      </c>
      <c r="I859" s="3" t="n">
        <v>84.93000000000001</v>
      </c>
      <c r="J859" s="3" t="n"/>
      <c r="K859" s="3" t="n"/>
      <c r="L859" s="3" t="n"/>
      <c r="M859" s="2" t="inlineStr">
        <is>
          <t>PriceCharting</t>
        </is>
      </c>
      <c r="N859" s="4" t="inlineStr">
        <is>
          <t>https://www.pricecharting.com/game/pokemon-brilliant-stars/arceus-spring-2022-collector's-chest</t>
        </is>
      </c>
    </row>
    <row r="860">
      <c r="A860" s="2" t="inlineStr">
        <is>
          <t>Brilliant Stars Arceus VSTAR Premium Collection</t>
        </is>
      </c>
      <c r="B860" s="3">
        <f>IF(I860&lt;&gt;"",I860,IF(J860&lt;&gt;"",J860,IF(K860&lt;&gt;"",K860,L860)))</f>
        <v>271.73</v>
      </c>
      <c r="C860" s="3">
        <f>MEDIAN(I860:L860)</f>
        <v>271.73</v>
      </c>
      <c r="D860" s="3">
        <f>ROUND(C860*(1-Settings!$B$2),2)</f>
        <v>190.21</v>
      </c>
      <c r="E860" s="3">
        <f>ROUND(C860*(1-Settings!$B$3),2)</f>
        <v>190.21</v>
      </c>
      <c r="F860" s="2" t="inlineStr">
        <is>
          <t>Pokemon</t>
        </is>
      </c>
      <c r="G860" s="2" t="inlineStr">
        <is>
          <t>Coffret</t>
        </is>
      </c>
      <c r="H860" s="2" t="inlineStr">
        <is>
          <t>Brilliant Stars</t>
        </is>
      </c>
      <c r="I860" s="3" t="n">
        <v>271.73</v>
      </c>
      <c r="J860" s="3" t="n"/>
      <c r="K860" s="3" t="n"/>
      <c r="L860" s="3" t="n"/>
      <c r="M860" s="2" t="inlineStr">
        <is>
          <t>PriceCharting</t>
        </is>
      </c>
      <c r="N860" s="4" t="inlineStr">
        <is>
          <t>https://www.pricecharting.com/game/pokemon-brilliant-stars/arceus-vstar-premium-collection</t>
        </is>
      </c>
    </row>
    <row r="861">
      <c r="A861" s="2" t="inlineStr">
        <is>
          <t>Brilliant Stars Arceus VSTAR Ultra Premium Collection Box</t>
        </is>
      </c>
      <c r="B861" s="3">
        <f>IF(I861&lt;&gt;"",I861,IF(J861&lt;&gt;"",J861,IF(K861&lt;&gt;"",K861,L861)))</f>
        <v>369.0</v>
      </c>
      <c r="C861" s="3">
        <f>MEDIAN(I861:L861)</f>
        <v>369.0</v>
      </c>
      <c r="D861" s="3">
        <f>ROUND(C861*(1-Settings!$B$2),2)</f>
        <v>258.3</v>
      </c>
      <c r="E861" s="3">
        <f>ROUND(C861*(1-Settings!$B$3),2)</f>
        <v>258.3</v>
      </c>
      <c r="F861" s="2" t="inlineStr">
        <is>
          <t>Pokemon</t>
        </is>
      </c>
      <c r="G861" s="2" t="inlineStr">
        <is>
          <t>Coffret</t>
        </is>
      </c>
      <c r="H861" s="2" t="inlineStr">
        <is>
          <t>Brilliant Stars</t>
        </is>
      </c>
      <c r="I861" s="3" t="n">
        <v>369</v>
      </c>
      <c r="J861" s="3" t="n"/>
      <c r="K861" s="3" t="n"/>
      <c r="L861" s="3" t="n"/>
      <c r="M861" s="2" t="inlineStr">
        <is>
          <t>PriceCharting</t>
        </is>
      </c>
      <c r="N861" s="4" t="inlineStr">
        <is>
          <t>https://www.pricecharting.com/game/pokemon-brilliant-stars/arceus-vstar-ultra-premium-collection-box</t>
        </is>
      </c>
    </row>
    <row r="862">
      <c r="A862" s="2" t="inlineStr">
        <is>
          <t>Brilliant Stars Boltund V Box</t>
        </is>
      </c>
      <c r="B862" s="3">
        <f>IF(I862&lt;&gt;"",I862,IF(J862&lt;&gt;"",J862,IF(K862&lt;&gt;"",K862,L862)))</f>
        <v>89.99</v>
      </c>
      <c r="C862" s="3">
        <f>MEDIAN(I862:L862)</f>
        <v>89.99</v>
      </c>
      <c r="D862" s="3">
        <f>ROUND(C862*(1-Settings!$B$2),2)</f>
        <v>62.99</v>
      </c>
      <c r="E862" s="3">
        <f>ROUND(C862*(1-Settings!$B$3),2)</f>
        <v>62.99</v>
      </c>
      <c r="F862" s="2" t="inlineStr">
        <is>
          <t>Pokemon</t>
        </is>
      </c>
      <c r="G862" s="2" t="inlineStr">
        <is>
          <t>Coffret</t>
        </is>
      </c>
      <c r="H862" s="2" t="inlineStr">
        <is>
          <t>Brilliant Stars</t>
        </is>
      </c>
      <c r="I862" s="3" t="n">
        <v>89.98999999999999</v>
      </c>
      <c r="J862" s="3" t="n"/>
      <c r="K862" s="3" t="n"/>
      <c r="L862" s="3" t="n"/>
      <c r="M862" s="2" t="inlineStr">
        <is>
          <t>PriceCharting</t>
        </is>
      </c>
      <c r="N862" s="4" t="inlineStr">
        <is>
          <t>https://www.pricecharting.com/game/pokemon-brilliant-stars/boltund-v-box</t>
        </is>
      </c>
    </row>
    <row r="863">
      <c r="A863" s="2" t="inlineStr">
        <is>
          <t>Brilliant Stars Build &amp; Battle Kit</t>
        </is>
      </c>
      <c r="B863" s="3">
        <f>IF(I863&lt;&gt;"",I863,IF(J863&lt;&gt;"",J863,IF(K863&lt;&gt;"",K863,L863)))</f>
        <v>41.22</v>
      </c>
      <c r="C863" s="3">
        <f>MEDIAN(I863:L863)</f>
        <v>41.22</v>
      </c>
      <c r="D863" s="3">
        <f>ROUND(C863*(1-Settings!$B$2),2)</f>
        <v>28.85</v>
      </c>
      <c r="E863" s="3">
        <f>ROUND(C863*(1-Settings!$B$3),2)</f>
        <v>28.85</v>
      </c>
      <c r="F863" s="2" t="inlineStr">
        <is>
          <t>Pokemon</t>
        </is>
      </c>
      <c r="G863" s="2" t="inlineStr">
        <is>
          <t>Coffret</t>
        </is>
      </c>
      <c r="H863" s="2" t="inlineStr">
        <is>
          <t>Brilliant Stars</t>
        </is>
      </c>
      <c r="I863" s="3" t="n">
        <v>41.22</v>
      </c>
      <c r="J863" s="3" t="n"/>
      <c r="K863" s="3" t="n"/>
      <c r="L863" s="3" t="n"/>
      <c r="M863" s="2" t="inlineStr">
        <is>
          <t>PriceCharting</t>
        </is>
      </c>
      <c r="N863" s="4" t="inlineStr">
        <is>
          <t>https://www.pricecharting.com/game/pokemon-brilliant-stars/build-&amp;-battle-kit</t>
        </is>
      </c>
    </row>
    <row r="864">
      <c r="A864" s="2" t="inlineStr">
        <is>
          <t>Brilliant Stars Eevee 1-pack Blister</t>
        </is>
      </c>
      <c r="B864" s="3">
        <f>IF(I864&lt;&gt;"",I864,IF(J864&lt;&gt;"",J864,IF(K864&lt;&gt;"",K864,L864)))</f>
        <v>20.5</v>
      </c>
      <c r="C864" s="3">
        <f>MEDIAN(I864:L864)</f>
        <v>20.5</v>
      </c>
      <c r="D864" s="3">
        <f>ROUND(C864*(1-Settings!$B$2),2)</f>
        <v>14.35</v>
      </c>
      <c r="E864" s="3">
        <f>ROUND(C864*(1-Settings!$B$3),2)</f>
        <v>14.35</v>
      </c>
      <c r="F864" s="2" t="inlineStr">
        <is>
          <t>Pokemon</t>
        </is>
      </c>
      <c r="G864" s="2" t="inlineStr">
        <is>
          <t>Coffret</t>
        </is>
      </c>
      <c r="H864" s="2" t="inlineStr">
        <is>
          <t>Brilliant Stars</t>
        </is>
      </c>
      <c r="I864" s="3" t="n">
        <v>20.5</v>
      </c>
      <c r="J864" s="3" t="n"/>
      <c r="K864" s="3" t="n"/>
      <c r="L864" s="3" t="n"/>
      <c r="M864" s="2" t="inlineStr">
        <is>
          <t>PriceCharting</t>
        </is>
      </c>
      <c r="N864" s="4" t="inlineStr">
        <is>
          <t>https://www.pricecharting.com/game/pokemon-brilliant-stars/eevee-1-pack-blister</t>
        </is>
      </c>
    </row>
    <row r="865">
      <c r="A865" s="2" t="inlineStr">
        <is>
          <t>Brilliant Stars Elite Trainer Box [Pokemon Center]</t>
        </is>
      </c>
      <c r="B865" s="3">
        <f>IF(I865&lt;&gt;"",I865,IF(J865&lt;&gt;"",J865,IF(K865&lt;&gt;"",K865,L865)))</f>
        <v>228.99</v>
      </c>
      <c r="C865" s="3">
        <f>MEDIAN(I865:L865)</f>
        <v>228.99</v>
      </c>
      <c r="D865" s="3">
        <f>ROUND(C865*(1-Settings!$B$2),2)</f>
        <v>160.29</v>
      </c>
      <c r="E865" s="3">
        <f>ROUND(C865*(1-Settings!$B$3),2)</f>
        <v>160.29</v>
      </c>
      <c r="F865" s="2" t="inlineStr">
        <is>
          <t>Pokemon</t>
        </is>
      </c>
      <c r="G865" s="2" t="inlineStr">
        <is>
          <t>Coffret</t>
        </is>
      </c>
      <c r="H865" s="2" t="inlineStr">
        <is>
          <t>Brilliant Stars</t>
        </is>
      </c>
      <c r="I865" s="3" t="n">
        <v>228.99</v>
      </c>
      <c r="J865" s="3" t="n"/>
      <c r="K865" s="3" t="n"/>
      <c r="L865" s="3" t="n"/>
      <c r="M865" s="2" t="inlineStr">
        <is>
          <t>PriceCharting</t>
        </is>
      </c>
      <c r="N865" s="4" t="inlineStr">
        <is>
          <t>https://www.pricecharting.com/game/pokemon-brilliant-stars/elite-trainer-box-pokemon-center</t>
        </is>
      </c>
    </row>
    <row r="866">
      <c r="A866" s="2" t="inlineStr">
        <is>
          <t>Brilliant Stars Flapple 1-Pack Blister</t>
        </is>
      </c>
      <c r="B866" s="3">
        <f>IF(I866&lt;&gt;"",I866,IF(J866&lt;&gt;"",J866,IF(K866&lt;&gt;"",K866,L866)))</f>
        <v>12.34</v>
      </c>
      <c r="C866" s="3">
        <f>MEDIAN(I866:L866)</f>
        <v>12.34</v>
      </c>
      <c r="D866" s="3">
        <f>ROUND(C866*(1-Settings!$B$2),2)</f>
        <v>8.64</v>
      </c>
      <c r="E866" s="3">
        <f>ROUND(C866*(1-Settings!$B$3),2)</f>
        <v>8.64</v>
      </c>
      <c r="F866" s="2" t="inlineStr">
        <is>
          <t>Pokemon</t>
        </is>
      </c>
      <c r="G866" s="2" t="inlineStr">
        <is>
          <t>Coffret</t>
        </is>
      </c>
      <c r="H866" s="2" t="inlineStr">
        <is>
          <t>Brilliant Stars</t>
        </is>
      </c>
      <c r="I866" s="3" t="n">
        <v>12.34</v>
      </c>
      <c r="J866" s="3" t="n"/>
      <c r="K866" s="3" t="n"/>
      <c r="L866" s="3" t="n"/>
      <c r="M866" s="2" t="inlineStr">
        <is>
          <t>PriceCharting</t>
        </is>
      </c>
      <c r="N866" s="4" t="inlineStr">
        <is>
          <t>https://www.pricecharting.com/game/pokemon-brilliant-stars/flapple-1-pack-blister</t>
        </is>
      </c>
    </row>
    <row r="867">
      <c r="A867" s="2" t="inlineStr">
        <is>
          <t>Brilliant Stars Glaceon 3-Pack Blister</t>
        </is>
      </c>
      <c r="B867" s="3">
        <f>IF(I867&lt;&gt;"",I867,IF(J867&lt;&gt;"",J867,IF(K867&lt;&gt;"",K867,L867)))</f>
        <v>52.49</v>
      </c>
      <c r="C867" s="3">
        <f>MEDIAN(I867:L867)</f>
        <v>52.49</v>
      </c>
      <c r="D867" s="3">
        <f>ROUND(C867*(1-Settings!$B$2),2)</f>
        <v>36.74</v>
      </c>
      <c r="E867" s="3">
        <f>ROUND(C867*(1-Settings!$B$3),2)</f>
        <v>36.74</v>
      </c>
      <c r="F867" s="2" t="inlineStr">
        <is>
          <t>Pokemon</t>
        </is>
      </c>
      <c r="G867" s="2" t="inlineStr">
        <is>
          <t>Coffret</t>
        </is>
      </c>
      <c r="H867" s="2" t="inlineStr">
        <is>
          <t>Brilliant Stars</t>
        </is>
      </c>
      <c r="I867" s="3" t="n">
        <v>52.49</v>
      </c>
      <c r="J867" s="3" t="n"/>
      <c r="K867" s="3" t="n"/>
      <c r="L867" s="3" t="n"/>
      <c r="M867" s="2" t="inlineStr">
        <is>
          <t>PriceCharting</t>
        </is>
      </c>
      <c r="N867" s="4" t="inlineStr">
        <is>
          <t>https://www.pricecharting.com/game/pokemon-brilliant-stars/glaceon-3-pack-blister</t>
        </is>
      </c>
    </row>
    <row r="868">
      <c r="A868" s="2" t="inlineStr">
        <is>
          <t>Brilliant Stars Leafeon 3-Pack Blister</t>
        </is>
      </c>
      <c r="B868" s="3">
        <f>IF(I868&lt;&gt;"",I868,IF(J868&lt;&gt;"",J868,IF(K868&lt;&gt;"",K868,L868)))</f>
        <v>105.0</v>
      </c>
      <c r="C868" s="3">
        <f>MEDIAN(I868:L868)</f>
        <v>105.0</v>
      </c>
      <c r="D868" s="3">
        <f>ROUND(C868*(1-Settings!$B$2),2)</f>
        <v>73.5</v>
      </c>
      <c r="E868" s="3">
        <f>ROUND(C868*(1-Settings!$B$3),2)</f>
        <v>73.5</v>
      </c>
      <c r="F868" s="2" t="inlineStr">
        <is>
          <t>Pokemon</t>
        </is>
      </c>
      <c r="G868" s="2" t="inlineStr">
        <is>
          <t>Coffret</t>
        </is>
      </c>
      <c r="H868" s="2" t="inlineStr">
        <is>
          <t>Brilliant Stars</t>
        </is>
      </c>
      <c r="I868" s="3" t="n">
        <v>105</v>
      </c>
      <c r="J868" s="3" t="n"/>
      <c r="K868" s="3" t="n"/>
      <c r="L868" s="3" t="n"/>
      <c r="M868" s="2" t="inlineStr">
        <is>
          <t>PriceCharting</t>
        </is>
      </c>
      <c r="N868" s="4" t="inlineStr">
        <is>
          <t>https://www.pricecharting.com/game/pokemon-brilliant-stars/leafeon-3-pack-blister</t>
        </is>
      </c>
    </row>
    <row r="869">
      <c r="A869" s="2" t="inlineStr">
        <is>
          <t>Brilliant Stars Lucario Vstar Premium Collection Box</t>
        </is>
      </c>
      <c r="B869" s="3">
        <f>IF(I869&lt;&gt;"",I869,IF(J869&lt;&gt;"",J869,IF(K869&lt;&gt;"",K869,L869)))</f>
        <v>84.98</v>
      </c>
      <c r="C869" s="3">
        <f>MEDIAN(I869:L869)</f>
        <v>84.98</v>
      </c>
      <c r="D869" s="3">
        <f>ROUND(C869*(1-Settings!$B$2),2)</f>
        <v>59.49</v>
      </c>
      <c r="E869" s="3">
        <f>ROUND(C869*(1-Settings!$B$3),2)</f>
        <v>59.49</v>
      </c>
      <c r="F869" s="2" t="inlineStr">
        <is>
          <t>Pokemon</t>
        </is>
      </c>
      <c r="G869" s="2" t="inlineStr">
        <is>
          <t>Coffret</t>
        </is>
      </c>
      <c r="H869" s="2" t="inlineStr">
        <is>
          <t>Brilliant Stars</t>
        </is>
      </c>
      <c r="I869" s="3" t="n">
        <v>84.98</v>
      </c>
      <c r="J869" s="3" t="n"/>
      <c r="K869" s="3" t="n"/>
      <c r="L869" s="3" t="n"/>
      <c r="M869" s="2" t="inlineStr">
        <is>
          <t>PriceCharting</t>
        </is>
      </c>
      <c r="N869" s="4" t="inlineStr">
        <is>
          <t>https://www.pricecharting.com/game/pokemon-brilliant-stars/lucario-vstar-premium-collection-box</t>
        </is>
      </c>
    </row>
    <row r="870">
      <c r="A870" s="2" t="inlineStr">
        <is>
          <t>Brilliant Stars Pikachu V Box</t>
        </is>
      </c>
      <c r="B870" s="3">
        <f>IF(I870&lt;&gt;"",I870,IF(J870&lt;&gt;"",J870,IF(K870&lt;&gt;"",K870,L870)))</f>
        <v>74.83</v>
      </c>
      <c r="C870" s="3">
        <f>MEDIAN(I870:L870)</f>
        <v>74.83</v>
      </c>
      <c r="D870" s="3">
        <f>ROUND(C870*(1-Settings!$B$2),2)</f>
        <v>52.38</v>
      </c>
      <c r="E870" s="3">
        <f>ROUND(C870*(1-Settings!$B$3),2)</f>
        <v>52.38</v>
      </c>
      <c r="F870" s="2" t="inlineStr">
        <is>
          <t>Pokemon</t>
        </is>
      </c>
      <c r="G870" s="2" t="inlineStr">
        <is>
          <t>Coffret</t>
        </is>
      </c>
      <c r="H870" s="2" t="inlineStr">
        <is>
          <t>Brilliant Stars</t>
        </is>
      </c>
      <c r="I870" s="3" t="n">
        <v>74.83</v>
      </c>
      <c r="J870" s="3" t="n"/>
      <c r="K870" s="3" t="n"/>
      <c r="L870" s="3" t="n"/>
      <c r="M870" s="2" t="inlineStr">
        <is>
          <t>PriceCharting</t>
        </is>
      </c>
      <c r="N870" s="4" t="inlineStr">
        <is>
          <t>https://www.pricecharting.com/game/pokemon-brilliant-stars/pikachu-v-box</t>
        </is>
      </c>
    </row>
    <row r="871">
      <c r="A871" s="2" t="inlineStr">
        <is>
          <t>Brilliant Stars V Heroes Epseon Tin</t>
        </is>
      </c>
      <c r="B871" s="3">
        <f>IF(I871&lt;&gt;"",I871,IF(J871&lt;&gt;"",J871,IF(K871&lt;&gt;"",K871,L871)))</f>
        <v>48.09</v>
      </c>
      <c r="C871" s="3">
        <f>MEDIAN(I871:L871)</f>
        <v>48.09</v>
      </c>
      <c r="D871" s="3">
        <f>ROUND(C871*(1-Settings!$B$2),2)</f>
        <v>33.66</v>
      </c>
      <c r="E871" s="3">
        <f>ROUND(C871*(1-Settings!$B$3),2)</f>
        <v>33.66</v>
      </c>
      <c r="F871" s="2" t="inlineStr">
        <is>
          <t>Pokemon</t>
        </is>
      </c>
      <c r="G871" s="2" t="inlineStr">
        <is>
          <t>Coffret</t>
        </is>
      </c>
      <c r="H871" s="2" t="inlineStr">
        <is>
          <t>Brilliant Stars</t>
        </is>
      </c>
      <c r="I871" s="3" t="n">
        <v>48.09</v>
      </c>
      <c r="J871" s="3" t="n"/>
      <c r="K871" s="3" t="n"/>
      <c r="L871" s="3" t="n"/>
      <c r="M871" s="2" t="inlineStr">
        <is>
          <t>PriceCharting</t>
        </is>
      </c>
      <c r="N871" s="4" t="inlineStr">
        <is>
          <t>https://www.pricecharting.com/game/pokemon-brilliant-stars/v-heroes-epseon-tin</t>
        </is>
      </c>
    </row>
    <row r="872">
      <c r="A872" s="2" t="inlineStr">
        <is>
          <t>Brilliant Stars V Heroes Sylveon Tin</t>
        </is>
      </c>
      <c r="B872" s="3">
        <f>IF(I872&lt;&gt;"",I872,IF(J872&lt;&gt;"",J872,IF(K872&lt;&gt;"",K872,L872)))</f>
        <v>85.5</v>
      </c>
      <c r="C872" s="3">
        <f>MEDIAN(I872:L872)</f>
        <v>85.5</v>
      </c>
      <c r="D872" s="3">
        <f>ROUND(C872*(1-Settings!$B$2),2)</f>
        <v>59.85</v>
      </c>
      <c r="E872" s="3">
        <f>ROUND(C872*(1-Settings!$B$3),2)</f>
        <v>59.85</v>
      </c>
      <c r="F872" s="2" t="inlineStr">
        <is>
          <t>Pokemon</t>
        </is>
      </c>
      <c r="G872" s="2" t="inlineStr">
        <is>
          <t>Coffret</t>
        </is>
      </c>
      <c r="H872" s="2" t="inlineStr">
        <is>
          <t>Brilliant Stars</t>
        </is>
      </c>
      <c r="I872" s="3" t="n">
        <v>85.5</v>
      </c>
      <c r="J872" s="3" t="n"/>
      <c r="K872" s="3" t="n"/>
      <c r="L872" s="3" t="n"/>
      <c r="M872" s="2" t="inlineStr">
        <is>
          <t>PriceCharting</t>
        </is>
      </c>
      <c r="N872" s="4" t="inlineStr">
        <is>
          <t>https://www.pricecharting.com/game/pokemon-brilliant-stars/v-heroes-sylveon-tin</t>
        </is>
      </c>
    </row>
    <row r="873">
      <c r="A873" s="2" t="inlineStr">
        <is>
          <t>Brilliant Stars V Heroes Umbreon Tin</t>
        </is>
      </c>
      <c r="B873" s="3">
        <f>IF(I873&lt;&gt;"",I873,IF(J873&lt;&gt;"",J873,IF(K873&lt;&gt;"",K873,L873)))</f>
        <v>60.0</v>
      </c>
      <c r="C873" s="3">
        <f>MEDIAN(I873:L873)</f>
        <v>60.0</v>
      </c>
      <c r="D873" s="3">
        <f>ROUND(C873*(1-Settings!$B$2),2)</f>
        <v>42.0</v>
      </c>
      <c r="E873" s="3">
        <f>ROUND(C873*(1-Settings!$B$3),2)</f>
        <v>42.0</v>
      </c>
      <c r="F873" s="2" t="inlineStr">
        <is>
          <t>Pokemon</t>
        </is>
      </c>
      <c r="G873" s="2" t="inlineStr">
        <is>
          <t>Coffret</t>
        </is>
      </c>
      <c r="H873" s="2" t="inlineStr">
        <is>
          <t>Brilliant Stars</t>
        </is>
      </c>
      <c r="I873" s="3" t="n">
        <v>60</v>
      </c>
      <c r="J873" s="3" t="n"/>
      <c r="K873" s="3" t="n"/>
      <c r="L873" s="3" t="n"/>
      <c r="M873" s="2" t="inlineStr">
        <is>
          <t>PriceCharting</t>
        </is>
      </c>
      <c r="N873" s="4" t="inlineStr">
        <is>
          <t>https://www.pricecharting.com/game/pokemon-brilliant-stars/v-heroes-umbreon-tin</t>
        </is>
      </c>
    </row>
    <row r="874">
      <c r="A874" s="2" t="inlineStr">
        <is>
          <t>Burning Shadows Cosmog 3-Pack Blister</t>
        </is>
      </c>
      <c r="B874" s="3">
        <f>IF(I874&lt;&gt;"",I874,IF(J874&lt;&gt;"",J874,IF(K874&lt;&gt;"",K874,L874)))</f>
        <v>43.57</v>
      </c>
      <c r="C874" s="3">
        <f>MEDIAN(I874:L874)</f>
        <v>43.57</v>
      </c>
      <c r="D874" s="3">
        <f>ROUND(C874*(1-Settings!$B$2),2)</f>
        <v>30.5</v>
      </c>
      <c r="E874" s="3">
        <f>ROUND(C874*(1-Settings!$B$3),2)</f>
        <v>30.5</v>
      </c>
      <c r="F874" s="2" t="inlineStr">
        <is>
          <t>Pokemon</t>
        </is>
      </c>
      <c r="G874" s="2" t="inlineStr">
        <is>
          <t>Coffret</t>
        </is>
      </c>
      <c r="H874" s="2" t="inlineStr">
        <is>
          <t>Burning Shadows</t>
        </is>
      </c>
      <c r="I874" s="3" t="n">
        <v>43.57</v>
      </c>
      <c r="J874" s="3" t="n"/>
      <c r="K874" s="3" t="n"/>
      <c r="L874" s="3" t="n"/>
      <c r="M874" s="2" t="inlineStr">
        <is>
          <t>PriceCharting</t>
        </is>
      </c>
      <c r="N874" s="4" t="inlineStr">
        <is>
          <t>https://www.pricecharting.com/game/pokemon-burning-shadows/cosmog-3-pack-blister</t>
        </is>
      </c>
    </row>
    <row r="875">
      <c r="A875" s="2" t="inlineStr">
        <is>
          <t>Burning Shadows Team Skull Pin Collection Box</t>
        </is>
      </c>
      <c r="B875" s="3">
        <f>IF(I875&lt;&gt;"",I875,IF(J875&lt;&gt;"",J875,IF(K875&lt;&gt;"",K875,L875)))</f>
        <v>210.0</v>
      </c>
      <c r="C875" s="3">
        <f>MEDIAN(I875:L875)</f>
        <v>210.0</v>
      </c>
      <c r="D875" s="3">
        <f>ROUND(C875*(1-Settings!$B$2),2)</f>
        <v>147.0</v>
      </c>
      <c r="E875" s="3">
        <f>ROUND(C875*(1-Settings!$B$3),2)</f>
        <v>147.0</v>
      </c>
      <c r="F875" s="2" t="inlineStr">
        <is>
          <t>Pokemon</t>
        </is>
      </c>
      <c r="G875" s="2" t="inlineStr">
        <is>
          <t>Coffret</t>
        </is>
      </c>
      <c r="H875" s="2" t="inlineStr">
        <is>
          <t>Burning Shadows</t>
        </is>
      </c>
      <c r="I875" s="3" t="n">
        <v>210</v>
      </c>
      <c r="J875" s="3" t="n"/>
      <c r="K875" s="3" t="n"/>
      <c r="L875" s="3" t="n"/>
      <c r="M875" s="2" t="inlineStr">
        <is>
          <t>PriceCharting</t>
        </is>
      </c>
      <c r="N875" s="4" t="inlineStr">
        <is>
          <t>https://www.pricecharting.com/game/pokemon-burning-shadows/team-skull-pin-collection-box</t>
        </is>
      </c>
    </row>
    <row r="876">
      <c r="A876" s="2" t="inlineStr">
        <is>
          <t>Celebrations Collection [Dark Sylveon V]</t>
        </is>
      </c>
      <c r="B876" s="3">
        <f>IF(I876&lt;&gt;"",I876,IF(J876&lt;&gt;"",J876,IF(K876&lt;&gt;"",K876,L876)))</f>
        <v>164.85</v>
      </c>
      <c r="C876" s="3">
        <f>MEDIAN(I876:L876)</f>
        <v>164.85</v>
      </c>
      <c r="D876" s="3">
        <f>ROUND(C876*(1-Settings!$B$2),2)</f>
        <v>115.4</v>
      </c>
      <c r="E876" s="3">
        <f>ROUND(C876*(1-Settings!$B$3),2)</f>
        <v>115.4</v>
      </c>
      <c r="F876" s="2" t="inlineStr">
        <is>
          <t>Pokemon</t>
        </is>
      </c>
      <c r="G876" s="2" t="inlineStr">
        <is>
          <t>Coffret</t>
        </is>
      </c>
      <c r="H876" s="2" t="inlineStr">
        <is>
          <t>Celebrations</t>
        </is>
      </c>
      <c r="I876" s="3" t="n"/>
      <c r="J876" s="3" t="n">
        <v>164.85</v>
      </c>
      <c r="K876" s="3" t="n">
        <v>180</v>
      </c>
      <c r="L876" s="3" t="n">
        <v>110</v>
      </c>
      <c r="M876" s="2" t="inlineStr">
        <is>
          <t>TCGplayer</t>
        </is>
      </c>
      <c r="O876" s="4" t="inlineStr">
        <is>
          <t>https://www.tcgplayer.com/product/242809</t>
        </is>
      </c>
    </row>
    <row r="877">
      <c r="A877" s="2" t="inlineStr">
        <is>
          <t>Celebrations Collection [Dragapult Prime]</t>
        </is>
      </c>
      <c r="B877" s="3">
        <f>IF(I877&lt;&gt;"",I877,IF(J877&lt;&gt;"",J877,IF(K877&lt;&gt;"",K877,L877)))</f>
        <v>78.62</v>
      </c>
      <c r="C877" s="3">
        <f>MEDIAN(I877:L877)</f>
        <v>95.9</v>
      </c>
      <c r="D877" s="3">
        <f>ROUND(C877*(1-Settings!$B$2),2)</f>
        <v>67.13</v>
      </c>
      <c r="E877" s="3">
        <f>ROUND(C877*(1-Settings!$B$3),2)</f>
        <v>67.13</v>
      </c>
      <c r="F877" s="2" t="inlineStr">
        <is>
          <t>Pokemon</t>
        </is>
      </c>
      <c r="G877" s="2" t="inlineStr">
        <is>
          <t>Coffret</t>
        </is>
      </c>
      <c r="H877" s="2" t="inlineStr">
        <is>
          <t>Celebrations</t>
        </is>
      </c>
      <c r="I877" s="3" t="n"/>
      <c r="J877" s="3" t="n">
        <v>78.62</v>
      </c>
      <c r="K877" s="3" t="n">
        <v>100.95</v>
      </c>
      <c r="L877" s="3" t="n">
        <v>95.90000000000001</v>
      </c>
      <c r="M877" s="2" t="inlineStr">
        <is>
          <t>TCGplayer</t>
        </is>
      </c>
      <c r="O877" s="4" t="inlineStr">
        <is>
          <t>https://www.tcgplayer.com/product/242807</t>
        </is>
      </c>
    </row>
    <row r="878">
      <c r="A878" s="2" t="inlineStr">
        <is>
          <t>Celebrations Collection [Pikachu V-UNION]</t>
        </is>
      </c>
      <c r="B878" s="3">
        <f>IF(I878&lt;&gt;"",I878,IF(J878&lt;&gt;"",J878,IF(K878&lt;&gt;"",K878,L878)))</f>
        <v>195.09</v>
      </c>
      <c r="C878" s="3">
        <f>MEDIAN(I878:L878)</f>
        <v>195.09</v>
      </c>
      <c r="D878" s="3">
        <f>ROUND(C878*(1-Settings!$B$2),2)</f>
        <v>136.56</v>
      </c>
      <c r="E878" s="3">
        <f>ROUND(C878*(1-Settings!$B$3),2)</f>
        <v>136.56</v>
      </c>
      <c r="F878" s="2" t="inlineStr">
        <is>
          <t>Pokemon</t>
        </is>
      </c>
      <c r="G878" s="2" t="inlineStr">
        <is>
          <t>Coffret</t>
        </is>
      </c>
      <c r="H878" s="2" t="inlineStr">
        <is>
          <t>Celebrations</t>
        </is>
      </c>
      <c r="I878" s="3" t="n"/>
      <c r="J878" s="3" t="n">
        <v>195.09</v>
      </c>
      <c r="K878" s="3" t="n">
        <v>218.07</v>
      </c>
      <c r="L878" s="3" t="n">
        <v>180</v>
      </c>
      <c r="M878" s="2" t="inlineStr">
        <is>
          <t>TCGplayer</t>
        </is>
      </c>
      <c r="O878" s="4" t="inlineStr">
        <is>
          <t>https://www.tcgplayer.com/product/244726</t>
        </is>
      </c>
    </row>
    <row r="879">
      <c r="A879" s="2" t="inlineStr">
        <is>
          <t>Celebrations Collector Chest</t>
        </is>
      </c>
      <c r="B879" s="3">
        <f>IF(I879&lt;&gt;"",I879,IF(J879&lt;&gt;"",J879,IF(K879&lt;&gt;"",K879,L879)))</f>
        <v>165.25</v>
      </c>
      <c r="C879" s="3">
        <f>MEDIAN(I879:L879)</f>
        <v>185.025</v>
      </c>
      <c r="D879" s="3">
        <f>ROUND(C879*(1-Settings!$B$2),2)</f>
        <v>129.52</v>
      </c>
      <c r="E879" s="3">
        <f>ROUND(C879*(1-Settings!$B$3),2)</f>
        <v>129.52</v>
      </c>
      <c r="F879" s="2" t="inlineStr">
        <is>
          <t>Pokemon</t>
        </is>
      </c>
      <c r="G879" s="2" t="inlineStr">
        <is>
          <t>Coffret</t>
        </is>
      </c>
      <c r="H879" s="2" t="inlineStr">
        <is>
          <t>Celebrations</t>
        </is>
      </c>
      <c r="I879" s="3" t="n">
        <v>165.25</v>
      </c>
      <c r="J879" s="3" t="n">
        <v>204.8</v>
      </c>
      <c r="K879" s="3" t="n">
        <v>210.89</v>
      </c>
      <c r="L879" s="3" t="n">
        <v>25</v>
      </c>
      <c r="M879" s="2" t="inlineStr">
        <is>
          <t>PriceCharting + TCGplayer</t>
        </is>
      </c>
      <c r="N879" s="4" t="inlineStr">
        <is>
          <t>https://www.pricecharting.com/game/pokemon-celebrations/collector-chest</t>
        </is>
      </c>
      <c r="O879" s="4" t="inlineStr">
        <is>
          <t>https://www.tcgplayer.com/product/244727</t>
        </is>
      </c>
    </row>
    <row r="880">
      <c r="A880" s="2" t="inlineStr">
        <is>
          <t>Celebrations Dark Sylveon Tin</t>
        </is>
      </c>
      <c r="B880" s="3">
        <f>IF(I880&lt;&gt;"",I880,IF(J880&lt;&gt;"",J880,IF(K880&lt;&gt;"",K880,L880)))</f>
        <v>119.31</v>
      </c>
      <c r="C880" s="3">
        <f>MEDIAN(I880:L880)</f>
        <v>119.31</v>
      </c>
      <c r="D880" s="3">
        <f>ROUND(C880*(1-Settings!$B$2),2)</f>
        <v>83.52</v>
      </c>
      <c r="E880" s="3">
        <f>ROUND(C880*(1-Settings!$B$3),2)</f>
        <v>83.52</v>
      </c>
      <c r="F880" s="2" t="inlineStr">
        <is>
          <t>Pokemon</t>
        </is>
      </c>
      <c r="G880" s="2" t="inlineStr">
        <is>
          <t>Coffret</t>
        </is>
      </c>
      <c r="H880" s="2" t="inlineStr">
        <is>
          <t>Celebrations</t>
        </is>
      </c>
      <c r="I880" s="3" t="n">
        <v>119.31</v>
      </c>
      <c r="J880" s="3" t="n"/>
      <c r="K880" s="3" t="n"/>
      <c r="L880" s="3" t="n"/>
      <c r="M880" s="2" t="inlineStr">
        <is>
          <t>PriceCharting</t>
        </is>
      </c>
      <c r="N880" s="4" t="inlineStr">
        <is>
          <t>https://www.pricecharting.com/game/pokemon-celebrations/dark-sylveon-tin</t>
        </is>
      </c>
    </row>
    <row r="881">
      <c r="A881" s="2" t="inlineStr">
        <is>
          <t>Celebrations Dark Sylveon Tin [International]</t>
        </is>
      </c>
      <c r="B881" s="3">
        <f>IF(I881&lt;&gt;"",I881,IF(J881&lt;&gt;"",J881,IF(K881&lt;&gt;"",K881,L881)))</f>
        <v>129.99</v>
      </c>
      <c r="C881" s="3">
        <f>MEDIAN(I881:L881)</f>
        <v>129.99</v>
      </c>
      <c r="D881" s="3">
        <f>ROUND(C881*(1-Settings!$B$2),2)</f>
        <v>90.99</v>
      </c>
      <c r="E881" s="3">
        <f>ROUND(C881*(1-Settings!$B$3),2)</f>
        <v>90.99</v>
      </c>
      <c r="F881" s="2" t="inlineStr">
        <is>
          <t>Pokemon</t>
        </is>
      </c>
      <c r="G881" s="2" t="inlineStr">
        <is>
          <t>Coffret</t>
        </is>
      </c>
      <c r="H881" s="2" t="inlineStr">
        <is>
          <t>Celebrations</t>
        </is>
      </c>
      <c r="I881" s="3" t="n">
        <v>129.99</v>
      </c>
      <c r="J881" s="3" t="n"/>
      <c r="K881" s="3" t="n"/>
      <c r="L881" s="3" t="n"/>
      <c r="M881" s="2" t="inlineStr">
        <is>
          <t>PriceCharting</t>
        </is>
      </c>
      <c r="N881" s="4" t="inlineStr">
        <is>
          <t>https://www.pricecharting.com/game/pokemon-celebrations/dark-sylveon-tin-international</t>
        </is>
      </c>
    </row>
    <row r="882">
      <c r="A882" s="2" t="inlineStr">
        <is>
          <t>Celebrations Dark Sylveon V Box</t>
        </is>
      </c>
      <c r="B882" s="3">
        <f>IF(I882&lt;&gt;"",I882,IF(J882&lt;&gt;"",J882,IF(K882&lt;&gt;"",K882,L882)))</f>
        <v>136.93</v>
      </c>
      <c r="C882" s="3">
        <f>MEDIAN(I882:L882)</f>
        <v>136.93</v>
      </c>
      <c r="D882" s="3">
        <f>ROUND(C882*(1-Settings!$B$2),2)</f>
        <v>95.85</v>
      </c>
      <c r="E882" s="3">
        <f>ROUND(C882*(1-Settings!$B$3),2)</f>
        <v>95.85</v>
      </c>
      <c r="F882" s="2" t="inlineStr">
        <is>
          <t>Pokemon</t>
        </is>
      </c>
      <c r="G882" s="2" t="inlineStr">
        <is>
          <t>Coffret</t>
        </is>
      </c>
      <c r="H882" s="2" t="inlineStr">
        <is>
          <t>Celebrations</t>
        </is>
      </c>
      <c r="I882" s="3" t="n">
        <v>136.93</v>
      </c>
      <c r="J882" s="3" t="n"/>
      <c r="K882" s="3" t="n"/>
      <c r="L882" s="3" t="n"/>
      <c r="M882" s="2" t="inlineStr">
        <is>
          <t>PriceCharting</t>
        </is>
      </c>
      <c r="N882" s="4" t="inlineStr">
        <is>
          <t>https://www.pricecharting.com/game/pokemon-celebrations/dark-sylveon-v-box</t>
        </is>
      </c>
    </row>
    <row r="883">
      <c r="A883" s="2" t="inlineStr">
        <is>
          <t>Celebrations Deluxe Pin Collection [Zacian LV. X]</t>
        </is>
      </c>
      <c r="B883" s="3">
        <f>IF(I883&lt;&gt;"",I883,IF(J883&lt;&gt;"",J883,IF(K883&lt;&gt;"",K883,L883)))</f>
        <v>136.84</v>
      </c>
      <c r="C883" s="3">
        <f>MEDIAN(I883:L883)</f>
        <v>136.84</v>
      </c>
      <c r="D883" s="3">
        <f>ROUND(C883*(1-Settings!$B$2),2)</f>
        <v>95.79</v>
      </c>
      <c r="E883" s="3">
        <f>ROUND(C883*(1-Settings!$B$3),2)</f>
        <v>95.79</v>
      </c>
      <c r="F883" s="2" t="inlineStr">
        <is>
          <t>Pokemon</t>
        </is>
      </c>
      <c r="G883" s="2" t="inlineStr">
        <is>
          <t>Coffret</t>
        </is>
      </c>
      <c r="H883" s="2" t="inlineStr">
        <is>
          <t>Celebrations</t>
        </is>
      </c>
      <c r="I883" s="3" t="n"/>
      <c r="J883" s="3" t="n">
        <v>136.84</v>
      </c>
      <c r="K883" s="3" t="n">
        <v>149.99</v>
      </c>
      <c r="L883" s="3" t="n">
        <v>110</v>
      </c>
      <c r="M883" s="2" t="inlineStr">
        <is>
          <t>TCGplayer</t>
        </is>
      </c>
      <c r="O883" s="4" t="inlineStr">
        <is>
          <t>https://www.tcgplayer.com/product/242810</t>
        </is>
      </c>
    </row>
    <row r="884">
      <c r="A884" s="2" t="inlineStr">
        <is>
          <t>Celebrations Deluxe Pin Collection Box</t>
        </is>
      </c>
      <c r="B884" s="3">
        <f>IF(I884&lt;&gt;"",I884,IF(J884&lt;&gt;"",J884,IF(K884&lt;&gt;"",K884,L884)))</f>
        <v>123.71</v>
      </c>
      <c r="C884" s="3">
        <f>MEDIAN(I884:L884)</f>
        <v>123.71</v>
      </c>
      <c r="D884" s="3">
        <f>ROUND(C884*(1-Settings!$B$2),2)</f>
        <v>86.6</v>
      </c>
      <c r="E884" s="3">
        <f>ROUND(C884*(1-Settings!$B$3),2)</f>
        <v>86.6</v>
      </c>
      <c r="F884" s="2" t="inlineStr">
        <is>
          <t>Pokemon</t>
        </is>
      </c>
      <c r="G884" s="2" t="inlineStr">
        <is>
          <t>Coffret</t>
        </is>
      </c>
      <c r="H884" s="2" t="inlineStr">
        <is>
          <t>Celebrations</t>
        </is>
      </c>
      <c r="I884" s="3" t="n">
        <v>123.71</v>
      </c>
      <c r="J884" s="3" t="n"/>
      <c r="K884" s="3" t="n"/>
      <c r="L884" s="3" t="n"/>
      <c r="M884" s="2" t="inlineStr">
        <is>
          <t>PriceCharting</t>
        </is>
      </c>
      <c r="N884" s="4" t="inlineStr">
        <is>
          <t>https://www.pricecharting.com/game/pokemon-celebrations/deluxe-pin-collection-box</t>
        </is>
      </c>
    </row>
    <row r="885">
      <c r="A885" s="2" t="inlineStr">
        <is>
          <t>Celebrations Dragapult Prime Box</t>
        </is>
      </c>
      <c r="B885" s="3">
        <f>IF(I885&lt;&gt;"",I885,IF(J885&lt;&gt;"",J885,IF(K885&lt;&gt;"",K885,L885)))</f>
        <v>78.97</v>
      </c>
      <c r="C885" s="3">
        <f>MEDIAN(I885:L885)</f>
        <v>78.97</v>
      </c>
      <c r="D885" s="3">
        <f>ROUND(C885*(1-Settings!$B$2),2)</f>
        <v>55.28</v>
      </c>
      <c r="E885" s="3">
        <f>ROUND(C885*(1-Settings!$B$3),2)</f>
        <v>55.28</v>
      </c>
      <c r="F885" s="2" t="inlineStr">
        <is>
          <t>Pokemon</t>
        </is>
      </c>
      <c r="G885" s="2" t="inlineStr">
        <is>
          <t>Coffret</t>
        </is>
      </c>
      <c r="H885" s="2" t="inlineStr">
        <is>
          <t>Celebrations</t>
        </is>
      </c>
      <c r="I885" s="3" t="n">
        <v>78.97</v>
      </c>
      <c r="J885" s="3" t="n"/>
      <c r="K885" s="3" t="n"/>
      <c r="L885" s="3" t="n"/>
      <c r="M885" s="2" t="inlineStr">
        <is>
          <t>PriceCharting</t>
        </is>
      </c>
      <c r="N885" s="4" t="inlineStr">
        <is>
          <t>https://www.pricecharting.com/game/pokemon-celebrations/dragapult-prime-box</t>
        </is>
      </c>
    </row>
    <row r="886">
      <c r="A886" s="2" t="inlineStr">
        <is>
          <t>Celebrations Elite Trainer Box</t>
        </is>
      </c>
      <c r="B886" s="3">
        <f>IF(I886&lt;&gt;"",I886,IF(J886&lt;&gt;"",J886,IF(K886&lt;&gt;"",K886,L886)))</f>
        <v>349.53</v>
      </c>
      <c r="C886" s="3">
        <f>MEDIAN(I886:L886)</f>
        <v>350.645</v>
      </c>
      <c r="D886" s="3">
        <f>ROUND(C886*(1-Settings!$B$2),2)</f>
        <v>245.45</v>
      </c>
      <c r="E886" s="3">
        <f>ROUND(C886*(1-Settings!$B$3),2)</f>
        <v>245.45</v>
      </c>
      <c r="F886" s="2" t="inlineStr">
        <is>
          <t>Pokemon</t>
        </is>
      </c>
      <c r="G886" s="2" t="inlineStr">
        <is>
          <t>Coffret</t>
        </is>
      </c>
      <c r="H886" s="2" t="inlineStr">
        <is>
          <t>Celebrations</t>
        </is>
      </c>
      <c r="I886" s="3" t="n">
        <v>349.53</v>
      </c>
      <c r="J886" s="3" t="n">
        <v>351.76</v>
      </c>
      <c r="K886" s="3" t="n">
        <v>465</v>
      </c>
      <c r="L886" s="3" t="n">
        <v>315</v>
      </c>
      <c r="M886" s="2" t="inlineStr">
        <is>
          <t>PriceCharting + TCGplayer</t>
        </is>
      </c>
      <c r="N886" s="4" t="inlineStr">
        <is>
          <t>https://www.pricecharting.com/game/pokemon-celebrations/elite-trainer-box</t>
        </is>
      </c>
      <c r="O886" s="4" t="inlineStr">
        <is>
          <t>https://www.tcgplayer.com/product/242811</t>
        </is>
      </c>
    </row>
    <row r="887">
      <c r="A887" s="2" t="inlineStr">
        <is>
          <t>Celebrations Elite Trainer Box [Pokemon Center]</t>
        </is>
      </c>
      <c r="B887" s="3">
        <f>IF(I887&lt;&gt;"",I887,IF(J887&lt;&gt;"",J887,IF(K887&lt;&gt;"",K887,L887)))</f>
        <v>492.5</v>
      </c>
      <c r="C887" s="3">
        <f>MEDIAN(I887:L887)</f>
        <v>492.5</v>
      </c>
      <c r="D887" s="3">
        <f>ROUND(C887*(1-Settings!$B$2),2)</f>
        <v>344.75</v>
      </c>
      <c r="E887" s="3">
        <f>ROUND(C887*(1-Settings!$B$3),2)</f>
        <v>344.75</v>
      </c>
      <c r="F887" s="2" t="inlineStr">
        <is>
          <t>Pokemon</t>
        </is>
      </c>
      <c r="G887" s="2" t="inlineStr">
        <is>
          <t>Coffret</t>
        </is>
      </c>
      <c r="H887" s="2" t="inlineStr">
        <is>
          <t>Celebrations</t>
        </is>
      </c>
      <c r="I887" s="3" t="n">
        <v>492.5</v>
      </c>
      <c r="J887" s="3" t="n"/>
      <c r="K887" s="3" t="n"/>
      <c r="L887" s="3" t="n"/>
      <c r="M887" s="2" t="inlineStr">
        <is>
          <t>PriceCharting</t>
        </is>
      </c>
      <c r="N887" s="4" t="inlineStr">
        <is>
          <t>https://www.pricecharting.com/game/pokemon-celebrations/elite-trainer-box-pokemon-center</t>
        </is>
      </c>
    </row>
    <row r="888">
      <c r="A888" s="2" t="inlineStr">
        <is>
          <t>Celebrations Genesect Mythical Collection Box</t>
        </is>
      </c>
      <c r="B888" s="3">
        <f>IF(I888&lt;&gt;"",I888,IF(J888&lt;&gt;"",J888,IF(K888&lt;&gt;"",K888,L888)))</f>
        <v>440.0</v>
      </c>
      <c r="C888" s="3">
        <f>MEDIAN(I888:L888)</f>
        <v>440.0</v>
      </c>
      <c r="D888" s="3">
        <f>ROUND(C888*(1-Settings!$B$2),2)</f>
        <v>308.0</v>
      </c>
      <c r="E888" s="3">
        <f>ROUND(C888*(1-Settings!$B$3),2)</f>
        <v>308.0</v>
      </c>
      <c r="F888" s="2" t="inlineStr">
        <is>
          <t>Pokemon</t>
        </is>
      </c>
      <c r="G888" s="2" t="inlineStr">
        <is>
          <t>Coffret</t>
        </is>
      </c>
      <c r="H888" s="2" t="inlineStr">
        <is>
          <t>Celebrations</t>
        </is>
      </c>
      <c r="I888" s="3" t="n">
        <v>440</v>
      </c>
      <c r="J888" s="3" t="n"/>
      <c r="K888" s="3" t="n"/>
      <c r="L888" s="3" t="n"/>
      <c r="M888" s="2" t="inlineStr">
        <is>
          <t>PriceCharting</t>
        </is>
      </c>
      <c r="N888" s="4" t="inlineStr">
        <is>
          <t>https://www.pricecharting.com/game/pokemon-celebrations/genesect-mythical-collection-box</t>
        </is>
      </c>
    </row>
    <row r="889">
      <c r="A889" s="2" t="inlineStr">
        <is>
          <t>Celebrations Keldeo Mythical Collection Box</t>
        </is>
      </c>
      <c r="B889" s="3">
        <f>IF(I889&lt;&gt;"",I889,IF(J889&lt;&gt;"",J889,IF(K889&lt;&gt;"",K889,L889)))</f>
        <v>399.97</v>
      </c>
      <c r="C889" s="3">
        <f>MEDIAN(I889:L889)</f>
        <v>399.97</v>
      </c>
      <c r="D889" s="3">
        <f>ROUND(C889*(1-Settings!$B$2),2)</f>
        <v>279.98</v>
      </c>
      <c r="E889" s="3">
        <f>ROUND(C889*(1-Settings!$B$3),2)</f>
        <v>279.98</v>
      </c>
      <c r="F889" s="2" t="inlineStr">
        <is>
          <t>Pokemon</t>
        </is>
      </c>
      <c r="G889" s="2" t="inlineStr">
        <is>
          <t>Coffret</t>
        </is>
      </c>
      <c r="H889" s="2" t="inlineStr">
        <is>
          <t>Celebrations</t>
        </is>
      </c>
      <c r="I889" s="3" t="n">
        <v>399.97</v>
      </c>
      <c r="J889" s="3" t="n"/>
      <c r="K889" s="3" t="n"/>
      <c r="L889" s="3" t="n"/>
      <c r="M889" s="2" t="inlineStr">
        <is>
          <t>PriceCharting</t>
        </is>
      </c>
      <c r="N889" s="4" t="inlineStr">
        <is>
          <t>https://www.pricecharting.com/game/pokemon-celebrations/keldeo-mythical-collection-box</t>
        </is>
      </c>
    </row>
    <row r="890">
      <c r="A890" s="2" t="inlineStr">
        <is>
          <t>Celebrations Lance's Charizard V Big Tin</t>
        </is>
      </c>
      <c r="B890" s="3">
        <f>IF(I890&lt;&gt;"",I890,IF(J890&lt;&gt;"",J890,IF(K890&lt;&gt;"",K890,L890)))</f>
        <v>172.5</v>
      </c>
      <c r="C890" s="3">
        <f>MEDIAN(I890:L890)</f>
        <v>172.5</v>
      </c>
      <c r="D890" s="3">
        <f>ROUND(C890*(1-Settings!$B$2),2)</f>
        <v>120.75</v>
      </c>
      <c r="E890" s="3">
        <f>ROUND(C890*(1-Settings!$B$3),2)</f>
        <v>120.75</v>
      </c>
      <c r="F890" s="2" t="inlineStr">
        <is>
          <t>Pokemon</t>
        </is>
      </c>
      <c r="G890" s="2" t="inlineStr">
        <is>
          <t>Coffret</t>
        </is>
      </c>
      <c r="H890" s="2" t="inlineStr">
        <is>
          <t>Celebrations</t>
        </is>
      </c>
      <c r="I890" s="3" t="n">
        <v>172.5</v>
      </c>
      <c r="J890" s="3" t="n"/>
      <c r="K890" s="3" t="n"/>
      <c r="L890" s="3" t="n"/>
      <c r="M890" s="2" t="inlineStr">
        <is>
          <t>PriceCharting</t>
        </is>
      </c>
      <c r="N890" s="4" t="inlineStr">
        <is>
          <t>https://www.pricecharting.com/game/pokemon-celebrations/lance's-charizard-v-big-tin</t>
        </is>
      </c>
    </row>
    <row r="891">
      <c r="A891" s="2" t="inlineStr">
        <is>
          <t>Celebrations Lance's Charizard V Box</t>
        </is>
      </c>
      <c r="B891" s="3">
        <f>IF(I891&lt;&gt;"",I891,IF(J891&lt;&gt;"",J891,IF(K891&lt;&gt;"",K891,L891)))</f>
        <v>144.89</v>
      </c>
      <c r="C891" s="3">
        <f>MEDIAN(I891:L891)</f>
        <v>144.89</v>
      </c>
      <c r="D891" s="3">
        <f>ROUND(C891*(1-Settings!$B$2),2)</f>
        <v>101.42</v>
      </c>
      <c r="E891" s="3">
        <f>ROUND(C891*(1-Settings!$B$3),2)</f>
        <v>101.42</v>
      </c>
      <c r="F891" s="2" t="inlineStr">
        <is>
          <t>Pokemon</t>
        </is>
      </c>
      <c r="G891" s="2" t="inlineStr">
        <is>
          <t>Coffret</t>
        </is>
      </c>
      <c r="H891" s="2" t="inlineStr">
        <is>
          <t>Celebrations</t>
        </is>
      </c>
      <c r="I891" s="3" t="n">
        <v>144.89</v>
      </c>
      <c r="J891" s="3" t="n"/>
      <c r="K891" s="3" t="n"/>
      <c r="L891" s="3" t="n"/>
      <c r="M891" s="2" t="inlineStr">
        <is>
          <t>PriceCharting</t>
        </is>
      </c>
      <c r="N891" s="4" t="inlineStr">
        <is>
          <t>https://www.pricecharting.com/game/pokemon-celebrations/lance's-charizard-v-box</t>
        </is>
      </c>
    </row>
    <row r="892">
      <c r="A892" s="2" t="inlineStr">
        <is>
          <t>Celebrations Lance's Charizard V Tin</t>
        </is>
      </c>
      <c r="B892" s="3">
        <f>IF(I892&lt;&gt;"",I892,IF(J892&lt;&gt;"",J892,IF(K892&lt;&gt;"",K892,L892)))</f>
        <v>140.0</v>
      </c>
      <c r="C892" s="3">
        <f>MEDIAN(I892:L892)</f>
        <v>140.0</v>
      </c>
      <c r="D892" s="3">
        <f>ROUND(C892*(1-Settings!$B$2),2)</f>
        <v>98.0</v>
      </c>
      <c r="E892" s="3">
        <f>ROUND(C892*(1-Settings!$B$3),2)</f>
        <v>98.0</v>
      </c>
      <c r="F892" s="2" t="inlineStr">
        <is>
          <t>Pokemon</t>
        </is>
      </c>
      <c r="G892" s="2" t="inlineStr">
        <is>
          <t>Coffret</t>
        </is>
      </c>
      <c r="H892" s="2" t="inlineStr">
        <is>
          <t>Celebrations</t>
        </is>
      </c>
      <c r="I892" s="3" t="n">
        <v>140</v>
      </c>
      <c r="J892" s="3" t="n"/>
      <c r="K892" s="3" t="n"/>
      <c r="L892" s="3" t="n"/>
      <c r="M892" s="2" t="inlineStr">
        <is>
          <t>PriceCharting</t>
        </is>
      </c>
      <c r="N892" s="4" t="inlineStr">
        <is>
          <t>https://www.pricecharting.com/game/pokemon-celebrations/lance's-charizard-v-tin</t>
        </is>
      </c>
    </row>
    <row r="893">
      <c r="A893" s="2" t="inlineStr">
        <is>
          <t>Celebrations Manaphy Mythical Collection Box</t>
        </is>
      </c>
      <c r="B893" s="3">
        <f>IF(I893&lt;&gt;"",I893,IF(J893&lt;&gt;"",J893,IF(K893&lt;&gt;"",K893,L893)))</f>
        <v>555.0</v>
      </c>
      <c r="C893" s="3">
        <f>MEDIAN(I893:L893)</f>
        <v>555.0</v>
      </c>
      <c r="D893" s="3">
        <f>ROUND(C893*(1-Settings!$B$2),2)</f>
        <v>388.5</v>
      </c>
      <c r="E893" s="3">
        <f>ROUND(C893*(1-Settings!$B$3),2)</f>
        <v>388.5</v>
      </c>
      <c r="F893" s="2" t="inlineStr">
        <is>
          <t>Pokemon</t>
        </is>
      </c>
      <c r="G893" s="2" t="inlineStr">
        <is>
          <t>Coffret</t>
        </is>
      </c>
      <c r="H893" s="2" t="inlineStr">
        <is>
          <t>Celebrations</t>
        </is>
      </c>
      <c r="I893" s="3" t="n">
        <v>555</v>
      </c>
      <c r="J893" s="3" t="n"/>
      <c r="K893" s="3" t="n"/>
      <c r="L893" s="3" t="n"/>
      <c r="M893" s="2" t="inlineStr">
        <is>
          <t>PriceCharting</t>
        </is>
      </c>
      <c r="N893" s="4" t="inlineStr">
        <is>
          <t>https://www.pricecharting.com/game/pokemon-celebrations/manaphy-mythical-collection-box</t>
        </is>
      </c>
    </row>
    <row r="894">
      <c r="A894" s="2" t="inlineStr">
        <is>
          <t>Celebrations Meloetta Mythical Collection Box</t>
        </is>
      </c>
      <c r="B894" s="3">
        <f>IF(I894&lt;&gt;"",I894,IF(J894&lt;&gt;"",J894,IF(K894&lt;&gt;"",K894,L894)))</f>
        <v>399.97</v>
      </c>
      <c r="C894" s="3">
        <f>MEDIAN(I894:L894)</f>
        <v>399.97</v>
      </c>
      <c r="D894" s="3">
        <f>ROUND(C894*(1-Settings!$B$2),2)</f>
        <v>279.98</v>
      </c>
      <c r="E894" s="3">
        <f>ROUND(C894*(1-Settings!$B$3),2)</f>
        <v>279.98</v>
      </c>
      <c r="F894" s="2" t="inlineStr">
        <is>
          <t>Pokemon</t>
        </is>
      </c>
      <c r="G894" s="2" t="inlineStr">
        <is>
          <t>Coffret</t>
        </is>
      </c>
      <c r="H894" s="2" t="inlineStr">
        <is>
          <t>Celebrations</t>
        </is>
      </c>
      <c r="I894" s="3" t="n">
        <v>399.97</v>
      </c>
      <c r="J894" s="3" t="n"/>
      <c r="K894" s="3" t="n"/>
      <c r="L894" s="3" t="n"/>
      <c r="M894" s="2" t="inlineStr">
        <is>
          <t>PriceCharting</t>
        </is>
      </c>
      <c r="N894" s="4" t="inlineStr">
        <is>
          <t>https://www.pricecharting.com/game/pokemon-celebrations/meloetta-mythical-collection-box</t>
        </is>
      </c>
    </row>
    <row r="895">
      <c r="A895" s="2" t="inlineStr">
        <is>
          <t>Celebrations Mini Tin [Alola]</t>
        </is>
      </c>
      <c r="B895" s="3">
        <f>IF(I895&lt;&gt;"",I895,IF(J895&lt;&gt;"",J895,IF(K895&lt;&gt;"",K895,L895)))</f>
        <v>52.75</v>
      </c>
      <c r="C895" s="3">
        <f>MEDIAN(I895:L895)</f>
        <v>95.75</v>
      </c>
      <c r="D895" s="3">
        <f>ROUND(C895*(1-Settings!$B$2),2)</f>
        <v>67.03</v>
      </c>
      <c r="E895" s="3">
        <f>ROUND(C895*(1-Settings!$B$3),2)</f>
        <v>67.03</v>
      </c>
      <c r="F895" s="2" t="inlineStr">
        <is>
          <t>Pokemon</t>
        </is>
      </c>
      <c r="G895" s="2" t="inlineStr">
        <is>
          <t>Coffret</t>
        </is>
      </c>
      <c r="H895" s="2" t="inlineStr">
        <is>
          <t>Celebrations</t>
        </is>
      </c>
      <c r="I895" s="3" t="n"/>
      <c r="J895" s="3" t="n">
        <v>52.75</v>
      </c>
      <c r="K895" s="3" t="n">
        <v>105</v>
      </c>
      <c r="L895" s="3" t="n">
        <v>95.75</v>
      </c>
      <c r="M895" s="2" t="inlineStr">
        <is>
          <t>TCGplayer</t>
        </is>
      </c>
      <c r="O895" s="4" t="inlineStr">
        <is>
          <t>https://www.tcgplayer.com/product/242819</t>
        </is>
      </c>
    </row>
    <row r="896">
      <c r="A896" s="2" t="inlineStr">
        <is>
          <t>Celebrations Mini Tin [Galar]</t>
        </is>
      </c>
      <c r="B896" s="3">
        <f>IF(I896&lt;&gt;"",I896,IF(J896&lt;&gt;"",J896,IF(K896&lt;&gt;"",K896,L896)))</f>
        <v>59.89</v>
      </c>
      <c r="C896" s="3">
        <f>MEDIAN(I896:L896)</f>
        <v>81.99</v>
      </c>
      <c r="D896" s="3">
        <f>ROUND(C896*(1-Settings!$B$2),2)</f>
        <v>57.39</v>
      </c>
      <c r="E896" s="3">
        <f>ROUND(C896*(1-Settings!$B$3),2)</f>
        <v>57.39</v>
      </c>
      <c r="F896" s="2" t="inlineStr">
        <is>
          <t>Pokemon</t>
        </is>
      </c>
      <c r="G896" s="2" t="inlineStr">
        <is>
          <t>Coffret</t>
        </is>
      </c>
      <c r="H896" s="2" t="inlineStr">
        <is>
          <t>Celebrations</t>
        </is>
      </c>
      <c r="I896" s="3" t="n"/>
      <c r="J896" s="3" t="n">
        <v>59.89</v>
      </c>
      <c r="K896" s="3" t="n">
        <v>87.42</v>
      </c>
      <c r="L896" s="3" t="n">
        <v>81.98999999999999</v>
      </c>
      <c r="M896" s="2" t="inlineStr">
        <is>
          <t>TCGplayer</t>
        </is>
      </c>
      <c r="O896" s="4" t="inlineStr">
        <is>
          <t>https://www.tcgplayer.com/product/242820</t>
        </is>
      </c>
    </row>
    <row r="897">
      <c r="A897" s="2" t="inlineStr">
        <is>
          <t>Celebrations Mini Tin [Hoenn]</t>
        </is>
      </c>
      <c r="B897" s="3">
        <f>IF(I897&lt;&gt;"",I897,IF(J897&lt;&gt;"",J897,IF(K897&lt;&gt;"",K897,L897)))</f>
        <v>66.61</v>
      </c>
      <c r="C897" s="3">
        <f>MEDIAN(I897:L897)</f>
        <v>85.0</v>
      </c>
      <c r="D897" s="3">
        <f>ROUND(C897*(1-Settings!$B$2),2)</f>
        <v>59.5</v>
      </c>
      <c r="E897" s="3">
        <f>ROUND(C897*(1-Settings!$B$3),2)</f>
        <v>59.5</v>
      </c>
      <c r="F897" s="2" t="inlineStr">
        <is>
          <t>Pokemon</t>
        </is>
      </c>
      <c r="G897" s="2" t="inlineStr">
        <is>
          <t>Coffret</t>
        </is>
      </c>
      <c r="H897" s="2" t="inlineStr">
        <is>
          <t>Celebrations</t>
        </is>
      </c>
      <c r="I897" s="3" t="n"/>
      <c r="J897" s="3" t="n">
        <v>66.61</v>
      </c>
      <c r="K897" s="3" t="n">
        <v>90.69</v>
      </c>
      <c r="L897" s="3" t="n">
        <v>85</v>
      </c>
      <c r="M897" s="2" t="inlineStr">
        <is>
          <t>TCGplayer</t>
        </is>
      </c>
      <c r="O897" s="4" t="inlineStr">
        <is>
          <t>https://www.tcgplayer.com/product/242815</t>
        </is>
      </c>
    </row>
    <row r="898">
      <c r="A898" s="2" t="inlineStr">
        <is>
          <t>Celebrations Mini Tin [Kalos]</t>
        </is>
      </c>
      <c r="B898" s="3">
        <f>IF(I898&lt;&gt;"",I898,IF(J898&lt;&gt;"",J898,IF(K898&lt;&gt;"",K898,L898)))</f>
        <v>59.88</v>
      </c>
      <c r="C898" s="3">
        <f>MEDIAN(I898:L898)</f>
        <v>86.5</v>
      </c>
      <c r="D898" s="3">
        <f>ROUND(C898*(1-Settings!$B$2),2)</f>
        <v>60.55</v>
      </c>
      <c r="E898" s="3">
        <f>ROUND(C898*(1-Settings!$B$3),2)</f>
        <v>60.55</v>
      </c>
      <c r="F898" s="2" t="inlineStr">
        <is>
          <t>Pokemon</t>
        </is>
      </c>
      <c r="G898" s="2" t="inlineStr">
        <is>
          <t>Coffret</t>
        </is>
      </c>
      <c r="H898" s="2" t="inlineStr">
        <is>
          <t>Celebrations</t>
        </is>
      </c>
      <c r="I898" s="3" t="n"/>
      <c r="J898" s="3" t="n">
        <v>59.88</v>
      </c>
      <c r="K898" s="3" t="n">
        <v>90</v>
      </c>
      <c r="L898" s="3" t="n">
        <v>86.5</v>
      </c>
      <c r="M898" s="2" t="inlineStr">
        <is>
          <t>TCGplayer</t>
        </is>
      </c>
      <c r="O898" s="4" t="inlineStr">
        <is>
          <t>https://www.tcgplayer.com/product/242818</t>
        </is>
      </c>
    </row>
    <row r="899">
      <c r="A899" s="2" t="inlineStr">
        <is>
          <t>Celebrations Mini Tin [Kanto]</t>
        </is>
      </c>
      <c r="B899" s="3">
        <f>IF(I899&lt;&gt;"",I899,IF(J899&lt;&gt;"",J899,IF(K899&lt;&gt;"",K899,L899)))</f>
        <v>70.5</v>
      </c>
      <c r="C899" s="3">
        <f>MEDIAN(I899:L899)</f>
        <v>74.995</v>
      </c>
      <c r="D899" s="3">
        <f>ROUND(C899*(1-Settings!$B$2),2)</f>
        <v>52.5</v>
      </c>
      <c r="E899" s="3">
        <f>ROUND(C899*(1-Settings!$B$3),2)</f>
        <v>52.5</v>
      </c>
      <c r="F899" s="2" t="inlineStr">
        <is>
          <t>Pokemon</t>
        </is>
      </c>
      <c r="G899" s="2" t="inlineStr">
        <is>
          <t>Coffret</t>
        </is>
      </c>
      <c r="H899" s="2" t="inlineStr">
        <is>
          <t>Celebrations</t>
        </is>
      </c>
      <c r="I899" s="3" t="n">
        <v>70.5</v>
      </c>
      <c r="J899" s="3" t="n">
        <v>74.98999999999999</v>
      </c>
      <c r="K899" s="3" t="n">
        <v>92.94</v>
      </c>
      <c r="L899" s="3" t="n">
        <v>75</v>
      </c>
      <c r="M899" s="2" t="inlineStr">
        <is>
          <t>PriceCharting + TCGplayer</t>
        </is>
      </c>
      <c r="N899" s="4" t="inlineStr">
        <is>
          <t>https://www.pricecharting.com/game/pokemon-celebrations/mini-tin-kanto</t>
        </is>
      </c>
      <c r="O899" s="4" t="inlineStr">
        <is>
          <t>https://www.tcgplayer.com/product/242813</t>
        </is>
      </c>
    </row>
    <row r="900">
      <c r="A900" s="2" t="inlineStr">
        <is>
          <t>Celebrations Mini Tin [Sinnoh]</t>
        </is>
      </c>
      <c r="B900" s="3">
        <f>IF(I900&lt;&gt;"",I900,IF(J900&lt;&gt;"",J900,IF(K900&lt;&gt;"",K900,L900)))</f>
        <v>67.28</v>
      </c>
      <c r="C900" s="3">
        <f>MEDIAN(I900:L900)</f>
        <v>85.9</v>
      </c>
      <c r="D900" s="3">
        <f>ROUND(C900*(1-Settings!$B$2),2)</f>
        <v>60.13</v>
      </c>
      <c r="E900" s="3">
        <f>ROUND(C900*(1-Settings!$B$3),2)</f>
        <v>60.13</v>
      </c>
      <c r="F900" s="2" t="inlineStr">
        <is>
          <t>Pokemon</t>
        </is>
      </c>
      <c r="G900" s="2" t="inlineStr">
        <is>
          <t>Coffret</t>
        </is>
      </c>
      <c r="H900" s="2" t="inlineStr">
        <is>
          <t>Celebrations</t>
        </is>
      </c>
      <c r="I900" s="3" t="n"/>
      <c r="J900" s="3" t="n">
        <v>67.28</v>
      </c>
      <c r="K900" s="3" t="n">
        <v>90.98999999999999</v>
      </c>
      <c r="L900" s="3" t="n">
        <v>85.90000000000001</v>
      </c>
      <c r="M900" s="2" t="inlineStr">
        <is>
          <t>TCGplayer</t>
        </is>
      </c>
      <c r="O900" s="4" t="inlineStr">
        <is>
          <t>https://www.tcgplayer.com/product/242816</t>
        </is>
      </c>
    </row>
    <row r="901">
      <c r="A901" s="2" t="inlineStr">
        <is>
          <t>Celebrations Mini Tin [Unova]</t>
        </is>
      </c>
      <c r="B901" s="3">
        <f>IF(I901&lt;&gt;"",I901,IF(J901&lt;&gt;"",J901,IF(K901&lt;&gt;"",K901,L901)))</f>
        <v>52.92</v>
      </c>
      <c r="C901" s="3">
        <f>MEDIAN(I901:L901)</f>
        <v>67.99</v>
      </c>
      <c r="D901" s="3">
        <f>ROUND(C901*(1-Settings!$B$2),2)</f>
        <v>47.59</v>
      </c>
      <c r="E901" s="3">
        <f>ROUND(C901*(1-Settings!$B$3),2)</f>
        <v>47.59</v>
      </c>
      <c r="F901" s="2" t="inlineStr">
        <is>
          <t>Pokemon</t>
        </is>
      </c>
      <c r="G901" s="2" t="inlineStr">
        <is>
          <t>Coffret</t>
        </is>
      </c>
      <c r="H901" s="2" t="inlineStr">
        <is>
          <t>Celebrations</t>
        </is>
      </c>
      <c r="I901" s="3" t="n"/>
      <c r="J901" s="3" t="n">
        <v>52.92</v>
      </c>
      <c r="K901" s="3" t="n">
        <v>86.5</v>
      </c>
      <c r="L901" s="3" t="n">
        <v>67.98999999999999</v>
      </c>
      <c r="M901" s="2" t="inlineStr">
        <is>
          <t>TCGplayer</t>
        </is>
      </c>
      <c r="O901" s="4" t="inlineStr">
        <is>
          <t>https://www.tcgplayer.com/product/242817</t>
        </is>
      </c>
    </row>
    <row r="902">
      <c r="A902" s="2" t="inlineStr">
        <is>
          <t>Celebrations Pokemon Center Elite Trainer Box (Exclusive)</t>
        </is>
      </c>
      <c r="B902" s="3">
        <f>IF(I902&lt;&gt;"",I902,IF(J902&lt;&gt;"",J902,IF(K902&lt;&gt;"",K902,L902)))</f>
        <v>495.37</v>
      </c>
      <c r="C902" s="3">
        <f>MEDIAN(I902:L902)</f>
        <v>495.37</v>
      </c>
      <c r="D902" s="3">
        <f>ROUND(C902*(1-Settings!$B$2),2)</f>
        <v>346.76</v>
      </c>
      <c r="E902" s="3">
        <f>ROUND(C902*(1-Settings!$B$3),2)</f>
        <v>346.76</v>
      </c>
      <c r="F902" s="2" t="inlineStr">
        <is>
          <t>Pokemon</t>
        </is>
      </c>
      <c r="G902" s="2" t="inlineStr">
        <is>
          <t>Coffret</t>
        </is>
      </c>
      <c r="H902" s="2" t="inlineStr">
        <is>
          <t>Celebrations</t>
        </is>
      </c>
      <c r="I902" s="3" t="n"/>
      <c r="J902" s="3" t="n">
        <v>495.37</v>
      </c>
      <c r="K902" s="3" t="n">
        <v>634.5</v>
      </c>
      <c r="L902" s="3" t="n">
        <v>469.99</v>
      </c>
      <c r="M902" s="2" t="inlineStr">
        <is>
          <t>TCGplayer</t>
        </is>
      </c>
      <c r="O902" s="4" t="inlineStr">
        <is>
          <t>https://www.tcgplayer.com/product/251199</t>
        </is>
      </c>
    </row>
    <row r="903">
      <c r="A903" s="2" t="inlineStr">
        <is>
          <t>Celebrations Premium Figure Collection [Pikachu VMAX]</t>
        </is>
      </c>
      <c r="B903" s="3">
        <f>IF(I903&lt;&gt;"",I903,IF(J903&lt;&gt;"",J903,IF(K903&lt;&gt;"",K903,L903)))</f>
        <v>301.4</v>
      </c>
      <c r="C903" s="3">
        <f>MEDIAN(I903:L903)</f>
        <v>301.4</v>
      </c>
      <c r="D903" s="3">
        <f>ROUND(C903*(1-Settings!$B$2),2)</f>
        <v>210.98</v>
      </c>
      <c r="E903" s="3">
        <f>ROUND(C903*(1-Settings!$B$3),2)</f>
        <v>210.98</v>
      </c>
      <c r="F903" s="2" t="inlineStr">
        <is>
          <t>Pokemon</t>
        </is>
      </c>
      <c r="G903" s="2" t="inlineStr">
        <is>
          <t>Coffret</t>
        </is>
      </c>
      <c r="H903" s="2" t="inlineStr">
        <is>
          <t>Celebrations</t>
        </is>
      </c>
      <c r="I903" s="3" t="n"/>
      <c r="J903" s="3" t="n">
        <v>301.4</v>
      </c>
      <c r="K903" s="3" t="n">
        <v>303.52</v>
      </c>
      <c r="L903" s="3" t="n">
        <v>255</v>
      </c>
      <c r="M903" s="2" t="inlineStr">
        <is>
          <t>TCGplayer</t>
        </is>
      </c>
      <c r="O903" s="4" t="inlineStr">
        <is>
          <t>https://www.tcgplayer.com/product/245139</t>
        </is>
      </c>
    </row>
    <row r="904">
      <c r="A904" s="2" t="inlineStr">
        <is>
          <t>Celebrations Premium Figure Collection Pikachu VMAX Box</t>
        </is>
      </c>
      <c r="B904" s="3">
        <f>IF(I904&lt;&gt;"",I904,IF(J904&lt;&gt;"",J904,IF(K904&lt;&gt;"",K904,L904)))</f>
        <v>228.52</v>
      </c>
      <c r="C904" s="3">
        <f>MEDIAN(I904:L904)</f>
        <v>228.52</v>
      </c>
      <c r="D904" s="3">
        <f>ROUND(C904*(1-Settings!$B$2),2)</f>
        <v>159.96</v>
      </c>
      <c r="E904" s="3">
        <f>ROUND(C904*(1-Settings!$B$3),2)</f>
        <v>159.96</v>
      </c>
      <c r="F904" s="2" t="inlineStr">
        <is>
          <t>Pokemon</t>
        </is>
      </c>
      <c r="G904" s="2" t="inlineStr">
        <is>
          <t>Coffret</t>
        </is>
      </c>
      <c r="H904" s="2" t="inlineStr">
        <is>
          <t>Celebrations</t>
        </is>
      </c>
      <c r="I904" s="3" t="n">
        <v>228.52</v>
      </c>
      <c r="J904" s="3" t="n"/>
      <c r="K904" s="3" t="n"/>
      <c r="L904" s="3" t="n"/>
      <c r="M904" s="2" t="inlineStr">
        <is>
          <t>PriceCharting</t>
        </is>
      </c>
      <c r="N904" s="4" t="inlineStr">
        <is>
          <t>https://www.pricecharting.com/game/pokemon-celebrations/premium-figure-collection-pikachu-vmax-box</t>
        </is>
      </c>
    </row>
    <row r="905">
      <c r="A905" s="2" t="inlineStr">
        <is>
          <t>Celebrations Premium Playmat Collection [Pikachu V-UNION]</t>
        </is>
      </c>
      <c r="B905" s="3">
        <f>IF(I905&lt;&gt;"",I905,IF(J905&lt;&gt;"",J905,IF(K905&lt;&gt;"",K905,L905)))</f>
        <v>240.61</v>
      </c>
      <c r="C905" s="3">
        <f>MEDIAN(I905:L905)</f>
        <v>240.61</v>
      </c>
      <c r="D905" s="3">
        <f>ROUND(C905*(1-Settings!$B$2),2)</f>
        <v>168.43</v>
      </c>
      <c r="E905" s="3">
        <f>ROUND(C905*(1-Settings!$B$3),2)</f>
        <v>168.43</v>
      </c>
      <c r="F905" s="2" t="inlineStr">
        <is>
          <t>Pokemon</t>
        </is>
      </c>
      <c r="G905" s="2" t="inlineStr">
        <is>
          <t>Coffret</t>
        </is>
      </c>
      <c r="H905" s="2" t="inlineStr">
        <is>
          <t>Celebrations</t>
        </is>
      </c>
      <c r="I905" s="3" t="n"/>
      <c r="J905" s="3" t="n">
        <v>240.61</v>
      </c>
      <c r="K905" s="3" t="n">
        <v>245.99</v>
      </c>
      <c r="L905" s="3" t="n">
        <v>226.99</v>
      </c>
      <c r="M905" s="2" t="inlineStr">
        <is>
          <t>TCGplayer</t>
        </is>
      </c>
      <c r="O905" s="4" t="inlineStr">
        <is>
          <t>https://www.tcgplayer.com/product/251217</t>
        </is>
      </c>
    </row>
    <row r="906">
      <c r="A906" s="2" t="inlineStr">
        <is>
          <t>Celebrations Premium Playmat Collection Box [Pikachu V-UNION]</t>
        </is>
      </c>
      <c r="B906" s="3">
        <f>IF(I906&lt;&gt;"",I906,IF(J906&lt;&gt;"",J906,IF(K906&lt;&gt;"",K906,L906)))</f>
        <v>239.95</v>
      </c>
      <c r="C906" s="3">
        <f>MEDIAN(I906:L906)</f>
        <v>239.95</v>
      </c>
      <c r="D906" s="3">
        <f>ROUND(C906*(1-Settings!$B$2),2)</f>
        <v>167.97</v>
      </c>
      <c r="E906" s="3">
        <f>ROUND(C906*(1-Settings!$B$3),2)</f>
        <v>167.97</v>
      </c>
      <c r="F906" s="2" t="inlineStr">
        <is>
          <t>Pokemon</t>
        </is>
      </c>
      <c r="G906" s="2" t="inlineStr">
        <is>
          <t>Coffret</t>
        </is>
      </c>
      <c r="H906" s="2" t="inlineStr">
        <is>
          <t>Celebrations</t>
        </is>
      </c>
      <c r="I906" s="3" t="n">
        <v>239.95</v>
      </c>
      <c r="J906" s="3" t="n"/>
      <c r="K906" s="3" t="n"/>
      <c r="L906" s="3" t="n"/>
      <c r="M906" s="2" t="inlineStr">
        <is>
          <t>PriceCharting</t>
        </is>
      </c>
      <c r="N906" s="4" t="inlineStr">
        <is>
          <t>https://www.pricecharting.com/game/pokemon-celebrations/celebrations-premium-playmat-collection-box-pikachu-v-union</t>
        </is>
      </c>
    </row>
    <row r="907">
      <c r="A907" s="2" t="inlineStr">
        <is>
          <t>Celebrations Prime Collection</t>
        </is>
      </c>
      <c r="B907" s="3">
        <f>IF(I907&lt;&gt;"",I907,IF(J907&lt;&gt;"",J907,IF(K907&lt;&gt;"",K907,L907)))</f>
        <v>261.46</v>
      </c>
      <c r="C907" s="3">
        <f>MEDIAN(I907:L907)</f>
        <v>348.33500000000004</v>
      </c>
      <c r="D907" s="3">
        <f>ROUND(C907*(1-Settings!$B$2),2)</f>
        <v>243.83</v>
      </c>
      <c r="E907" s="3">
        <f>ROUND(C907*(1-Settings!$B$3),2)</f>
        <v>243.83</v>
      </c>
      <c r="F907" s="2" t="inlineStr">
        <is>
          <t>Pokemon</t>
        </is>
      </c>
      <c r="G907" s="2" t="inlineStr">
        <is>
          <t>Coffret</t>
        </is>
      </c>
      <c r="H907" s="2" t="inlineStr">
        <is>
          <t>Celebrations</t>
        </is>
      </c>
      <c r="I907" s="3" t="n">
        <v>261.46</v>
      </c>
      <c r="J907" s="3" t="n">
        <v>359.18</v>
      </c>
      <c r="K907" s="3" t="n">
        <v>398.13</v>
      </c>
      <c r="L907" s="3" t="n">
        <v>337.49</v>
      </c>
      <c r="M907" s="2" t="inlineStr">
        <is>
          <t>PriceCharting + TCGplayer</t>
        </is>
      </c>
      <c r="N907" s="4" t="inlineStr">
        <is>
          <t>https://www.pricecharting.com/game/pokemon-celebrations/prime-collection</t>
        </is>
      </c>
      <c r="O907" s="4" t="inlineStr">
        <is>
          <t>https://www.tcgplayer.com/product/252416</t>
        </is>
      </c>
    </row>
    <row r="908">
      <c r="A908" s="2" t="inlineStr">
        <is>
          <t>Celebrations Special Collection - V Memories</t>
        </is>
      </c>
      <c r="B908" s="3">
        <f>IF(I908&lt;&gt;"",I908,IF(J908&lt;&gt;"",J908,IF(K908&lt;&gt;"",K908,L908)))</f>
        <v>199.79</v>
      </c>
      <c r="C908" s="3">
        <f>MEDIAN(I908:L908)</f>
        <v>199.79</v>
      </c>
      <c r="D908" s="3">
        <f>ROUND(C908*(1-Settings!$B$2),2)</f>
        <v>139.85</v>
      </c>
      <c r="E908" s="3">
        <f>ROUND(C908*(1-Settings!$B$3),2)</f>
        <v>139.85</v>
      </c>
      <c r="F908" s="2" t="inlineStr">
        <is>
          <t>Pokemon</t>
        </is>
      </c>
      <c r="G908" s="2" t="inlineStr">
        <is>
          <t>Coffret</t>
        </is>
      </c>
      <c r="H908" s="2" t="inlineStr">
        <is>
          <t>Celebrations</t>
        </is>
      </c>
      <c r="I908" s="3" t="n"/>
      <c r="J908" s="3" t="n">
        <v>199.79</v>
      </c>
      <c r="K908" s="3" t="n">
        <v>209.99</v>
      </c>
      <c r="L908" s="3" t="n">
        <v>182.98</v>
      </c>
      <c r="M908" s="2" t="inlineStr">
        <is>
          <t>TCGplayer</t>
        </is>
      </c>
      <c r="O908" s="4" t="inlineStr">
        <is>
          <t>https://www.tcgplayer.com/product/247470</t>
        </is>
      </c>
    </row>
    <row r="909">
      <c r="A909" s="2" t="inlineStr">
        <is>
          <t>Celebrations Special Collection: Pikachu V-UNION Box</t>
        </is>
      </c>
      <c r="B909" s="3">
        <f>IF(I909&lt;&gt;"",I909,IF(J909&lt;&gt;"",J909,IF(K909&lt;&gt;"",K909,L909)))</f>
        <v>185.07</v>
      </c>
      <c r="C909" s="3">
        <f>MEDIAN(I909:L909)</f>
        <v>185.07</v>
      </c>
      <c r="D909" s="3">
        <f>ROUND(C909*(1-Settings!$B$2),2)</f>
        <v>129.55</v>
      </c>
      <c r="E909" s="3">
        <f>ROUND(C909*(1-Settings!$B$3),2)</f>
        <v>129.55</v>
      </c>
      <c r="F909" s="2" t="inlineStr">
        <is>
          <t>Pokemon</t>
        </is>
      </c>
      <c r="G909" s="2" t="inlineStr">
        <is>
          <t>Coffret</t>
        </is>
      </c>
      <c r="H909" s="2" t="inlineStr">
        <is>
          <t>Celebrations</t>
        </is>
      </c>
      <c r="I909" s="3" t="n">
        <v>185.07</v>
      </c>
      <c r="J909" s="3" t="n"/>
      <c r="K909" s="3" t="n"/>
      <c r="L909" s="3" t="n"/>
      <c r="M909" s="2" t="inlineStr">
        <is>
          <t>PriceCharting</t>
        </is>
      </c>
      <c r="N909" s="4" t="inlineStr">
        <is>
          <t>https://www.pricecharting.com/game/pokemon-celebrations/special-collection-pikachu-v-union-box</t>
        </is>
      </c>
    </row>
    <row r="910">
      <c r="A910" s="2" t="inlineStr">
        <is>
          <t>Celebrations Ultra Premium Collection Box</t>
        </is>
      </c>
      <c r="B910" s="3">
        <f>IF(I910&lt;&gt;"",I910,IF(J910&lt;&gt;"",J910,IF(K910&lt;&gt;"",K910,L910)))</f>
        <v>1135.41</v>
      </c>
      <c r="C910" s="3">
        <f>MEDIAN(I910:L910)</f>
        <v>1135.41</v>
      </c>
      <c r="D910" s="3">
        <f>ROUND(C910*(1-Settings!$B$2),2)</f>
        <v>794.79</v>
      </c>
      <c r="E910" s="3">
        <f>ROUND(C910*(1-Settings!$B$3),2)</f>
        <v>794.79</v>
      </c>
      <c r="F910" s="2" t="inlineStr">
        <is>
          <t>Pokemon</t>
        </is>
      </c>
      <c r="G910" s="2" t="inlineStr">
        <is>
          <t>Coffret</t>
        </is>
      </c>
      <c r="H910" s="2" t="inlineStr">
        <is>
          <t>Celebrations</t>
        </is>
      </c>
      <c r="I910" s="3" t="n">
        <v>1135.41</v>
      </c>
      <c r="J910" s="3" t="n"/>
      <c r="K910" s="3" t="n"/>
      <c r="L910" s="3" t="n"/>
      <c r="M910" s="2" t="inlineStr">
        <is>
          <t>PriceCharting</t>
        </is>
      </c>
      <c r="N910" s="4" t="inlineStr">
        <is>
          <t>https://www.pricecharting.com/game/pokemon-celebrations/ultra-premium-collection-box</t>
        </is>
      </c>
    </row>
    <row r="911">
      <c r="A911" s="2" t="inlineStr">
        <is>
          <t>Celebrations Ultra-Premium Collection</t>
        </is>
      </c>
      <c r="B911" s="3">
        <f>IF(I911&lt;&gt;"",I911,IF(J911&lt;&gt;"",J911,IF(K911&lt;&gt;"",K911,L911)))</f>
        <v>1235.21</v>
      </c>
      <c r="C911" s="3">
        <f>MEDIAN(I911:L911)</f>
        <v>1235.21</v>
      </c>
      <c r="D911" s="3">
        <f>ROUND(C911*(1-Settings!$B$2),2)</f>
        <v>864.65</v>
      </c>
      <c r="E911" s="3">
        <f>ROUND(C911*(1-Settings!$B$3),2)</f>
        <v>864.65</v>
      </c>
      <c r="F911" s="2" t="inlineStr">
        <is>
          <t>Pokemon</t>
        </is>
      </c>
      <c r="G911" s="2" t="inlineStr">
        <is>
          <t>Coffret</t>
        </is>
      </c>
      <c r="H911" s="2" t="inlineStr">
        <is>
          <t>Celebrations</t>
        </is>
      </c>
      <c r="I911" s="3" t="n"/>
      <c r="J911" s="3" t="n">
        <v>1235.21</v>
      </c>
      <c r="K911" s="3" t="n">
        <v>1325</v>
      </c>
      <c r="L911" s="3" t="n">
        <v>25</v>
      </c>
      <c r="M911" s="2" t="inlineStr">
        <is>
          <t>TCGplayer</t>
        </is>
      </c>
      <c r="O911" s="4" t="inlineStr">
        <is>
          <t>https://www.tcgplayer.com/product/245140</t>
        </is>
      </c>
    </row>
    <row r="912">
      <c r="A912" s="2" t="inlineStr">
        <is>
          <t>Celebrations V Memories Collection Box</t>
        </is>
      </c>
      <c r="B912" s="3">
        <f>IF(I912&lt;&gt;"",I912,IF(J912&lt;&gt;"",J912,IF(K912&lt;&gt;"",K912,L912)))</f>
        <v>189.25</v>
      </c>
      <c r="C912" s="3">
        <f>MEDIAN(I912:L912)</f>
        <v>189.25</v>
      </c>
      <c r="D912" s="3">
        <f>ROUND(C912*(1-Settings!$B$2),2)</f>
        <v>132.48</v>
      </c>
      <c r="E912" s="3">
        <f>ROUND(C912*(1-Settings!$B$3),2)</f>
        <v>132.48</v>
      </c>
      <c r="F912" s="2" t="inlineStr">
        <is>
          <t>Pokemon</t>
        </is>
      </c>
      <c r="G912" s="2" t="inlineStr">
        <is>
          <t>Coffret</t>
        </is>
      </c>
      <c r="H912" s="2" t="inlineStr">
        <is>
          <t>Celebrations</t>
        </is>
      </c>
      <c r="I912" s="3" t="n">
        <v>189.25</v>
      </c>
      <c r="J912" s="3" t="n"/>
      <c r="K912" s="3" t="n"/>
      <c r="L912" s="3" t="n"/>
      <c r="M912" s="2" t="inlineStr">
        <is>
          <t>PriceCharting</t>
        </is>
      </c>
      <c r="N912" s="4" t="inlineStr">
        <is>
          <t>https://www.pricecharting.com/game/pokemon-celebrations/v-memories-collection-box</t>
        </is>
      </c>
    </row>
    <row r="913">
      <c r="A913" s="2" t="inlineStr">
        <is>
          <t>Celebrations Victini Mythical Collection Box</t>
        </is>
      </c>
      <c r="B913" s="3">
        <f>IF(I913&lt;&gt;"",I913,IF(J913&lt;&gt;"",J913,IF(K913&lt;&gt;"",K913,L913)))</f>
        <v>509.67</v>
      </c>
      <c r="C913" s="3">
        <f>MEDIAN(I913:L913)</f>
        <v>509.67</v>
      </c>
      <c r="D913" s="3">
        <f>ROUND(C913*(1-Settings!$B$2),2)</f>
        <v>356.77</v>
      </c>
      <c r="E913" s="3">
        <f>ROUND(C913*(1-Settings!$B$3),2)</f>
        <v>356.77</v>
      </c>
      <c r="F913" s="2" t="inlineStr">
        <is>
          <t>Pokemon</t>
        </is>
      </c>
      <c r="G913" s="2" t="inlineStr">
        <is>
          <t>Coffret</t>
        </is>
      </c>
      <c r="H913" s="2" t="inlineStr">
        <is>
          <t>Celebrations</t>
        </is>
      </c>
      <c r="I913" s="3" t="n">
        <v>509.67</v>
      </c>
      <c r="J913" s="3" t="n"/>
      <c r="K913" s="3" t="n"/>
      <c r="L913" s="3" t="n"/>
      <c r="M913" s="2" t="inlineStr">
        <is>
          <t>PriceCharting</t>
        </is>
      </c>
      <c r="N913" s="4" t="inlineStr">
        <is>
          <t>https://www.pricecharting.com/game/pokemon-celebrations/victini-mythical-collection-box</t>
        </is>
      </c>
    </row>
    <row r="914">
      <c r="A914" s="2" t="inlineStr">
        <is>
          <t>Pokemon Celebrations International Tin [Dark Sylveon V]</t>
        </is>
      </c>
      <c r="B914" s="3">
        <f>IF(I914&lt;&gt;"",I914,IF(J914&lt;&gt;"",J914,IF(K914&lt;&gt;"",K914,L914)))</f>
        <v>127.85</v>
      </c>
      <c r="C914" s="3">
        <f>MEDIAN(I914:L914)</f>
        <v>127.85</v>
      </c>
      <c r="D914" s="3">
        <f>ROUND(C914*(1-Settings!$B$2),2)</f>
        <v>89.5</v>
      </c>
      <c r="E914" s="3">
        <f>ROUND(C914*(1-Settings!$B$3),2)</f>
        <v>89.5</v>
      </c>
      <c r="F914" s="2" t="inlineStr">
        <is>
          <t>Pokemon</t>
        </is>
      </c>
      <c r="G914" s="2" t="inlineStr">
        <is>
          <t>Coffret</t>
        </is>
      </c>
      <c r="H914" s="2" t="inlineStr">
        <is>
          <t>Celebrations</t>
        </is>
      </c>
      <c r="I914" s="3" t="n"/>
      <c r="J914" s="3" t="n">
        <v>127.85</v>
      </c>
      <c r="K914" s="3" t="n">
        <v>134.99</v>
      </c>
      <c r="L914" s="3" t="n">
        <v>125.37</v>
      </c>
      <c r="M914" s="2" t="inlineStr">
        <is>
          <t>TCGplayer</t>
        </is>
      </c>
      <c r="O914" s="4" t="inlineStr">
        <is>
          <t>https://www.tcgplayer.com/product/251988</t>
        </is>
      </c>
    </row>
    <row r="915">
      <c r="A915" s="2" t="inlineStr">
        <is>
          <t>Pokemon Celebrations International Tin [Lance's Charizard V]</t>
        </is>
      </c>
      <c r="B915" s="3">
        <f>IF(I915&lt;&gt;"",I915,IF(J915&lt;&gt;"",J915,IF(K915&lt;&gt;"",K915,L915)))</f>
        <v>116.49</v>
      </c>
      <c r="C915" s="3">
        <f>MEDIAN(I915:L915)</f>
        <v>116.49</v>
      </c>
      <c r="D915" s="3">
        <f>ROUND(C915*(1-Settings!$B$2),2)</f>
        <v>81.54</v>
      </c>
      <c r="E915" s="3">
        <f>ROUND(C915*(1-Settings!$B$3),2)</f>
        <v>81.54</v>
      </c>
      <c r="F915" s="2" t="inlineStr">
        <is>
          <t>Pokemon</t>
        </is>
      </c>
      <c r="G915" s="2" t="inlineStr">
        <is>
          <t>Coffret</t>
        </is>
      </c>
      <c r="H915" s="2" t="inlineStr">
        <is>
          <t>Celebrations</t>
        </is>
      </c>
      <c r="I915" s="3" t="n"/>
      <c r="J915" s="3" t="n">
        <v>116.49</v>
      </c>
      <c r="K915" s="3" t="n">
        <v>147</v>
      </c>
      <c r="L915" s="3" t="n">
        <v>114.99</v>
      </c>
      <c r="M915" s="2" t="inlineStr">
        <is>
          <t>TCGplayer</t>
        </is>
      </c>
      <c r="O915" s="4" t="inlineStr">
        <is>
          <t>https://www.tcgplayer.com/product/251987</t>
        </is>
      </c>
    </row>
    <row r="916">
      <c r="A916" s="2" t="inlineStr">
        <is>
          <t>Pokemon Celebrations International Tin [Set of 2]</t>
        </is>
      </c>
      <c r="B916" s="3">
        <f>IF(I916&lt;&gt;"",I916,IF(J916&lt;&gt;"",J916,IF(K916&lt;&gt;"",K916,L916)))</f>
        <v>250.58</v>
      </c>
      <c r="C916" s="3">
        <f>MEDIAN(I916:L916)</f>
        <v>289.99</v>
      </c>
      <c r="D916" s="3">
        <f>ROUND(C916*(1-Settings!$B$2),2)</f>
        <v>202.99</v>
      </c>
      <c r="E916" s="3">
        <f>ROUND(C916*(1-Settings!$B$3),2)</f>
        <v>202.99</v>
      </c>
      <c r="F916" s="2" t="inlineStr">
        <is>
          <t>Pokemon</t>
        </is>
      </c>
      <c r="G916" s="2" t="inlineStr">
        <is>
          <t>Coffret</t>
        </is>
      </c>
      <c r="H916" s="2" t="inlineStr">
        <is>
          <t>Celebrations</t>
        </is>
      </c>
      <c r="I916" s="3" t="n"/>
      <c r="J916" s="3" t="n">
        <v>250.58</v>
      </c>
      <c r="K916" s="3" t="n">
        <v>289.99</v>
      </c>
      <c r="L916" s="3" t="n">
        <v>289.99</v>
      </c>
      <c r="M916" s="2" t="inlineStr">
        <is>
          <t>TCGplayer</t>
        </is>
      </c>
      <c r="O916" s="4" t="inlineStr">
        <is>
          <t>https://www.tcgplayer.com/product/252739</t>
        </is>
      </c>
    </row>
    <row r="917">
      <c r="A917" s="2" t="inlineStr">
        <is>
          <t>Pokemon Celebrations Tin [Dark Sylveon V]</t>
        </is>
      </c>
      <c r="B917" s="3">
        <f>IF(I917&lt;&gt;"",I917,IF(J917&lt;&gt;"",J917,IF(K917&lt;&gt;"",K917,L917)))</f>
        <v>173.99</v>
      </c>
      <c r="C917" s="3">
        <f>MEDIAN(I917:L917)</f>
        <v>300.0</v>
      </c>
      <c r="D917" s="3">
        <f>ROUND(C917*(1-Settings!$B$2),2)</f>
        <v>210.0</v>
      </c>
      <c r="E917" s="3">
        <f>ROUND(C917*(1-Settings!$B$3),2)</f>
        <v>210.0</v>
      </c>
      <c r="F917" s="2" t="inlineStr">
        <is>
          <t>Pokemon</t>
        </is>
      </c>
      <c r="G917" s="2" t="inlineStr">
        <is>
          <t>Coffret</t>
        </is>
      </c>
      <c r="H917" s="2" t="inlineStr">
        <is>
          <t>Celebrations</t>
        </is>
      </c>
      <c r="I917" s="3" t="n"/>
      <c r="J917" s="3" t="n">
        <v>173.99</v>
      </c>
      <c r="K917" s="3" t="n">
        <v>385</v>
      </c>
      <c r="L917" s="3" t="n">
        <v>300</v>
      </c>
      <c r="M917" s="2" t="inlineStr">
        <is>
          <t>TCGplayer</t>
        </is>
      </c>
      <c r="O917" s="4" t="inlineStr">
        <is>
          <t>https://www.tcgplayer.com/product/251989</t>
        </is>
      </c>
    </row>
    <row r="918">
      <c r="A918" s="2" t="inlineStr">
        <is>
          <t>Pokemon Celebrations Tin [Lance's Charizard V]</t>
        </is>
      </c>
      <c r="B918" s="3">
        <f>IF(I918&lt;&gt;"",I918,IF(J918&lt;&gt;"",J918,IF(K918&lt;&gt;"",K918,L918)))</f>
        <v>187.73</v>
      </c>
      <c r="C918" s="3">
        <f>MEDIAN(I918:L918)</f>
        <v>385.0</v>
      </c>
      <c r="D918" s="3">
        <f>ROUND(C918*(1-Settings!$B$2),2)</f>
        <v>269.5</v>
      </c>
      <c r="E918" s="3">
        <f>ROUND(C918*(1-Settings!$B$3),2)</f>
        <v>269.5</v>
      </c>
      <c r="F918" s="2" t="inlineStr">
        <is>
          <t>Pokemon</t>
        </is>
      </c>
      <c r="G918" s="2" t="inlineStr">
        <is>
          <t>Coffret</t>
        </is>
      </c>
      <c r="H918" s="2" t="inlineStr">
        <is>
          <t>Celebrations</t>
        </is>
      </c>
      <c r="I918" s="3" t="n"/>
      <c r="J918" s="3" t="n">
        <v>187.73</v>
      </c>
      <c r="K918" s="3" t="n">
        <v>399.98</v>
      </c>
      <c r="L918" s="3" t="n">
        <v>385</v>
      </c>
      <c r="M918" s="2" t="inlineStr">
        <is>
          <t>TCGplayer</t>
        </is>
      </c>
      <c r="O918" s="4" t="inlineStr">
        <is>
          <t>https://www.tcgplayer.com/product/251986</t>
        </is>
      </c>
    </row>
    <row r="919">
      <c r="A919" s="2" t="inlineStr">
        <is>
          <t>Celestial Storm Elite Trainer Box</t>
        </is>
      </c>
      <c r="B919" s="3">
        <f>IF(I919&lt;&gt;"",I919,IF(J919&lt;&gt;"",J919,IF(K919&lt;&gt;"",K919,L919)))</f>
        <v>1936.13</v>
      </c>
      <c r="C919" s="3">
        <f>MEDIAN(I919:L919)</f>
        <v>1936.13</v>
      </c>
      <c r="D919" s="3">
        <f>ROUND(C919*(1-Settings!$B$2),2)</f>
        <v>1355.29</v>
      </c>
      <c r="E919" s="3">
        <f>ROUND(C919*(1-Settings!$B$3),2)</f>
        <v>1355.29</v>
      </c>
      <c r="F919" s="2" t="inlineStr">
        <is>
          <t>Pokemon</t>
        </is>
      </c>
      <c r="G919" s="2" t="inlineStr">
        <is>
          <t>Coffret</t>
        </is>
      </c>
      <c r="H919" s="2" t="inlineStr">
        <is>
          <t>Celestial Storm</t>
        </is>
      </c>
      <c r="I919" s="3" t="n">
        <v>1936.13</v>
      </c>
      <c r="J919" s="3" t="n"/>
      <c r="K919" s="3" t="n"/>
      <c r="L919" s="3" t="n"/>
      <c r="M919" s="2" t="inlineStr">
        <is>
          <t>PriceCharting</t>
        </is>
      </c>
      <c r="N919" s="4" t="inlineStr">
        <is>
          <t>https://www.pricecharting.com/game/pokemon-celestial-storm/elite-trainer-box</t>
        </is>
      </c>
    </row>
    <row r="920">
      <c r="A920" s="2" t="inlineStr">
        <is>
          <t>Celestial Storm Evolution Celebration Tin [Glaceon GX]</t>
        </is>
      </c>
      <c r="B920" s="3">
        <f>IF(I920&lt;&gt;"",I920,IF(J920&lt;&gt;"",J920,IF(K920&lt;&gt;"",K920,L920)))</f>
        <v>144.95</v>
      </c>
      <c r="C920" s="3">
        <f>MEDIAN(I920:L920)</f>
        <v>144.95</v>
      </c>
      <c r="D920" s="3">
        <f>ROUND(C920*(1-Settings!$B$2),2)</f>
        <v>101.47</v>
      </c>
      <c r="E920" s="3">
        <f>ROUND(C920*(1-Settings!$B$3),2)</f>
        <v>101.47</v>
      </c>
      <c r="F920" s="2" t="inlineStr">
        <is>
          <t>Pokemon</t>
        </is>
      </c>
      <c r="G920" s="2" t="inlineStr">
        <is>
          <t>Coffret</t>
        </is>
      </c>
      <c r="H920" s="2" t="inlineStr">
        <is>
          <t>Celestial Storm</t>
        </is>
      </c>
      <c r="I920" s="3" t="n">
        <v>144.95</v>
      </c>
      <c r="J920" s="3" t="n"/>
      <c r="K920" s="3" t="n"/>
      <c r="L920" s="3" t="n"/>
      <c r="M920" s="2" t="inlineStr">
        <is>
          <t>PriceCharting</t>
        </is>
      </c>
      <c r="N920" s="4" t="inlineStr">
        <is>
          <t>https://www.pricecharting.com/game/pokemon-celestial-storm/evolution-celebration-tin-glaceon-gx</t>
        </is>
      </c>
    </row>
    <row r="921">
      <c r="A921" s="2" t="inlineStr">
        <is>
          <t>Champion's Path Booster Pack Art Bundle [Set of 4]</t>
        </is>
      </c>
      <c r="B921" s="3">
        <f>IF(I921&lt;&gt;"",I921,IF(J921&lt;&gt;"",J921,IF(K921&lt;&gt;"",K921,L921)))</f>
        <v>87.95</v>
      </c>
      <c r="C921" s="3">
        <f>MEDIAN(I921:L921)</f>
        <v>87.95</v>
      </c>
      <c r="D921" s="3">
        <f>ROUND(C921*(1-Settings!$B$2),2)</f>
        <v>61.57</v>
      </c>
      <c r="E921" s="3">
        <f>ROUND(C921*(1-Settings!$B$3),2)</f>
        <v>61.57</v>
      </c>
      <c r="F921" s="2" t="inlineStr">
        <is>
          <t>Pokemon</t>
        </is>
      </c>
      <c r="G921" s="2" t="inlineStr">
        <is>
          <t>Coffret</t>
        </is>
      </c>
      <c r="H921" s="2" t="inlineStr">
        <is>
          <t>Champion's Path</t>
        </is>
      </c>
      <c r="I921" s="3" t="n"/>
      <c r="J921" s="3" t="n">
        <v>87.95</v>
      </c>
      <c r="K921" s="3" t="n">
        <v>87.95</v>
      </c>
      <c r="L921" s="3" t="n">
        <v>87.95</v>
      </c>
      <c r="M921" s="2" t="inlineStr">
        <is>
          <t>TCGplayer</t>
        </is>
      </c>
      <c r="O921" s="4" t="inlineStr">
        <is>
          <t>https://www.tcgplayer.com/product/265318</t>
        </is>
      </c>
    </row>
    <row r="922">
      <c r="A922" s="2" t="inlineStr">
        <is>
          <t>Champion's Path Collection [Hatterene V]</t>
        </is>
      </c>
      <c r="B922" s="3">
        <f>IF(I922&lt;&gt;"",I922,IF(J922&lt;&gt;"",J922,IF(K922&lt;&gt;"",K922,L922)))</f>
        <v>57.17</v>
      </c>
      <c r="C922" s="3">
        <f>MEDIAN(I922:L922)</f>
        <v>72.0</v>
      </c>
      <c r="D922" s="3">
        <f>ROUND(C922*(1-Settings!$B$2),2)</f>
        <v>50.4</v>
      </c>
      <c r="E922" s="3">
        <f>ROUND(C922*(1-Settings!$B$3),2)</f>
        <v>50.4</v>
      </c>
      <c r="F922" s="2" t="inlineStr">
        <is>
          <t>Pokemon</t>
        </is>
      </c>
      <c r="G922" s="2" t="inlineStr">
        <is>
          <t>Coffret</t>
        </is>
      </c>
      <c r="H922" s="2" t="inlineStr">
        <is>
          <t>Champion's Path</t>
        </is>
      </c>
      <c r="I922" s="3" t="n"/>
      <c r="J922" s="3" t="n">
        <v>57.17</v>
      </c>
      <c r="K922" s="3" t="n">
        <v>89.98999999999999</v>
      </c>
      <c r="L922" s="3" t="n">
        <v>72</v>
      </c>
      <c r="M922" s="2" t="inlineStr">
        <is>
          <t>TCGplayer</t>
        </is>
      </c>
      <c r="O922" s="4" t="inlineStr">
        <is>
          <t>https://www.tcgplayer.com/product/218804</t>
        </is>
      </c>
    </row>
    <row r="923">
      <c r="A923" s="2" t="inlineStr">
        <is>
          <t>Champion's Path Elite Trainer Box</t>
        </is>
      </c>
      <c r="B923" s="3">
        <f>IF(I923&lt;&gt;"",I923,IF(J923&lt;&gt;"",J923,IF(K923&lt;&gt;"",K923,L923)))</f>
        <v>213.67</v>
      </c>
      <c r="C923" s="3">
        <f>MEDIAN(I923:L923)</f>
        <v>213.67</v>
      </c>
      <c r="D923" s="3">
        <f>ROUND(C923*(1-Settings!$B$2),2)</f>
        <v>149.57</v>
      </c>
      <c r="E923" s="3">
        <f>ROUND(C923*(1-Settings!$B$3),2)</f>
        <v>149.57</v>
      </c>
      <c r="F923" s="2" t="inlineStr">
        <is>
          <t>Pokemon</t>
        </is>
      </c>
      <c r="G923" s="2" t="inlineStr">
        <is>
          <t>Coffret</t>
        </is>
      </c>
      <c r="H923" s="2" t="inlineStr">
        <is>
          <t>Champion's Path</t>
        </is>
      </c>
      <c r="I923" s="3" t="n"/>
      <c r="J923" s="3" t="n">
        <v>213.67</v>
      </c>
      <c r="K923" s="3" t="n">
        <v>237.19</v>
      </c>
      <c r="L923" s="3" t="n">
        <v>194.41</v>
      </c>
      <c r="M923" s="2" t="inlineStr">
        <is>
          <t>TCGplayer</t>
        </is>
      </c>
      <c r="O923" s="4" t="inlineStr">
        <is>
          <t>https://www.tcgplayer.com/product/218791</t>
        </is>
      </c>
    </row>
    <row r="924">
      <c r="A924" s="2" t="inlineStr">
        <is>
          <t>Champion's Path Pin Collection [Ballonlea Gym]</t>
        </is>
      </c>
      <c r="B924" s="3">
        <f>IF(I924&lt;&gt;"",I924,IF(J924&lt;&gt;"",J924,IF(K924&lt;&gt;"",K924,L924)))</f>
        <v>66.32</v>
      </c>
      <c r="C924" s="3">
        <f>MEDIAN(I924:L924)</f>
        <v>66.32</v>
      </c>
      <c r="D924" s="3">
        <f>ROUND(C924*(1-Settings!$B$2),2)</f>
        <v>46.42</v>
      </c>
      <c r="E924" s="3">
        <f>ROUND(C924*(1-Settings!$B$3),2)</f>
        <v>46.42</v>
      </c>
      <c r="F924" s="2" t="inlineStr">
        <is>
          <t>Pokemon</t>
        </is>
      </c>
      <c r="G924" s="2" t="inlineStr">
        <is>
          <t>Coffret</t>
        </is>
      </c>
      <c r="H924" s="2" t="inlineStr">
        <is>
          <t>Champion's Path</t>
        </is>
      </c>
      <c r="I924" s="3" t="n"/>
      <c r="J924" s="3" t="n">
        <v>66.31999999999999</v>
      </c>
      <c r="K924" s="3" t="n">
        <v>71.5</v>
      </c>
      <c r="L924" s="3" t="n">
        <v>60</v>
      </c>
      <c r="M924" s="2" t="inlineStr">
        <is>
          <t>TCGplayer</t>
        </is>
      </c>
      <c r="O924" s="4" t="inlineStr">
        <is>
          <t>https://www.tcgplayer.com/product/218799</t>
        </is>
      </c>
    </row>
    <row r="925">
      <c r="A925" s="2" t="inlineStr">
        <is>
          <t>Champion's Path Pin Collection [Hulbury Gym]</t>
        </is>
      </c>
      <c r="B925" s="3">
        <f>IF(I925&lt;&gt;"",I925,IF(J925&lt;&gt;"",J925,IF(K925&lt;&gt;"",K925,L925)))</f>
        <v>59.66</v>
      </c>
      <c r="C925" s="3">
        <f>MEDIAN(I925:L925)</f>
        <v>59.66</v>
      </c>
      <c r="D925" s="3">
        <f>ROUND(C925*(1-Settings!$B$2),2)</f>
        <v>41.76</v>
      </c>
      <c r="E925" s="3">
        <f>ROUND(C925*(1-Settings!$B$3),2)</f>
        <v>41.76</v>
      </c>
      <c r="F925" s="2" t="inlineStr">
        <is>
          <t>Pokemon</t>
        </is>
      </c>
      <c r="G925" s="2" t="inlineStr">
        <is>
          <t>Coffret</t>
        </is>
      </c>
      <c r="H925" s="2" t="inlineStr">
        <is>
          <t>Champion's Path</t>
        </is>
      </c>
      <c r="I925" s="3" t="n"/>
      <c r="J925" s="3" t="n">
        <v>59.66</v>
      </c>
      <c r="K925" s="3" t="n">
        <v>77</v>
      </c>
      <c r="L925" s="3" t="n">
        <v>59.66</v>
      </c>
      <c r="M925" s="2" t="inlineStr">
        <is>
          <t>TCGplayer</t>
        </is>
      </c>
      <c r="O925" s="4" t="inlineStr">
        <is>
          <t>https://www.tcgplayer.com/product/218794</t>
        </is>
      </c>
    </row>
    <row r="926">
      <c r="A926" s="2" t="inlineStr">
        <is>
          <t>Champion's Path Pin Collection [Motostoke Gym]</t>
        </is>
      </c>
      <c r="B926" s="3">
        <f>IF(I926&lt;&gt;"",I926,IF(J926&lt;&gt;"",J926,IF(K926&lt;&gt;"",K926,L926)))</f>
        <v>63.7</v>
      </c>
      <c r="C926" s="3">
        <f>MEDIAN(I926:L926)</f>
        <v>75.0</v>
      </c>
      <c r="D926" s="3">
        <f>ROUND(C926*(1-Settings!$B$2),2)</f>
        <v>52.5</v>
      </c>
      <c r="E926" s="3">
        <f>ROUND(C926*(1-Settings!$B$3),2)</f>
        <v>52.5</v>
      </c>
      <c r="F926" s="2" t="inlineStr">
        <is>
          <t>Pokemon</t>
        </is>
      </c>
      <c r="G926" s="2" t="inlineStr">
        <is>
          <t>Coffret</t>
        </is>
      </c>
      <c r="H926" s="2" t="inlineStr">
        <is>
          <t>Champion's Path</t>
        </is>
      </c>
      <c r="I926" s="3" t="n"/>
      <c r="J926" s="3" t="n">
        <v>63.7</v>
      </c>
      <c r="K926" s="3" t="n">
        <v>88</v>
      </c>
      <c r="L926" s="3" t="n">
        <v>75</v>
      </c>
      <c r="M926" s="2" t="inlineStr">
        <is>
          <t>TCGplayer</t>
        </is>
      </c>
      <c r="O926" s="4" t="inlineStr">
        <is>
          <t>https://www.tcgplayer.com/product/218796</t>
        </is>
      </c>
    </row>
    <row r="927">
      <c r="A927" s="2" t="inlineStr">
        <is>
          <t>Champion's Path Pin Collection [Spikemuth Gym]</t>
        </is>
      </c>
      <c r="B927" s="3">
        <f>IF(I927&lt;&gt;"",I927,IF(J927&lt;&gt;"",J927,IF(K927&lt;&gt;"",K927,L927)))</f>
        <v>56.99</v>
      </c>
      <c r="C927" s="3">
        <f>MEDIAN(I927:L927)</f>
        <v>59.99</v>
      </c>
      <c r="D927" s="3">
        <f>ROUND(C927*(1-Settings!$B$2),2)</f>
        <v>41.99</v>
      </c>
      <c r="E927" s="3">
        <f>ROUND(C927*(1-Settings!$B$3),2)</f>
        <v>41.99</v>
      </c>
      <c r="F927" s="2" t="inlineStr">
        <is>
          <t>Pokemon</t>
        </is>
      </c>
      <c r="G927" s="2" t="inlineStr">
        <is>
          <t>Coffret</t>
        </is>
      </c>
      <c r="H927" s="2" t="inlineStr">
        <is>
          <t>Champion's Path</t>
        </is>
      </c>
      <c r="I927" s="3" t="n"/>
      <c r="J927" s="3" t="n">
        <v>56.99</v>
      </c>
      <c r="K927" s="3" t="n">
        <v>59.99</v>
      </c>
      <c r="L927" s="3" t="n">
        <v>59.99</v>
      </c>
      <c r="M927" s="2" t="inlineStr">
        <is>
          <t>TCGplayer</t>
        </is>
      </c>
      <c r="O927" s="4" t="inlineStr">
        <is>
          <t>https://www.tcgplayer.com/product/218800</t>
        </is>
      </c>
    </row>
    <row r="928">
      <c r="A928" s="2" t="inlineStr">
        <is>
          <t>Champion's Path Pin Collection [Turffield Gym]</t>
        </is>
      </c>
      <c r="B928" s="3">
        <f>IF(I928&lt;&gt;"",I928,IF(J928&lt;&gt;"",J928,IF(K928&lt;&gt;"",K928,L928)))</f>
        <v>59.95</v>
      </c>
      <c r="C928" s="3">
        <f>MEDIAN(I928:L928)</f>
        <v>59.95</v>
      </c>
      <c r="D928" s="3">
        <f>ROUND(C928*(1-Settings!$B$2),2)</f>
        <v>41.97</v>
      </c>
      <c r="E928" s="3">
        <f>ROUND(C928*(1-Settings!$B$3),2)</f>
        <v>41.97</v>
      </c>
      <c r="F928" s="2" t="inlineStr">
        <is>
          <t>Pokemon</t>
        </is>
      </c>
      <c r="G928" s="2" t="inlineStr">
        <is>
          <t>Coffret</t>
        </is>
      </c>
      <c r="H928" s="2" t="inlineStr">
        <is>
          <t>Champion's Path</t>
        </is>
      </c>
      <c r="I928" s="3" t="n"/>
      <c r="J928" s="3" t="n">
        <v>59.95</v>
      </c>
      <c r="K928" s="3" t="n">
        <v>75</v>
      </c>
      <c r="L928" s="3" t="n">
        <v>51.96</v>
      </c>
      <c r="M928" s="2" t="inlineStr">
        <is>
          <t>TCGplayer</t>
        </is>
      </c>
      <c r="O928" s="4" t="inlineStr">
        <is>
          <t>https://www.tcgplayer.com/product/218797</t>
        </is>
      </c>
    </row>
    <row r="929">
      <c r="A929" s="2" t="inlineStr">
        <is>
          <t>Champion's Path Premium Collection [Marnie]</t>
        </is>
      </c>
      <c r="B929" s="3">
        <f>IF(I929&lt;&gt;"",I929,IF(J929&lt;&gt;"",J929,IF(K929&lt;&gt;"",K929,L929)))</f>
        <v>146.0</v>
      </c>
      <c r="C929" s="3">
        <f>MEDIAN(I929:L929)</f>
        <v>146.0</v>
      </c>
      <c r="D929" s="3">
        <f>ROUND(C929*(1-Settings!$B$2),2)</f>
        <v>102.2</v>
      </c>
      <c r="E929" s="3">
        <f>ROUND(C929*(1-Settings!$B$3),2)</f>
        <v>102.2</v>
      </c>
      <c r="F929" s="2" t="inlineStr">
        <is>
          <t>Pokemon</t>
        </is>
      </c>
      <c r="G929" s="2" t="inlineStr">
        <is>
          <t>Coffret</t>
        </is>
      </c>
      <c r="H929" s="2" t="inlineStr">
        <is>
          <t>Champion's Path</t>
        </is>
      </c>
      <c r="I929" s="3" t="n"/>
      <c r="J929" s="3" t="n">
        <v>146</v>
      </c>
      <c r="K929" s="3" t="n">
        <v>177.98</v>
      </c>
      <c r="L929" s="3" t="n">
        <v>138.52</v>
      </c>
      <c r="M929" s="2" t="inlineStr">
        <is>
          <t>TCGplayer</t>
        </is>
      </c>
      <c r="O929" s="4" t="inlineStr">
        <is>
          <t>https://www.tcgplayer.com/product/218807</t>
        </is>
      </c>
    </row>
    <row r="930">
      <c r="A930" s="2" t="inlineStr">
        <is>
          <t>Champion's Path Special Pin Collection [Circhester]</t>
        </is>
      </c>
      <c r="B930" s="3">
        <f>IF(I930&lt;&gt;"",I930,IF(J930&lt;&gt;"",J930,IF(K930&lt;&gt;"",K930,L930)))</f>
        <v>78.32</v>
      </c>
      <c r="C930" s="3">
        <f>MEDIAN(I930:L930)</f>
        <v>99.99</v>
      </c>
      <c r="D930" s="3">
        <f>ROUND(C930*(1-Settings!$B$2),2)</f>
        <v>69.99</v>
      </c>
      <c r="E930" s="3">
        <f>ROUND(C930*(1-Settings!$B$3),2)</f>
        <v>69.99</v>
      </c>
      <c r="F930" s="2" t="inlineStr">
        <is>
          <t>Pokemon</t>
        </is>
      </c>
      <c r="G930" s="2" t="inlineStr">
        <is>
          <t>Coffret</t>
        </is>
      </c>
      <c r="H930" s="2" t="inlineStr">
        <is>
          <t>Champion's Path</t>
        </is>
      </c>
      <c r="I930" s="3" t="n"/>
      <c r="J930" s="3" t="n">
        <v>78.31999999999999</v>
      </c>
      <c r="K930" s="3" t="n">
        <v>108</v>
      </c>
      <c r="L930" s="3" t="n">
        <v>99.98999999999999</v>
      </c>
      <c r="M930" s="2" t="inlineStr">
        <is>
          <t>TCGplayer</t>
        </is>
      </c>
      <c r="O930" s="4" t="inlineStr">
        <is>
          <t>https://www.tcgplayer.com/product/218803</t>
        </is>
      </c>
    </row>
    <row r="931">
      <c r="A931" s="2" t="inlineStr">
        <is>
          <t>Champion's Path Special Pin Collection [Stow-on-Side]</t>
        </is>
      </c>
      <c r="B931" s="3">
        <f>IF(I931&lt;&gt;"",I931,IF(J931&lt;&gt;"",J931,IF(K931&lt;&gt;"",K931,L931)))</f>
        <v>272.63</v>
      </c>
      <c r="C931" s="3">
        <f>MEDIAN(I931:L931)</f>
        <v>280.0</v>
      </c>
      <c r="D931" s="3">
        <f>ROUND(C931*(1-Settings!$B$2),2)</f>
        <v>196.0</v>
      </c>
      <c r="E931" s="3">
        <f>ROUND(C931*(1-Settings!$B$3),2)</f>
        <v>196.0</v>
      </c>
      <c r="F931" s="2" t="inlineStr">
        <is>
          <t>Pokemon</t>
        </is>
      </c>
      <c r="G931" s="2" t="inlineStr">
        <is>
          <t>Coffret</t>
        </is>
      </c>
      <c r="H931" s="2" t="inlineStr">
        <is>
          <t>Champion's Path</t>
        </is>
      </c>
      <c r="I931" s="3" t="n"/>
      <c r="J931" s="3" t="n">
        <v>272.63</v>
      </c>
      <c r="K931" s="3" t="n">
        <v>301.49</v>
      </c>
      <c r="L931" s="3" t="n">
        <v>280</v>
      </c>
      <c r="M931" s="2" t="inlineStr">
        <is>
          <t>TCGplayer</t>
        </is>
      </c>
      <c r="O931" s="4" t="inlineStr">
        <is>
          <t>https://www.tcgplayer.com/product/218802</t>
        </is>
      </c>
    </row>
    <row r="932">
      <c r="A932" s="2" t="inlineStr">
        <is>
          <t>Chaos Rising Booster Bundle</t>
        </is>
      </c>
      <c r="B932" s="3">
        <f>IF(I932&lt;&gt;"",I932,IF(J932&lt;&gt;"",J932,IF(K932&lt;&gt;"",K932,L932)))</f>
        <v>38.0</v>
      </c>
      <c r="C932" s="3">
        <f>MEDIAN(I932:L932)</f>
        <v>38.0</v>
      </c>
      <c r="D932" s="3">
        <f>ROUND(C932*(1-Settings!$B$2),2)</f>
        <v>26.6</v>
      </c>
      <c r="E932" s="3">
        <f>ROUND(C932*(1-Settings!$B$3),2)</f>
        <v>26.6</v>
      </c>
      <c r="F932" s="2" t="inlineStr">
        <is>
          <t>Pokemon</t>
        </is>
      </c>
      <c r="G932" s="2" t="inlineStr">
        <is>
          <t>Coffret</t>
        </is>
      </c>
      <c r="H932" s="2" t="inlineStr">
        <is>
          <t>Chaos Rising</t>
        </is>
      </c>
      <c r="I932" s="3" t="n">
        <v>38</v>
      </c>
      <c r="J932" s="3" t="n"/>
      <c r="K932" s="3" t="n"/>
      <c r="L932" s="3" t="n"/>
      <c r="M932" s="2" t="inlineStr">
        <is>
          <t>PriceCharting</t>
        </is>
      </c>
      <c r="N932" s="4" t="inlineStr">
        <is>
          <t>https://www.pricecharting.com/game/pokemon-chaos-rising/booster-bundle</t>
        </is>
      </c>
    </row>
    <row r="933">
      <c r="A933" s="2" t="inlineStr">
        <is>
          <t>Chaos Rising Build &amp; Battle Box</t>
        </is>
      </c>
      <c r="B933" s="3">
        <f>IF(I933&lt;&gt;"",I933,IF(J933&lt;&gt;"",J933,IF(K933&lt;&gt;"",K933,L933)))</f>
        <v>42.68</v>
      </c>
      <c r="C933" s="3">
        <f>MEDIAN(I933:L933)</f>
        <v>42.68</v>
      </c>
      <c r="D933" s="3">
        <f>ROUND(C933*(1-Settings!$B$2),2)</f>
        <v>29.88</v>
      </c>
      <c r="E933" s="3">
        <f>ROUND(C933*(1-Settings!$B$3),2)</f>
        <v>29.88</v>
      </c>
      <c r="F933" s="2" t="inlineStr">
        <is>
          <t>Pokemon</t>
        </is>
      </c>
      <c r="G933" s="2" t="inlineStr">
        <is>
          <t>Coffret</t>
        </is>
      </c>
      <c r="H933" s="2" t="inlineStr">
        <is>
          <t>Chaos Rising</t>
        </is>
      </c>
      <c r="I933" s="3" t="n">
        <v>42.68</v>
      </c>
      <c r="J933" s="3" t="n"/>
      <c r="K933" s="3" t="n"/>
      <c r="L933" s="3" t="n"/>
      <c r="M933" s="2" t="inlineStr">
        <is>
          <t>PriceCharting</t>
        </is>
      </c>
      <c r="N933" s="4" t="inlineStr">
        <is>
          <t>https://www.pricecharting.com/game/pokemon-chaos-rising/build-&amp;-battle-box</t>
        </is>
      </c>
    </row>
    <row r="934">
      <c r="A934" s="2" t="inlineStr">
        <is>
          <t>Chaos Rising Elite Trainer Box</t>
        </is>
      </c>
      <c r="B934" s="3">
        <f>IF(I934&lt;&gt;"",I934,IF(J934&lt;&gt;"",J934,IF(K934&lt;&gt;"",K934,L934)))</f>
        <v>67.76</v>
      </c>
      <c r="C934" s="3">
        <f>MEDIAN(I934:L934)</f>
        <v>67.76</v>
      </c>
      <c r="D934" s="3">
        <f>ROUND(C934*(1-Settings!$B$2),2)</f>
        <v>47.43</v>
      </c>
      <c r="E934" s="3">
        <f>ROUND(C934*(1-Settings!$B$3),2)</f>
        <v>47.43</v>
      </c>
      <c r="F934" s="2" t="inlineStr">
        <is>
          <t>Pokemon</t>
        </is>
      </c>
      <c r="G934" s="2" t="inlineStr">
        <is>
          <t>Coffret</t>
        </is>
      </c>
      <c r="H934" s="2" t="inlineStr">
        <is>
          <t>Chaos Rising</t>
        </is>
      </c>
      <c r="I934" s="3" t="n">
        <v>67.76000000000001</v>
      </c>
      <c r="J934" s="3" t="n"/>
      <c r="K934" s="3" t="n"/>
      <c r="L934" s="3" t="n"/>
      <c r="M934" s="2" t="inlineStr">
        <is>
          <t>PriceCharting</t>
        </is>
      </c>
      <c r="N934" s="4" t="inlineStr">
        <is>
          <t>https://www.pricecharting.com/game/pokemon-chaos-rising/elite-trainer-box</t>
        </is>
      </c>
    </row>
    <row r="935">
      <c r="A935" s="2" t="inlineStr">
        <is>
          <t>Chaos Rising Elite Trainer Box [Pokemon Center]</t>
        </is>
      </c>
      <c r="B935" s="3">
        <f>IF(I935&lt;&gt;"",I935,IF(J935&lt;&gt;"",J935,IF(K935&lt;&gt;"",K935,L935)))</f>
        <v>123.13</v>
      </c>
      <c r="C935" s="3">
        <f>MEDIAN(I935:L935)</f>
        <v>123.13</v>
      </c>
      <c r="D935" s="3">
        <f>ROUND(C935*(1-Settings!$B$2),2)</f>
        <v>86.19</v>
      </c>
      <c r="E935" s="3">
        <f>ROUND(C935*(1-Settings!$B$3),2)</f>
        <v>86.19</v>
      </c>
      <c r="F935" s="2" t="inlineStr">
        <is>
          <t>Pokemon</t>
        </is>
      </c>
      <c r="G935" s="2" t="inlineStr">
        <is>
          <t>Coffret</t>
        </is>
      </c>
      <c r="H935" s="2" t="inlineStr">
        <is>
          <t>Chaos Rising</t>
        </is>
      </c>
      <c r="I935" s="3" t="n">
        <v>123.13</v>
      </c>
      <c r="J935" s="3" t="n"/>
      <c r="K935" s="3" t="n"/>
      <c r="L935" s="3" t="n"/>
      <c r="M935" s="2" t="inlineStr">
        <is>
          <t>PriceCharting</t>
        </is>
      </c>
      <c r="N935" s="4" t="inlineStr">
        <is>
          <t>https://www.pricecharting.com/game/pokemon-chaos-rising/elite-trainer-box-pokemon-center</t>
        </is>
      </c>
    </row>
    <row r="936">
      <c r="A936" s="2" t="inlineStr">
        <is>
          <t>Chilling Reign Elite Trainer Box [Ice Rider Pokemon Center]</t>
        </is>
      </c>
      <c r="B936" s="3">
        <f>IF(I936&lt;&gt;"",I936,IF(J936&lt;&gt;"",J936,IF(K936&lt;&gt;"",K936,L936)))</f>
        <v>169.99</v>
      </c>
      <c r="C936" s="3">
        <f>MEDIAN(I936:L936)</f>
        <v>169.99</v>
      </c>
      <c r="D936" s="3">
        <f>ROUND(C936*(1-Settings!$B$2),2)</f>
        <v>118.99</v>
      </c>
      <c r="E936" s="3">
        <f>ROUND(C936*(1-Settings!$B$3),2)</f>
        <v>118.99</v>
      </c>
      <c r="F936" s="2" t="inlineStr">
        <is>
          <t>Pokemon</t>
        </is>
      </c>
      <c r="G936" s="2" t="inlineStr">
        <is>
          <t>Coffret</t>
        </is>
      </c>
      <c r="H936" s="2" t="inlineStr">
        <is>
          <t>Chilling Reign</t>
        </is>
      </c>
      <c r="I936" s="3" t="n">
        <v>169.99</v>
      </c>
      <c r="J936" s="3" t="n"/>
      <c r="K936" s="3" t="n"/>
      <c r="L936" s="3" t="n"/>
      <c r="M936" s="2" t="inlineStr">
        <is>
          <t>PriceCharting</t>
        </is>
      </c>
      <c r="N936" s="4" t="inlineStr">
        <is>
          <t>https://www.pricecharting.com/game/pokemon-chilling-reign/elite-trainer-box-ice-rider-pokemon-center</t>
        </is>
      </c>
    </row>
    <row r="937">
      <c r="A937" s="2" t="inlineStr">
        <is>
          <t>Chilling Reign Elite Trainer Box [Ice Rider]</t>
        </is>
      </c>
      <c r="B937" s="3">
        <f>IF(I937&lt;&gt;"",I937,IF(J937&lt;&gt;"",J937,IF(K937&lt;&gt;"",K937,L937)))</f>
        <v>139.84</v>
      </c>
      <c r="C937" s="3">
        <f>MEDIAN(I937:L937)</f>
        <v>139.84</v>
      </c>
      <c r="D937" s="3">
        <f>ROUND(C937*(1-Settings!$B$2),2)</f>
        <v>97.89</v>
      </c>
      <c r="E937" s="3">
        <f>ROUND(C937*(1-Settings!$B$3),2)</f>
        <v>97.89</v>
      </c>
      <c r="F937" s="2" t="inlineStr">
        <is>
          <t>Pokemon</t>
        </is>
      </c>
      <c r="G937" s="2" t="inlineStr">
        <is>
          <t>Coffret</t>
        </is>
      </c>
      <c r="H937" s="2" t="inlineStr">
        <is>
          <t>Chilling Reign</t>
        </is>
      </c>
      <c r="I937" s="3" t="n">
        <v>139.84</v>
      </c>
      <c r="J937" s="3" t="n"/>
      <c r="K937" s="3" t="n"/>
      <c r="L937" s="3" t="n"/>
      <c r="M937" s="2" t="inlineStr">
        <is>
          <t>PriceCharting</t>
        </is>
      </c>
      <c r="N937" s="4" t="inlineStr">
        <is>
          <t>https://www.pricecharting.com/game/pokemon-chilling-reign/elite-trainer-box-ice-rider</t>
        </is>
      </c>
    </row>
    <row r="938">
      <c r="A938" s="2" t="inlineStr">
        <is>
          <t>Chilling Reign Elite Trainer Box [Shadow Rider Pokemon Center]</t>
        </is>
      </c>
      <c r="B938" s="3">
        <f>IF(I938&lt;&gt;"",I938,IF(J938&lt;&gt;"",J938,IF(K938&lt;&gt;"",K938,L938)))</f>
        <v>190.0</v>
      </c>
      <c r="C938" s="3">
        <f>MEDIAN(I938:L938)</f>
        <v>190.0</v>
      </c>
      <c r="D938" s="3">
        <f>ROUND(C938*(1-Settings!$B$2),2)</f>
        <v>133.0</v>
      </c>
      <c r="E938" s="3">
        <f>ROUND(C938*(1-Settings!$B$3),2)</f>
        <v>133.0</v>
      </c>
      <c r="F938" s="2" t="inlineStr">
        <is>
          <t>Pokemon</t>
        </is>
      </c>
      <c r="G938" s="2" t="inlineStr">
        <is>
          <t>Coffret</t>
        </is>
      </c>
      <c r="H938" s="2" t="inlineStr">
        <is>
          <t>Chilling Reign</t>
        </is>
      </c>
      <c r="I938" s="3" t="n">
        <v>190</v>
      </c>
      <c r="J938" s="3" t="n"/>
      <c r="K938" s="3" t="n"/>
      <c r="L938" s="3" t="n"/>
      <c r="M938" s="2" t="inlineStr">
        <is>
          <t>PriceCharting</t>
        </is>
      </c>
      <c r="N938" s="4" t="inlineStr">
        <is>
          <t>https://www.pricecharting.com/game/pokemon-chilling-reign/elite-trainer-box-shadow-rider-pokemon-center</t>
        </is>
      </c>
    </row>
    <row r="939">
      <c r="A939" s="2" t="inlineStr">
        <is>
          <t>Chilling Reign Elite Trainer Box [Shadow Rider]</t>
        </is>
      </c>
      <c r="B939" s="3">
        <f>IF(I939&lt;&gt;"",I939,IF(J939&lt;&gt;"",J939,IF(K939&lt;&gt;"",K939,L939)))</f>
        <v>144.58</v>
      </c>
      <c r="C939" s="3">
        <f>MEDIAN(I939:L939)</f>
        <v>144.58</v>
      </c>
      <c r="D939" s="3">
        <f>ROUND(C939*(1-Settings!$B$2),2)</f>
        <v>101.21</v>
      </c>
      <c r="E939" s="3">
        <f>ROUND(C939*(1-Settings!$B$3),2)</f>
        <v>101.21</v>
      </c>
      <c r="F939" s="2" t="inlineStr">
        <is>
          <t>Pokemon</t>
        </is>
      </c>
      <c r="G939" s="2" t="inlineStr">
        <is>
          <t>Coffret</t>
        </is>
      </c>
      <c r="H939" s="2" t="inlineStr">
        <is>
          <t>Chilling Reign</t>
        </is>
      </c>
      <c r="I939" s="3" t="n">
        <v>144.58</v>
      </c>
      <c r="J939" s="3" t="n"/>
      <c r="K939" s="3" t="n"/>
      <c r="L939" s="3" t="n"/>
      <c r="M939" s="2" t="inlineStr">
        <is>
          <t>PriceCharting</t>
        </is>
      </c>
      <c r="N939" s="4" t="inlineStr">
        <is>
          <t>https://www.pricecharting.com/game/pokemon-chilling-reign/elite-trainer-box-shadow-rider</t>
        </is>
      </c>
    </row>
    <row r="940">
      <c r="A940" s="2" t="inlineStr">
        <is>
          <t>Chinese 151 Collect Chinese New Year Collection Box</t>
        </is>
      </c>
      <c r="B940" s="3">
        <f>IF(I940&lt;&gt;"",I940,IF(J940&lt;&gt;"",J940,IF(K940&lt;&gt;"",K940,L940)))</f>
        <v>101.69</v>
      </c>
      <c r="C940" s="3">
        <f>MEDIAN(I940:L940)</f>
        <v>101.69</v>
      </c>
      <c r="D940" s="3">
        <f>ROUND(C940*(1-Settings!$B$2),2)</f>
        <v>71.18</v>
      </c>
      <c r="E940" s="3">
        <f>ROUND(C940*(1-Settings!$B$3),2)</f>
        <v>71.18</v>
      </c>
      <c r="F940" s="2" t="inlineStr">
        <is>
          <t>Pokemon</t>
        </is>
      </c>
      <c r="G940" s="2" t="inlineStr">
        <is>
          <t>Coffret</t>
        </is>
      </c>
      <c r="H940" s="2" t="inlineStr">
        <is>
          <t>Chinese 151 Collect</t>
        </is>
      </c>
      <c r="I940" s="3" t="n">
        <v>101.69</v>
      </c>
      <c r="J940" s="3" t="n"/>
      <c r="K940" s="3" t="n"/>
      <c r="L940" s="3" t="n"/>
      <c r="M940" s="2" t="inlineStr">
        <is>
          <t>PriceCharting</t>
        </is>
      </c>
      <c r="N940" s="4" t="inlineStr">
        <is>
          <t>https://www.pricecharting.com/game/pokemon-chinese-151-collect/chinese-new-year-collection-box</t>
        </is>
      </c>
    </row>
    <row r="941">
      <c r="A941" s="2" t="inlineStr">
        <is>
          <t>Chinese Cs4ac Eeveelution Gift Box: Flareon</t>
        </is>
      </c>
      <c r="B941" s="3">
        <f>IF(I941&lt;&gt;"",I941,IF(J941&lt;&gt;"",J941,IF(K941&lt;&gt;"",K941,L941)))</f>
        <v>175.18</v>
      </c>
      <c r="C941" s="3">
        <f>MEDIAN(I941:L941)</f>
        <v>175.18</v>
      </c>
      <c r="D941" s="3">
        <f>ROUND(C941*(1-Settings!$B$2),2)</f>
        <v>122.63</v>
      </c>
      <c r="E941" s="3">
        <f>ROUND(C941*(1-Settings!$B$3),2)</f>
        <v>122.63</v>
      </c>
      <c r="F941" s="2" t="inlineStr">
        <is>
          <t>Pokemon</t>
        </is>
      </c>
      <c r="G941" s="2" t="inlineStr">
        <is>
          <t>Coffret</t>
        </is>
      </c>
      <c r="H941" s="2" t="inlineStr">
        <is>
          <t>Chinese Cs4ac</t>
        </is>
      </c>
      <c r="I941" s="3" t="n">
        <v>175.18</v>
      </c>
      <c r="J941" s="3" t="n"/>
      <c r="K941" s="3" t="n"/>
      <c r="L941" s="3" t="n"/>
      <c r="M941" s="2" t="inlineStr">
        <is>
          <t>PriceCharting</t>
        </is>
      </c>
      <c r="N941" s="4" t="inlineStr">
        <is>
          <t>https://www.pricecharting.com/game/pokemon-chinese-cs4ac/eeveelution-gift-box-flareon</t>
        </is>
      </c>
    </row>
    <row r="942">
      <c r="A942" s="2" t="inlineStr">
        <is>
          <t>Chinese Cs4ac Eeveelution Gift Box: Jolteon</t>
        </is>
      </c>
      <c r="B942" s="3">
        <f>IF(I942&lt;&gt;"",I942,IF(J942&lt;&gt;"",J942,IF(K942&lt;&gt;"",K942,L942)))</f>
        <v>175.74</v>
      </c>
      <c r="C942" s="3">
        <f>MEDIAN(I942:L942)</f>
        <v>175.74</v>
      </c>
      <c r="D942" s="3">
        <f>ROUND(C942*(1-Settings!$B$2),2)</f>
        <v>123.02</v>
      </c>
      <c r="E942" s="3">
        <f>ROUND(C942*(1-Settings!$B$3),2)</f>
        <v>123.02</v>
      </c>
      <c r="F942" s="2" t="inlineStr">
        <is>
          <t>Pokemon</t>
        </is>
      </c>
      <c r="G942" s="2" t="inlineStr">
        <is>
          <t>Coffret</t>
        </is>
      </c>
      <c r="H942" s="2" t="inlineStr">
        <is>
          <t>Chinese Cs4ac</t>
        </is>
      </c>
      <c r="I942" s="3" t="n">
        <v>175.74</v>
      </c>
      <c r="J942" s="3" t="n"/>
      <c r="K942" s="3" t="n"/>
      <c r="L942" s="3" t="n"/>
      <c r="M942" s="2" t="inlineStr">
        <is>
          <t>PriceCharting</t>
        </is>
      </c>
      <c r="N942" s="4" t="inlineStr">
        <is>
          <t>https://www.pricecharting.com/game/pokemon-chinese-cs4ac/eeveelution-gift-box-jolteon</t>
        </is>
      </c>
    </row>
    <row r="943">
      <c r="A943" s="2" t="inlineStr">
        <is>
          <t>Chinese Cs4ac Eeveelution Gift Box: Vaporeon</t>
        </is>
      </c>
      <c r="B943" s="3">
        <f>IF(I943&lt;&gt;"",I943,IF(J943&lt;&gt;"",J943,IF(K943&lt;&gt;"",K943,L943)))</f>
        <v>190.0</v>
      </c>
      <c r="C943" s="3">
        <f>MEDIAN(I943:L943)</f>
        <v>190.0</v>
      </c>
      <c r="D943" s="3">
        <f>ROUND(C943*(1-Settings!$B$2),2)</f>
        <v>133.0</v>
      </c>
      <c r="E943" s="3">
        <f>ROUND(C943*(1-Settings!$B$3),2)</f>
        <v>133.0</v>
      </c>
      <c r="F943" s="2" t="inlineStr">
        <is>
          <t>Pokemon</t>
        </is>
      </c>
      <c r="G943" s="2" t="inlineStr">
        <is>
          <t>Coffret</t>
        </is>
      </c>
      <c r="H943" s="2" t="inlineStr">
        <is>
          <t>Chinese Cs4ac</t>
        </is>
      </c>
      <c r="I943" s="3" t="n">
        <v>190</v>
      </c>
      <c r="J943" s="3" t="n"/>
      <c r="K943" s="3" t="n"/>
      <c r="L943" s="3" t="n"/>
      <c r="M943" s="2" t="inlineStr">
        <is>
          <t>PriceCharting</t>
        </is>
      </c>
      <c r="N943" s="4" t="inlineStr">
        <is>
          <t>https://www.pricecharting.com/game/pokemon-chinese-cs4ac/eeveelution-gift-box-vaporeon</t>
        </is>
      </c>
    </row>
    <row r="944">
      <c r="A944" s="2" t="inlineStr">
        <is>
          <t>Chinese Gem Pack Gem Pack Badge Collection</t>
        </is>
      </c>
      <c r="B944" s="3">
        <f>IF(I944&lt;&gt;"",I944,IF(J944&lt;&gt;"",J944,IF(K944&lt;&gt;"",K944,L944)))</f>
        <v>18.29</v>
      </c>
      <c r="C944" s="3">
        <f>MEDIAN(I944:L944)</f>
        <v>18.29</v>
      </c>
      <c r="D944" s="3">
        <f>ROUND(C944*(1-Settings!$B$2),2)</f>
        <v>12.8</v>
      </c>
      <c r="E944" s="3">
        <f>ROUND(C944*(1-Settings!$B$3),2)</f>
        <v>12.8</v>
      </c>
      <c r="F944" s="2" t="inlineStr">
        <is>
          <t>Pokemon</t>
        </is>
      </c>
      <c r="G944" s="2" t="inlineStr">
        <is>
          <t>Coffret</t>
        </is>
      </c>
      <c r="H944" s="2" t="inlineStr">
        <is>
          <t>Chinese Gem Pack</t>
        </is>
      </c>
      <c r="I944" s="3" t="n">
        <v>18.29</v>
      </c>
      <c r="J944" s="3" t="n"/>
      <c r="K944" s="3" t="n"/>
      <c r="L944" s="3" t="n"/>
      <c r="M944" s="2" t="inlineStr">
        <is>
          <t>PriceCharting</t>
        </is>
      </c>
      <c r="N944" s="4" t="inlineStr">
        <is>
          <t>https://www.pricecharting.com/game/pokemon-chinese-gem-pack/gem-pack-badge-collection</t>
        </is>
      </c>
    </row>
    <row r="945">
      <c r="A945" s="2" t="inlineStr">
        <is>
          <t>Chinese Promo 2026 Lunar New Year Gift Box</t>
        </is>
      </c>
      <c r="B945" s="3">
        <f>IF(I945&lt;&gt;"",I945,IF(J945&lt;&gt;"",J945,IF(K945&lt;&gt;"",K945,L945)))</f>
        <v>60.0</v>
      </c>
      <c r="C945" s="3">
        <f>MEDIAN(I945:L945)</f>
        <v>60.0</v>
      </c>
      <c r="D945" s="3">
        <f>ROUND(C945*(1-Settings!$B$2),2)</f>
        <v>42.0</v>
      </c>
      <c r="E945" s="3">
        <f>ROUND(C945*(1-Settings!$B$3),2)</f>
        <v>42.0</v>
      </c>
      <c r="F945" s="2" t="inlineStr">
        <is>
          <t>Pokemon</t>
        </is>
      </c>
      <c r="G945" s="2" t="inlineStr">
        <is>
          <t>Coffret</t>
        </is>
      </c>
      <c r="H945" s="2" t="inlineStr">
        <is>
          <t>Chinese Promo</t>
        </is>
      </c>
      <c r="I945" s="3" t="n">
        <v>60</v>
      </c>
      <c r="J945" s="3" t="n"/>
      <c r="K945" s="3" t="n"/>
      <c r="L945" s="3" t="n"/>
      <c r="M945" s="2" t="inlineStr">
        <is>
          <t>PriceCharting</t>
        </is>
      </c>
      <c r="N945" s="4" t="inlineStr">
        <is>
          <t>https://www.pricecharting.com/game/pokemon-chinese-promo/2026-lunar-new-year-gift-box</t>
        </is>
      </c>
    </row>
    <row r="946">
      <c r="A946" s="2" t="inlineStr">
        <is>
          <t>Chinese Promo Chinese Pokemon 5th Anniversary Gift Box</t>
        </is>
      </c>
      <c r="B946" s="3">
        <f>IF(I946&lt;&gt;"",I946,IF(J946&lt;&gt;"",J946,IF(K946&lt;&gt;"",K946,L946)))</f>
        <v>2848.6</v>
      </c>
      <c r="C946" s="3">
        <f>MEDIAN(I946:L946)</f>
        <v>2848.6</v>
      </c>
      <c r="D946" s="3">
        <f>ROUND(C946*(1-Settings!$B$2),2)</f>
        <v>1994.02</v>
      </c>
      <c r="E946" s="3">
        <f>ROUND(C946*(1-Settings!$B$3),2)</f>
        <v>1994.02</v>
      </c>
      <c r="F946" s="2" t="inlineStr">
        <is>
          <t>Pokemon</t>
        </is>
      </c>
      <c r="G946" s="2" t="inlineStr">
        <is>
          <t>Coffret</t>
        </is>
      </c>
      <c r="H946" s="2" t="inlineStr">
        <is>
          <t>Chinese Promo</t>
        </is>
      </c>
      <c r="I946" s="3" t="n">
        <v>2848.6</v>
      </c>
      <c r="J946" s="3" t="n"/>
      <c r="K946" s="3" t="n"/>
      <c r="L946" s="3" t="n"/>
      <c r="M946" s="2" t="inlineStr">
        <is>
          <t>PriceCharting</t>
        </is>
      </c>
      <c r="N946" s="4" t="inlineStr">
        <is>
          <t>https://www.pricecharting.com/game/pokemon-chinese-promo/chinese-pokemon-5th-anniversary-gift-box</t>
        </is>
      </c>
    </row>
    <row r="947">
      <c r="A947" s="2" t="inlineStr">
        <is>
          <t>Chinese Promo Metal Pack Storage Box Set</t>
        </is>
      </c>
      <c r="B947" s="3">
        <f>IF(I947&lt;&gt;"",I947,IF(J947&lt;&gt;"",J947,IF(K947&lt;&gt;"",K947,L947)))</f>
        <v>66.99</v>
      </c>
      <c r="C947" s="3">
        <f>MEDIAN(I947:L947)</f>
        <v>66.99</v>
      </c>
      <c r="D947" s="3">
        <f>ROUND(C947*(1-Settings!$B$2),2)</f>
        <v>46.89</v>
      </c>
      <c r="E947" s="3">
        <f>ROUND(C947*(1-Settings!$B$3),2)</f>
        <v>46.89</v>
      </c>
      <c r="F947" s="2" t="inlineStr">
        <is>
          <t>Pokemon</t>
        </is>
      </c>
      <c r="G947" s="2" t="inlineStr">
        <is>
          <t>Coffret</t>
        </is>
      </c>
      <c r="H947" s="2" t="inlineStr">
        <is>
          <t>Chinese Promo</t>
        </is>
      </c>
      <c r="I947" s="3" t="n">
        <v>66.98999999999999</v>
      </c>
      <c r="J947" s="3" t="n"/>
      <c r="K947" s="3" t="n"/>
      <c r="L947" s="3" t="n"/>
      <c r="M947" s="2" t="inlineStr">
        <is>
          <t>PriceCharting</t>
        </is>
      </c>
      <c r="N947" s="4" t="inlineStr">
        <is>
          <t>https://www.pricecharting.com/game/pokemon-chinese-promo/metal-pack-storage-box-set</t>
        </is>
      </c>
    </row>
    <row r="948">
      <c r="A948" s="2" t="inlineStr">
        <is>
          <t>Chinese Promo Pikachu V-Union Gift Box</t>
        </is>
      </c>
      <c r="B948" s="3">
        <f>IF(I948&lt;&gt;"",I948,IF(J948&lt;&gt;"",J948,IF(K948&lt;&gt;"",K948,L948)))</f>
        <v>27.99</v>
      </c>
      <c r="C948" s="3">
        <f>MEDIAN(I948:L948)</f>
        <v>27.99</v>
      </c>
      <c r="D948" s="3">
        <f>ROUND(C948*(1-Settings!$B$2),2)</f>
        <v>19.59</v>
      </c>
      <c r="E948" s="3">
        <f>ROUND(C948*(1-Settings!$B$3),2)</f>
        <v>19.59</v>
      </c>
      <c r="F948" s="2" t="inlineStr">
        <is>
          <t>Pokemon</t>
        </is>
      </c>
      <c r="G948" s="2" t="inlineStr">
        <is>
          <t>Coffret</t>
        </is>
      </c>
      <c r="H948" s="2" t="inlineStr">
        <is>
          <t>Chinese Promo</t>
        </is>
      </c>
      <c r="I948" s="3" t="n">
        <v>27.99</v>
      </c>
      <c r="J948" s="3" t="n"/>
      <c r="K948" s="3" t="n"/>
      <c r="L948" s="3" t="n"/>
      <c r="M948" s="2" t="inlineStr">
        <is>
          <t>PriceCharting</t>
        </is>
      </c>
      <c r="N948" s="4" t="inlineStr">
        <is>
          <t>https://www.pricecharting.com/game/pokemon-chinese-promo/pikachu-v-union-gift-box</t>
        </is>
      </c>
    </row>
    <row r="949">
      <c r="A949" s="2" t="inlineStr">
        <is>
          <t>Cosmic Eclipse 2-Pack Blister</t>
        </is>
      </c>
      <c r="B949" s="3">
        <f>IF(I949&lt;&gt;"",I949,IF(J949&lt;&gt;"",J949,IF(K949&lt;&gt;"",K949,L949)))</f>
        <v>110.24</v>
      </c>
      <c r="C949" s="3">
        <f>MEDIAN(I949:L949)</f>
        <v>110.24</v>
      </c>
      <c r="D949" s="3">
        <f>ROUND(C949*(1-Settings!$B$2),2)</f>
        <v>77.17</v>
      </c>
      <c r="E949" s="3">
        <f>ROUND(C949*(1-Settings!$B$3),2)</f>
        <v>77.17</v>
      </c>
      <c r="F949" s="2" t="inlineStr">
        <is>
          <t>Pokemon</t>
        </is>
      </c>
      <c r="G949" s="2" t="inlineStr">
        <is>
          <t>Coffret</t>
        </is>
      </c>
      <c r="H949" s="2" t="inlineStr">
        <is>
          <t>Cosmic Eclipse</t>
        </is>
      </c>
      <c r="I949" s="3" t="n">
        <v>110.24</v>
      </c>
      <c r="J949" s="3" t="n"/>
      <c r="K949" s="3" t="n"/>
      <c r="L949" s="3" t="n"/>
      <c r="M949" s="2" t="inlineStr">
        <is>
          <t>PriceCharting</t>
        </is>
      </c>
      <c r="N949" s="4" t="inlineStr">
        <is>
          <t>https://www.pricecharting.com/game/pokemon-cosmic-eclipse/2-pack-blister</t>
        </is>
      </c>
    </row>
    <row r="950">
      <c r="A950" s="2" t="inlineStr">
        <is>
          <t>Cosmic Eclipse 3-Pack Blister</t>
        </is>
      </c>
      <c r="B950" s="3">
        <f>IF(I950&lt;&gt;"",I950,IF(J950&lt;&gt;"",J950,IF(K950&lt;&gt;"",K950,L950)))</f>
        <v>164.92</v>
      </c>
      <c r="C950" s="3">
        <f>MEDIAN(I950:L950)</f>
        <v>164.92</v>
      </c>
      <c r="D950" s="3">
        <f>ROUND(C950*(1-Settings!$B$2),2)</f>
        <v>115.44</v>
      </c>
      <c r="E950" s="3">
        <f>ROUND(C950*(1-Settings!$B$3),2)</f>
        <v>115.44</v>
      </c>
      <c r="F950" s="2" t="inlineStr">
        <is>
          <t>Pokemon</t>
        </is>
      </c>
      <c r="G950" s="2" t="inlineStr">
        <is>
          <t>Coffret</t>
        </is>
      </c>
      <c r="H950" s="2" t="inlineStr">
        <is>
          <t>Cosmic Eclipse</t>
        </is>
      </c>
      <c r="I950" s="3" t="n">
        <v>164.92</v>
      </c>
      <c r="J950" s="3" t="n"/>
      <c r="K950" s="3" t="n"/>
      <c r="L950" s="3" t="n"/>
      <c r="M950" s="2" t="inlineStr">
        <is>
          <t>PriceCharting</t>
        </is>
      </c>
      <c r="N950" s="4" t="inlineStr">
        <is>
          <t>https://www.pricecharting.com/game/pokemon-cosmic-eclipse/3-pack-blister</t>
        </is>
      </c>
    </row>
    <row r="951">
      <c r="A951" s="2" t="inlineStr">
        <is>
          <t>Cosmic Eclipse Galarian Sirfetch'D V Box</t>
        </is>
      </c>
      <c r="B951" s="3">
        <f>IF(I951&lt;&gt;"",I951,IF(J951&lt;&gt;"",J951,IF(K951&lt;&gt;"",K951,L951)))</f>
        <v>56.95</v>
      </c>
      <c r="C951" s="3">
        <f>MEDIAN(I951:L951)</f>
        <v>56.95</v>
      </c>
      <c r="D951" s="3">
        <f>ROUND(C951*(1-Settings!$B$2),2)</f>
        <v>39.87</v>
      </c>
      <c r="E951" s="3">
        <f>ROUND(C951*(1-Settings!$B$3),2)</f>
        <v>39.87</v>
      </c>
      <c r="F951" s="2" t="inlineStr">
        <is>
          <t>Pokemon</t>
        </is>
      </c>
      <c r="G951" s="2" t="inlineStr">
        <is>
          <t>Coffret</t>
        </is>
      </c>
      <c r="H951" s="2" t="inlineStr">
        <is>
          <t>Cosmic Eclipse</t>
        </is>
      </c>
      <c r="I951" s="3" t="n">
        <v>56.95</v>
      </c>
      <c r="J951" s="3" t="n"/>
      <c r="K951" s="3" t="n"/>
      <c r="L951" s="3" t="n"/>
      <c r="M951" s="2" t="inlineStr">
        <is>
          <t>PriceCharting</t>
        </is>
      </c>
      <c r="N951" s="4" t="inlineStr">
        <is>
          <t>https://www.pricecharting.com/game/pokemon-cosmic-eclipse/galarian-sirfetch'd-v-box</t>
        </is>
      </c>
    </row>
    <row r="952">
      <c r="A952" s="2" t="inlineStr">
        <is>
          <t>Cosmic Eclipse Tag Team Powers Collection Box: Espeon &amp; Deoxys GX</t>
        </is>
      </c>
      <c r="B952" s="3">
        <f>IF(I952&lt;&gt;"",I952,IF(J952&lt;&gt;"",J952,IF(K952&lt;&gt;"",K952,L952)))</f>
        <v>1640.68</v>
      </c>
      <c r="C952" s="3">
        <f>MEDIAN(I952:L952)</f>
        <v>1640.68</v>
      </c>
      <c r="D952" s="3">
        <f>ROUND(C952*(1-Settings!$B$2),2)</f>
        <v>1148.48</v>
      </c>
      <c r="E952" s="3">
        <f>ROUND(C952*(1-Settings!$B$3),2)</f>
        <v>1148.48</v>
      </c>
      <c r="F952" s="2" t="inlineStr">
        <is>
          <t>Pokemon</t>
        </is>
      </c>
      <c r="G952" s="2" t="inlineStr">
        <is>
          <t>Coffret</t>
        </is>
      </c>
      <c r="H952" s="2" t="inlineStr">
        <is>
          <t>Cosmic Eclipse</t>
        </is>
      </c>
      <c r="I952" s="3" t="n">
        <v>1640.68</v>
      </c>
      <c r="J952" s="3" t="n"/>
      <c r="K952" s="3" t="n"/>
      <c r="L952" s="3" t="n"/>
      <c r="M952" s="2" t="inlineStr">
        <is>
          <t>PriceCharting</t>
        </is>
      </c>
      <c r="N952" s="4" t="inlineStr">
        <is>
          <t>https://www.pricecharting.com/game/pokemon-cosmic-eclipse/tag-team-powers-collection-box-espeon-&amp;-deoxys-gx</t>
        </is>
      </c>
    </row>
    <row r="953">
      <c r="A953" s="2" t="inlineStr">
        <is>
          <t>Cosmic Eclipse Tag Team Powers Collection Box: Umbreon &amp; Darkrai GX</t>
        </is>
      </c>
      <c r="B953" s="3">
        <f>IF(I953&lt;&gt;"",I953,IF(J953&lt;&gt;"",J953,IF(K953&lt;&gt;"",K953,L953)))</f>
        <v>1670.88</v>
      </c>
      <c r="C953" s="3">
        <f>MEDIAN(I953:L953)</f>
        <v>1670.88</v>
      </c>
      <c r="D953" s="3">
        <f>ROUND(C953*(1-Settings!$B$2),2)</f>
        <v>1169.62</v>
      </c>
      <c r="E953" s="3">
        <f>ROUND(C953*(1-Settings!$B$3),2)</f>
        <v>1169.62</v>
      </c>
      <c r="F953" s="2" t="inlineStr">
        <is>
          <t>Pokemon</t>
        </is>
      </c>
      <c r="G953" s="2" t="inlineStr">
        <is>
          <t>Coffret</t>
        </is>
      </c>
      <c r="H953" s="2" t="inlineStr">
        <is>
          <t>Cosmic Eclipse</t>
        </is>
      </c>
      <c r="I953" s="3" t="n">
        <v>1670.88</v>
      </c>
      <c r="J953" s="3" t="n"/>
      <c r="K953" s="3" t="n"/>
      <c r="L953" s="3" t="n"/>
      <c r="M953" s="2" t="inlineStr">
        <is>
          <t>PriceCharting</t>
        </is>
      </c>
      <c r="N953" s="4" t="inlineStr">
        <is>
          <t>https://www.pricecharting.com/game/pokemon-cosmic-eclipse/tag-team-powers-collection-box-umbreon-&amp;-darkrai-gx</t>
        </is>
      </c>
    </row>
    <row r="954">
      <c r="A954" s="2" t="inlineStr">
        <is>
          <t>Crimson Invasion Legends Of Johto GX Collection</t>
        </is>
      </c>
      <c r="B954" s="3">
        <f>IF(I954&lt;&gt;"",I954,IF(J954&lt;&gt;"",J954,IF(K954&lt;&gt;"",K954,L954)))</f>
        <v>319.9</v>
      </c>
      <c r="C954" s="3">
        <f>MEDIAN(I954:L954)</f>
        <v>319.9</v>
      </c>
      <c r="D954" s="3">
        <f>ROUND(C954*(1-Settings!$B$2),2)</f>
        <v>223.93</v>
      </c>
      <c r="E954" s="3">
        <f>ROUND(C954*(1-Settings!$B$3),2)</f>
        <v>223.93</v>
      </c>
      <c r="F954" s="2" t="inlineStr">
        <is>
          <t>Pokemon</t>
        </is>
      </c>
      <c r="G954" s="2" t="inlineStr">
        <is>
          <t>Coffret</t>
        </is>
      </c>
      <c r="H954" s="2" t="inlineStr">
        <is>
          <t>Crimson Invasion</t>
        </is>
      </c>
      <c r="I954" s="3" t="n">
        <v>319.9</v>
      </c>
      <c r="J954" s="3" t="n"/>
      <c r="K954" s="3" t="n"/>
      <c r="L954" s="3" t="n"/>
      <c r="M954" s="2" t="inlineStr">
        <is>
          <t>PriceCharting</t>
        </is>
      </c>
      <c r="N954" s="4" t="inlineStr">
        <is>
          <t>https://www.pricecharting.com/game/pokemon-crimson-invasion/legends-of-johto-gx-collection</t>
        </is>
      </c>
    </row>
    <row r="955">
      <c r="A955" s="2" t="inlineStr">
        <is>
          <t>Crown Zenith Elite Trainer Box Plus</t>
        </is>
      </c>
      <c r="B955" s="3">
        <f>IF(I955&lt;&gt;"",I955,IF(J955&lt;&gt;"",J955,IF(K955&lt;&gt;"",K955,L955)))</f>
        <v>535.0</v>
      </c>
      <c r="C955" s="3">
        <f>MEDIAN(I955:L955)</f>
        <v>535.0</v>
      </c>
      <c r="D955" s="3">
        <f>ROUND(C955*(1-Settings!$B$2),2)</f>
        <v>374.5</v>
      </c>
      <c r="E955" s="3">
        <f>ROUND(C955*(1-Settings!$B$3),2)</f>
        <v>374.5</v>
      </c>
      <c r="F955" s="2" t="inlineStr">
        <is>
          <t>Pokemon</t>
        </is>
      </c>
      <c r="G955" s="2" t="inlineStr">
        <is>
          <t>Coffret</t>
        </is>
      </c>
      <c r="H955" s="2" t="inlineStr">
        <is>
          <t>Crown Zenith</t>
        </is>
      </c>
      <c r="I955" s="3" t="n">
        <v>535</v>
      </c>
      <c r="J955" s="3" t="n"/>
      <c r="K955" s="3" t="n"/>
      <c r="L955" s="3" t="n"/>
      <c r="M955" s="2" t="inlineStr">
        <is>
          <t>PriceCharting</t>
        </is>
      </c>
      <c r="N955" s="4" t="inlineStr">
        <is>
          <t>https://www.pricecharting.com/game/pokemon-crown-zenith/elite-trainer-box-plus</t>
        </is>
      </c>
    </row>
    <row r="956">
      <c r="A956" s="2" t="inlineStr">
        <is>
          <t>Crown Zenith Galarian Articuno Tin</t>
        </is>
      </c>
      <c r="B956" s="3">
        <f>IF(I956&lt;&gt;"",I956,IF(J956&lt;&gt;"",J956,IF(K956&lt;&gt;"",K956,L956)))</f>
        <v>39.35</v>
      </c>
      <c r="C956" s="3">
        <f>MEDIAN(I956:L956)</f>
        <v>39.35</v>
      </c>
      <c r="D956" s="3">
        <f>ROUND(C956*(1-Settings!$B$2),2)</f>
        <v>27.55</v>
      </c>
      <c r="E956" s="3">
        <f>ROUND(C956*(1-Settings!$B$3),2)</f>
        <v>27.55</v>
      </c>
      <c r="F956" s="2" t="inlineStr">
        <is>
          <t>Pokemon</t>
        </is>
      </c>
      <c r="G956" s="2" t="inlineStr">
        <is>
          <t>Coffret</t>
        </is>
      </c>
      <c r="H956" s="2" t="inlineStr">
        <is>
          <t>Crown Zenith</t>
        </is>
      </c>
      <c r="I956" s="3" t="n">
        <v>39.35</v>
      </c>
      <c r="J956" s="3" t="n"/>
      <c r="K956" s="3" t="n"/>
      <c r="L956" s="3" t="n"/>
      <c r="M956" s="2" t="inlineStr">
        <is>
          <t>PriceCharting</t>
        </is>
      </c>
      <c r="N956" s="4" t="inlineStr">
        <is>
          <t>https://www.pricecharting.com/game/pokemon-crown-zenith/galarian-articuno-tin</t>
        </is>
      </c>
    </row>
    <row r="957">
      <c r="A957" s="2" t="inlineStr">
        <is>
          <t>Crown Zenith Galarian Articuno Tin [International]</t>
        </is>
      </c>
      <c r="B957" s="3">
        <f>IF(I957&lt;&gt;"",I957,IF(J957&lt;&gt;"",J957,IF(K957&lt;&gt;"",K957,L957)))</f>
        <v>94.99</v>
      </c>
      <c r="C957" s="3">
        <f>MEDIAN(I957:L957)</f>
        <v>94.99</v>
      </c>
      <c r="D957" s="3">
        <f>ROUND(C957*(1-Settings!$B$2),2)</f>
        <v>66.49</v>
      </c>
      <c r="E957" s="3">
        <f>ROUND(C957*(1-Settings!$B$3),2)</f>
        <v>66.49</v>
      </c>
      <c r="F957" s="2" t="inlineStr">
        <is>
          <t>Pokemon</t>
        </is>
      </c>
      <c r="G957" s="2" t="inlineStr">
        <is>
          <t>Coffret</t>
        </is>
      </c>
      <c r="H957" s="2" t="inlineStr">
        <is>
          <t>Crown Zenith</t>
        </is>
      </c>
      <c r="I957" s="3" t="n">
        <v>94.98999999999999</v>
      </c>
      <c r="J957" s="3" t="n"/>
      <c r="K957" s="3" t="n"/>
      <c r="L957" s="3" t="n"/>
      <c r="M957" s="2" t="inlineStr">
        <is>
          <t>PriceCharting</t>
        </is>
      </c>
      <c r="N957" s="4" t="inlineStr">
        <is>
          <t>https://www.pricecharting.com/game/pokemon-crown-zenith/galarian-articuno-tin-international</t>
        </is>
      </c>
    </row>
    <row r="958">
      <c r="A958" s="2" t="inlineStr">
        <is>
          <t>Crown Zenith Galarian Moltres Tin #None</t>
        </is>
      </c>
      <c r="B958" s="3">
        <f>IF(I958&lt;&gt;"",I958,IF(J958&lt;&gt;"",J958,IF(K958&lt;&gt;"",K958,L958)))</f>
        <v>61.9</v>
      </c>
      <c r="C958" s="3">
        <f>MEDIAN(I958:L958)</f>
        <v>61.9</v>
      </c>
      <c r="D958" s="3">
        <f>ROUND(C958*(1-Settings!$B$2),2)</f>
        <v>43.33</v>
      </c>
      <c r="E958" s="3">
        <f>ROUND(C958*(1-Settings!$B$3),2)</f>
        <v>43.33</v>
      </c>
      <c r="F958" s="2" t="inlineStr">
        <is>
          <t>Pokemon</t>
        </is>
      </c>
      <c r="G958" s="2" t="inlineStr">
        <is>
          <t>Coffret</t>
        </is>
      </c>
      <c r="H958" s="2" t="inlineStr">
        <is>
          <t>Crown Zenith</t>
        </is>
      </c>
      <c r="I958" s="3" t="n">
        <v>61.9</v>
      </c>
      <c r="J958" s="3" t="n"/>
      <c r="K958" s="3" t="n"/>
      <c r="L958" s="3" t="n"/>
      <c r="M958" s="2" t="inlineStr">
        <is>
          <t>PriceCharting</t>
        </is>
      </c>
      <c r="N958" s="4" t="inlineStr">
        <is>
          <t>https://www.pricecharting.com/game/pokemon-crown-zenith/galarian-moltres-tin-none</t>
        </is>
      </c>
    </row>
    <row r="959">
      <c r="A959" s="2" t="inlineStr">
        <is>
          <t>Crown Zenith Galarian Zapdos Tin #None</t>
        </is>
      </c>
      <c r="B959" s="3">
        <f>IF(I959&lt;&gt;"",I959,IF(J959&lt;&gt;"",J959,IF(K959&lt;&gt;"",K959,L959)))</f>
        <v>50.94</v>
      </c>
      <c r="C959" s="3">
        <f>MEDIAN(I959:L959)</f>
        <v>50.94</v>
      </c>
      <c r="D959" s="3">
        <f>ROUND(C959*(1-Settings!$B$2),2)</f>
        <v>35.66</v>
      </c>
      <c r="E959" s="3">
        <f>ROUND(C959*(1-Settings!$B$3),2)</f>
        <v>35.66</v>
      </c>
      <c r="F959" s="2" t="inlineStr">
        <is>
          <t>Pokemon</t>
        </is>
      </c>
      <c r="G959" s="2" t="inlineStr">
        <is>
          <t>Coffret</t>
        </is>
      </c>
      <c r="H959" s="2" t="inlineStr">
        <is>
          <t>Crown Zenith</t>
        </is>
      </c>
      <c r="I959" s="3" t="n">
        <v>50.94</v>
      </c>
      <c r="J959" s="3" t="n"/>
      <c r="K959" s="3" t="n"/>
      <c r="L959" s="3" t="n"/>
      <c r="M959" s="2" t="inlineStr">
        <is>
          <t>PriceCharting</t>
        </is>
      </c>
      <c r="N959" s="4" t="inlineStr">
        <is>
          <t>https://www.pricecharting.com/game/pokemon-crown-zenith/galarian-zapdos-tin-none</t>
        </is>
      </c>
    </row>
    <row r="960">
      <c r="A960" s="2" t="inlineStr">
        <is>
          <t>Crown Zenith Hisuian Zoroark VSTAR Premium Collection Box</t>
        </is>
      </c>
      <c r="B960" s="3">
        <f>IF(I960&lt;&gt;"",I960,IF(J960&lt;&gt;"",J960,IF(K960&lt;&gt;"",K960,L960)))</f>
        <v>115.05</v>
      </c>
      <c r="C960" s="3">
        <f>MEDIAN(I960:L960)</f>
        <v>115.05</v>
      </c>
      <c r="D960" s="3">
        <f>ROUND(C960*(1-Settings!$B$2),2)</f>
        <v>80.54</v>
      </c>
      <c r="E960" s="3">
        <f>ROUND(C960*(1-Settings!$B$3),2)</f>
        <v>80.54</v>
      </c>
      <c r="F960" s="2" t="inlineStr">
        <is>
          <t>Pokemon</t>
        </is>
      </c>
      <c r="G960" s="2" t="inlineStr">
        <is>
          <t>Coffret</t>
        </is>
      </c>
      <c r="H960" s="2" t="inlineStr">
        <is>
          <t>Crown Zenith</t>
        </is>
      </c>
      <c r="I960" s="3" t="n">
        <v>115.05</v>
      </c>
      <c r="J960" s="3" t="n"/>
      <c r="K960" s="3" t="n"/>
      <c r="L960" s="3" t="n"/>
      <c r="M960" s="2" t="inlineStr">
        <is>
          <t>PriceCharting</t>
        </is>
      </c>
      <c r="N960" s="4" t="inlineStr">
        <is>
          <t>https://www.pricecharting.com/game/pokemon-crown-zenith/hisuian-zoroark-vstar-premium-collection-box</t>
        </is>
      </c>
    </row>
    <row r="961">
      <c r="A961" s="2" t="inlineStr">
        <is>
          <t>Crown Zenith Lugia V &amp; Unown V Special Collection</t>
        </is>
      </c>
      <c r="B961" s="3">
        <f>IF(I961&lt;&gt;"",I961,IF(J961&lt;&gt;"",J961,IF(K961&lt;&gt;"",K961,L961)))</f>
        <v>175.0</v>
      </c>
      <c r="C961" s="3">
        <f>MEDIAN(I961:L961)</f>
        <v>175.0</v>
      </c>
      <c r="D961" s="3">
        <f>ROUND(C961*(1-Settings!$B$2),2)</f>
        <v>122.5</v>
      </c>
      <c r="E961" s="3">
        <f>ROUND(C961*(1-Settings!$B$3),2)</f>
        <v>122.5</v>
      </c>
      <c r="F961" s="2" t="inlineStr">
        <is>
          <t>Pokemon</t>
        </is>
      </c>
      <c r="G961" s="2" t="inlineStr">
        <is>
          <t>Coffret</t>
        </is>
      </c>
      <c r="H961" s="2" t="inlineStr">
        <is>
          <t>Crown Zenith</t>
        </is>
      </c>
      <c r="I961" s="3" t="n">
        <v>175</v>
      </c>
      <c r="J961" s="3" t="n"/>
      <c r="K961" s="3" t="n"/>
      <c r="L961" s="3" t="n"/>
      <c r="M961" s="2" t="inlineStr">
        <is>
          <t>PriceCharting</t>
        </is>
      </c>
      <c r="N961" s="4" t="inlineStr">
        <is>
          <t>https://www.pricecharting.com/game/pokemon-crown-zenith/lugia-v-&amp;-unown-v-special-collection</t>
        </is>
      </c>
    </row>
    <row r="962">
      <c r="A962" s="2" t="inlineStr">
        <is>
          <t>Crown Zenith Mini Tin [Bede]</t>
        </is>
      </c>
      <c r="B962" s="3">
        <f>IF(I962&lt;&gt;"",I962,IF(J962&lt;&gt;"",J962,IF(K962&lt;&gt;"",K962,L962)))</f>
        <v>49.99</v>
      </c>
      <c r="C962" s="3">
        <f>MEDIAN(I962:L962)</f>
        <v>49.99</v>
      </c>
      <c r="D962" s="3">
        <f>ROUND(C962*(1-Settings!$B$2),2)</f>
        <v>34.99</v>
      </c>
      <c r="E962" s="3">
        <f>ROUND(C962*(1-Settings!$B$3),2)</f>
        <v>34.99</v>
      </c>
      <c r="F962" s="2" t="inlineStr">
        <is>
          <t>Pokemon</t>
        </is>
      </c>
      <c r="G962" s="2" t="inlineStr">
        <is>
          <t>Coffret</t>
        </is>
      </c>
      <c r="H962" s="2" t="inlineStr">
        <is>
          <t>Crown Zenith</t>
        </is>
      </c>
      <c r="I962" s="3" t="n">
        <v>49.99</v>
      </c>
      <c r="J962" s="3" t="n"/>
      <c r="K962" s="3" t="n"/>
      <c r="L962" s="3" t="n"/>
      <c r="M962" s="2" t="inlineStr">
        <is>
          <t>PriceCharting</t>
        </is>
      </c>
      <c r="N962" s="4" t="inlineStr">
        <is>
          <t>https://www.pricecharting.com/game/pokemon-crown-zenith/mini-tin-bede</t>
        </is>
      </c>
    </row>
    <row r="963">
      <c r="A963" s="2" t="inlineStr">
        <is>
          <t>Crown Zenith Mini Tin [Hop]</t>
        </is>
      </c>
      <c r="B963" s="3">
        <f>IF(I963&lt;&gt;"",I963,IF(J963&lt;&gt;"",J963,IF(K963&lt;&gt;"",K963,L963)))</f>
        <v>41.48</v>
      </c>
      <c r="C963" s="3">
        <f>MEDIAN(I963:L963)</f>
        <v>41.48</v>
      </c>
      <c r="D963" s="3">
        <f>ROUND(C963*(1-Settings!$B$2),2)</f>
        <v>29.04</v>
      </c>
      <c r="E963" s="3">
        <f>ROUND(C963*(1-Settings!$B$3),2)</f>
        <v>29.04</v>
      </c>
      <c r="F963" s="2" t="inlineStr">
        <is>
          <t>Pokemon</t>
        </is>
      </c>
      <c r="G963" s="2" t="inlineStr">
        <is>
          <t>Coffret</t>
        </is>
      </c>
      <c r="H963" s="2" t="inlineStr">
        <is>
          <t>Crown Zenith</t>
        </is>
      </c>
      <c r="I963" s="3" t="n">
        <v>41.48</v>
      </c>
      <c r="J963" s="3" t="n"/>
      <c r="K963" s="3" t="n"/>
      <c r="L963" s="3" t="n"/>
      <c r="M963" s="2" t="inlineStr">
        <is>
          <t>PriceCharting</t>
        </is>
      </c>
      <c r="N963" s="4" t="inlineStr">
        <is>
          <t>https://www.pricecharting.com/game/pokemon-crown-zenith/mini-tin-hop</t>
        </is>
      </c>
    </row>
    <row r="964">
      <c r="A964" s="2" t="inlineStr">
        <is>
          <t>Crown Zenith Morpeko V-Union Premium Playmat Collection Box</t>
        </is>
      </c>
      <c r="B964" s="3">
        <f>IF(I964&lt;&gt;"",I964,IF(J964&lt;&gt;"",J964,IF(K964&lt;&gt;"",K964,L964)))</f>
        <v>137.0</v>
      </c>
      <c r="C964" s="3">
        <f>MEDIAN(I964:L964)</f>
        <v>137.0</v>
      </c>
      <c r="D964" s="3">
        <f>ROUND(C964*(1-Settings!$B$2),2)</f>
        <v>95.9</v>
      </c>
      <c r="E964" s="3">
        <f>ROUND(C964*(1-Settings!$B$3),2)</f>
        <v>95.9</v>
      </c>
      <c r="F964" s="2" t="inlineStr">
        <is>
          <t>Pokemon</t>
        </is>
      </c>
      <c r="G964" s="2" t="inlineStr">
        <is>
          <t>Coffret</t>
        </is>
      </c>
      <c r="H964" s="2" t="inlineStr">
        <is>
          <t>Crown Zenith</t>
        </is>
      </c>
      <c r="I964" s="3" t="n">
        <v>137</v>
      </c>
      <c r="J964" s="3" t="n"/>
      <c r="K964" s="3" t="n"/>
      <c r="L964" s="3" t="n"/>
      <c r="M964" s="2" t="inlineStr">
        <is>
          <t>PriceCharting</t>
        </is>
      </c>
      <c r="N964" s="4" t="inlineStr">
        <is>
          <t>https://www.pricecharting.com/game/pokemon-crown-zenith/morpeko-v-union-premium-playmat-collection-box</t>
        </is>
      </c>
    </row>
    <row r="965">
      <c r="A965" s="2" t="inlineStr">
        <is>
          <t>Crown Zenith Regidrago V Collection</t>
        </is>
      </c>
      <c r="B965" s="3">
        <f>IF(I965&lt;&gt;"",I965,IF(J965&lt;&gt;"",J965,IF(K965&lt;&gt;"",K965,L965)))</f>
        <v>99.0</v>
      </c>
      <c r="C965" s="3">
        <f>MEDIAN(I965:L965)</f>
        <v>99.0</v>
      </c>
      <c r="D965" s="3">
        <f>ROUND(C965*(1-Settings!$B$2),2)</f>
        <v>69.3</v>
      </c>
      <c r="E965" s="3">
        <f>ROUND(C965*(1-Settings!$B$3),2)</f>
        <v>69.3</v>
      </c>
      <c r="F965" s="2" t="inlineStr">
        <is>
          <t>Pokemon</t>
        </is>
      </c>
      <c r="G965" s="2" t="inlineStr">
        <is>
          <t>Coffret</t>
        </is>
      </c>
      <c r="H965" s="2" t="inlineStr">
        <is>
          <t>Crown Zenith</t>
        </is>
      </c>
      <c r="I965" s="3" t="n">
        <v>99</v>
      </c>
      <c r="J965" s="3" t="n"/>
      <c r="K965" s="3" t="n"/>
      <c r="L965" s="3" t="n"/>
      <c r="M965" s="2" t="inlineStr">
        <is>
          <t>PriceCharting</t>
        </is>
      </c>
      <c r="N965" s="4" t="inlineStr">
        <is>
          <t>https://www.pricecharting.com/game/pokemon-crown-zenith/regidrago-v-collection</t>
        </is>
      </c>
    </row>
    <row r="966">
      <c r="A966" s="2" t="inlineStr">
        <is>
          <t>Crown Zenith Regieleki V Collection</t>
        </is>
      </c>
      <c r="B966" s="3">
        <f>IF(I966&lt;&gt;"",I966,IF(J966&lt;&gt;"",J966,IF(K966&lt;&gt;"",K966,L966)))</f>
        <v>106.84</v>
      </c>
      <c r="C966" s="3">
        <f>MEDIAN(I966:L966)</f>
        <v>106.84</v>
      </c>
      <c r="D966" s="3">
        <f>ROUND(C966*(1-Settings!$B$2),2)</f>
        <v>74.79</v>
      </c>
      <c r="E966" s="3">
        <f>ROUND(C966*(1-Settings!$B$3),2)</f>
        <v>74.79</v>
      </c>
      <c r="F966" s="2" t="inlineStr">
        <is>
          <t>Pokemon</t>
        </is>
      </c>
      <c r="G966" s="2" t="inlineStr">
        <is>
          <t>Coffret</t>
        </is>
      </c>
      <c r="H966" s="2" t="inlineStr">
        <is>
          <t>Crown Zenith</t>
        </is>
      </c>
      <c r="I966" s="3" t="n">
        <v>106.84</v>
      </c>
      <c r="J966" s="3" t="n"/>
      <c r="K966" s="3" t="n"/>
      <c r="L966" s="3" t="n"/>
      <c r="M966" s="2" t="inlineStr">
        <is>
          <t>PriceCharting</t>
        </is>
      </c>
      <c r="N966" s="4" t="inlineStr">
        <is>
          <t>https://www.pricecharting.com/game/pokemon-crown-zenith/regieleki-v-collection</t>
        </is>
      </c>
    </row>
    <row r="967">
      <c r="A967" s="2" t="inlineStr">
        <is>
          <t>Crown Zenith Sea And Sky Premium Collection Box</t>
        </is>
      </c>
      <c r="B967" s="3">
        <f>IF(I967&lt;&gt;"",I967,IF(J967&lt;&gt;"",J967,IF(K967&lt;&gt;"",K967,L967)))</f>
        <v>375.0</v>
      </c>
      <c r="C967" s="3">
        <f>MEDIAN(I967:L967)</f>
        <v>375.0</v>
      </c>
      <c r="D967" s="3">
        <f>ROUND(C967*(1-Settings!$B$2),2)</f>
        <v>262.5</v>
      </c>
      <c r="E967" s="3">
        <f>ROUND(C967*(1-Settings!$B$3),2)</f>
        <v>262.5</v>
      </c>
      <c r="F967" s="2" t="inlineStr">
        <is>
          <t>Pokemon</t>
        </is>
      </c>
      <c r="G967" s="2" t="inlineStr">
        <is>
          <t>Coffret</t>
        </is>
      </c>
      <c r="H967" s="2" t="inlineStr">
        <is>
          <t>Crown Zenith</t>
        </is>
      </c>
      <c r="I967" s="3" t="n">
        <v>375</v>
      </c>
      <c r="J967" s="3" t="n"/>
      <c r="K967" s="3" t="n"/>
      <c r="L967" s="3" t="n"/>
      <c r="M967" s="2" t="inlineStr">
        <is>
          <t>PriceCharting</t>
        </is>
      </c>
      <c r="N967" s="4" t="inlineStr">
        <is>
          <t>https://www.pricecharting.com/game/pokemon-crown-zenith/sea-and-sky-premium-collection-box</t>
        </is>
      </c>
    </row>
    <row r="968">
      <c r="A968" s="2" t="inlineStr">
        <is>
          <t>Crown Zenith Shiny Zacian Premium Figure Collection Box</t>
        </is>
      </c>
      <c r="B968" s="3">
        <f>IF(I968&lt;&gt;"",I968,IF(J968&lt;&gt;"",J968,IF(K968&lt;&gt;"",K968,L968)))</f>
        <v>315.0</v>
      </c>
      <c r="C968" s="3">
        <f>MEDIAN(I968:L968)</f>
        <v>315.0</v>
      </c>
      <c r="D968" s="3">
        <f>ROUND(C968*(1-Settings!$B$2),2)</f>
        <v>220.5</v>
      </c>
      <c r="E968" s="3">
        <f>ROUND(C968*(1-Settings!$B$3),2)</f>
        <v>220.5</v>
      </c>
      <c r="F968" s="2" t="inlineStr">
        <is>
          <t>Pokemon</t>
        </is>
      </c>
      <c r="G968" s="2" t="inlineStr">
        <is>
          <t>Coffret</t>
        </is>
      </c>
      <c r="H968" s="2" t="inlineStr">
        <is>
          <t>Crown Zenith</t>
        </is>
      </c>
      <c r="I968" s="3" t="n">
        <v>315</v>
      </c>
      <c r="J968" s="3" t="n"/>
      <c r="K968" s="3" t="n"/>
      <c r="L968" s="3" t="n"/>
      <c r="M968" s="2" t="inlineStr">
        <is>
          <t>PriceCharting</t>
        </is>
      </c>
      <c r="N968" s="4" t="inlineStr">
        <is>
          <t>https://www.pricecharting.com/game/pokemon-crown-zenith/shiny-zacian-premium-figure-collection-box</t>
        </is>
      </c>
    </row>
    <row r="969">
      <c r="A969" s="2" t="inlineStr">
        <is>
          <t>Crown Zenith Shiny Zamazenta Premium Figure Collection Box</t>
        </is>
      </c>
      <c r="B969" s="3">
        <f>IF(I969&lt;&gt;"",I969,IF(J969&lt;&gt;"",J969,IF(K969&lt;&gt;"",K969,L969)))</f>
        <v>424.87</v>
      </c>
      <c r="C969" s="3">
        <f>MEDIAN(I969:L969)</f>
        <v>424.87</v>
      </c>
      <c r="D969" s="3">
        <f>ROUND(C969*(1-Settings!$B$2),2)</f>
        <v>297.41</v>
      </c>
      <c r="E969" s="3">
        <f>ROUND(C969*(1-Settings!$B$3),2)</f>
        <v>297.41</v>
      </c>
      <c r="F969" s="2" t="inlineStr">
        <is>
          <t>Pokemon</t>
        </is>
      </c>
      <c r="G969" s="2" t="inlineStr">
        <is>
          <t>Coffret</t>
        </is>
      </c>
      <c r="H969" s="2" t="inlineStr">
        <is>
          <t>Crown Zenith</t>
        </is>
      </c>
      <c r="I969" s="3" t="n">
        <v>424.87</v>
      </c>
      <c r="J969" s="3" t="n"/>
      <c r="K969" s="3" t="n"/>
      <c r="L969" s="3" t="n"/>
      <c r="M969" s="2" t="inlineStr">
        <is>
          <t>PriceCharting</t>
        </is>
      </c>
      <c r="N969" s="4" t="inlineStr">
        <is>
          <t>https://www.pricecharting.com/game/pokemon-crown-zenith/shiny-zamazenta-premium-figure-collection-box</t>
        </is>
      </c>
    </row>
    <row r="970">
      <c r="A970" s="2" t="inlineStr">
        <is>
          <t>Dark Explorers Luxray 3-Pack Blister</t>
        </is>
      </c>
      <c r="B970" s="3">
        <f>IF(I970&lt;&gt;"",I970,IF(J970&lt;&gt;"",J970,IF(K970&lt;&gt;"",K970,L970)))</f>
        <v>499.0</v>
      </c>
      <c r="C970" s="3">
        <f>MEDIAN(I970:L970)</f>
        <v>499.0</v>
      </c>
      <c r="D970" s="3">
        <f>ROUND(C970*(1-Settings!$B$2),2)</f>
        <v>349.3</v>
      </c>
      <c r="E970" s="3">
        <f>ROUND(C970*(1-Settings!$B$3),2)</f>
        <v>349.3</v>
      </c>
      <c r="F970" s="2" t="inlineStr">
        <is>
          <t>Pokemon</t>
        </is>
      </c>
      <c r="G970" s="2" t="inlineStr">
        <is>
          <t>Coffret</t>
        </is>
      </c>
      <c r="H970" s="2" t="inlineStr">
        <is>
          <t>Dark Explorers</t>
        </is>
      </c>
      <c r="I970" s="3" t="n">
        <v>499</v>
      </c>
      <c r="J970" s="3" t="n"/>
      <c r="K970" s="3" t="n"/>
      <c r="L970" s="3" t="n"/>
      <c r="M970" s="2" t="inlineStr">
        <is>
          <t>PriceCharting</t>
        </is>
      </c>
      <c r="N970" s="4" t="inlineStr">
        <is>
          <t>https://www.pricecharting.com/game/pokemon-dark-explorers/luxray-3-pack-blister</t>
        </is>
      </c>
    </row>
    <row r="971">
      <c r="A971" s="2" t="inlineStr">
        <is>
          <t>Darkness Ablaze Eevee 3-Pack Blister</t>
        </is>
      </c>
      <c r="B971" s="3">
        <f>IF(I971&lt;&gt;"",I971,IF(J971&lt;&gt;"",J971,IF(K971&lt;&gt;"",K971,L971)))</f>
        <v>39.98</v>
      </c>
      <c r="C971" s="3">
        <f>MEDIAN(I971:L971)</f>
        <v>39.98</v>
      </c>
      <c r="D971" s="3">
        <f>ROUND(C971*(1-Settings!$B$2),2)</f>
        <v>27.99</v>
      </c>
      <c r="E971" s="3">
        <f>ROUND(C971*(1-Settings!$B$3),2)</f>
        <v>27.99</v>
      </c>
      <c r="F971" s="2" t="inlineStr">
        <is>
          <t>Pokemon</t>
        </is>
      </c>
      <c r="G971" s="2" t="inlineStr">
        <is>
          <t>Coffret</t>
        </is>
      </c>
      <c r="H971" s="2" t="inlineStr">
        <is>
          <t>Darkness Ablaze</t>
        </is>
      </c>
      <c r="I971" s="3" t="n">
        <v>39.98</v>
      </c>
      <c r="J971" s="3" t="n"/>
      <c r="K971" s="3" t="n"/>
      <c r="L971" s="3" t="n"/>
      <c r="M971" s="2" t="inlineStr">
        <is>
          <t>PriceCharting</t>
        </is>
      </c>
      <c r="N971" s="4" t="inlineStr">
        <is>
          <t>https://www.pricecharting.com/game/pokemon-darkness-ablaze/eevee-3-pack-blister</t>
        </is>
      </c>
    </row>
    <row r="972">
      <c r="A972" s="2" t="inlineStr">
        <is>
          <t>Darkness Ablaze Eternatus VMAX Premium Collection Box</t>
        </is>
      </c>
      <c r="B972" s="3">
        <f>IF(I972&lt;&gt;"",I972,IF(J972&lt;&gt;"",J972,IF(K972&lt;&gt;"",K972,L972)))</f>
        <v>107.5</v>
      </c>
      <c r="C972" s="3">
        <f>MEDIAN(I972:L972)</f>
        <v>107.5</v>
      </c>
      <c r="D972" s="3">
        <f>ROUND(C972*(1-Settings!$B$2),2)</f>
        <v>75.25</v>
      </c>
      <c r="E972" s="3">
        <f>ROUND(C972*(1-Settings!$B$3),2)</f>
        <v>75.25</v>
      </c>
      <c r="F972" s="2" t="inlineStr">
        <is>
          <t>Pokemon</t>
        </is>
      </c>
      <c r="G972" s="2" t="inlineStr">
        <is>
          <t>Coffret</t>
        </is>
      </c>
      <c r="H972" s="2" t="inlineStr">
        <is>
          <t>Darkness Ablaze</t>
        </is>
      </c>
      <c r="I972" s="3" t="n">
        <v>107.5</v>
      </c>
      <c r="J972" s="3" t="n"/>
      <c r="K972" s="3" t="n"/>
      <c r="L972" s="3" t="n"/>
      <c r="M972" s="2" t="inlineStr">
        <is>
          <t>PriceCharting</t>
        </is>
      </c>
      <c r="N972" s="4" t="inlineStr">
        <is>
          <t>https://www.pricecharting.com/game/pokemon-darkness-ablaze/eternatus-vmax-premium-collection-box</t>
        </is>
      </c>
    </row>
    <row r="973">
      <c r="A973" s="2" t="inlineStr">
        <is>
          <t>Destined Rivals Elite Trainer Box [Pokemon Center]</t>
        </is>
      </c>
      <c r="B973" s="3">
        <f>IF(I973&lt;&gt;"",I973,IF(J973&lt;&gt;"",J973,IF(K973&lt;&gt;"",K973,L973)))</f>
        <v>417.55</v>
      </c>
      <c r="C973" s="3">
        <f>MEDIAN(I973:L973)</f>
        <v>417.55</v>
      </c>
      <c r="D973" s="3">
        <f>ROUND(C973*(1-Settings!$B$2),2)</f>
        <v>292.29</v>
      </c>
      <c r="E973" s="3">
        <f>ROUND(C973*(1-Settings!$B$3),2)</f>
        <v>292.29</v>
      </c>
      <c r="F973" s="2" t="inlineStr">
        <is>
          <t>Pokemon</t>
        </is>
      </c>
      <c r="G973" s="2" t="inlineStr">
        <is>
          <t>Coffret</t>
        </is>
      </c>
      <c r="H973" s="2" t="inlineStr">
        <is>
          <t>Destined Rivals</t>
        </is>
      </c>
      <c r="I973" s="3" t="n">
        <v>417.55</v>
      </c>
      <c r="J973" s="3" t="n"/>
      <c r="K973" s="3" t="n"/>
      <c r="L973" s="3" t="n"/>
      <c r="M973" s="2" t="inlineStr">
        <is>
          <t>PriceCharting</t>
        </is>
      </c>
      <c r="N973" s="4" t="inlineStr">
        <is>
          <t>https://www.pricecharting.com/game/pokemon-destined-rivals/elite-trainer-box-pokemon-center</t>
        </is>
      </c>
    </row>
    <row r="974">
      <c r="A974" s="2" t="inlineStr">
        <is>
          <t>Destined Rivals Team Rocket Tin: Mewtwo Ex</t>
        </is>
      </c>
      <c r="B974" s="3">
        <f>IF(I974&lt;&gt;"",I974,IF(J974&lt;&gt;"",J974,IF(K974&lt;&gt;"",K974,L974)))</f>
        <v>59.27</v>
      </c>
      <c r="C974" s="3">
        <f>MEDIAN(I974:L974)</f>
        <v>59.27</v>
      </c>
      <c r="D974" s="3">
        <f>ROUND(C974*(1-Settings!$B$2),2)</f>
        <v>41.49</v>
      </c>
      <c r="E974" s="3">
        <f>ROUND(C974*(1-Settings!$B$3),2)</f>
        <v>41.49</v>
      </c>
      <c r="F974" s="2" t="inlineStr">
        <is>
          <t>Pokemon</t>
        </is>
      </c>
      <c r="G974" s="2" t="inlineStr">
        <is>
          <t>Coffret</t>
        </is>
      </c>
      <c r="H974" s="2" t="inlineStr">
        <is>
          <t>Destined Rivals</t>
        </is>
      </c>
      <c r="I974" s="3" t="n">
        <v>59.27</v>
      </c>
      <c r="J974" s="3" t="n"/>
      <c r="K974" s="3" t="n"/>
      <c r="L974" s="3" t="n"/>
      <c r="M974" s="2" t="inlineStr">
        <is>
          <t>PriceCharting</t>
        </is>
      </c>
      <c r="N974" s="4" t="inlineStr">
        <is>
          <t>https://www.pricecharting.com/game/pokemon-destined-rivals/team-rocket-tin-mewtwo-ex</t>
        </is>
      </c>
    </row>
    <row r="975">
      <c r="A975" s="2" t="inlineStr">
        <is>
          <t>Destined Rivals Team Rocket Tin: Mewtwo ex [International]</t>
        </is>
      </c>
      <c r="B975" s="3">
        <f>IF(I975&lt;&gt;"",I975,IF(J975&lt;&gt;"",J975,IF(K975&lt;&gt;"",K975,L975)))</f>
        <v>114.99</v>
      </c>
      <c r="C975" s="3">
        <f>MEDIAN(I975:L975)</f>
        <v>114.99</v>
      </c>
      <c r="D975" s="3">
        <f>ROUND(C975*(1-Settings!$B$2),2)</f>
        <v>80.49</v>
      </c>
      <c r="E975" s="3">
        <f>ROUND(C975*(1-Settings!$B$3),2)</f>
        <v>80.49</v>
      </c>
      <c r="F975" s="2" t="inlineStr">
        <is>
          <t>Pokemon</t>
        </is>
      </c>
      <c r="G975" s="2" t="inlineStr">
        <is>
          <t>Coffret</t>
        </is>
      </c>
      <c r="H975" s="2" t="inlineStr">
        <is>
          <t>Destined Rivals</t>
        </is>
      </c>
      <c r="I975" s="3" t="n">
        <v>114.99</v>
      </c>
      <c r="J975" s="3" t="n"/>
      <c r="K975" s="3" t="n"/>
      <c r="L975" s="3" t="n"/>
      <c r="M975" s="2" t="inlineStr">
        <is>
          <t>PriceCharting</t>
        </is>
      </c>
      <c r="N975" s="4" t="inlineStr">
        <is>
          <t>https://www.pricecharting.com/game/pokemon-destined-rivals/team-rocket-tin-mewtwo-ex-international</t>
        </is>
      </c>
    </row>
    <row r="976">
      <c r="A976" s="2" t="inlineStr">
        <is>
          <t>Destined Rivals Team Rocket Tin: Nidoking ex</t>
        </is>
      </c>
      <c r="B976" s="3">
        <f>IF(I976&lt;&gt;"",I976,IF(J976&lt;&gt;"",J976,IF(K976&lt;&gt;"",K976,L976)))</f>
        <v>47.54</v>
      </c>
      <c r="C976" s="3">
        <f>MEDIAN(I976:L976)</f>
        <v>47.54</v>
      </c>
      <c r="D976" s="3">
        <f>ROUND(C976*(1-Settings!$B$2),2)</f>
        <v>33.28</v>
      </c>
      <c r="E976" s="3">
        <f>ROUND(C976*(1-Settings!$B$3),2)</f>
        <v>33.28</v>
      </c>
      <c r="F976" s="2" t="inlineStr">
        <is>
          <t>Pokemon</t>
        </is>
      </c>
      <c r="G976" s="2" t="inlineStr">
        <is>
          <t>Coffret</t>
        </is>
      </c>
      <c r="H976" s="2" t="inlineStr">
        <is>
          <t>Destined Rivals</t>
        </is>
      </c>
      <c r="I976" s="3" t="n">
        <v>47.54</v>
      </c>
      <c r="J976" s="3" t="n"/>
      <c r="K976" s="3" t="n"/>
      <c r="L976" s="3" t="n"/>
      <c r="M976" s="2" t="inlineStr">
        <is>
          <t>PriceCharting</t>
        </is>
      </c>
      <c r="N976" s="4" t="inlineStr">
        <is>
          <t>https://www.pricecharting.com/game/pokemon-destined-rivals/team-rocket-tin-nidoking-ex</t>
        </is>
      </c>
    </row>
    <row r="977">
      <c r="A977" s="2" t="inlineStr">
        <is>
          <t>Destined Rivals Team Rocket Tin: Nidoking ex [International]</t>
        </is>
      </c>
      <c r="B977" s="3">
        <f>IF(I977&lt;&gt;"",I977,IF(J977&lt;&gt;"",J977,IF(K977&lt;&gt;"",K977,L977)))</f>
        <v>37.94</v>
      </c>
      <c r="C977" s="3">
        <f>MEDIAN(I977:L977)</f>
        <v>37.94</v>
      </c>
      <c r="D977" s="3">
        <f>ROUND(C977*(1-Settings!$B$2),2)</f>
        <v>26.56</v>
      </c>
      <c r="E977" s="3">
        <f>ROUND(C977*(1-Settings!$B$3),2)</f>
        <v>26.56</v>
      </c>
      <c r="F977" s="2" t="inlineStr">
        <is>
          <t>Pokemon</t>
        </is>
      </c>
      <c r="G977" s="2" t="inlineStr">
        <is>
          <t>Coffret</t>
        </is>
      </c>
      <c r="H977" s="2" t="inlineStr">
        <is>
          <t>Destined Rivals</t>
        </is>
      </c>
      <c r="I977" s="3" t="n">
        <v>37.94</v>
      </c>
      <c r="J977" s="3" t="n"/>
      <c r="K977" s="3" t="n"/>
      <c r="L977" s="3" t="n"/>
      <c r="M977" s="2" t="inlineStr">
        <is>
          <t>PriceCharting</t>
        </is>
      </c>
      <c r="N977" s="4" t="inlineStr">
        <is>
          <t>https://www.pricecharting.com/game/pokemon-destined-rivals/team-rocket-tin-nidoking-ex-international</t>
        </is>
      </c>
    </row>
    <row r="978">
      <c r="A978" s="2" t="inlineStr">
        <is>
          <t>Destined Rivals Team Rocket Tin: Persian ex</t>
        </is>
      </c>
      <c r="B978" s="3">
        <f>IF(I978&lt;&gt;"",I978,IF(J978&lt;&gt;"",J978,IF(K978&lt;&gt;"",K978,L978)))</f>
        <v>46.58</v>
      </c>
      <c r="C978" s="3">
        <f>MEDIAN(I978:L978)</f>
        <v>46.58</v>
      </c>
      <c r="D978" s="3">
        <f>ROUND(C978*(1-Settings!$B$2),2)</f>
        <v>32.61</v>
      </c>
      <c r="E978" s="3">
        <f>ROUND(C978*(1-Settings!$B$3),2)</f>
        <v>32.61</v>
      </c>
      <c r="F978" s="2" t="inlineStr">
        <is>
          <t>Pokemon</t>
        </is>
      </c>
      <c r="G978" s="2" t="inlineStr">
        <is>
          <t>Coffret</t>
        </is>
      </c>
      <c r="H978" s="2" t="inlineStr">
        <is>
          <t>Destined Rivals</t>
        </is>
      </c>
      <c r="I978" s="3" t="n">
        <v>46.58</v>
      </c>
      <c r="J978" s="3" t="n"/>
      <c r="K978" s="3" t="n"/>
      <c r="L978" s="3" t="n"/>
      <c r="M978" s="2" t="inlineStr">
        <is>
          <t>PriceCharting</t>
        </is>
      </c>
      <c r="N978" s="4" t="inlineStr">
        <is>
          <t>https://www.pricecharting.com/game/pokemon-destined-rivals/team-rocket-tin-persian-ex</t>
        </is>
      </c>
    </row>
    <row r="979">
      <c r="A979" s="2" t="inlineStr">
        <is>
          <t>Destined Rivals Team Rocket Tin: Persian ex [International]</t>
        </is>
      </c>
      <c r="B979" s="3">
        <f>IF(I979&lt;&gt;"",I979,IF(J979&lt;&gt;"",J979,IF(K979&lt;&gt;"",K979,L979)))</f>
        <v>99.99</v>
      </c>
      <c r="C979" s="3">
        <f>MEDIAN(I979:L979)</f>
        <v>99.99</v>
      </c>
      <c r="D979" s="3">
        <f>ROUND(C979*(1-Settings!$B$2),2)</f>
        <v>69.99</v>
      </c>
      <c r="E979" s="3">
        <f>ROUND(C979*(1-Settings!$B$3),2)</f>
        <v>69.99</v>
      </c>
      <c r="F979" s="2" t="inlineStr">
        <is>
          <t>Pokemon</t>
        </is>
      </c>
      <c r="G979" s="2" t="inlineStr">
        <is>
          <t>Coffret</t>
        </is>
      </c>
      <c r="H979" s="2" t="inlineStr">
        <is>
          <t>Destined Rivals</t>
        </is>
      </c>
      <c r="I979" s="3" t="n">
        <v>99.98999999999999</v>
      </c>
      <c r="J979" s="3" t="n"/>
      <c r="K979" s="3" t="n"/>
      <c r="L979" s="3" t="n"/>
      <c r="M979" s="2" t="inlineStr">
        <is>
          <t>PriceCharting</t>
        </is>
      </c>
      <c r="N979" s="4" t="inlineStr">
        <is>
          <t>https://www.pricecharting.com/game/pokemon-destined-rivals/team-rocket-tin-persian-ex-international</t>
        </is>
      </c>
    </row>
    <row r="980">
      <c r="A980" s="2" t="inlineStr">
        <is>
          <t>Destined Rivals Team Rocket's Mewtwo ex Box</t>
        </is>
      </c>
      <c r="B980" s="3">
        <f>IF(I980&lt;&gt;"",I980,IF(J980&lt;&gt;"",J980,IF(K980&lt;&gt;"",K980,L980)))</f>
        <v>54.98</v>
      </c>
      <c r="C980" s="3">
        <f>MEDIAN(I980:L980)</f>
        <v>54.98</v>
      </c>
      <c r="D980" s="3">
        <f>ROUND(C980*(1-Settings!$B$2),2)</f>
        <v>38.49</v>
      </c>
      <c r="E980" s="3">
        <f>ROUND(C980*(1-Settings!$B$3),2)</f>
        <v>38.49</v>
      </c>
      <c r="F980" s="2" t="inlineStr">
        <is>
          <t>Pokemon</t>
        </is>
      </c>
      <c r="G980" s="2" t="inlineStr">
        <is>
          <t>Coffret</t>
        </is>
      </c>
      <c r="H980" s="2" t="inlineStr">
        <is>
          <t>Destined Rivals</t>
        </is>
      </c>
      <c r="I980" s="3" t="n">
        <v>54.98</v>
      </c>
      <c r="J980" s="3" t="n"/>
      <c r="K980" s="3" t="n"/>
      <c r="L980" s="3" t="n"/>
      <c r="M980" s="2" t="inlineStr">
        <is>
          <t>PriceCharting</t>
        </is>
      </c>
      <c r="N980" s="4" t="inlineStr">
        <is>
          <t>https://www.pricecharting.com/game/pokemon-destined-rivals/team-rocket's-mewtwo-ex-box</t>
        </is>
      </c>
    </row>
    <row r="981">
      <c r="A981" s="2" t="inlineStr">
        <is>
          <t>Detective Pikachu Cafe Figure Collection</t>
        </is>
      </c>
      <c r="B981" s="3">
        <f>IF(I981&lt;&gt;"",I981,IF(J981&lt;&gt;"",J981,IF(K981&lt;&gt;"",K981,L981)))</f>
        <v>487.5</v>
      </c>
      <c r="C981" s="3">
        <f>MEDIAN(I981:L981)</f>
        <v>481.25</v>
      </c>
      <c r="D981" s="3">
        <f>ROUND(C981*(1-Settings!$B$2),2)</f>
        <v>336.88</v>
      </c>
      <c r="E981" s="3">
        <f>ROUND(C981*(1-Settings!$B$3),2)</f>
        <v>336.88</v>
      </c>
      <c r="F981" s="2" t="inlineStr">
        <is>
          <t>Pokemon</t>
        </is>
      </c>
      <c r="G981" s="2" t="inlineStr">
        <is>
          <t>Coffret</t>
        </is>
      </c>
      <c r="H981" s="2" t="inlineStr">
        <is>
          <t>Detective Pikachu</t>
        </is>
      </c>
      <c r="I981" s="3" t="n"/>
      <c r="J981" s="3" t="n"/>
      <c r="K981" s="3" t="n">
        <v>487.5</v>
      </c>
      <c r="L981" s="3" t="n">
        <v>475</v>
      </c>
      <c r="M981" s="2" t="inlineStr">
        <is>
          <t>TCGplayer</t>
        </is>
      </c>
      <c r="O981" s="4" t="inlineStr">
        <is>
          <t>https://www.tcgplayer.com/product/264420</t>
        </is>
      </c>
    </row>
    <row r="982">
      <c r="A982" s="2" t="inlineStr">
        <is>
          <t>Detective Pikachu Collectors Chest</t>
        </is>
      </c>
      <c r="B982" s="3">
        <f>IF(I982&lt;&gt;"",I982,IF(J982&lt;&gt;"",J982,IF(K982&lt;&gt;"",K982,L982)))</f>
        <v>224.01</v>
      </c>
      <c r="C982" s="3">
        <f>MEDIAN(I982:L982)</f>
        <v>224.01</v>
      </c>
      <c r="D982" s="3">
        <f>ROUND(C982*(1-Settings!$B$2),2)</f>
        <v>156.81</v>
      </c>
      <c r="E982" s="3">
        <f>ROUND(C982*(1-Settings!$B$3),2)</f>
        <v>156.81</v>
      </c>
      <c r="F982" s="2" t="inlineStr">
        <is>
          <t>Pokemon</t>
        </is>
      </c>
      <c r="G982" s="2" t="inlineStr">
        <is>
          <t>Coffret</t>
        </is>
      </c>
      <c r="H982" s="2" t="inlineStr">
        <is>
          <t>Detective Pikachu</t>
        </is>
      </c>
      <c r="I982" s="3" t="n">
        <v>224.01</v>
      </c>
      <c r="J982" s="3" t="n"/>
      <c r="K982" s="3" t="n"/>
      <c r="L982" s="3" t="n"/>
      <c r="M982" s="2" t="inlineStr">
        <is>
          <t>PriceCharting</t>
        </is>
      </c>
      <c r="N982" s="4" t="inlineStr">
        <is>
          <t>https://www.pricecharting.com/game/pokemon-detective-pikachu/detective-pikachu-collectors-chest</t>
        </is>
      </c>
    </row>
    <row r="983">
      <c r="A983" s="2" t="inlineStr">
        <is>
          <t>Detective Pikachu Tin [Charizard]</t>
        </is>
      </c>
      <c r="B983" s="3">
        <f>IF(I983&lt;&gt;"",I983,IF(J983&lt;&gt;"",J983,IF(K983&lt;&gt;"",K983,L983)))</f>
        <v>169.91</v>
      </c>
      <c r="C983" s="3">
        <f>MEDIAN(I983:L983)</f>
        <v>297.96</v>
      </c>
      <c r="D983" s="3">
        <f>ROUND(C983*(1-Settings!$B$2),2)</f>
        <v>208.57</v>
      </c>
      <c r="E983" s="3">
        <f>ROUND(C983*(1-Settings!$B$3),2)</f>
        <v>208.57</v>
      </c>
      <c r="F983" s="2" t="inlineStr">
        <is>
          <t>Pokemon</t>
        </is>
      </c>
      <c r="G983" s="2" t="inlineStr">
        <is>
          <t>Coffret</t>
        </is>
      </c>
      <c r="H983" s="2" t="inlineStr">
        <is>
          <t>Detective Pikachu</t>
        </is>
      </c>
      <c r="I983" s="3" t="n"/>
      <c r="J983" s="3" t="n">
        <v>169.91</v>
      </c>
      <c r="K983" s="3" t="n">
        <v>297.96</v>
      </c>
      <c r="L983" s="3" t="n">
        <v>297.96</v>
      </c>
      <c r="M983" s="2" t="inlineStr">
        <is>
          <t>TCGplayer</t>
        </is>
      </c>
      <c r="O983" s="4" t="inlineStr">
        <is>
          <t>https://www.tcgplayer.com/product/502477</t>
        </is>
      </c>
    </row>
    <row r="984">
      <c r="A984" s="2" t="inlineStr">
        <is>
          <t>Detective Pikachu Tin [Mewtwo]</t>
        </is>
      </c>
      <c r="B984" s="3">
        <f>IF(I984&lt;&gt;"",I984,IF(J984&lt;&gt;"",J984,IF(K984&lt;&gt;"",K984,L984)))</f>
        <v>120.0</v>
      </c>
      <c r="C984" s="3">
        <f>MEDIAN(I984:L984)</f>
        <v>120.0</v>
      </c>
      <c r="D984" s="3">
        <f>ROUND(C984*(1-Settings!$B$2),2)</f>
        <v>84.0</v>
      </c>
      <c r="E984" s="3">
        <f>ROUND(C984*(1-Settings!$B$3),2)</f>
        <v>84.0</v>
      </c>
      <c r="F984" s="2" t="inlineStr">
        <is>
          <t>Pokemon</t>
        </is>
      </c>
      <c r="G984" s="2" t="inlineStr">
        <is>
          <t>Coffret</t>
        </is>
      </c>
      <c r="H984" s="2" t="inlineStr">
        <is>
          <t>Detective Pikachu</t>
        </is>
      </c>
      <c r="I984" s="3" t="n">
        <v>120</v>
      </c>
      <c r="J984" s="3" t="n"/>
      <c r="K984" s="3" t="n"/>
      <c r="L984" s="3" t="n"/>
      <c r="M984" s="2" t="inlineStr">
        <is>
          <t>PriceCharting</t>
        </is>
      </c>
      <c r="N984" s="4" t="inlineStr">
        <is>
          <t>https://www.pricecharting.com/game/pokemon-detective-pikachu/detective-pikachu-tin-mewtwo</t>
        </is>
      </c>
    </row>
    <row r="985">
      <c r="A985" s="2" t="inlineStr">
        <is>
          <t>Detective Pikachu: Collector Chest</t>
        </is>
      </c>
      <c r="B985" s="3">
        <f>IF(I985&lt;&gt;"",I985,IF(J985&lt;&gt;"",J985,IF(K985&lt;&gt;"",K985,L985)))</f>
        <v>372.33</v>
      </c>
      <c r="C985" s="3">
        <f>MEDIAN(I985:L985)</f>
        <v>379.0</v>
      </c>
      <c r="D985" s="3">
        <f>ROUND(C985*(1-Settings!$B$2),2)</f>
        <v>265.3</v>
      </c>
      <c r="E985" s="3">
        <f>ROUND(C985*(1-Settings!$B$3),2)</f>
        <v>265.3</v>
      </c>
      <c r="F985" s="2" t="inlineStr">
        <is>
          <t>Pokemon</t>
        </is>
      </c>
      <c r="G985" s="2" t="inlineStr">
        <is>
          <t>Coffret</t>
        </is>
      </c>
      <c r="H985" s="2" t="inlineStr">
        <is>
          <t>Detective Pikachu</t>
        </is>
      </c>
      <c r="I985" s="3" t="n"/>
      <c r="J985" s="3" t="n">
        <v>372.33</v>
      </c>
      <c r="K985" s="3" t="n">
        <v>409.5</v>
      </c>
      <c r="L985" s="3" t="n">
        <v>379</v>
      </c>
      <c r="M985" s="2" t="inlineStr">
        <is>
          <t>TCGplayer</t>
        </is>
      </c>
      <c r="O985" s="4" t="inlineStr">
        <is>
          <t>https://www.tcgplayer.com/product/185244</t>
        </is>
      </c>
    </row>
    <row r="986">
      <c r="A986" s="2" t="inlineStr">
        <is>
          <t>Double Crisis 4-Pack Blister Pack</t>
        </is>
      </c>
      <c r="B986" s="3">
        <f>IF(I986&lt;&gt;"",I986,IF(J986&lt;&gt;"",J986,IF(K986&lt;&gt;"",K986,L986)))</f>
        <v>1551.94</v>
      </c>
      <c r="C986" s="3">
        <f>MEDIAN(I986:L986)</f>
        <v>1551.94</v>
      </c>
      <c r="D986" s="3">
        <f>ROUND(C986*(1-Settings!$B$2),2)</f>
        <v>1086.36</v>
      </c>
      <c r="E986" s="3">
        <f>ROUND(C986*(1-Settings!$B$3),2)</f>
        <v>1086.36</v>
      </c>
      <c r="F986" s="2" t="inlineStr">
        <is>
          <t>Pokemon</t>
        </is>
      </c>
      <c r="G986" s="2" t="inlineStr">
        <is>
          <t>Coffret</t>
        </is>
      </c>
      <c r="H986" s="2" t="inlineStr">
        <is>
          <t>Double Crisis</t>
        </is>
      </c>
      <c r="I986" s="3" t="n">
        <v>1551.94</v>
      </c>
      <c r="J986" s="3" t="n"/>
      <c r="K986" s="3" t="n"/>
      <c r="L986" s="3" t="n"/>
      <c r="M986" s="2" t="inlineStr">
        <is>
          <t>PriceCharting</t>
        </is>
      </c>
      <c r="N986" s="4" t="inlineStr">
        <is>
          <t>https://www.pricecharting.com/game/pokemon-double-crisis/4-pack-blister-pack</t>
        </is>
      </c>
    </row>
    <row r="987">
      <c r="A987" s="2" t="inlineStr">
        <is>
          <t>Dragon Majesty Elite Trainer Box</t>
        </is>
      </c>
      <c r="B987" s="3">
        <f>IF(I987&lt;&gt;"",I987,IF(J987&lt;&gt;"",J987,IF(K987&lt;&gt;"",K987,L987)))</f>
        <v>1199.99</v>
      </c>
      <c r="C987" s="3">
        <f>MEDIAN(I987:L987)</f>
        <v>1339.095</v>
      </c>
      <c r="D987" s="3">
        <f>ROUND(C987*(1-Settings!$B$2),2)</f>
        <v>937.37</v>
      </c>
      <c r="E987" s="3">
        <f>ROUND(C987*(1-Settings!$B$3),2)</f>
        <v>937.37</v>
      </c>
      <c r="F987" s="2" t="inlineStr">
        <is>
          <t>Pokemon</t>
        </is>
      </c>
      <c r="G987" s="2" t="inlineStr">
        <is>
          <t>Coffret</t>
        </is>
      </c>
      <c r="H987" s="2" t="inlineStr">
        <is>
          <t>Dragon Majesty</t>
        </is>
      </c>
      <c r="I987" s="3" t="n">
        <v>1199.99</v>
      </c>
      <c r="J987" s="3" t="n">
        <v>1228.24</v>
      </c>
      <c r="K987" s="3" t="n">
        <v>1725</v>
      </c>
      <c r="L987" s="3" t="n">
        <v>1449.95</v>
      </c>
      <c r="M987" s="2" t="inlineStr">
        <is>
          <t>PriceCharting + TCGplayer</t>
        </is>
      </c>
      <c r="N987" s="4" t="inlineStr">
        <is>
          <t>https://www.pricecharting.com/game/pokemon-dragon-majesty/elite-trainer-box</t>
        </is>
      </c>
      <c r="O987" s="4" t="inlineStr">
        <is>
          <t>https://www.tcgplayer.com/product/173393</t>
        </is>
      </c>
    </row>
    <row r="988">
      <c r="A988" s="2" t="inlineStr">
        <is>
          <t>Dragon Majesty Legends Of Unova GX Collection Box</t>
        </is>
      </c>
      <c r="B988" s="3">
        <f>IF(I988&lt;&gt;"",I988,IF(J988&lt;&gt;"",J988,IF(K988&lt;&gt;"",K988,L988)))</f>
        <v>398.61</v>
      </c>
      <c r="C988" s="3">
        <f>MEDIAN(I988:L988)</f>
        <v>398.61</v>
      </c>
      <c r="D988" s="3">
        <f>ROUND(C988*(1-Settings!$B$2),2)</f>
        <v>279.03</v>
      </c>
      <c r="E988" s="3">
        <f>ROUND(C988*(1-Settings!$B$3),2)</f>
        <v>279.03</v>
      </c>
      <c r="F988" s="2" t="inlineStr">
        <is>
          <t>Pokemon</t>
        </is>
      </c>
      <c r="G988" s="2" t="inlineStr">
        <is>
          <t>Coffret</t>
        </is>
      </c>
      <c r="H988" s="2" t="inlineStr">
        <is>
          <t>Dragon Majesty</t>
        </is>
      </c>
      <c r="I988" s="3" t="n">
        <v>398.61</v>
      </c>
      <c r="J988" s="3" t="n"/>
      <c r="K988" s="3" t="n"/>
      <c r="L988" s="3" t="n"/>
      <c r="M988" s="2" t="inlineStr">
        <is>
          <t>PriceCharting</t>
        </is>
      </c>
      <c r="N988" s="4" t="inlineStr">
        <is>
          <t>https://www.pricecharting.com/game/pokemon-dragon-majesty/legends-of-unova-gx-collection-box</t>
        </is>
      </c>
    </row>
    <row r="989">
      <c r="A989" s="2" t="inlineStr">
        <is>
          <t>Dragon Majesty Pin Collection [Latias]</t>
        </is>
      </c>
      <c r="B989" s="3">
        <f>IF(I989&lt;&gt;"",I989,IF(J989&lt;&gt;"",J989,IF(K989&lt;&gt;"",K989,L989)))</f>
        <v>399.0</v>
      </c>
      <c r="C989" s="3">
        <f>MEDIAN(I989:L989)</f>
        <v>399.0</v>
      </c>
      <c r="D989" s="3">
        <f>ROUND(C989*(1-Settings!$B$2),2)</f>
        <v>279.3</v>
      </c>
      <c r="E989" s="3">
        <f>ROUND(C989*(1-Settings!$B$3),2)</f>
        <v>279.3</v>
      </c>
      <c r="F989" s="2" t="inlineStr">
        <is>
          <t>Pokemon</t>
        </is>
      </c>
      <c r="G989" s="2" t="inlineStr">
        <is>
          <t>Coffret</t>
        </is>
      </c>
      <c r="H989" s="2" t="inlineStr">
        <is>
          <t>Dragon Majesty</t>
        </is>
      </c>
      <c r="I989" s="3" t="n"/>
      <c r="J989" s="3" t="n">
        <v>399</v>
      </c>
      <c r="K989" s="3" t="n"/>
      <c r="L989" s="3" t="n"/>
      <c r="M989" s="2" t="inlineStr">
        <is>
          <t>TCGplayer</t>
        </is>
      </c>
      <c r="O989" s="4" t="inlineStr">
        <is>
          <t>https://www.tcgplayer.com/product/175062</t>
        </is>
      </c>
    </row>
    <row r="990">
      <c r="A990" s="2" t="inlineStr">
        <is>
          <t>Dragon Majesty Pin Collection [Latios]</t>
        </is>
      </c>
      <c r="B990" s="3">
        <f>IF(I990&lt;&gt;"",I990,IF(J990&lt;&gt;"",J990,IF(K990&lt;&gt;"",K990,L990)))</f>
        <v>450.0</v>
      </c>
      <c r="C990" s="3">
        <f>MEDIAN(I990:L990)</f>
        <v>450.0</v>
      </c>
      <c r="D990" s="3">
        <f>ROUND(C990*(1-Settings!$B$2),2)</f>
        <v>315.0</v>
      </c>
      <c r="E990" s="3">
        <f>ROUND(C990*(1-Settings!$B$3),2)</f>
        <v>315.0</v>
      </c>
      <c r="F990" s="2" t="inlineStr">
        <is>
          <t>Pokemon</t>
        </is>
      </c>
      <c r="G990" s="2" t="inlineStr">
        <is>
          <t>Coffret</t>
        </is>
      </c>
      <c r="H990" s="2" t="inlineStr">
        <is>
          <t>Dragon Majesty</t>
        </is>
      </c>
      <c r="I990" s="3" t="n"/>
      <c r="J990" s="3" t="n"/>
      <c r="K990" s="3" t="n">
        <v>450</v>
      </c>
      <c r="L990" s="3" t="n">
        <v>450</v>
      </c>
      <c r="M990" s="2" t="inlineStr">
        <is>
          <t>TCGplayer</t>
        </is>
      </c>
      <c r="O990" s="4" t="inlineStr">
        <is>
          <t>https://www.tcgplayer.com/product/175063</t>
        </is>
      </c>
    </row>
    <row r="991">
      <c r="A991" s="2" t="inlineStr">
        <is>
          <t>Dragon Majesty Pin Collection Box: Latias</t>
        </is>
      </c>
      <c r="B991" s="3">
        <f>IF(I991&lt;&gt;"",I991,IF(J991&lt;&gt;"",J991,IF(K991&lt;&gt;"",K991,L991)))</f>
        <v>299.5</v>
      </c>
      <c r="C991" s="3">
        <f>MEDIAN(I991:L991)</f>
        <v>299.5</v>
      </c>
      <c r="D991" s="3">
        <f>ROUND(C991*(1-Settings!$B$2),2)</f>
        <v>209.65</v>
      </c>
      <c r="E991" s="3">
        <f>ROUND(C991*(1-Settings!$B$3),2)</f>
        <v>209.65</v>
      </c>
      <c r="F991" s="2" t="inlineStr">
        <is>
          <t>Pokemon</t>
        </is>
      </c>
      <c r="G991" s="2" t="inlineStr">
        <is>
          <t>Coffret</t>
        </is>
      </c>
      <c r="H991" s="2" t="inlineStr">
        <is>
          <t>Dragon Majesty</t>
        </is>
      </c>
      <c r="I991" s="3" t="n">
        <v>299.5</v>
      </c>
      <c r="J991" s="3" t="n"/>
      <c r="K991" s="3" t="n"/>
      <c r="L991" s="3" t="n"/>
      <c r="M991" s="2" t="inlineStr">
        <is>
          <t>PriceCharting</t>
        </is>
      </c>
      <c r="N991" s="4" t="inlineStr">
        <is>
          <t>https://www.pricecharting.com/game/pokemon-dragon-majesty/pin-collection-box-latias</t>
        </is>
      </c>
    </row>
    <row r="992">
      <c r="A992" s="2" t="inlineStr">
        <is>
          <t>Dragon Majesty Pin Collection Box: Latios</t>
        </is>
      </c>
      <c r="B992" s="3">
        <f>IF(I992&lt;&gt;"",I992,IF(J992&lt;&gt;"",J992,IF(K992&lt;&gt;"",K992,L992)))</f>
        <v>405.0</v>
      </c>
      <c r="C992" s="3">
        <f>MEDIAN(I992:L992)</f>
        <v>405.0</v>
      </c>
      <c r="D992" s="3">
        <f>ROUND(C992*(1-Settings!$B$2),2)</f>
        <v>283.5</v>
      </c>
      <c r="E992" s="3">
        <f>ROUND(C992*(1-Settings!$B$3),2)</f>
        <v>283.5</v>
      </c>
      <c r="F992" s="2" t="inlineStr">
        <is>
          <t>Pokemon</t>
        </is>
      </c>
      <c r="G992" s="2" t="inlineStr">
        <is>
          <t>Coffret</t>
        </is>
      </c>
      <c r="H992" s="2" t="inlineStr">
        <is>
          <t>Dragon Majesty</t>
        </is>
      </c>
      <c r="I992" s="3" t="n">
        <v>405</v>
      </c>
      <c r="J992" s="3" t="n"/>
      <c r="K992" s="3" t="n"/>
      <c r="L992" s="3" t="n"/>
      <c r="M992" s="2" t="inlineStr">
        <is>
          <t>PriceCharting</t>
        </is>
      </c>
      <c r="N992" s="4" t="inlineStr">
        <is>
          <t>https://www.pricecharting.com/game/pokemon-dragon-majesty/pin-collection-box-latios</t>
        </is>
      </c>
    </row>
    <row r="993">
      <c r="A993" s="2" t="inlineStr">
        <is>
          <t>Dragon Majesty Special Collection: Salamence GX</t>
        </is>
      </c>
      <c r="B993" s="3">
        <f>IF(I993&lt;&gt;"",I993,IF(J993&lt;&gt;"",J993,IF(K993&lt;&gt;"",K993,L993)))</f>
        <v>999.99</v>
      </c>
      <c r="C993" s="3">
        <f>MEDIAN(I993:L993)</f>
        <v>999.99</v>
      </c>
      <c r="D993" s="3">
        <f>ROUND(C993*(1-Settings!$B$2),2)</f>
        <v>699.99</v>
      </c>
      <c r="E993" s="3">
        <f>ROUND(C993*(1-Settings!$B$3),2)</f>
        <v>699.99</v>
      </c>
      <c r="F993" s="2" t="inlineStr">
        <is>
          <t>Pokemon</t>
        </is>
      </c>
      <c r="G993" s="2" t="inlineStr">
        <is>
          <t>Coffret</t>
        </is>
      </c>
      <c r="H993" s="2" t="inlineStr">
        <is>
          <t>Dragon Majesty</t>
        </is>
      </c>
      <c r="I993" s="3" t="n"/>
      <c r="J993" s="3" t="n"/>
      <c r="K993" s="3" t="n">
        <v>999.99</v>
      </c>
      <c r="L993" s="3" t="n">
        <v>999.99</v>
      </c>
      <c r="M993" s="2" t="inlineStr">
        <is>
          <t>TCGplayer</t>
        </is>
      </c>
      <c r="O993" s="4" t="inlineStr">
        <is>
          <t>https://www.tcgplayer.com/product/180522</t>
        </is>
      </c>
    </row>
    <row r="994">
      <c r="A994" s="2" t="inlineStr">
        <is>
          <t>Dragon Majesty Special Collection: White Kyurem GX</t>
        </is>
      </c>
      <c r="B994" s="3">
        <f>IF(I994&lt;&gt;"",I994,IF(J994&lt;&gt;"",J994,IF(K994&lt;&gt;"",K994,L994)))</f>
        <v>588.97</v>
      </c>
      <c r="C994" s="3">
        <f>MEDIAN(I994:L994)</f>
        <v>582.115</v>
      </c>
      <c r="D994" s="3">
        <f>ROUND(C994*(1-Settings!$B$2),2)</f>
        <v>407.48</v>
      </c>
      <c r="E994" s="3">
        <f>ROUND(C994*(1-Settings!$B$3),2)</f>
        <v>407.48</v>
      </c>
      <c r="F994" s="2" t="inlineStr">
        <is>
          <t>Pokemon</t>
        </is>
      </c>
      <c r="G994" s="2" t="inlineStr">
        <is>
          <t>Coffret</t>
        </is>
      </c>
      <c r="H994" s="2" t="inlineStr">
        <is>
          <t>Dragon Majesty</t>
        </is>
      </c>
      <c r="I994" s="3" t="n"/>
      <c r="J994" s="3" t="n"/>
      <c r="K994" s="3" t="n">
        <v>588.97</v>
      </c>
      <c r="L994" s="3" t="n">
        <v>575.26</v>
      </c>
      <c r="M994" s="2" t="inlineStr">
        <is>
          <t>TCGplayer</t>
        </is>
      </c>
      <c r="O994" s="4" t="inlineStr">
        <is>
          <t>https://www.tcgplayer.com/product/180526</t>
        </is>
      </c>
    </row>
    <row r="995">
      <c r="A995" s="2" t="inlineStr">
        <is>
          <t>Dragon Majesty Super Premium Collection Box</t>
        </is>
      </c>
      <c r="B995" s="3">
        <f>IF(I995&lt;&gt;"",I995,IF(J995&lt;&gt;"",J995,IF(K995&lt;&gt;"",K995,L995)))</f>
        <v>1039.18</v>
      </c>
      <c r="C995" s="3">
        <f>MEDIAN(I995:L995)</f>
        <v>1039.18</v>
      </c>
      <c r="D995" s="3">
        <f>ROUND(C995*(1-Settings!$B$2),2)</f>
        <v>727.43</v>
      </c>
      <c r="E995" s="3">
        <f>ROUND(C995*(1-Settings!$B$3),2)</f>
        <v>727.43</v>
      </c>
      <c r="F995" s="2" t="inlineStr">
        <is>
          <t>Pokemon</t>
        </is>
      </c>
      <c r="G995" s="2" t="inlineStr">
        <is>
          <t>Coffret</t>
        </is>
      </c>
      <c r="H995" s="2" t="inlineStr">
        <is>
          <t>Dragon Majesty</t>
        </is>
      </c>
      <c r="I995" s="3" t="n">
        <v>1039.18</v>
      </c>
      <c r="J995" s="3" t="n"/>
      <c r="K995" s="3" t="n"/>
      <c r="L995" s="3" t="n"/>
      <c r="M995" s="2" t="inlineStr">
        <is>
          <t>PriceCharting</t>
        </is>
      </c>
      <c r="N995" s="4" t="inlineStr">
        <is>
          <t>https://www.pricecharting.com/game/pokemon-dragon-majesty/super-premium-collection-box</t>
        </is>
      </c>
    </row>
    <row r="996">
      <c r="A996" s="2" t="inlineStr">
        <is>
          <t>Dragon Majesty Super-Premium Collection</t>
        </is>
      </c>
      <c r="B996" s="3">
        <f>IF(I996&lt;&gt;"",I996,IF(J996&lt;&gt;"",J996,IF(K996&lt;&gt;"",K996,L996)))</f>
        <v>1699.99</v>
      </c>
      <c r="C996" s="3">
        <f>MEDIAN(I996:L996)</f>
        <v>2249.0</v>
      </c>
      <c r="D996" s="3">
        <f>ROUND(C996*(1-Settings!$B$2),2)</f>
        <v>1574.3</v>
      </c>
      <c r="E996" s="3">
        <f>ROUND(C996*(1-Settings!$B$3),2)</f>
        <v>1574.3</v>
      </c>
      <c r="F996" s="2" t="inlineStr">
        <is>
          <t>Pokemon</t>
        </is>
      </c>
      <c r="G996" s="2" t="inlineStr">
        <is>
          <t>Coffret</t>
        </is>
      </c>
      <c r="H996" s="2" t="inlineStr">
        <is>
          <t>Dragon Majesty</t>
        </is>
      </c>
      <c r="I996" s="3" t="n"/>
      <c r="J996" s="3" t="n">
        <v>1699.99</v>
      </c>
      <c r="K996" s="3" t="n">
        <v>2250</v>
      </c>
      <c r="L996" s="3" t="n">
        <v>2249</v>
      </c>
      <c r="M996" s="2" t="inlineStr">
        <is>
          <t>TCGplayer</t>
        </is>
      </c>
      <c r="O996" s="4" t="inlineStr">
        <is>
          <t>https://www.tcgplayer.com/product/175560</t>
        </is>
      </c>
    </row>
    <row r="997">
      <c r="A997" s="2" t="inlineStr">
        <is>
          <t>Dragon Majesty Ultra Necrozma GX Box</t>
        </is>
      </c>
      <c r="B997" s="3">
        <f>IF(I997&lt;&gt;"",I997,IF(J997&lt;&gt;"",J997,IF(K997&lt;&gt;"",K997,L997)))</f>
        <v>400.0</v>
      </c>
      <c r="C997" s="3">
        <f>MEDIAN(I997:L997)</f>
        <v>400.0</v>
      </c>
      <c r="D997" s="3">
        <f>ROUND(C997*(1-Settings!$B$2),2)</f>
        <v>280.0</v>
      </c>
      <c r="E997" s="3">
        <f>ROUND(C997*(1-Settings!$B$3),2)</f>
        <v>280.0</v>
      </c>
      <c r="F997" s="2" t="inlineStr">
        <is>
          <t>Pokemon</t>
        </is>
      </c>
      <c r="G997" s="2" t="inlineStr">
        <is>
          <t>Coffret</t>
        </is>
      </c>
      <c r="H997" s="2" t="inlineStr">
        <is>
          <t>Dragon Majesty</t>
        </is>
      </c>
      <c r="I997" s="3" t="n">
        <v>400</v>
      </c>
      <c r="J997" s="3" t="n"/>
      <c r="K997" s="3" t="n"/>
      <c r="L997" s="3" t="n"/>
      <c r="M997" s="2" t="inlineStr">
        <is>
          <t>PriceCharting</t>
        </is>
      </c>
      <c r="N997" s="4" t="inlineStr">
        <is>
          <t>https://www.pricecharting.com/game/pokemon-dragon-majesty/ultra-necrozma-gx-box</t>
        </is>
      </c>
    </row>
    <row r="998">
      <c r="A998" s="2" t="inlineStr">
        <is>
          <t>Legends of Unova GX Premium Collection</t>
        </is>
      </c>
      <c r="B998" s="3">
        <f>IF(I998&lt;&gt;"",I998,IF(J998&lt;&gt;"",J998,IF(K998&lt;&gt;"",K998,L998)))</f>
        <v>550.0</v>
      </c>
      <c r="C998" s="3">
        <f>MEDIAN(I998:L998)</f>
        <v>550.0</v>
      </c>
      <c r="D998" s="3">
        <f>ROUND(C998*(1-Settings!$B$2),2)</f>
        <v>385.0</v>
      </c>
      <c r="E998" s="3">
        <f>ROUND(C998*(1-Settings!$B$3),2)</f>
        <v>385.0</v>
      </c>
      <c r="F998" s="2" t="inlineStr">
        <is>
          <t>Pokemon</t>
        </is>
      </c>
      <c r="G998" s="2" t="inlineStr">
        <is>
          <t>Coffret</t>
        </is>
      </c>
      <c r="H998" s="2" t="inlineStr">
        <is>
          <t>Dragon Majesty</t>
        </is>
      </c>
      <c r="I998" s="3" t="n"/>
      <c r="J998" s="3" t="n"/>
      <c r="K998" s="3" t="n"/>
      <c r="L998" s="3" t="n">
        <v>550</v>
      </c>
      <c r="M998" s="2" t="inlineStr">
        <is>
          <t>TCGplayer</t>
        </is>
      </c>
      <c r="O998" s="4" t="inlineStr">
        <is>
          <t>https://www.tcgplayer.com/product/179033</t>
        </is>
      </c>
    </row>
    <row r="999">
      <c r="A999" s="2" t="inlineStr">
        <is>
          <t>Ultra Necrozma GX Figure Collection</t>
        </is>
      </c>
      <c r="B999" s="3">
        <f>IF(I999&lt;&gt;"",I999,IF(J999&lt;&gt;"",J999,IF(K999&lt;&gt;"",K999,L999)))</f>
        <v>431.3</v>
      </c>
      <c r="C999" s="3">
        <f>MEDIAN(I999:L999)</f>
        <v>431.3</v>
      </c>
      <c r="D999" s="3">
        <f>ROUND(C999*(1-Settings!$B$2),2)</f>
        <v>301.91</v>
      </c>
      <c r="E999" s="3">
        <f>ROUND(C999*(1-Settings!$B$3),2)</f>
        <v>301.91</v>
      </c>
      <c r="F999" s="2" t="inlineStr">
        <is>
          <t>Pokemon</t>
        </is>
      </c>
      <c r="G999" s="2" t="inlineStr">
        <is>
          <t>Coffret</t>
        </is>
      </c>
      <c r="H999" s="2" t="inlineStr">
        <is>
          <t>Dragon Majesty</t>
        </is>
      </c>
      <c r="I999" s="3" t="n">
        <v>431.3</v>
      </c>
      <c r="J999" s="3" t="n"/>
      <c r="K999" s="3" t="n"/>
      <c r="L999" s="3" t="n"/>
      <c r="M999" s="2" t="inlineStr">
        <is>
          <t>PriceCharting + TCGplayer</t>
        </is>
      </c>
      <c r="N999" s="4" t="inlineStr">
        <is>
          <t>https://www.pricecharting.com/game/pokemon-dragon-majesty/ultra-necrozma-gx-figure-collection</t>
        </is>
      </c>
      <c r="O999" s="4" t="inlineStr">
        <is>
          <t>https://www.tcgplayer.com/product/179038</t>
        </is>
      </c>
    </row>
    <row r="1000">
      <c r="A1000" s="2" t="inlineStr">
        <is>
          <t>Dragons Exalted 3-Pack Blister</t>
        </is>
      </c>
      <c r="B1000" s="3">
        <f>IF(I1000&lt;&gt;"",I1000,IF(J1000&lt;&gt;"",J1000,IF(K1000&lt;&gt;"",K1000,L1000)))</f>
        <v>511.35</v>
      </c>
      <c r="C1000" s="3">
        <f>MEDIAN(I1000:L1000)</f>
        <v>511.35</v>
      </c>
      <c r="D1000" s="3">
        <f>ROUND(C1000*(1-Settings!$B$2),2)</f>
        <v>357.95</v>
      </c>
      <c r="E1000" s="3">
        <f>ROUND(C1000*(1-Settings!$B$3),2)</f>
        <v>357.95</v>
      </c>
      <c r="F1000" s="2" t="inlineStr">
        <is>
          <t>Pokemon</t>
        </is>
      </c>
      <c r="G1000" s="2" t="inlineStr">
        <is>
          <t>Coffret</t>
        </is>
      </c>
      <c r="H1000" s="2" t="inlineStr">
        <is>
          <t>Dragons Exalted</t>
        </is>
      </c>
      <c r="I1000" s="3" t="n">
        <v>511.35</v>
      </c>
      <c r="J1000" s="3" t="n"/>
      <c r="K1000" s="3" t="n"/>
      <c r="L1000" s="3" t="n"/>
      <c r="M1000" s="2" t="inlineStr">
        <is>
          <t>PriceCharting</t>
        </is>
      </c>
      <c r="N1000" s="4" t="inlineStr">
        <is>
          <t>https://www.pricecharting.com/game/pokemon-dragons-exalted/3-pack-blister</t>
        </is>
      </c>
    </row>
    <row r="1001">
      <c r="A1001" s="2" t="inlineStr">
        <is>
          <t>Evolutions Elite Trainer Box [Blastoise]</t>
        </is>
      </c>
      <c r="B1001" s="3">
        <f>IF(I1001&lt;&gt;"",I1001,IF(J1001&lt;&gt;"",J1001,IF(K1001&lt;&gt;"",K1001,L1001)))</f>
        <v>750.0</v>
      </c>
      <c r="C1001" s="3">
        <f>MEDIAN(I1001:L1001)</f>
        <v>750.0</v>
      </c>
      <c r="D1001" s="3">
        <f>ROUND(C1001*(1-Settings!$B$2),2)</f>
        <v>525.0</v>
      </c>
      <c r="E1001" s="3">
        <f>ROUND(C1001*(1-Settings!$B$3),2)</f>
        <v>525.0</v>
      </c>
      <c r="F1001" s="2" t="inlineStr">
        <is>
          <t>Pokemon</t>
        </is>
      </c>
      <c r="G1001" s="2" t="inlineStr">
        <is>
          <t>Coffret</t>
        </is>
      </c>
      <c r="H1001" s="2" t="inlineStr">
        <is>
          <t>Evolutions</t>
        </is>
      </c>
      <c r="I1001" s="3" t="n">
        <v>750</v>
      </c>
      <c r="J1001" s="3" t="n"/>
      <c r="K1001" s="3" t="n"/>
      <c r="L1001" s="3" t="n"/>
      <c r="M1001" s="2" t="inlineStr">
        <is>
          <t>PriceCharting</t>
        </is>
      </c>
      <c r="N1001" s="4" t="inlineStr">
        <is>
          <t>https://www.pricecharting.com/game/pokemon-evolutions/elite-trainer-box-blastoise</t>
        </is>
      </c>
    </row>
    <row r="1002">
      <c r="A1002" s="2" t="inlineStr">
        <is>
          <t>Evolutions Elite Trainer Box [Charizard]</t>
        </is>
      </c>
      <c r="B1002" s="3">
        <f>IF(I1002&lt;&gt;"",I1002,IF(J1002&lt;&gt;"",J1002,IF(K1002&lt;&gt;"",K1002,L1002)))</f>
        <v>812.8</v>
      </c>
      <c r="C1002" s="3">
        <f>MEDIAN(I1002:L1002)</f>
        <v>812.8</v>
      </c>
      <c r="D1002" s="3">
        <f>ROUND(C1002*(1-Settings!$B$2),2)</f>
        <v>568.96</v>
      </c>
      <c r="E1002" s="3">
        <f>ROUND(C1002*(1-Settings!$B$3),2)</f>
        <v>568.96</v>
      </c>
      <c r="F1002" s="2" t="inlineStr">
        <is>
          <t>Pokemon</t>
        </is>
      </c>
      <c r="G1002" s="2" t="inlineStr">
        <is>
          <t>Coffret</t>
        </is>
      </c>
      <c r="H1002" s="2" t="inlineStr">
        <is>
          <t>Evolutions</t>
        </is>
      </c>
      <c r="I1002" s="3" t="n">
        <v>812.8</v>
      </c>
      <c r="J1002" s="3" t="n"/>
      <c r="K1002" s="3" t="n"/>
      <c r="L1002" s="3" t="n"/>
      <c r="M1002" s="2" t="inlineStr">
        <is>
          <t>PriceCharting</t>
        </is>
      </c>
      <c r="N1002" s="4" t="inlineStr">
        <is>
          <t>https://www.pricecharting.com/game/pokemon-evolutions/elite-trainer-box-charizard</t>
        </is>
      </c>
    </row>
    <row r="1003">
      <c r="A1003" s="2" t="inlineStr">
        <is>
          <t>Evolutions Espeon GX Premium Collection Box</t>
        </is>
      </c>
      <c r="B1003" s="3">
        <f>IF(I1003&lt;&gt;"",I1003,IF(J1003&lt;&gt;"",J1003,IF(K1003&lt;&gt;"",K1003,L1003)))</f>
        <v>332.59</v>
      </c>
      <c r="C1003" s="3">
        <f>MEDIAN(I1003:L1003)</f>
        <v>332.59</v>
      </c>
      <c r="D1003" s="3">
        <f>ROUND(C1003*(1-Settings!$B$2),2)</f>
        <v>232.81</v>
      </c>
      <c r="E1003" s="3">
        <f>ROUND(C1003*(1-Settings!$B$3),2)</f>
        <v>232.81</v>
      </c>
      <c r="F1003" s="2" t="inlineStr">
        <is>
          <t>Pokemon</t>
        </is>
      </c>
      <c r="G1003" s="2" t="inlineStr">
        <is>
          <t>Coffret</t>
        </is>
      </c>
      <c r="H1003" s="2" t="inlineStr">
        <is>
          <t>Evolutions</t>
        </is>
      </c>
      <c r="I1003" s="3" t="n">
        <v>332.59</v>
      </c>
      <c r="J1003" s="3" t="n"/>
      <c r="K1003" s="3" t="n"/>
      <c r="L1003" s="3" t="n"/>
      <c r="M1003" s="2" t="inlineStr">
        <is>
          <t>PriceCharting</t>
        </is>
      </c>
      <c r="N1003" s="4" t="inlineStr">
        <is>
          <t>https://www.pricecharting.com/game/pokemon-evolutions/espeon-gx-premium-collection-box</t>
        </is>
      </c>
    </row>
    <row r="1004">
      <c r="A1004" s="2" t="inlineStr">
        <is>
          <t>Evolutions Kanto Power Collection Box</t>
        </is>
      </c>
      <c r="B1004" s="3">
        <f>IF(I1004&lt;&gt;"",I1004,IF(J1004&lt;&gt;"",J1004,IF(K1004&lt;&gt;"",K1004,L1004)))</f>
        <v>632.5</v>
      </c>
      <c r="C1004" s="3">
        <f>MEDIAN(I1004:L1004)</f>
        <v>632.5</v>
      </c>
      <c r="D1004" s="3">
        <f>ROUND(C1004*(1-Settings!$B$2),2)</f>
        <v>442.75</v>
      </c>
      <c r="E1004" s="3">
        <f>ROUND(C1004*(1-Settings!$B$3),2)</f>
        <v>442.75</v>
      </c>
      <c r="F1004" s="2" t="inlineStr">
        <is>
          <t>Pokemon</t>
        </is>
      </c>
      <c r="G1004" s="2" t="inlineStr">
        <is>
          <t>Coffret</t>
        </is>
      </c>
      <c r="H1004" s="2" t="inlineStr">
        <is>
          <t>Evolutions</t>
        </is>
      </c>
      <c r="I1004" s="3" t="n">
        <v>632.5</v>
      </c>
      <c r="J1004" s="3" t="n"/>
      <c r="K1004" s="3" t="n"/>
      <c r="L1004" s="3" t="n"/>
      <c r="M1004" s="2" t="inlineStr">
        <is>
          <t>PriceCharting</t>
        </is>
      </c>
      <c r="N1004" s="4" t="inlineStr">
        <is>
          <t>https://www.pricecharting.com/game/pokemon-evolutions/kanto-power-collection-box</t>
        </is>
      </c>
    </row>
    <row r="1005">
      <c r="A1005" s="2" t="inlineStr">
        <is>
          <t>Evolutions Prerelease Kit</t>
        </is>
      </c>
      <c r="B1005" s="3">
        <f>IF(I1005&lt;&gt;"",I1005,IF(J1005&lt;&gt;"",J1005,IF(K1005&lt;&gt;"",K1005,L1005)))</f>
        <v>848.99</v>
      </c>
      <c r="C1005" s="3">
        <f>MEDIAN(I1005:L1005)</f>
        <v>848.99</v>
      </c>
      <c r="D1005" s="3">
        <f>ROUND(C1005*(1-Settings!$B$2),2)</f>
        <v>594.29</v>
      </c>
      <c r="E1005" s="3">
        <f>ROUND(C1005*(1-Settings!$B$3),2)</f>
        <v>594.29</v>
      </c>
      <c r="F1005" s="2" t="inlineStr">
        <is>
          <t>Pokemon</t>
        </is>
      </c>
      <c r="G1005" s="2" t="inlineStr">
        <is>
          <t>Coffret</t>
        </is>
      </c>
      <c r="H1005" s="2" t="inlineStr">
        <is>
          <t>Evolutions</t>
        </is>
      </c>
      <c r="I1005" s="3" t="n">
        <v>848.99</v>
      </c>
      <c r="J1005" s="3" t="n"/>
      <c r="K1005" s="3" t="n"/>
      <c r="L1005" s="3" t="n"/>
      <c r="M1005" s="2" t="inlineStr">
        <is>
          <t>PriceCharting</t>
        </is>
      </c>
      <c r="N1005" s="4" t="inlineStr">
        <is>
          <t>https://www.pricecharting.com/game/pokemon-evolutions/prerelease-kit</t>
        </is>
      </c>
    </row>
    <row r="1006">
      <c r="A1006" s="2" t="inlineStr">
        <is>
          <t>Evolutions Sealed Mewtwo EX Box</t>
        </is>
      </c>
      <c r="B1006" s="3">
        <f>IF(I1006&lt;&gt;"",I1006,IF(J1006&lt;&gt;"",J1006,IF(K1006&lt;&gt;"",K1006,L1006)))</f>
        <v>395.0</v>
      </c>
      <c r="C1006" s="3">
        <f>MEDIAN(I1006:L1006)</f>
        <v>395.0</v>
      </c>
      <c r="D1006" s="3">
        <f>ROUND(C1006*(1-Settings!$B$2),2)</f>
        <v>276.5</v>
      </c>
      <c r="E1006" s="3">
        <f>ROUND(C1006*(1-Settings!$B$3),2)</f>
        <v>276.5</v>
      </c>
      <c r="F1006" s="2" t="inlineStr">
        <is>
          <t>Pokemon</t>
        </is>
      </c>
      <c r="G1006" s="2" t="inlineStr">
        <is>
          <t>Coffret</t>
        </is>
      </c>
      <c r="H1006" s="2" t="inlineStr">
        <is>
          <t>Evolutions</t>
        </is>
      </c>
      <c r="I1006" s="3" t="n">
        <v>395</v>
      </c>
      <c r="J1006" s="3" t="n"/>
      <c r="K1006" s="3" t="n"/>
      <c r="L1006" s="3" t="n"/>
      <c r="M1006" s="2" t="inlineStr">
        <is>
          <t>PriceCharting</t>
        </is>
      </c>
      <c r="N1006" s="4" t="inlineStr">
        <is>
          <t>https://www.pricecharting.com/game/pokemon-evolutions/sealed-mewtwo-ex-box</t>
        </is>
      </c>
    </row>
    <row r="1007">
      <c r="A1007" s="2" t="inlineStr">
        <is>
          <t>Evolutions Snorlax GX Box</t>
        </is>
      </c>
      <c r="B1007" s="3">
        <f>IF(I1007&lt;&gt;"",I1007,IF(J1007&lt;&gt;"",J1007,IF(K1007&lt;&gt;"",K1007,L1007)))</f>
        <v>343.17</v>
      </c>
      <c r="C1007" s="3">
        <f>MEDIAN(I1007:L1007)</f>
        <v>343.17</v>
      </c>
      <c r="D1007" s="3">
        <f>ROUND(C1007*(1-Settings!$B$2),2)</f>
        <v>240.22</v>
      </c>
      <c r="E1007" s="3">
        <f>ROUND(C1007*(1-Settings!$B$3),2)</f>
        <v>240.22</v>
      </c>
      <c r="F1007" s="2" t="inlineStr">
        <is>
          <t>Pokemon</t>
        </is>
      </c>
      <c r="G1007" s="2" t="inlineStr">
        <is>
          <t>Coffret</t>
        </is>
      </c>
      <c r="H1007" s="2" t="inlineStr">
        <is>
          <t>Evolutions</t>
        </is>
      </c>
      <c r="I1007" s="3" t="n">
        <v>343.17</v>
      </c>
      <c r="J1007" s="3" t="n"/>
      <c r="K1007" s="3" t="n"/>
      <c r="L1007" s="3" t="n"/>
      <c r="M1007" s="2" t="inlineStr">
        <is>
          <t>PriceCharting</t>
        </is>
      </c>
      <c r="N1007" s="4" t="inlineStr">
        <is>
          <t>https://www.pricecharting.com/game/pokemon-evolutions/snorlax-gx-box</t>
        </is>
      </c>
    </row>
    <row r="1008">
      <c r="A1008" s="2" t="inlineStr">
        <is>
          <t>Evolutions Volcanion Mythical Collection Box</t>
        </is>
      </c>
      <c r="B1008" s="3">
        <f>IF(I1008&lt;&gt;"",I1008,IF(J1008&lt;&gt;"",J1008,IF(K1008&lt;&gt;"",K1008,L1008)))</f>
        <v>277.5</v>
      </c>
      <c r="C1008" s="3">
        <f>MEDIAN(I1008:L1008)</f>
        <v>277.5</v>
      </c>
      <c r="D1008" s="3">
        <f>ROUND(C1008*(1-Settings!$B$2),2)</f>
        <v>194.25</v>
      </c>
      <c r="E1008" s="3">
        <f>ROUND(C1008*(1-Settings!$B$3),2)</f>
        <v>194.25</v>
      </c>
      <c r="F1008" s="2" t="inlineStr">
        <is>
          <t>Pokemon</t>
        </is>
      </c>
      <c r="G1008" s="2" t="inlineStr">
        <is>
          <t>Coffret</t>
        </is>
      </c>
      <c r="H1008" s="2" t="inlineStr">
        <is>
          <t>Evolutions</t>
        </is>
      </c>
      <c r="I1008" s="3" t="n">
        <v>277.5</v>
      </c>
      <c r="J1008" s="3" t="n"/>
      <c r="K1008" s="3" t="n"/>
      <c r="L1008" s="3" t="n"/>
      <c r="M1008" s="2" t="inlineStr">
        <is>
          <t>PriceCharting</t>
        </is>
      </c>
      <c r="N1008" s="4" t="inlineStr">
        <is>
          <t>https://www.pricecharting.com/game/pokemon-evolutions/volcanion-mythical-collection-box</t>
        </is>
      </c>
    </row>
    <row r="1009">
      <c r="A1009" s="2" t="inlineStr">
        <is>
          <t>Evolving Skies 2-Pack Blister</t>
        </is>
      </c>
      <c r="B1009" s="3">
        <f>IF(I1009&lt;&gt;"",I1009,IF(J1009&lt;&gt;"",J1009,IF(K1009&lt;&gt;"",K1009,L1009)))</f>
        <v>71.62</v>
      </c>
      <c r="C1009" s="3">
        <f>MEDIAN(I1009:L1009)</f>
        <v>71.62</v>
      </c>
      <c r="D1009" s="3">
        <f>ROUND(C1009*(1-Settings!$B$2),2)</f>
        <v>50.13</v>
      </c>
      <c r="E1009" s="3">
        <f>ROUND(C1009*(1-Settings!$B$3),2)</f>
        <v>50.13</v>
      </c>
      <c r="F1009" s="2" t="inlineStr">
        <is>
          <t>Pokemon</t>
        </is>
      </c>
      <c r="G1009" s="2" t="inlineStr">
        <is>
          <t>Coffret</t>
        </is>
      </c>
      <c r="H1009" s="2" t="inlineStr">
        <is>
          <t>Evolving Skies</t>
        </is>
      </c>
      <c r="I1009" s="3" t="n">
        <v>71.62</v>
      </c>
      <c r="J1009" s="3" t="n"/>
      <c r="K1009" s="3" t="n"/>
      <c r="L1009" s="3" t="n"/>
      <c r="M1009" s="2" t="inlineStr">
        <is>
          <t>PriceCharting</t>
        </is>
      </c>
      <c r="N1009" s="4" t="inlineStr">
        <is>
          <t>https://www.pricecharting.com/game/pokemon-evolving-skies/2-pack-blister</t>
        </is>
      </c>
    </row>
    <row r="1010">
      <c r="A1010" s="2" t="inlineStr">
        <is>
          <t>Evolving Skies Dragonite V Box</t>
        </is>
      </c>
      <c r="B1010" s="3">
        <f>IF(I1010&lt;&gt;"",I1010,IF(J1010&lt;&gt;"",J1010,IF(K1010&lt;&gt;"",K1010,L1010)))</f>
        <v>172.81</v>
      </c>
      <c r="C1010" s="3">
        <f>MEDIAN(I1010:L1010)</f>
        <v>172.81</v>
      </c>
      <c r="D1010" s="3">
        <f>ROUND(C1010*(1-Settings!$B$2),2)</f>
        <v>120.97</v>
      </c>
      <c r="E1010" s="3">
        <f>ROUND(C1010*(1-Settings!$B$3),2)</f>
        <v>120.97</v>
      </c>
      <c r="F1010" s="2" t="inlineStr">
        <is>
          <t>Pokemon</t>
        </is>
      </c>
      <c r="G1010" s="2" t="inlineStr">
        <is>
          <t>Coffret</t>
        </is>
      </c>
      <c r="H1010" s="2" t="inlineStr">
        <is>
          <t>Evolving Skies</t>
        </is>
      </c>
      <c r="I1010" s="3" t="n">
        <v>172.81</v>
      </c>
      <c r="J1010" s="3" t="n"/>
      <c r="K1010" s="3" t="n"/>
      <c r="L1010" s="3" t="n"/>
      <c r="M1010" s="2" t="inlineStr">
        <is>
          <t>PriceCharting</t>
        </is>
      </c>
      <c r="N1010" s="4" t="inlineStr">
        <is>
          <t>https://www.pricecharting.com/game/pokemon-evolving-skies/dragonite-v-box</t>
        </is>
      </c>
    </row>
    <row r="1011">
      <c r="A1011" s="2" t="inlineStr">
        <is>
          <t>Evolving Skies Elite Trainer Box &amp; Tin: Costco Bundle</t>
        </is>
      </c>
      <c r="B1011" s="3">
        <f>IF(I1011&lt;&gt;"",I1011,IF(J1011&lt;&gt;"",J1011,IF(K1011&lt;&gt;"",K1011,L1011)))</f>
        <v>597.92</v>
      </c>
      <c r="C1011" s="3">
        <f>MEDIAN(I1011:L1011)</f>
        <v>597.92</v>
      </c>
      <c r="D1011" s="3">
        <f>ROUND(C1011*(1-Settings!$B$2),2)</f>
        <v>418.54</v>
      </c>
      <c r="E1011" s="3">
        <f>ROUND(C1011*(1-Settings!$B$3),2)</f>
        <v>418.54</v>
      </c>
      <c r="F1011" s="2" t="inlineStr">
        <is>
          <t>Pokemon</t>
        </is>
      </c>
      <c r="G1011" s="2" t="inlineStr">
        <is>
          <t>Coffret</t>
        </is>
      </c>
      <c r="H1011" s="2" t="inlineStr">
        <is>
          <t>Evolving Skies</t>
        </is>
      </c>
      <c r="I1011" s="3" t="n">
        <v>597.92</v>
      </c>
      <c r="J1011" s="3" t="n"/>
      <c r="K1011" s="3" t="n"/>
      <c r="L1011" s="3" t="n"/>
      <c r="M1011" s="2" t="inlineStr">
        <is>
          <t>PriceCharting</t>
        </is>
      </c>
      <c r="N1011" s="4" t="inlineStr">
        <is>
          <t>https://www.pricecharting.com/game/pokemon-evolving-skies/elite-trainer-box-&amp;-tin-costco-bundle</t>
        </is>
      </c>
    </row>
    <row r="1012">
      <c r="A1012" s="2" t="inlineStr">
        <is>
          <t>Evolving Skies Elite Trainer Box: Jolteon</t>
        </is>
      </c>
      <c r="B1012" s="3">
        <f>IF(I1012&lt;&gt;"",I1012,IF(J1012&lt;&gt;"",J1012,IF(K1012&lt;&gt;"",K1012,L1012)))</f>
        <v>524.0</v>
      </c>
      <c r="C1012" s="3">
        <f>MEDIAN(I1012:L1012)</f>
        <v>524.0</v>
      </c>
      <c r="D1012" s="3">
        <f>ROUND(C1012*(1-Settings!$B$2),2)</f>
        <v>366.8</v>
      </c>
      <c r="E1012" s="3">
        <f>ROUND(C1012*(1-Settings!$B$3),2)</f>
        <v>366.8</v>
      </c>
      <c r="F1012" s="2" t="inlineStr">
        <is>
          <t>Pokemon</t>
        </is>
      </c>
      <c r="G1012" s="2" t="inlineStr">
        <is>
          <t>Coffret</t>
        </is>
      </c>
      <c r="H1012" s="2" t="inlineStr">
        <is>
          <t>Evolving Skies</t>
        </is>
      </c>
      <c r="I1012" s="3" t="n">
        <v>524</v>
      </c>
      <c r="J1012" s="3" t="n"/>
      <c r="K1012" s="3" t="n"/>
      <c r="L1012" s="3" t="n"/>
      <c r="M1012" s="2" t="inlineStr">
        <is>
          <t>PriceCharting</t>
        </is>
      </c>
      <c r="N1012" s="4" t="inlineStr">
        <is>
          <t>https://www.pricecharting.com/game/pokemon-evolving-skies/elite-trainer-box-jolteon</t>
        </is>
      </c>
    </row>
    <row r="1013">
      <c r="A1013" s="2" t="inlineStr">
        <is>
          <t>Evolving Skies Elite Trainer Box: Jolteon [Pokemon Center]</t>
        </is>
      </c>
      <c r="B1013" s="3">
        <f>IF(I1013&lt;&gt;"",I1013,IF(J1013&lt;&gt;"",J1013,IF(K1013&lt;&gt;"",K1013,L1013)))</f>
        <v>1199.99</v>
      </c>
      <c r="C1013" s="3">
        <f>MEDIAN(I1013:L1013)</f>
        <v>1199.99</v>
      </c>
      <c r="D1013" s="3">
        <f>ROUND(C1013*(1-Settings!$B$2),2)</f>
        <v>839.99</v>
      </c>
      <c r="E1013" s="3">
        <f>ROUND(C1013*(1-Settings!$B$3),2)</f>
        <v>839.99</v>
      </c>
      <c r="F1013" s="2" t="inlineStr">
        <is>
          <t>Pokemon</t>
        </is>
      </c>
      <c r="G1013" s="2" t="inlineStr">
        <is>
          <t>Coffret</t>
        </is>
      </c>
      <c r="H1013" s="2" t="inlineStr">
        <is>
          <t>Evolving Skies</t>
        </is>
      </c>
      <c r="I1013" s="3" t="n">
        <v>1199.99</v>
      </c>
      <c r="J1013" s="3" t="n"/>
      <c r="K1013" s="3" t="n"/>
      <c r="L1013" s="3" t="n"/>
      <c r="M1013" s="2" t="inlineStr">
        <is>
          <t>PriceCharting</t>
        </is>
      </c>
      <c r="N1013" s="4" t="inlineStr">
        <is>
          <t>https://www.pricecharting.com/game/pokemon-evolving-skies/elite-trainer-box-jolteon-pokemon-center</t>
        </is>
      </c>
    </row>
    <row r="1014">
      <c r="A1014" s="2" t="inlineStr">
        <is>
          <t>Evolving Skies Elite Trainer Box: Vaporeon</t>
        </is>
      </c>
      <c r="B1014" s="3">
        <f>IF(I1014&lt;&gt;"",I1014,IF(J1014&lt;&gt;"",J1014,IF(K1014&lt;&gt;"",K1014,L1014)))</f>
        <v>473.25</v>
      </c>
      <c r="C1014" s="3">
        <f>MEDIAN(I1014:L1014)</f>
        <v>473.25</v>
      </c>
      <c r="D1014" s="3">
        <f>ROUND(C1014*(1-Settings!$B$2),2)</f>
        <v>331.28</v>
      </c>
      <c r="E1014" s="3">
        <f>ROUND(C1014*(1-Settings!$B$3),2)</f>
        <v>331.28</v>
      </c>
      <c r="F1014" s="2" t="inlineStr">
        <is>
          <t>Pokemon</t>
        </is>
      </c>
      <c r="G1014" s="2" t="inlineStr">
        <is>
          <t>Coffret</t>
        </is>
      </c>
      <c r="H1014" s="2" t="inlineStr">
        <is>
          <t>Evolving Skies</t>
        </is>
      </c>
      <c r="I1014" s="3" t="n">
        <v>473.25</v>
      </c>
      <c r="J1014" s="3" t="n"/>
      <c r="K1014" s="3" t="n"/>
      <c r="L1014" s="3" t="n"/>
      <c r="M1014" s="2" t="inlineStr">
        <is>
          <t>PriceCharting</t>
        </is>
      </c>
      <c r="N1014" s="4" t="inlineStr">
        <is>
          <t>https://www.pricecharting.com/game/pokemon-evolving-skies/elite-trainer-box-vaporeon</t>
        </is>
      </c>
    </row>
    <row r="1015">
      <c r="A1015" s="2" t="inlineStr">
        <is>
          <t>Evolving Skies Elite Trainer Box: Vaporeon [Pokemon Center]</t>
        </is>
      </c>
      <c r="B1015" s="3">
        <f>IF(I1015&lt;&gt;"",I1015,IF(J1015&lt;&gt;"",J1015,IF(K1015&lt;&gt;"",K1015,L1015)))</f>
        <v>950.0</v>
      </c>
      <c r="C1015" s="3">
        <f>MEDIAN(I1015:L1015)</f>
        <v>950.0</v>
      </c>
      <c r="D1015" s="3">
        <f>ROUND(C1015*(1-Settings!$B$2),2)</f>
        <v>665.0</v>
      </c>
      <c r="E1015" s="3">
        <f>ROUND(C1015*(1-Settings!$B$3),2)</f>
        <v>665.0</v>
      </c>
      <c r="F1015" s="2" t="inlineStr">
        <is>
          <t>Pokemon</t>
        </is>
      </c>
      <c r="G1015" s="2" t="inlineStr">
        <is>
          <t>Coffret</t>
        </is>
      </c>
      <c r="H1015" s="2" t="inlineStr">
        <is>
          <t>Evolving Skies</t>
        </is>
      </c>
      <c r="I1015" s="3" t="n">
        <v>950</v>
      </c>
      <c r="J1015" s="3" t="n"/>
      <c r="K1015" s="3" t="n"/>
      <c r="L1015" s="3" t="n"/>
      <c r="M1015" s="2" t="inlineStr">
        <is>
          <t>PriceCharting</t>
        </is>
      </c>
      <c r="N1015" s="4" t="inlineStr">
        <is>
          <t>https://www.pricecharting.com/game/pokemon-evolving-skies/elite-trainer-box-vaporeon-pokemon-center</t>
        </is>
      </c>
    </row>
    <row r="1016">
      <c r="A1016" s="2" t="inlineStr">
        <is>
          <t>Evolving Skies Flareon VMAX Premium Collection Box</t>
        </is>
      </c>
      <c r="B1016" s="3">
        <f>IF(I1016&lt;&gt;"",I1016,IF(J1016&lt;&gt;"",J1016,IF(K1016&lt;&gt;"",K1016,L1016)))</f>
        <v>335.78</v>
      </c>
      <c r="C1016" s="3">
        <f>MEDIAN(I1016:L1016)</f>
        <v>335.78</v>
      </c>
      <c r="D1016" s="3">
        <f>ROUND(C1016*(1-Settings!$B$2),2)</f>
        <v>235.05</v>
      </c>
      <c r="E1016" s="3">
        <f>ROUND(C1016*(1-Settings!$B$3),2)</f>
        <v>235.05</v>
      </c>
      <c r="F1016" s="2" t="inlineStr">
        <is>
          <t>Pokemon</t>
        </is>
      </c>
      <c r="G1016" s="2" t="inlineStr">
        <is>
          <t>Coffret</t>
        </is>
      </c>
      <c r="H1016" s="2" t="inlineStr">
        <is>
          <t>Evolving Skies</t>
        </is>
      </c>
      <c r="I1016" s="3" t="n">
        <v>335.78</v>
      </c>
      <c r="J1016" s="3" t="n"/>
      <c r="K1016" s="3" t="n"/>
      <c r="L1016" s="3" t="n"/>
      <c r="M1016" s="2" t="inlineStr">
        <is>
          <t>PriceCharting</t>
        </is>
      </c>
      <c r="N1016" s="4" t="inlineStr">
        <is>
          <t>https://www.pricecharting.com/game/pokemon-evolving-skies/flareon-vmax-premium-collection-box</t>
        </is>
      </c>
    </row>
    <row r="1017">
      <c r="A1017" s="2" t="inlineStr">
        <is>
          <t>Evolving Skies Hanger Box</t>
        </is>
      </c>
      <c r="B1017" s="3">
        <f>IF(I1017&lt;&gt;"",I1017,IF(J1017&lt;&gt;"",J1017,IF(K1017&lt;&gt;"",K1017,L1017)))</f>
        <v>179.0</v>
      </c>
      <c r="C1017" s="3">
        <f>MEDIAN(I1017:L1017)</f>
        <v>179.0</v>
      </c>
      <c r="D1017" s="3">
        <f>ROUND(C1017*(1-Settings!$B$2),2)</f>
        <v>125.3</v>
      </c>
      <c r="E1017" s="3">
        <f>ROUND(C1017*(1-Settings!$B$3),2)</f>
        <v>125.3</v>
      </c>
      <c r="F1017" s="2" t="inlineStr">
        <is>
          <t>Pokemon</t>
        </is>
      </c>
      <c r="G1017" s="2" t="inlineStr">
        <is>
          <t>Coffret</t>
        </is>
      </c>
      <c r="H1017" s="2" t="inlineStr">
        <is>
          <t>Evolving Skies</t>
        </is>
      </c>
      <c r="I1017" s="3" t="n">
        <v>179</v>
      </c>
      <c r="J1017" s="3" t="n"/>
      <c r="K1017" s="3" t="n"/>
      <c r="L1017" s="3" t="n"/>
      <c r="M1017" s="2" t="inlineStr">
        <is>
          <t>PriceCharting</t>
        </is>
      </c>
      <c r="N1017" s="4" t="inlineStr">
        <is>
          <t>https://www.pricecharting.com/game/pokemon-evolving-skies/hanger-box</t>
        </is>
      </c>
    </row>
    <row r="1018">
      <c r="A1018" s="2" t="inlineStr">
        <is>
          <t>Evolving Skies Jolteon VMAX Premium Collection Box</t>
        </is>
      </c>
      <c r="B1018" s="3">
        <f>IF(I1018&lt;&gt;"",I1018,IF(J1018&lt;&gt;"",J1018,IF(K1018&lt;&gt;"",K1018,L1018)))</f>
        <v>330.51</v>
      </c>
      <c r="C1018" s="3">
        <f>MEDIAN(I1018:L1018)</f>
        <v>330.51</v>
      </c>
      <c r="D1018" s="3">
        <f>ROUND(C1018*(1-Settings!$B$2),2)</f>
        <v>231.36</v>
      </c>
      <c r="E1018" s="3">
        <f>ROUND(C1018*(1-Settings!$B$3),2)</f>
        <v>231.36</v>
      </c>
      <c r="F1018" s="2" t="inlineStr">
        <is>
          <t>Pokemon</t>
        </is>
      </c>
      <c r="G1018" s="2" t="inlineStr">
        <is>
          <t>Coffret</t>
        </is>
      </c>
      <c r="H1018" s="2" t="inlineStr">
        <is>
          <t>Evolving Skies</t>
        </is>
      </c>
      <c r="I1018" s="3" t="n">
        <v>330.51</v>
      </c>
      <c r="J1018" s="3" t="n"/>
      <c r="K1018" s="3" t="n"/>
      <c r="L1018" s="3" t="n"/>
      <c r="M1018" s="2" t="inlineStr">
        <is>
          <t>PriceCharting</t>
        </is>
      </c>
      <c r="N1018" s="4" t="inlineStr">
        <is>
          <t>https://www.pricecharting.com/game/pokemon-evolving-skies/jolteon-vmax-premium-collection-box</t>
        </is>
      </c>
    </row>
    <row r="1019">
      <c r="A1019" s="2" t="inlineStr">
        <is>
          <t>Evolving Skies Mythical Squishy Premium Collection</t>
        </is>
      </c>
      <c r="B1019" s="3">
        <f>IF(I1019&lt;&gt;"",I1019,IF(J1019&lt;&gt;"",J1019,IF(K1019&lt;&gt;"",K1019,L1019)))</f>
        <v>258.52</v>
      </c>
      <c r="C1019" s="3">
        <f>MEDIAN(I1019:L1019)</f>
        <v>258.52</v>
      </c>
      <c r="D1019" s="3">
        <f>ROUND(C1019*(1-Settings!$B$2),2)</f>
        <v>180.96</v>
      </c>
      <c r="E1019" s="3">
        <f>ROUND(C1019*(1-Settings!$B$3),2)</f>
        <v>180.96</v>
      </c>
      <c r="F1019" s="2" t="inlineStr">
        <is>
          <t>Pokemon</t>
        </is>
      </c>
      <c r="G1019" s="2" t="inlineStr">
        <is>
          <t>Coffret</t>
        </is>
      </c>
      <c r="H1019" s="2" t="inlineStr">
        <is>
          <t>Evolving Skies</t>
        </is>
      </c>
      <c r="I1019" s="3" t="n">
        <v>258.52</v>
      </c>
      <c r="J1019" s="3" t="n"/>
      <c r="K1019" s="3" t="n"/>
      <c r="L1019" s="3" t="n"/>
      <c r="M1019" s="2" t="inlineStr">
        <is>
          <t>PriceCharting</t>
        </is>
      </c>
      <c r="N1019" s="4" t="inlineStr">
        <is>
          <t>https://www.pricecharting.com/game/pokemon-evolving-skies/mythical-squishy-premium-collection</t>
        </is>
      </c>
    </row>
    <row r="1020">
      <c r="A1020" s="2" t="inlineStr">
        <is>
          <t>Evolving Skies Vaporeon VMAX Premium Collection Box</t>
        </is>
      </c>
      <c r="B1020" s="3">
        <f>IF(I1020&lt;&gt;"",I1020,IF(J1020&lt;&gt;"",J1020,IF(K1020&lt;&gt;"",K1020,L1020)))</f>
        <v>362.15</v>
      </c>
      <c r="C1020" s="3">
        <f>MEDIAN(I1020:L1020)</f>
        <v>362.15</v>
      </c>
      <c r="D1020" s="3">
        <f>ROUND(C1020*(1-Settings!$B$2),2)</f>
        <v>253.51</v>
      </c>
      <c r="E1020" s="3">
        <f>ROUND(C1020*(1-Settings!$B$3),2)</f>
        <v>253.51</v>
      </c>
      <c r="F1020" s="2" t="inlineStr">
        <is>
          <t>Pokemon</t>
        </is>
      </c>
      <c r="G1020" s="2" t="inlineStr">
        <is>
          <t>Coffret</t>
        </is>
      </c>
      <c r="H1020" s="2" t="inlineStr">
        <is>
          <t>Evolving Skies</t>
        </is>
      </c>
      <c r="I1020" s="3" t="n">
        <v>362.15</v>
      </c>
      <c r="J1020" s="3" t="n"/>
      <c r="K1020" s="3" t="n"/>
      <c r="L1020" s="3" t="n"/>
      <c r="M1020" s="2" t="inlineStr">
        <is>
          <t>PriceCharting</t>
        </is>
      </c>
      <c r="N1020" s="4" t="inlineStr">
        <is>
          <t>https://www.pricecharting.com/game/pokemon-evolving-skies/vaporeon-vmax-premium-collection-box</t>
        </is>
      </c>
    </row>
    <row r="1021">
      <c r="A1021" s="2" t="inlineStr">
        <is>
          <t>Evolving Skies VMAX Dragons Premium Collection Box</t>
        </is>
      </c>
      <c r="B1021" s="3">
        <f>IF(I1021&lt;&gt;"",I1021,IF(J1021&lt;&gt;"",J1021,IF(K1021&lt;&gt;"",K1021,L1021)))</f>
        <v>283.84</v>
      </c>
      <c r="C1021" s="3">
        <f>MEDIAN(I1021:L1021)</f>
        <v>283.84</v>
      </c>
      <c r="D1021" s="3">
        <f>ROUND(C1021*(1-Settings!$B$2),2)</f>
        <v>198.69</v>
      </c>
      <c r="E1021" s="3">
        <f>ROUND(C1021*(1-Settings!$B$3),2)</f>
        <v>198.69</v>
      </c>
      <c r="F1021" s="2" t="inlineStr">
        <is>
          <t>Pokemon</t>
        </is>
      </c>
      <c r="G1021" s="2" t="inlineStr">
        <is>
          <t>Coffret</t>
        </is>
      </c>
      <c r="H1021" s="2" t="inlineStr">
        <is>
          <t>Evolving Skies</t>
        </is>
      </c>
      <c r="I1021" s="3" t="n">
        <v>283.84</v>
      </c>
      <c r="J1021" s="3" t="n"/>
      <c r="K1021" s="3" t="n"/>
      <c r="L1021" s="3" t="n"/>
      <c r="M1021" s="2" t="inlineStr">
        <is>
          <t>PriceCharting</t>
        </is>
      </c>
      <c r="N1021" s="4" t="inlineStr">
        <is>
          <t>https://www.pricecharting.com/game/pokemon-evolving-skies/vmax-dragons-premium-collection-box</t>
        </is>
      </c>
    </row>
    <row r="1022">
      <c r="A1022" s="2" t="inlineStr">
        <is>
          <t>Fates Collide 3-Pack Pin Blister [Mega Alakazam]</t>
        </is>
      </c>
      <c r="B1022" s="3">
        <f>IF(I1022&lt;&gt;"",I1022,IF(J1022&lt;&gt;"",J1022,IF(K1022&lt;&gt;"",K1022,L1022)))</f>
        <v>153.5</v>
      </c>
      <c r="C1022" s="3">
        <f>MEDIAN(I1022:L1022)</f>
        <v>153.5</v>
      </c>
      <c r="D1022" s="3">
        <f>ROUND(C1022*(1-Settings!$B$2),2)</f>
        <v>107.45</v>
      </c>
      <c r="E1022" s="3">
        <f>ROUND(C1022*(1-Settings!$B$3),2)</f>
        <v>107.45</v>
      </c>
      <c r="F1022" s="2" t="inlineStr">
        <is>
          <t>Pokemon</t>
        </is>
      </c>
      <c r="G1022" s="2" t="inlineStr">
        <is>
          <t>Coffret</t>
        </is>
      </c>
      <c r="H1022" s="2" t="inlineStr">
        <is>
          <t>Fates Collide</t>
        </is>
      </c>
      <c r="I1022" s="3" t="n">
        <v>153.5</v>
      </c>
      <c r="J1022" s="3" t="n"/>
      <c r="K1022" s="3" t="n"/>
      <c r="L1022" s="3" t="n"/>
      <c r="M1022" s="2" t="inlineStr">
        <is>
          <t>PriceCharting</t>
        </is>
      </c>
      <c r="N1022" s="4" t="inlineStr">
        <is>
          <t>https://www.pricecharting.com/game/pokemon-fates-collide/3-pack-pin-blister-mega-alakazam</t>
        </is>
      </c>
    </row>
    <row r="1023">
      <c r="A1023" s="2" t="inlineStr">
        <is>
          <t>Fates Collide Build Battle Kit [PreRelease]</t>
        </is>
      </c>
      <c r="B1023" s="3">
        <f>IF(I1023&lt;&gt;"",I1023,IF(J1023&lt;&gt;"",J1023,IF(K1023&lt;&gt;"",K1023,L1023)))</f>
        <v>200.0</v>
      </c>
      <c r="C1023" s="3">
        <f>MEDIAN(I1023:L1023)</f>
        <v>200.0</v>
      </c>
      <c r="D1023" s="3">
        <f>ROUND(C1023*(1-Settings!$B$2),2)</f>
        <v>140.0</v>
      </c>
      <c r="E1023" s="3">
        <f>ROUND(C1023*(1-Settings!$B$3),2)</f>
        <v>140.0</v>
      </c>
      <c r="F1023" s="2" t="inlineStr">
        <is>
          <t>Pokemon</t>
        </is>
      </c>
      <c r="G1023" s="2" t="inlineStr">
        <is>
          <t>Coffret</t>
        </is>
      </c>
      <c r="H1023" s="2" t="inlineStr">
        <is>
          <t>Fates Collide</t>
        </is>
      </c>
      <c r="I1023" s="3" t="n">
        <v>200</v>
      </c>
      <c r="J1023" s="3" t="n"/>
      <c r="K1023" s="3" t="n"/>
      <c r="L1023" s="3" t="n"/>
      <c r="M1023" s="2" t="inlineStr">
        <is>
          <t>PriceCharting</t>
        </is>
      </c>
      <c r="N1023" s="4" t="inlineStr">
        <is>
          <t>https://www.pricecharting.com/game/pokemon-fates-collide/build-battle-kit-prerelease</t>
        </is>
      </c>
    </row>
    <row r="1024">
      <c r="A1024" s="2" t="inlineStr">
        <is>
          <t>First Partner Collection 2026 Series 1 Booster Pack</t>
        </is>
      </c>
      <c r="B1024" s="3">
        <f>IF(I1024&lt;&gt;"",I1024,IF(J1024&lt;&gt;"",J1024,IF(K1024&lt;&gt;"",K1024,L1024)))</f>
        <v>47.08</v>
      </c>
      <c r="C1024" s="3">
        <f>MEDIAN(I1024:L1024)</f>
        <v>47.08</v>
      </c>
      <c r="D1024" s="3">
        <f>ROUND(C1024*(1-Settings!$B$2),2)</f>
        <v>32.96</v>
      </c>
      <c r="E1024" s="3">
        <f>ROUND(C1024*(1-Settings!$B$3),2)</f>
        <v>32.96</v>
      </c>
      <c r="F1024" s="2" t="inlineStr">
        <is>
          <t>Pokemon</t>
        </is>
      </c>
      <c r="G1024" s="2" t="inlineStr">
        <is>
          <t>Coffret</t>
        </is>
      </c>
      <c r="H1024" s="2" t="inlineStr">
        <is>
          <t>First Partner Collection 2026</t>
        </is>
      </c>
      <c r="I1024" s="3" t="n"/>
      <c r="J1024" s="3" t="n">
        <v>47.08</v>
      </c>
      <c r="K1024" s="3" t="n">
        <v>48.64</v>
      </c>
      <c r="L1024" s="3" t="n">
        <v>44.25</v>
      </c>
      <c r="M1024" s="2" t="inlineStr">
        <is>
          <t>TCGplayer</t>
        </is>
      </c>
      <c r="O1024" s="4" t="inlineStr">
        <is>
          <t>https://www.tcgplayer.com/product/694977</t>
        </is>
      </c>
    </row>
    <row r="1025">
      <c r="A1025" s="2" t="inlineStr">
        <is>
          <t>First Partner Collection 2026 Series 2 Booster Pack</t>
        </is>
      </c>
      <c r="B1025" s="3">
        <f>IF(I1025&lt;&gt;"",I1025,IF(J1025&lt;&gt;"",J1025,IF(K1025&lt;&gt;"",K1025,L1025)))</f>
        <v>14.91</v>
      </c>
      <c r="C1025" s="3">
        <f>MEDIAN(I1025:L1025)</f>
        <v>14.91</v>
      </c>
      <c r="D1025" s="3">
        <f>ROUND(C1025*(1-Settings!$B$2),2)</f>
        <v>10.44</v>
      </c>
      <c r="E1025" s="3">
        <f>ROUND(C1025*(1-Settings!$B$3),2)</f>
        <v>10.44</v>
      </c>
      <c r="F1025" s="2" t="inlineStr">
        <is>
          <t>Pokemon</t>
        </is>
      </c>
      <c r="G1025" s="2" t="inlineStr">
        <is>
          <t>Coffret</t>
        </is>
      </c>
      <c r="H1025" s="2" t="inlineStr">
        <is>
          <t>First Partner Collection 2026</t>
        </is>
      </c>
      <c r="I1025" s="3" t="n"/>
      <c r="J1025" s="3" t="n">
        <v>14.91</v>
      </c>
      <c r="K1025" s="3" t="n">
        <v>18.96</v>
      </c>
      <c r="L1025" s="3" t="n">
        <v>14</v>
      </c>
      <c r="M1025" s="2" t="inlineStr">
        <is>
          <t>TCGplayer</t>
        </is>
      </c>
      <c r="O1025" s="4" t="inlineStr">
        <is>
          <t>https://www.tcgplayer.com/product/701484</t>
        </is>
      </c>
    </row>
    <row r="1026">
      <c r="A1026" s="2" t="inlineStr">
        <is>
          <t>First Partner Collection 2026 Series 3 Booster Pack</t>
        </is>
      </c>
      <c r="B1026" s="3">
        <f>IF(I1026&lt;&gt;"",I1026,IF(J1026&lt;&gt;"",J1026,IF(K1026&lt;&gt;"",K1026,L1026)))</f>
        <v>15.76</v>
      </c>
      <c r="C1026" s="3">
        <f>MEDIAN(I1026:L1026)</f>
        <v>15.76</v>
      </c>
      <c r="D1026" s="3">
        <f>ROUND(C1026*(1-Settings!$B$2),2)</f>
        <v>11.03</v>
      </c>
      <c r="E1026" s="3">
        <f>ROUND(C1026*(1-Settings!$B$3),2)</f>
        <v>11.03</v>
      </c>
      <c r="F1026" s="2" t="inlineStr">
        <is>
          <t>Pokemon</t>
        </is>
      </c>
      <c r="G1026" s="2" t="inlineStr">
        <is>
          <t>Coffret</t>
        </is>
      </c>
      <c r="H1026" s="2" t="inlineStr">
        <is>
          <t>First Partner Collection 2026</t>
        </is>
      </c>
      <c r="I1026" s="3" t="n"/>
      <c r="J1026" s="3" t="n">
        <v>15.76</v>
      </c>
      <c r="K1026" s="3" t="n">
        <v>18.78</v>
      </c>
      <c r="L1026" s="3" t="n">
        <v>11</v>
      </c>
      <c r="M1026" s="2" t="inlineStr">
        <is>
          <t>TCGplayer</t>
        </is>
      </c>
      <c r="O1026" s="4" t="inlineStr">
        <is>
          <t>https://www.tcgplayer.com/product/701485</t>
        </is>
      </c>
    </row>
    <row r="1027">
      <c r="A1027" s="2" t="inlineStr">
        <is>
          <t>First Partner Illustration Collection (Series 1)</t>
        </is>
      </c>
      <c r="B1027" s="3">
        <f>IF(I1027&lt;&gt;"",I1027,IF(J1027&lt;&gt;"",J1027,IF(K1027&lt;&gt;"",K1027,L1027)))</f>
        <v>62.78</v>
      </c>
      <c r="C1027" s="3">
        <f>MEDIAN(I1027:L1027)</f>
        <v>62.78</v>
      </c>
      <c r="D1027" s="3">
        <f>ROUND(C1027*(1-Settings!$B$2),2)</f>
        <v>43.95</v>
      </c>
      <c r="E1027" s="3">
        <f>ROUND(C1027*(1-Settings!$B$3),2)</f>
        <v>43.95</v>
      </c>
      <c r="F1027" s="2" t="inlineStr">
        <is>
          <t>Pokemon</t>
        </is>
      </c>
      <c r="G1027" s="2" t="inlineStr">
        <is>
          <t>Coffret</t>
        </is>
      </c>
      <c r="H1027" s="2" t="inlineStr">
        <is>
          <t>First Partner Collection 2026</t>
        </is>
      </c>
      <c r="I1027" s="3" t="n"/>
      <c r="J1027" s="3" t="n">
        <v>62.78</v>
      </c>
      <c r="K1027" s="3" t="n">
        <v>69.98999999999999</v>
      </c>
      <c r="L1027" s="3" t="n">
        <v>14.99</v>
      </c>
      <c r="M1027" s="2" t="inlineStr">
        <is>
          <t>TCGplayer</t>
        </is>
      </c>
      <c r="O1027" s="4" t="inlineStr">
        <is>
          <t>https://www.tcgplayer.com/product/673436</t>
        </is>
      </c>
    </row>
    <row r="1028">
      <c r="A1028" s="2" t="inlineStr">
        <is>
          <t>First Partner Illustration Collection (Series 2)</t>
        </is>
      </c>
      <c r="B1028" s="3">
        <f>IF(I1028&lt;&gt;"",I1028,IF(J1028&lt;&gt;"",J1028,IF(K1028&lt;&gt;"",K1028,L1028)))</f>
        <v>26.93</v>
      </c>
      <c r="C1028" s="3">
        <f>MEDIAN(I1028:L1028)</f>
        <v>26.93</v>
      </c>
      <c r="D1028" s="3">
        <f>ROUND(C1028*(1-Settings!$B$2),2)</f>
        <v>18.85</v>
      </c>
      <c r="E1028" s="3">
        <f>ROUND(C1028*(1-Settings!$B$3),2)</f>
        <v>18.85</v>
      </c>
      <c r="F1028" s="2" t="inlineStr">
        <is>
          <t>Pokemon</t>
        </is>
      </c>
      <c r="G1028" s="2" t="inlineStr">
        <is>
          <t>Coffret</t>
        </is>
      </c>
      <c r="H1028" s="2" t="inlineStr">
        <is>
          <t>First Partner Collection 2026</t>
        </is>
      </c>
      <c r="I1028" s="3" t="n"/>
      <c r="J1028" s="3" t="n">
        <v>26.93</v>
      </c>
      <c r="K1028" s="3" t="n">
        <v>34.85</v>
      </c>
      <c r="L1028" s="3" t="n">
        <v>3</v>
      </c>
      <c r="M1028" s="2" t="inlineStr">
        <is>
          <t>TCGplayer</t>
        </is>
      </c>
      <c r="O1028" s="4" t="inlineStr">
        <is>
          <t>https://www.tcgplayer.com/product/688712</t>
        </is>
      </c>
    </row>
    <row r="1029">
      <c r="A1029" s="2" t="inlineStr">
        <is>
          <t>First Partner Illustration Collection (Series 3)</t>
        </is>
      </c>
      <c r="B1029" s="3">
        <f>IF(I1029&lt;&gt;"",I1029,IF(J1029&lt;&gt;"",J1029,IF(K1029&lt;&gt;"",K1029,L1029)))</f>
        <v>24.22</v>
      </c>
      <c r="C1029" s="3">
        <f>MEDIAN(I1029:L1029)</f>
        <v>24.22</v>
      </c>
      <c r="D1029" s="3">
        <f>ROUND(C1029*(1-Settings!$B$2),2)</f>
        <v>16.95</v>
      </c>
      <c r="E1029" s="3">
        <f>ROUND(C1029*(1-Settings!$B$3),2)</f>
        <v>16.95</v>
      </c>
      <c r="F1029" s="2" t="inlineStr">
        <is>
          <t>Pokemon</t>
        </is>
      </c>
      <c r="G1029" s="2" t="inlineStr">
        <is>
          <t>Coffret</t>
        </is>
      </c>
      <c r="H1029" s="2" t="inlineStr">
        <is>
          <t>First Partner Collection 2026</t>
        </is>
      </c>
      <c r="I1029" s="3" t="n"/>
      <c r="J1029" s="3" t="n">
        <v>24.22</v>
      </c>
      <c r="K1029" s="3" t="n">
        <v>30</v>
      </c>
      <c r="L1029" s="3" t="n">
        <v>4.99</v>
      </c>
      <c r="M1029" s="2" t="inlineStr">
        <is>
          <t>TCGplayer</t>
        </is>
      </c>
      <c r="O1029" s="4" t="inlineStr">
        <is>
          <t>https://www.tcgplayer.com/product/695400</t>
        </is>
      </c>
    </row>
    <row r="1030">
      <c r="A1030" s="2" t="inlineStr">
        <is>
          <t>Flashfire Kalos Power Tin: Delphox</t>
        </is>
      </c>
      <c r="B1030" s="3">
        <f>IF(I1030&lt;&gt;"",I1030,IF(J1030&lt;&gt;"",J1030,IF(K1030&lt;&gt;"",K1030,L1030)))</f>
        <v>502.0</v>
      </c>
      <c r="C1030" s="3">
        <f>MEDIAN(I1030:L1030)</f>
        <v>502.0</v>
      </c>
      <c r="D1030" s="3">
        <f>ROUND(C1030*(1-Settings!$B$2),2)</f>
        <v>351.4</v>
      </c>
      <c r="E1030" s="3">
        <f>ROUND(C1030*(1-Settings!$B$3),2)</f>
        <v>351.4</v>
      </c>
      <c r="F1030" s="2" t="inlineStr">
        <is>
          <t>Pokemon</t>
        </is>
      </c>
      <c r="G1030" s="2" t="inlineStr">
        <is>
          <t>Coffret</t>
        </is>
      </c>
      <c r="H1030" s="2" t="inlineStr">
        <is>
          <t>Flashfire</t>
        </is>
      </c>
      <c r="I1030" s="3" t="n">
        <v>502</v>
      </c>
      <c r="J1030" s="3" t="n"/>
      <c r="K1030" s="3" t="n"/>
      <c r="L1030" s="3" t="n"/>
      <c r="M1030" s="2" t="inlineStr">
        <is>
          <t>PriceCharting</t>
        </is>
      </c>
      <c r="N1030" s="4" t="inlineStr">
        <is>
          <t>https://www.pricecharting.com/game/pokemon-flashfire/kalos-power-tin-delphox</t>
        </is>
      </c>
    </row>
    <row r="1031">
      <c r="A1031" s="2" t="inlineStr">
        <is>
          <t>Fossil Thunderstorm Gift Box</t>
        </is>
      </c>
      <c r="B1031" s="3">
        <f>IF(I1031&lt;&gt;"",I1031,IF(J1031&lt;&gt;"",J1031,IF(K1031&lt;&gt;"",K1031,L1031)))</f>
        <v>1375.0</v>
      </c>
      <c r="C1031" s="3">
        <f>MEDIAN(I1031:L1031)</f>
        <v>1375.0</v>
      </c>
      <c r="D1031" s="3">
        <f>ROUND(C1031*(1-Settings!$B$2),2)</f>
        <v>962.5</v>
      </c>
      <c r="E1031" s="3">
        <f>ROUND(C1031*(1-Settings!$B$3),2)</f>
        <v>962.5</v>
      </c>
      <c r="F1031" s="2" t="inlineStr">
        <is>
          <t>Pokemon</t>
        </is>
      </c>
      <c r="G1031" s="2" t="inlineStr">
        <is>
          <t>Coffret</t>
        </is>
      </c>
      <c r="H1031" s="2" t="inlineStr">
        <is>
          <t>Fossil</t>
        </is>
      </c>
      <c r="I1031" s="3" t="n">
        <v>1375</v>
      </c>
      <c r="J1031" s="3" t="n"/>
      <c r="K1031" s="3" t="n"/>
      <c r="L1031" s="3" t="n"/>
      <c r="M1031" s="2" t="inlineStr">
        <is>
          <t>PriceCharting</t>
        </is>
      </c>
      <c r="N1031" s="4" t="inlineStr">
        <is>
          <t>https://www.pricecharting.com/game/pokemon-fossil/thunderstorm-gift-box</t>
        </is>
      </c>
    </row>
    <row r="1032">
      <c r="A1032" s="2" t="inlineStr">
        <is>
          <t>Furious Fists 2-Pack Blister</t>
        </is>
      </c>
      <c r="B1032" s="3">
        <f>IF(I1032&lt;&gt;"",I1032,IF(J1032&lt;&gt;"",J1032,IF(K1032&lt;&gt;"",K1032,L1032)))</f>
        <v>149.89</v>
      </c>
      <c r="C1032" s="3">
        <f>MEDIAN(I1032:L1032)</f>
        <v>149.89</v>
      </c>
      <c r="D1032" s="3">
        <f>ROUND(C1032*(1-Settings!$B$2),2)</f>
        <v>104.92</v>
      </c>
      <c r="E1032" s="3">
        <f>ROUND(C1032*(1-Settings!$B$3),2)</f>
        <v>104.92</v>
      </c>
      <c r="F1032" s="2" t="inlineStr">
        <is>
          <t>Pokemon</t>
        </is>
      </c>
      <c r="G1032" s="2" t="inlineStr">
        <is>
          <t>Coffret</t>
        </is>
      </c>
      <c r="H1032" s="2" t="inlineStr">
        <is>
          <t>Furious Fists</t>
        </is>
      </c>
      <c r="I1032" s="3" t="n">
        <v>149.89</v>
      </c>
      <c r="J1032" s="3" t="n"/>
      <c r="K1032" s="3" t="n"/>
      <c r="L1032" s="3" t="n"/>
      <c r="M1032" s="2" t="inlineStr">
        <is>
          <t>PriceCharting</t>
        </is>
      </c>
      <c r="N1032" s="4" t="inlineStr">
        <is>
          <t>https://www.pricecharting.com/game/pokemon-furious-fists/2-pack-blister</t>
        </is>
      </c>
    </row>
    <row r="1033">
      <c r="A1033" s="2" t="inlineStr">
        <is>
          <t>Furious Fists EX Power Trio Tin [Charizard EX]</t>
        </is>
      </c>
      <c r="B1033" s="3">
        <f>IF(I1033&lt;&gt;"",I1033,IF(J1033&lt;&gt;"",J1033,IF(K1033&lt;&gt;"",K1033,L1033)))</f>
        <v>810.0</v>
      </c>
      <c r="C1033" s="3">
        <f>MEDIAN(I1033:L1033)</f>
        <v>810.0</v>
      </c>
      <c r="D1033" s="3">
        <f>ROUND(C1033*(1-Settings!$B$2),2)</f>
        <v>567.0</v>
      </c>
      <c r="E1033" s="3">
        <f>ROUND(C1033*(1-Settings!$B$3),2)</f>
        <v>567.0</v>
      </c>
      <c r="F1033" s="2" t="inlineStr">
        <is>
          <t>Pokemon</t>
        </is>
      </c>
      <c r="G1033" s="2" t="inlineStr">
        <is>
          <t>Coffret</t>
        </is>
      </c>
      <c r="H1033" s="2" t="inlineStr">
        <is>
          <t>Furious Fists</t>
        </is>
      </c>
      <c r="I1033" s="3" t="n">
        <v>810</v>
      </c>
      <c r="J1033" s="3" t="n"/>
      <c r="K1033" s="3" t="n"/>
      <c r="L1033" s="3" t="n"/>
      <c r="M1033" s="2" t="inlineStr">
        <is>
          <t>PriceCharting</t>
        </is>
      </c>
      <c r="N1033" s="4" t="inlineStr">
        <is>
          <t>https://www.pricecharting.com/game/pokemon-furious-fists/ex-power-trio-tin-charizard-ex</t>
        </is>
      </c>
    </row>
    <row r="1034">
      <c r="A1034" s="2" t="inlineStr">
        <is>
          <t>Furious Fists Slurpuff 3-Pack Blister</t>
        </is>
      </c>
      <c r="B1034" s="3">
        <f>IF(I1034&lt;&gt;"",I1034,IF(J1034&lt;&gt;"",J1034,IF(K1034&lt;&gt;"",K1034,L1034)))</f>
        <v>209.0</v>
      </c>
      <c r="C1034" s="3">
        <f>MEDIAN(I1034:L1034)</f>
        <v>209.0</v>
      </c>
      <c r="D1034" s="3">
        <f>ROUND(C1034*(1-Settings!$B$2),2)</f>
        <v>146.3</v>
      </c>
      <c r="E1034" s="3">
        <f>ROUND(C1034*(1-Settings!$B$3),2)</f>
        <v>146.3</v>
      </c>
      <c r="F1034" s="2" t="inlineStr">
        <is>
          <t>Pokemon</t>
        </is>
      </c>
      <c r="G1034" s="2" t="inlineStr">
        <is>
          <t>Coffret</t>
        </is>
      </c>
      <c r="H1034" s="2" t="inlineStr">
        <is>
          <t>Furious Fists</t>
        </is>
      </c>
      <c r="I1034" s="3" t="n">
        <v>209</v>
      </c>
      <c r="J1034" s="3" t="n"/>
      <c r="K1034" s="3" t="n"/>
      <c r="L1034" s="3" t="n"/>
      <c r="M1034" s="2" t="inlineStr">
        <is>
          <t>PriceCharting</t>
        </is>
      </c>
      <c r="N1034" s="4" t="inlineStr">
        <is>
          <t>https://www.pricecharting.com/game/pokemon-furious-fists/slurpuff-3-pack-blister</t>
        </is>
      </c>
    </row>
    <row r="1035">
      <c r="A1035" s="2" t="inlineStr">
        <is>
          <t>Fusion Strike Eevee 3-Pack Blister</t>
        </is>
      </c>
      <c r="B1035" s="3">
        <f>IF(I1035&lt;&gt;"",I1035,IF(J1035&lt;&gt;"",J1035,IF(K1035&lt;&gt;"",K1035,L1035)))</f>
        <v>73.24</v>
      </c>
      <c r="C1035" s="3">
        <f>MEDIAN(I1035:L1035)</f>
        <v>73.24</v>
      </c>
      <c r="D1035" s="3">
        <f>ROUND(C1035*(1-Settings!$B$2),2)</f>
        <v>51.27</v>
      </c>
      <c r="E1035" s="3">
        <f>ROUND(C1035*(1-Settings!$B$3),2)</f>
        <v>51.27</v>
      </c>
      <c r="F1035" s="2" t="inlineStr">
        <is>
          <t>Pokemon</t>
        </is>
      </c>
      <c r="G1035" s="2" t="inlineStr">
        <is>
          <t>Coffret</t>
        </is>
      </c>
      <c r="H1035" s="2" t="inlineStr">
        <is>
          <t>Fusion Strike</t>
        </is>
      </c>
      <c r="I1035" s="3" t="n">
        <v>73.23999999999999</v>
      </c>
      <c r="J1035" s="3" t="n"/>
      <c r="K1035" s="3" t="n"/>
      <c r="L1035" s="3" t="n"/>
      <c r="M1035" s="2" t="inlineStr">
        <is>
          <t>PriceCharting</t>
        </is>
      </c>
      <c r="N1035" s="4" t="inlineStr">
        <is>
          <t>https://www.pricecharting.com/game/pokemon-fusion-strike/eevee-3-pack-blister</t>
        </is>
      </c>
    </row>
    <row r="1036">
      <c r="A1036" s="2" t="inlineStr">
        <is>
          <t>Fusion Strike Elite Trainer Box [Pokemon Center]</t>
        </is>
      </c>
      <c r="B1036" s="3">
        <f>IF(I1036&lt;&gt;"",I1036,IF(J1036&lt;&gt;"",J1036,IF(K1036&lt;&gt;"",K1036,L1036)))</f>
        <v>462.0</v>
      </c>
      <c r="C1036" s="3">
        <f>MEDIAN(I1036:L1036)</f>
        <v>462.0</v>
      </c>
      <c r="D1036" s="3">
        <f>ROUND(C1036*(1-Settings!$B$2),2)</f>
        <v>323.4</v>
      </c>
      <c r="E1036" s="3">
        <f>ROUND(C1036*(1-Settings!$B$3),2)</f>
        <v>323.4</v>
      </c>
      <c r="F1036" s="2" t="inlineStr">
        <is>
          <t>Pokemon</t>
        </is>
      </c>
      <c r="G1036" s="2" t="inlineStr">
        <is>
          <t>Coffret</t>
        </is>
      </c>
      <c r="H1036" s="2" t="inlineStr">
        <is>
          <t>Fusion Strike</t>
        </is>
      </c>
      <c r="I1036" s="3" t="n">
        <v>462</v>
      </c>
      <c r="J1036" s="3" t="n"/>
      <c r="K1036" s="3" t="n"/>
      <c r="L1036" s="3" t="n"/>
      <c r="M1036" s="2" t="inlineStr">
        <is>
          <t>PriceCharting</t>
        </is>
      </c>
      <c r="N1036" s="4" t="inlineStr">
        <is>
          <t>https://www.pricecharting.com/game/pokemon-fusion-strike/elite-trainer-box-pokemon-center</t>
        </is>
      </c>
    </row>
    <row r="1037">
      <c r="A1037" s="2" t="inlineStr">
        <is>
          <t>Fusion Strike Espeon 3-Pack Blister</t>
        </is>
      </c>
      <c r="B1037" s="3">
        <f>IF(I1037&lt;&gt;"",I1037,IF(J1037&lt;&gt;"",J1037,IF(K1037&lt;&gt;"",K1037,L1037)))</f>
        <v>85.0</v>
      </c>
      <c r="C1037" s="3">
        <f>MEDIAN(I1037:L1037)</f>
        <v>85.0</v>
      </c>
      <c r="D1037" s="3">
        <f>ROUND(C1037*(1-Settings!$B$2),2)</f>
        <v>59.5</v>
      </c>
      <c r="E1037" s="3">
        <f>ROUND(C1037*(1-Settings!$B$3),2)</f>
        <v>59.5</v>
      </c>
      <c r="F1037" s="2" t="inlineStr">
        <is>
          <t>Pokemon</t>
        </is>
      </c>
      <c r="G1037" s="2" t="inlineStr">
        <is>
          <t>Coffret</t>
        </is>
      </c>
      <c r="H1037" s="2" t="inlineStr">
        <is>
          <t>Fusion Strike</t>
        </is>
      </c>
      <c r="I1037" s="3" t="n">
        <v>85</v>
      </c>
      <c r="J1037" s="3" t="n"/>
      <c r="K1037" s="3" t="n"/>
      <c r="L1037" s="3" t="n"/>
      <c r="M1037" s="2" t="inlineStr">
        <is>
          <t>PriceCharting</t>
        </is>
      </c>
      <c r="N1037" s="4" t="inlineStr">
        <is>
          <t>https://www.pricecharting.com/game/pokemon-fusion-strike/espeon-3-pack-blister</t>
        </is>
      </c>
    </row>
    <row r="1038">
      <c r="A1038" s="2" t="inlineStr">
        <is>
          <t>Generations Arceus Mythical Collection Box</t>
        </is>
      </c>
      <c r="B1038" s="3">
        <f>IF(I1038&lt;&gt;"",I1038,IF(J1038&lt;&gt;"",J1038,IF(K1038&lt;&gt;"",K1038,L1038)))</f>
        <v>571.8</v>
      </c>
      <c r="C1038" s="3">
        <f>MEDIAN(I1038:L1038)</f>
        <v>571.8</v>
      </c>
      <c r="D1038" s="3">
        <f>ROUND(C1038*(1-Settings!$B$2),2)</f>
        <v>400.26</v>
      </c>
      <c r="E1038" s="3">
        <f>ROUND(C1038*(1-Settings!$B$3),2)</f>
        <v>400.26</v>
      </c>
      <c r="F1038" s="2" t="inlineStr">
        <is>
          <t>Pokemon</t>
        </is>
      </c>
      <c r="G1038" s="2" t="inlineStr">
        <is>
          <t>Coffret</t>
        </is>
      </c>
      <c r="H1038" s="2" t="inlineStr">
        <is>
          <t>Generations</t>
        </is>
      </c>
      <c r="I1038" s="3" t="n">
        <v>571.8</v>
      </c>
      <c r="J1038" s="3" t="n"/>
      <c r="K1038" s="3" t="n"/>
      <c r="L1038" s="3" t="n"/>
      <c r="M1038" s="2" t="inlineStr">
        <is>
          <t>PriceCharting</t>
        </is>
      </c>
      <c r="N1038" s="4" t="inlineStr">
        <is>
          <t>https://www.pricecharting.com/game/pokemon-generations/arceus-mythical-collection-box</t>
        </is>
      </c>
    </row>
    <row r="1039">
      <c r="A1039" s="2" t="inlineStr">
        <is>
          <t>Generations Blastoise EX: Red And Blue Collection</t>
        </is>
      </c>
      <c r="B1039" s="3">
        <f>IF(I1039&lt;&gt;"",I1039,IF(J1039&lt;&gt;"",J1039,IF(K1039&lt;&gt;"",K1039,L1039)))</f>
        <v>1428.93</v>
      </c>
      <c r="C1039" s="3">
        <f>MEDIAN(I1039:L1039)</f>
        <v>1428.93</v>
      </c>
      <c r="D1039" s="3">
        <f>ROUND(C1039*(1-Settings!$B$2),2)</f>
        <v>1000.25</v>
      </c>
      <c r="E1039" s="3">
        <f>ROUND(C1039*(1-Settings!$B$3),2)</f>
        <v>1000.25</v>
      </c>
      <c r="F1039" s="2" t="inlineStr">
        <is>
          <t>Pokemon</t>
        </is>
      </c>
      <c r="G1039" s="2" t="inlineStr">
        <is>
          <t>Coffret</t>
        </is>
      </c>
      <c r="H1039" s="2" t="inlineStr">
        <is>
          <t>Generations</t>
        </is>
      </c>
      <c r="I1039" s="3" t="n">
        <v>1428.93</v>
      </c>
      <c r="J1039" s="3" t="n"/>
      <c r="K1039" s="3" t="n"/>
      <c r="L1039" s="3" t="n"/>
      <c r="M1039" s="2" t="inlineStr">
        <is>
          <t>PriceCharting</t>
        </is>
      </c>
      <c r="N1039" s="4" t="inlineStr">
        <is>
          <t>https://www.pricecharting.com/game/pokemon-generations/blastoise-ex-red-and-blue-collection</t>
        </is>
      </c>
    </row>
    <row r="1040">
      <c r="A1040" s="2" t="inlineStr">
        <is>
          <t>Generations Celebi Mythical Collection Box</t>
        </is>
      </c>
      <c r="B1040" s="3">
        <f>IF(I1040&lt;&gt;"",I1040,IF(J1040&lt;&gt;"",J1040,IF(K1040&lt;&gt;"",K1040,L1040)))</f>
        <v>576.23</v>
      </c>
      <c r="C1040" s="3">
        <f>MEDIAN(I1040:L1040)</f>
        <v>576.23</v>
      </c>
      <c r="D1040" s="3">
        <f>ROUND(C1040*(1-Settings!$B$2),2)</f>
        <v>403.36</v>
      </c>
      <c r="E1040" s="3">
        <f>ROUND(C1040*(1-Settings!$B$3),2)</f>
        <v>403.36</v>
      </c>
      <c r="F1040" s="2" t="inlineStr">
        <is>
          <t>Pokemon</t>
        </is>
      </c>
      <c r="G1040" s="2" t="inlineStr">
        <is>
          <t>Coffret</t>
        </is>
      </c>
      <c r="H1040" s="2" t="inlineStr">
        <is>
          <t>Generations</t>
        </is>
      </c>
      <c r="I1040" s="3" t="n">
        <v>576.23</v>
      </c>
      <c r="J1040" s="3" t="n"/>
      <c r="K1040" s="3" t="n"/>
      <c r="L1040" s="3" t="n"/>
      <c r="M1040" s="2" t="inlineStr">
        <is>
          <t>PriceCharting</t>
        </is>
      </c>
      <c r="N1040" s="4" t="inlineStr">
        <is>
          <t>https://www.pricecharting.com/game/pokemon-generations/celebi-mythical-collection-box</t>
        </is>
      </c>
    </row>
    <row r="1041">
      <c r="A1041" s="2" t="inlineStr">
        <is>
          <t>Generations Charizard EX: Red And Blue Collection</t>
        </is>
      </c>
      <c r="B1041" s="3">
        <f>IF(I1041&lt;&gt;"",I1041,IF(J1041&lt;&gt;"",J1041,IF(K1041&lt;&gt;"",K1041,L1041)))</f>
        <v>1543.15</v>
      </c>
      <c r="C1041" s="3">
        <f>MEDIAN(I1041:L1041)</f>
        <v>1543.15</v>
      </c>
      <c r="D1041" s="3">
        <f>ROUND(C1041*(1-Settings!$B$2),2)</f>
        <v>1080.21</v>
      </c>
      <c r="E1041" s="3">
        <f>ROUND(C1041*(1-Settings!$B$3),2)</f>
        <v>1080.21</v>
      </c>
      <c r="F1041" s="2" t="inlineStr">
        <is>
          <t>Pokemon</t>
        </is>
      </c>
      <c r="G1041" s="2" t="inlineStr">
        <is>
          <t>Coffret</t>
        </is>
      </c>
      <c r="H1041" s="2" t="inlineStr">
        <is>
          <t>Generations</t>
        </is>
      </c>
      <c r="I1041" s="3" t="n">
        <v>1543.15</v>
      </c>
      <c r="J1041" s="3" t="n"/>
      <c r="K1041" s="3" t="n"/>
      <c r="L1041" s="3" t="n"/>
      <c r="M1041" s="2" t="inlineStr">
        <is>
          <t>PriceCharting</t>
        </is>
      </c>
      <c r="N1041" s="4" t="inlineStr">
        <is>
          <t>https://www.pricecharting.com/game/pokemon-generations/charizard-ex-red-and-blue-collection</t>
        </is>
      </c>
    </row>
    <row r="1042">
      <c r="A1042" s="2" t="inlineStr">
        <is>
          <t>Generations Charizard EX: Red And Blue Collection [Jumbo]</t>
        </is>
      </c>
      <c r="B1042" s="3">
        <f>IF(I1042&lt;&gt;"",I1042,IF(J1042&lt;&gt;"",J1042,IF(K1042&lt;&gt;"",K1042,L1042)))</f>
        <v>354.69</v>
      </c>
      <c r="C1042" s="3">
        <f>MEDIAN(I1042:L1042)</f>
        <v>354.69</v>
      </c>
      <c r="D1042" s="3">
        <f>ROUND(C1042*(1-Settings!$B$2),2)</f>
        <v>248.28</v>
      </c>
      <c r="E1042" s="3">
        <f>ROUND(C1042*(1-Settings!$B$3),2)</f>
        <v>248.28</v>
      </c>
      <c r="F1042" s="2" t="inlineStr">
        <is>
          <t>Pokemon</t>
        </is>
      </c>
      <c r="G1042" s="2" t="inlineStr">
        <is>
          <t>Coffret</t>
        </is>
      </c>
      <c r="H1042" s="2" t="inlineStr">
        <is>
          <t>Generations</t>
        </is>
      </c>
      <c r="I1042" s="3" t="n">
        <v>354.69</v>
      </c>
      <c r="J1042" s="3" t="n"/>
      <c r="K1042" s="3" t="n"/>
      <c r="L1042" s="3" t="n"/>
      <c r="M1042" s="2" t="inlineStr">
        <is>
          <t>PriceCharting</t>
        </is>
      </c>
      <c r="N1042" s="4" t="inlineStr">
        <is>
          <t>https://www.pricecharting.com/game/pokemon-generations/charizard-ex-red-and-blue-collection-jumbo</t>
        </is>
      </c>
    </row>
    <row r="1043">
      <c r="A1043" s="2" t="inlineStr">
        <is>
          <t>Generations Darkrai Mythical Collection Box</t>
        </is>
      </c>
      <c r="B1043" s="3">
        <f>IF(I1043&lt;&gt;"",I1043,IF(J1043&lt;&gt;"",J1043,IF(K1043&lt;&gt;"",K1043,L1043)))</f>
        <v>700.0</v>
      </c>
      <c r="C1043" s="3">
        <f>MEDIAN(I1043:L1043)</f>
        <v>700.0</v>
      </c>
      <c r="D1043" s="3">
        <f>ROUND(C1043*(1-Settings!$B$2),2)</f>
        <v>490.0</v>
      </c>
      <c r="E1043" s="3">
        <f>ROUND(C1043*(1-Settings!$B$3),2)</f>
        <v>490.0</v>
      </c>
      <c r="F1043" s="2" t="inlineStr">
        <is>
          <t>Pokemon</t>
        </is>
      </c>
      <c r="G1043" s="2" t="inlineStr">
        <is>
          <t>Coffret</t>
        </is>
      </c>
      <c r="H1043" s="2" t="inlineStr">
        <is>
          <t>Generations</t>
        </is>
      </c>
      <c r="I1043" s="3" t="n">
        <v>700</v>
      </c>
      <c r="J1043" s="3" t="n"/>
      <c r="K1043" s="3" t="n"/>
      <c r="L1043" s="3" t="n"/>
      <c r="M1043" s="2" t="inlineStr">
        <is>
          <t>PriceCharting</t>
        </is>
      </c>
      <c r="N1043" s="4" t="inlineStr">
        <is>
          <t>https://www.pricecharting.com/game/pokemon-generations/darkrai-mythical-collection-box</t>
        </is>
      </c>
    </row>
    <row r="1044">
      <c r="A1044" s="2" t="inlineStr">
        <is>
          <t>Generations Elite Trainer Box</t>
        </is>
      </c>
      <c r="B1044" s="3">
        <f>IF(I1044&lt;&gt;"",I1044,IF(J1044&lt;&gt;"",J1044,IF(K1044&lt;&gt;"",K1044,L1044)))</f>
        <v>3477.63</v>
      </c>
      <c r="C1044" s="3">
        <f>MEDIAN(I1044:L1044)</f>
        <v>3988.81</v>
      </c>
      <c r="D1044" s="3">
        <f>ROUND(C1044*(1-Settings!$B$2),2)</f>
        <v>2792.17</v>
      </c>
      <c r="E1044" s="3">
        <f>ROUND(C1044*(1-Settings!$B$3),2)</f>
        <v>2792.17</v>
      </c>
      <c r="F1044" s="2" t="inlineStr">
        <is>
          <t>Pokemon</t>
        </is>
      </c>
      <c r="G1044" s="2" t="inlineStr">
        <is>
          <t>Coffret</t>
        </is>
      </c>
      <c r="H1044" s="2" t="inlineStr">
        <is>
          <t>Generations</t>
        </is>
      </c>
      <c r="I1044" s="3" t="n">
        <v>3477.63</v>
      </c>
      <c r="J1044" s="3" t="n">
        <v>2999.19</v>
      </c>
      <c r="K1044" s="3" t="n">
        <v>4599.99</v>
      </c>
      <c r="L1044" s="3" t="n">
        <v>4499.99</v>
      </c>
      <c r="M1044" s="2" t="inlineStr">
        <is>
          <t>PriceCharting + TCGplayer</t>
        </is>
      </c>
      <c r="N1044" s="4" t="inlineStr">
        <is>
          <t>https://www.pricecharting.com/game/pokemon-generations/elite-trainer-box</t>
        </is>
      </c>
      <c r="O1044" s="4" t="inlineStr">
        <is>
          <t>https://www.tcgplayer.com/product/123741</t>
        </is>
      </c>
    </row>
    <row r="1045">
      <c r="A1045" s="2" t="inlineStr">
        <is>
          <t>Generations Jirachi Mythical Collection Box</t>
        </is>
      </c>
      <c r="B1045" s="3">
        <f>IF(I1045&lt;&gt;"",I1045,IF(J1045&lt;&gt;"",J1045,IF(K1045&lt;&gt;"",K1045,L1045)))</f>
        <v>609.69</v>
      </c>
      <c r="C1045" s="3">
        <f>MEDIAN(I1045:L1045)</f>
        <v>609.69</v>
      </c>
      <c r="D1045" s="3">
        <f>ROUND(C1045*(1-Settings!$B$2),2)</f>
        <v>426.78</v>
      </c>
      <c r="E1045" s="3">
        <f>ROUND(C1045*(1-Settings!$B$3),2)</f>
        <v>426.78</v>
      </c>
      <c r="F1045" s="2" t="inlineStr">
        <is>
          <t>Pokemon</t>
        </is>
      </c>
      <c r="G1045" s="2" t="inlineStr">
        <is>
          <t>Coffret</t>
        </is>
      </c>
      <c r="H1045" s="2" t="inlineStr">
        <is>
          <t>Generations</t>
        </is>
      </c>
      <c r="I1045" s="3" t="n">
        <v>609.6900000000001</v>
      </c>
      <c r="J1045" s="3" t="n"/>
      <c r="K1045" s="3" t="n"/>
      <c r="L1045" s="3" t="n"/>
      <c r="M1045" s="2" t="inlineStr">
        <is>
          <t>PriceCharting</t>
        </is>
      </c>
      <c r="N1045" s="4" t="inlineStr">
        <is>
          <t>https://www.pricecharting.com/game/pokemon-generations/jirachi-mythical-collection-box</t>
        </is>
      </c>
    </row>
    <row r="1046">
      <c r="A1046" s="2" t="inlineStr">
        <is>
          <t>Generations Mew Mythical Collection Box</t>
        </is>
      </c>
      <c r="B1046" s="3">
        <f>IF(I1046&lt;&gt;"",I1046,IF(J1046&lt;&gt;"",J1046,IF(K1046&lt;&gt;"",K1046,L1046)))</f>
        <v>741.78</v>
      </c>
      <c r="C1046" s="3">
        <f>MEDIAN(I1046:L1046)</f>
        <v>741.78</v>
      </c>
      <c r="D1046" s="3">
        <f>ROUND(C1046*(1-Settings!$B$2),2)</f>
        <v>519.25</v>
      </c>
      <c r="E1046" s="3">
        <f>ROUND(C1046*(1-Settings!$B$3),2)</f>
        <v>519.25</v>
      </c>
      <c r="F1046" s="2" t="inlineStr">
        <is>
          <t>Pokemon</t>
        </is>
      </c>
      <c r="G1046" s="2" t="inlineStr">
        <is>
          <t>Coffret</t>
        </is>
      </c>
      <c r="H1046" s="2" t="inlineStr">
        <is>
          <t>Generations</t>
        </is>
      </c>
      <c r="I1046" s="3" t="n">
        <v>741.78</v>
      </c>
      <c r="J1046" s="3" t="n"/>
      <c r="K1046" s="3" t="n"/>
      <c r="L1046" s="3" t="n"/>
      <c r="M1046" s="2" t="inlineStr">
        <is>
          <t>PriceCharting</t>
        </is>
      </c>
      <c r="N1046" s="4" t="inlineStr">
        <is>
          <t>https://www.pricecharting.com/game/pokemon-generations/mew-mythical-collection-box</t>
        </is>
      </c>
    </row>
    <row r="1047">
      <c r="A1047" s="2" t="inlineStr">
        <is>
          <t>Generations Pikachu EX: Red and Blue Collection</t>
        </is>
      </c>
      <c r="B1047" s="3">
        <f>IF(I1047&lt;&gt;"",I1047,IF(J1047&lt;&gt;"",J1047,IF(K1047&lt;&gt;"",K1047,L1047)))</f>
        <v>2799.69</v>
      </c>
      <c r="C1047" s="3">
        <f>MEDIAN(I1047:L1047)</f>
        <v>2799.69</v>
      </c>
      <c r="D1047" s="3">
        <f>ROUND(C1047*(1-Settings!$B$2),2)</f>
        <v>1959.78</v>
      </c>
      <c r="E1047" s="3">
        <f>ROUND(C1047*(1-Settings!$B$3),2)</f>
        <v>1959.78</v>
      </c>
      <c r="F1047" s="2" t="inlineStr">
        <is>
          <t>Pokemon</t>
        </is>
      </c>
      <c r="G1047" s="2" t="inlineStr">
        <is>
          <t>Coffret</t>
        </is>
      </c>
      <c r="H1047" s="2" t="inlineStr">
        <is>
          <t>Generations</t>
        </is>
      </c>
      <c r="I1047" s="3" t="n">
        <v>2799.69</v>
      </c>
      <c r="J1047" s="3" t="n"/>
      <c r="K1047" s="3" t="n"/>
      <c r="L1047" s="3" t="n"/>
      <c r="M1047" s="2" t="inlineStr">
        <is>
          <t>PriceCharting</t>
        </is>
      </c>
      <c r="N1047" s="4" t="inlineStr">
        <is>
          <t>https://www.pricecharting.com/game/pokemon-generations/pikachu-ex-red-and-blue-collection</t>
        </is>
      </c>
    </row>
    <row r="1048">
      <c r="A1048" s="2" t="inlineStr">
        <is>
          <t>Generations Shaymin Mythical Collection Box</t>
        </is>
      </c>
      <c r="B1048" s="3">
        <f>IF(I1048&lt;&gt;"",I1048,IF(J1048&lt;&gt;"",J1048,IF(K1048&lt;&gt;"",K1048,L1048)))</f>
        <v>599.81</v>
      </c>
      <c r="C1048" s="3">
        <f>MEDIAN(I1048:L1048)</f>
        <v>599.81</v>
      </c>
      <c r="D1048" s="3">
        <f>ROUND(C1048*(1-Settings!$B$2),2)</f>
        <v>419.87</v>
      </c>
      <c r="E1048" s="3">
        <f>ROUND(C1048*(1-Settings!$B$3),2)</f>
        <v>419.87</v>
      </c>
      <c r="F1048" s="2" t="inlineStr">
        <is>
          <t>Pokemon</t>
        </is>
      </c>
      <c r="G1048" s="2" t="inlineStr">
        <is>
          <t>Coffret</t>
        </is>
      </c>
      <c r="H1048" s="2" t="inlineStr">
        <is>
          <t>Generations</t>
        </is>
      </c>
      <c r="I1048" s="3" t="n">
        <v>599.8099999999999</v>
      </c>
      <c r="J1048" s="3" t="n"/>
      <c r="K1048" s="3" t="n"/>
      <c r="L1048" s="3" t="n"/>
      <c r="M1048" s="2" t="inlineStr">
        <is>
          <t>PriceCharting</t>
        </is>
      </c>
      <c r="N1048" s="4" t="inlineStr">
        <is>
          <t>https://www.pricecharting.com/game/pokemon-generations/shaymin-mythical-collection-box</t>
        </is>
      </c>
    </row>
    <row r="1049">
      <c r="A1049" s="2" t="inlineStr">
        <is>
          <t>Generations Super-Premium Collection Box: Mew And Mewtwo</t>
        </is>
      </c>
      <c r="B1049" s="3">
        <f>IF(I1049&lt;&gt;"",I1049,IF(J1049&lt;&gt;"",J1049,IF(K1049&lt;&gt;"",K1049,L1049)))</f>
        <v>3900.0</v>
      </c>
      <c r="C1049" s="3">
        <f>MEDIAN(I1049:L1049)</f>
        <v>3900.0</v>
      </c>
      <c r="D1049" s="3">
        <f>ROUND(C1049*(1-Settings!$B$2),2)</f>
        <v>2730.0</v>
      </c>
      <c r="E1049" s="3">
        <f>ROUND(C1049*(1-Settings!$B$3),2)</f>
        <v>2730.0</v>
      </c>
      <c r="F1049" s="2" t="inlineStr">
        <is>
          <t>Pokemon</t>
        </is>
      </c>
      <c r="G1049" s="2" t="inlineStr">
        <is>
          <t>Coffret</t>
        </is>
      </c>
      <c r="H1049" s="2" t="inlineStr">
        <is>
          <t>Generations</t>
        </is>
      </c>
      <c r="I1049" s="3" t="n">
        <v>3900</v>
      </c>
      <c r="J1049" s="3" t="n"/>
      <c r="K1049" s="3" t="n"/>
      <c r="L1049" s="3" t="n"/>
      <c r="M1049" s="2" t="inlineStr">
        <is>
          <t>PriceCharting</t>
        </is>
      </c>
      <c r="N1049" s="4" t="inlineStr">
        <is>
          <t>https://www.pricecharting.com/game/pokemon-generations/super-premium-collection-box-mew-and-mewtwo</t>
        </is>
      </c>
    </row>
    <row r="1050">
      <c r="A1050" s="2" t="inlineStr">
        <is>
          <t>Generations Tag Team Premium Collection Box</t>
        </is>
      </c>
      <c r="B1050" s="3">
        <f>IF(I1050&lt;&gt;"",I1050,IF(J1050&lt;&gt;"",J1050,IF(K1050&lt;&gt;"",K1050,L1050)))</f>
        <v>952.35</v>
      </c>
      <c r="C1050" s="3">
        <f>MEDIAN(I1050:L1050)</f>
        <v>952.35</v>
      </c>
      <c r="D1050" s="3">
        <f>ROUND(C1050*(1-Settings!$B$2),2)</f>
        <v>666.65</v>
      </c>
      <c r="E1050" s="3">
        <f>ROUND(C1050*(1-Settings!$B$3),2)</f>
        <v>666.65</v>
      </c>
      <c r="F1050" s="2" t="inlineStr">
        <is>
          <t>Pokemon</t>
        </is>
      </c>
      <c r="G1050" s="2" t="inlineStr">
        <is>
          <t>Coffret</t>
        </is>
      </c>
      <c r="H1050" s="2" t="inlineStr">
        <is>
          <t>Generations</t>
        </is>
      </c>
      <c r="I1050" s="3" t="n">
        <v>952.35</v>
      </c>
      <c r="J1050" s="3" t="n"/>
      <c r="K1050" s="3" t="n"/>
      <c r="L1050" s="3" t="n"/>
      <c r="M1050" s="2" t="inlineStr">
        <is>
          <t>PriceCharting</t>
        </is>
      </c>
      <c r="N1050" s="4" t="inlineStr">
        <is>
          <t>https://www.pricecharting.com/game/pokemon-generations/tag-team-premium-collection-box</t>
        </is>
      </c>
    </row>
    <row r="1051">
      <c r="A1051" s="2" t="inlineStr">
        <is>
          <t>Generations Venusaur EX: Red And Blue Collection</t>
        </is>
      </c>
      <c r="B1051" s="3">
        <f>IF(I1051&lt;&gt;"",I1051,IF(J1051&lt;&gt;"",J1051,IF(K1051&lt;&gt;"",K1051,L1051)))</f>
        <v>1507.72</v>
      </c>
      <c r="C1051" s="3">
        <f>MEDIAN(I1051:L1051)</f>
        <v>1507.72</v>
      </c>
      <c r="D1051" s="3">
        <f>ROUND(C1051*(1-Settings!$B$2),2)</f>
        <v>1055.4</v>
      </c>
      <c r="E1051" s="3">
        <f>ROUND(C1051*(1-Settings!$B$3),2)</f>
        <v>1055.4</v>
      </c>
      <c r="F1051" s="2" t="inlineStr">
        <is>
          <t>Pokemon</t>
        </is>
      </c>
      <c r="G1051" s="2" t="inlineStr">
        <is>
          <t>Coffret</t>
        </is>
      </c>
      <c r="H1051" s="2" t="inlineStr">
        <is>
          <t>Generations</t>
        </is>
      </c>
      <c r="I1051" s="3" t="n">
        <v>1507.72</v>
      </c>
      <c r="J1051" s="3" t="n"/>
      <c r="K1051" s="3" t="n"/>
      <c r="L1051" s="3" t="n"/>
      <c r="M1051" s="2" t="inlineStr">
        <is>
          <t>PriceCharting</t>
        </is>
      </c>
      <c r="N1051" s="4" t="inlineStr">
        <is>
          <t>https://www.pricecharting.com/game/pokemon-generations/venusaur-ex-red-and-blue-collection</t>
        </is>
      </c>
    </row>
    <row r="1052">
      <c r="A1052" s="2" t="inlineStr">
        <is>
          <t>Mythical Pokemon Collection Box [Arceus]</t>
        </is>
      </c>
      <c r="B1052" s="3">
        <f>IF(I1052&lt;&gt;"",I1052,IF(J1052&lt;&gt;"",J1052,IF(K1052&lt;&gt;"",K1052,L1052)))</f>
        <v>777.67</v>
      </c>
      <c r="C1052" s="3">
        <f>MEDIAN(I1052:L1052)</f>
        <v>707.5799999999999</v>
      </c>
      <c r="D1052" s="3">
        <f>ROUND(C1052*(1-Settings!$B$2),2)</f>
        <v>495.31</v>
      </c>
      <c r="E1052" s="3">
        <f>ROUND(C1052*(1-Settings!$B$3),2)</f>
        <v>495.31</v>
      </c>
      <c r="F1052" s="2" t="inlineStr">
        <is>
          <t>Pokemon</t>
        </is>
      </c>
      <c r="G1052" s="2" t="inlineStr">
        <is>
          <t>Coffret</t>
        </is>
      </c>
      <c r="H1052" s="2" t="inlineStr">
        <is>
          <t>Generations</t>
        </is>
      </c>
      <c r="I1052" s="3" t="n"/>
      <c r="J1052" s="3" t="n"/>
      <c r="K1052" s="3" t="n">
        <v>777.67</v>
      </c>
      <c r="L1052" s="3" t="n">
        <v>637.49</v>
      </c>
      <c r="M1052" s="2" t="inlineStr">
        <is>
          <t>TCGplayer</t>
        </is>
      </c>
      <c r="O1052" s="4" t="inlineStr">
        <is>
          <t>https://www.tcgplayer.com/product/121363</t>
        </is>
      </c>
    </row>
    <row r="1053">
      <c r="A1053" s="2" t="inlineStr">
        <is>
          <t>Mythical Pokemon Collection Box [Celebi]</t>
        </is>
      </c>
      <c r="B1053" s="3">
        <f>IF(I1053&lt;&gt;"",I1053,IF(J1053&lt;&gt;"",J1053,IF(K1053&lt;&gt;"",K1053,L1053)))</f>
        <v>543.33</v>
      </c>
      <c r="C1053" s="3">
        <f>MEDIAN(I1053:L1053)</f>
        <v>799.99</v>
      </c>
      <c r="D1053" s="3">
        <f>ROUND(C1053*(1-Settings!$B$2),2)</f>
        <v>559.99</v>
      </c>
      <c r="E1053" s="3">
        <f>ROUND(C1053*(1-Settings!$B$3),2)</f>
        <v>559.99</v>
      </c>
      <c r="F1053" s="2" t="inlineStr">
        <is>
          <t>Pokemon</t>
        </is>
      </c>
      <c r="G1053" s="2" t="inlineStr">
        <is>
          <t>Coffret</t>
        </is>
      </c>
      <c r="H1053" s="2" t="inlineStr">
        <is>
          <t>Generations</t>
        </is>
      </c>
      <c r="I1053" s="3" t="n"/>
      <c r="J1053" s="3" t="n">
        <v>543.33</v>
      </c>
      <c r="K1053" s="3" t="n">
        <v>900</v>
      </c>
      <c r="L1053" s="3" t="n">
        <v>799.99</v>
      </c>
      <c r="M1053" s="2" t="inlineStr">
        <is>
          <t>TCGplayer</t>
        </is>
      </c>
      <c r="O1053" s="4" t="inlineStr">
        <is>
          <t>https://www.tcgplayer.com/product/114525</t>
        </is>
      </c>
    </row>
    <row r="1054">
      <c r="A1054" s="2" t="inlineStr">
        <is>
          <t>Mythical Pokemon Collection Box [Darkrai]</t>
        </is>
      </c>
      <c r="B1054" s="3">
        <f>IF(I1054&lt;&gt;"",I1054,IF(J1054&lt;&gt;"",J1054,IF(K1054&lt;&gt;"",K1054,L1054)))</f>
        <v>566.15</v>
      </c>
      <c r="C1054" s="3">
        <f>MEDIAN(I1054:L1054)</f>
        <v>900.0</v>
      </c>
      <c r="D1054" s="3">
        <f>ROUND(C1054*(1-Settings!$B$2),2)</f>
        <v>630.0</v>
      </c>
      <c r="E1054" s="3">
        <f>ROUND(C1054*(1-Settings!$B$3),2)</f>
        <v>630.0</v>
      </c>
      <c r="F1054" s="2" t="inlineStr">
        <is>
          <t>Pokemon</t>
        </is>
      </c>
      <c r="G1054" s="2" t="inlineStr">
        <is>
          <t>Coffret</t>
        </is>
      </c>
      <c r="H1054" s="2" t="inlineStr">
        <is>
          <t>Generations</t>
        </is>
      </c>
      <c r="I1054" s="3" t="n"/>
      <c r="J1054" s="3" t="n">
        <v>566.15</v>
      </c>
      <c r="K1054" s="3" t="n">
        <v>950</v>
      </c>
      <c r="L1054" s="3" t="n">
        <v>900</v>
      </c>
      <c r="M1054" s="2" t="inlineStr">
        <is>
          <t>TCGplayer</t>
        </is>
      </c>
      <c r="O1054" s="4" t="inlineStr">
        <is>
          <t>https://www.tcgplayer.com/product/118342</t>
        </is>
      </c>
    </row>
    <row r="1055">
      <c r="A1055" s="2" t="inlineStr">
        <is>
          <t>Mythical Pokemon Collection Box [Genesect]</t>
        </is>
      </c>
      <c r="B1055" s="3">
        <f>IF(I1055&lt;&gt;"",I1055,IF(J1055&lt;&gt;"",J1055,IF(K1055&lt;&gt;"",K1055,L1055)))</f>
        <v>415.0</v>
      </c>
      <c r="C1055" s="3">
        <f>MEDIAN(I1055:L1055)</f>
        <v>700.0</v>
      </c>
      <c r="D1055" s="3">
        <f>ROUND(C1055*(1-Settings!$B$2),2)</f>
        <v>490.0</v>
      </c>
      <c r="E1055" s="3">
        <f>ROUND(C1055*(1-Settings!$B$3),2)</f>
        <v>490.0</v>
      </c>
      <c r="F1055" s="2" t="inlineStr">
        <is>
          <t>Pokemon</t>
        </is>
      </c>
      <c r="G1055" s="2" t="inlineStr">
        <is>
          <t>Coffret</t>
        </is>
      </c>
      <c r="H1055" s="2" t="inlineStr">
        <is>
          <t>Generations</t>
        </is>
      </c>
      <c r="I1055" s="3" t="n"/>
      <c r="J1055" s="3" t="n">
        <v>415</v>
      </c>
      <c r="K1055" s="3" t="n">
        <v>700</v>
      </c>
      <c r="L1055" s="3" t="n">
        <v>700</v>
      </c>
      <c r="M1055" s="2" t="inlineStr">
        <is>
          <t>TCGplayer</t>
        </is>
      </c>
      <c r="O1055" s="4" t="inlineStr">
        <is>
          <t>https://www.tcgplayer.com/product/126569</t>
        </is>
      </c>
    </row>
    <row r="1056">
      <c r="A1056" s="2" t="inlineStr">
        <is>
          <t>Mythical Pokemon Collection Box [Keldeo]</t>
        </is>
      </c>
      <c r="B1056" s="3">
        <f>IF(I1056&lt;&gt;"",I1056,IF(J1056&lt;&gt;"",J1056,IF(K1056&lt;&gt;"",K1056,L1056)))</f>
        <v>1709.91</v>
      </c>
      <c r="C1056" s="3">
        <f>MEDIAN(I1056:L1056)</f>
        <v>1709.91</v>
      </c>
      <c r="D1056" s="3">
        <f>ROUND(C1056*(1-Settings!$B$2),2)</f>
        <v>1196.94</v>
      </c>
      <c r="E1056" s="3">
        <f>ROUND(C1056*(1-Settings!$B$3),2)</f>
        <v>1196.94</v>
      </c>
      <c r="F1056" s="2" t="inlineStr">
        <is>
          <t>Pokemon</t>
        </is>
      </c>
      <c r="G1056" s="2" t="inlineStr">
        <is>
          <t>Coffret</t>
        </is>
      </c>
      <c r="H1056" s="2" t="inlineStr">
        <is>
          <t>Generations</t>
        </is>
      </c>
      <c r="I1056" s="3" t="n"/>
      <c r="J1056" s="3" t="n"/>
      <c r="K1056" s="3" t="n">
        <v>1709.91</v>
      </c>
      <c r="L1056" s="3" t="n">
        <v>1709.91</v>
      </c>
      <c r="M1056" s="2" t="inlineStr">
        <is>
          <t>TCGplayer</t>
        </is>
      </c>
      <c r="O1056" s="4" t="inlineStr">
        <is>
          <t>https://www.tcgplayer.com/product/123740</t>
        </is>
      </c>
    </row>
    <row r="1057">
      <c r="A1057" s="2" t="inlineStr">
        <is>
          <t>Mythical Pokemon Collection Box [Manaphy]</t>
        </is>
      </c>
      <c r="B1057" s="3">
        <f>IF(I1057&lt;&gt;"",I1057,IF(J1057&lt;&gt;"",J1057,IF(K1057&lt;&gt;"",K1057,L1057)))</f>
        <v>555.0</v>
      </c>
      <c r="C1057" s="3">
        <f>MEDIAN(I1057:L1057)</f>
        <v>1000.0</v>
      </c>
      <c r="D1057" s="3">
        <f>ROUND(C1057*(1-Settings!$B$2),2)</f>
        <v>700.0</v>
      </c>
      <c r="E1057" s="3">
        <f>ROUND(C1057*(1-Settings!$B$3),2)</f>
        <v>700.0</v>
      </c>
      <c r="F1057" s="2" t="inlineStr">
        <is>
          <t>Pokemon</t>
        </is>
      </c>
      <c r="G1057" s="2" t="inlineStr">
        <is>
          <t>Coffret</t>
        </is>
      </c>
      <c r="H1057" s="2" t="inlineStr">
        <is>
          <t>Generations</t>
        </is>
      </c>
      <c r="I1057" s="3" t="n"/>
      <c r="J1057" s="3" t="n">
        <v>555</v>
      </c>
      <c r="K1057" s="3" t="n">
        <v>1000</v>
      </c>
      <c r="L1057" s="3" t="n">
        <v>1000</v>
      </c>
      <c r="M1057" s="2" t="inlineStr">
        <is>
          <t>TCGplayer</t>
        </is>
      </c>
      <c r="O1057" s="4" t="inlineStr">
        <is>
          <t>https://www.tcgplayer.com/product/118796</t>
        </is>
      </c>
    </row>
    <row r="1058">
      <c r="A1058" s="2" t="inlineStr">
        <is>
          <t>Mythical Pokemon Collection Box [Meloetta]</t>
        </is>
      </c>
      <c r="B1058" s="3">
        <f>IF(I1058&lt;&gt;"",I1058,IF(J1058&lt;&gt;"",J1058,IF(K1058&lt;&gt;"",K1058,L1058)))</f>
        <v>414.99</v>
      </c>
      <c r="C1058" s="3">
        <f>MEDIAN(I1058:L1058)</f>
        <v>1200.0</v>
      </c>
      <c r="D1058" s="3">
        <f>ROUND(C1058*(1-Settings!$B$2),2)</f>
        <v>840.0</v>
      </c>
      <c r="E1058" s="3">
        <f>ROUND(C1058*(1-Settings!$B$3),2)</f>
        <v>840.0</v>
      </c>
      <c r="F1058" s="2" t="inlineStr">
        <is>
          <t>Pokemon</t>
        </is>
      </c>
      <c r="G1058" s="2" t="inlineStr">
        <is>
          <t>Coffret</t>
        </is>
      </c>
      <c r="H1058" s="2" t="inlineStr">
        <is>
          <t>Generations</t>
        </is>
      </c>
      <c r="I1058" s="3" t="n"/>
      <c r="J1058" s="3" t="n">
        <v>414.99</v>
      </c>
      <c r="K1058" s="3" t="n">
        <v>1200</v>
      </c>
      <c r="L1058" s="3" t="n">
        <v>1200</v>
      </c>
      <c r="M1058" s="2" t="inlineStr">
        <is>
          <t>TCGplayer</t>
        </is>
      </c>
      <c r="O1058" s="4" t="inlineStr">
        <is>
          <t>https://www.tcgplayer.com/product/126568</t>
        </is>
      </c>
    </row>
    <row r="1059">
      <c r="A1059" s="2" t="inlineStr">
        <is>
          <t>Mythical Pokemon Collection Box [Mew]</t>
        </is>
      </c>
      <c r="B1059" s="3">
        <f>IF(I1059&lt;&gt;"",I1059,IF(J1059&lt;&gt;"",J1059,IF(K1059&lt;&gt;"",K1059,L1059)))</f>
        <v>707.59</v>
      </c>
      <c r="C1059" s="3">
        <f>MEDIAN(I1059:L1059)</f>
        <v>799.0</v>
      </c>
      <c r="D1059" s="3">
        <f>ROUND(C1059*(1-Settings!$B$2),2)</f>
        <v>559.3</v>
      </c>
      <c r="E1059" s="3">
        <f>ROUND(C1059*(1-Settings!$B$3),2)</f>
        <v>559.3</v>
      </c>
      <c r="F1059" s="2" t="inlineStr">
        <is>
          <t>Pokemon</t>
        </is>
      </c>
      <c r="G1059" s="2" t="inlineStr">
        <is>
          <t>Coffret</t>
        </is>
      </c>
      <c r="H1059" s="2" t="inlineStr">
        <is>
          <t>Generations</t>
        </is>
      </c>
      <c r="I1059" s="3" t="n"/>
      <c r="J1059" s="3" t="n">
        <v>707.59</v>
      </c>
      <c r="K1059" s="3" t="n">
        <v>820.7</v>
      </c>
      <c r="L1059" s="3" t="n">
        <v>799</v>
      </c>
      <c r="M1059" s="2" t="inlineStr">
        <is>
          <t>TCGplayer</t>
        </is>
      </c>
      <c r="O1059" s="4" t="inlineStr">
        <is>
          <t>https://www.tcgplayer.com/product/113774</t>
        </is>
      </c>
    </row>
    <row r="1060">
      <c r="A1060" s="2" t="inlineStr">
        <is>
          <t>Mythical Pokemon Collection Box [Shaymin]</t>
        </is>
      </c>
      <c r="B1060" s="3">
        <f>IF(I1060&lt;&gt;"",I1060,IF(J1060&lt;&gt;"",J1060,IF(K1060&lt;&gt;"",K1060,L1060)))</f>
        <v>600.0</v>
      </c>
      <c r="C1060" s="3">
        <f>MEDIAN(I1060:L1060)</f>
        <v>720.0</v>
      </c>
      <c r="D1060" s="3">
        <f>ROUND(C1060*(1-Settings!$B$2),2)</f>
        <v>504.0</v>
      </c>
      <c r="E1060" s="3">
        <f>ROUND(C1060*(1-Settings!$B$3),2)</f>
        <v>504.0</v>
      </c>
      <c r="F1060" s="2" t="inlineStr">
        <is>
          <t>Pokemon</t>
        </is>
      </c>
      <c r="G1060" s="2" t="inlineStr">
        <is>
          <t>Coffret</t>
        </is>
      </c>
      <c r="H1060" s="2" t="inlineStr">
        <is>
          <t>Generations</t>
        </is>
      </c>
      <c r="I1060" s="3" t="n"/>
      <c r="J1060" s="3" t="n">
        <v>600</v>
      </c>
      <c r="K1060" s="3" t="n">
        <v>1110</v>
      </c>
      <c r="L1060" s="3" t="n">
        <v>720</v>
      </c>
      <c r="M1060" s="2" t="inlineStr">
        <is>
          <t>TCGplayer</t>
        </is>
      </c>
      <c r="O1060" s="4" t="inlineStr">
        <is>
          <t>https://www.tcgplayer.com/product/120114</t>
        </is>
      </c>
    </row>
    <row r="1061">
      <c r="A1061" s="2" t="inlineStr">
        <is>
          <t>Red &amp; Blue Collection [Blastoise EX]</t>
        </is>
      </c>
      <c r="B1061" s="3">
        <f>IF(I1061&lt;&gt;"",I1061,IF(J1061&lt;&gt;"",J1061,IF(K1061&lt;&gt;"",K1061,L1061)))</f>
        <v>1444.0</v>
      </c>
      <c r="C1061" s="3">
        <f>MEDIAN(I1061:L1061)</f>
        <v>731.995</v>
      </c>
      <c r="D1061" s="3">
        <f>ROUND(C1061*(1-Settings!$B$2),2)</f>
        <v>512.4</v>
      </c>
      <c r="E1061" s="3">
        <f>ROUND(C1061*(1-Settings!$B$3),2)</f>
        <v>512.4</v>
      </c>
      <c r="F1061" s="2" t="inlineStr">
        <is>
          <t>Pokemon</t>
        </is>
      </c>
      <c r="G1061" s="2" t="inlineStr">
        <is>
          <t>Coffret</t>
        </is>
      </c>
      <c r="H1061" s="2" t="inlineStr">
        <is>
          <t>Generations</t>
        </is>
      </c>
      <c r="I1061" s="3" t="n"/>
      <c r="J1061" s="3" t="n">
        <v>1444</v>
      </c>
      <c r="K1061" s="3" t="n"/>
      <c r="L1061" s="3" t="n">
        <v>19.99</v>
      </c>
      <c r="M1061" s="2" t="inlineStr">
        <is>
          <t>TCGplayer</t>
        </is>
      </c>
      <c r="O1061" s="4" t="inlineStr">
        <is>
          <t>https://www.tcgplayer.com/product/118795</t>
        </is>
      </c>
    </row>
    <row r="1062">
      <c r="A1062" s="2" t="inlineStr">
        <is>
          <t>Red &amp; Blue Collection [Charizard EX]</t>
        </is>
      </c>
      <c r="B1062" s="3">
        <f>IF(I1062&lt;&gt;"",I1062,IF(J1062&lt;&gt;"",J1062,IF(K1062&lt;&gt;"",K1062,L1062)))</f>
        <v>1050.85</v>
      </c>
      <c r="C1062" s="3">
        <f>MEDIAN(I1062:L1062)</f>
        <v>2150.0</v>
      </c>
      <c r="D1062" s="3">
        <f>ROUND(C1062*(1-Settings!$B$2),2)</f>
        <v>1505.0</v>
      </c>
      <c r="E1062" s="3">
        <f>ROUND(C1062*(1-Settings!$B$3),2)</f>
        <v>1505.0</v>
      </c>
      <c r="F1062" s="2" t="inlineStr">
        <is>
          <t>Pokemon</t>
        </is>
      </c>
      <c r="G1062" s="2" t="inlineStr">
        <is>
          <t>Coffret</t>
        </is>
      </c>
      <c r="H1062" s="2" t="inlineStr">
        <is>
          <t>Generations</t>
        </is>
      </c>
      <c r="I1062" s="3" t="n"/>
      <c r="J1062" s="3" t="n">
        <v>1050.85</v>
      </c>
      <c r="K1062" s="3" t="n">
        <v>2224.99</v>
      </c>
      <c r="L1062" s="3" t="n">
        <v>2150</v>
      </c>
      <c r="M1062" s="2" t="inlineStr">
        <is>
          <t>TCGplayer</t>
        </is>
      </c>
      <c r="O1062" s="4" t="inlineStr">
        <is>
          <t>https://www.tcgplayer.com/product/115598</t>
        </is>
      </c>
    </row>
    <row r="1063">
      <c r="A1063" s="2" t="inlineStr">
        <is>
          <t>Red &amp; Blue Collection [Pikachu EX]</t>
        </is>
      </c>
      <c r="B1063" s="3">
        <f>IF(I1063&lt;&gt;"",I1063,IF(J1063&lt;&gt;"",J1063,IF(K1063&lt;&gt;"",K1063,L1063)))</f>
        <v>2995.99</v>
      </c>
      <c r="C1063" s="3">
        <f>MEDIAN(I1063:L1063)</f>
        <v>3150.0</v>
      </c>
      <c r="D1063" s="3">
        <f>ROUND(C1063*(1-Settings!$B$2),2)</f>
        <v>2205.0</v>
      </c>
      <c r="E1063" s="3">
        <f>ROUND(C1063*(1-Settings!$B$3),2)</f>
        <v>2205.0</v>
      </c>
      <c r="F1063" s="2" t="inlineStr">
        <is>
          <t>Pokemon</t>
        </is>
      </c>
      <c r="G1063" s="2" t="inlineStr">
        <is>
          <t>Coffret</t>
        </is>
      </c>
      <c r="H1063" s="2" t="inlineStr">
        <is>
          <t>Generations</t>
        </is>
      </c>
      <c r="I1063" s="3" t="n"/>
      <c r="J1063" s="3" t="n">
        <v>2995.99</v>
      </c>
      <c r="K1063" s="3" t="n">
        <v>10000</v>
      </c>
      <c r="L1063" s="3" t="n">
        <v>3150</v>
      </c>
      <c r="M1063" s="2" t="inlineStr">
        <is>
          <t>TCGplayer</t>
        </is>
      </c>
      <c r="O1063" s="4" t="inlineStr">
        <is>
          <t>https://www.tcgplayer.com/product/123432</t>
        </is>
      </c>
    </row>
    <row r="1064">
      <c r="A1064" s="2" t="inlineStr">
        <is>
          <t>Red &amp; Blue Collection [Venusaur EX]</t>
        </is>
      </c>
      <c r="B1064" s="3">
        <f>IF(I1064&lt;&gt;"",I1064,IF(J1064&lt;&gt;"",J1064,IF(K1064&lt;&gt;"",K1064,L1064)))</f>
        <v>1999.99</v>
      </c>
      <c r="C1064" s="3">
        <f>MEDIAN(I1064:L1064)</f>
        <v>1999.99</v>
      </c>
      <c r="D1064" s="3">
        <f>ROUND(C1064*(1-Settings!$B$2),2)</f>
        <v>1399.99</v>
      </c>
      <c r="E1064" s="3">
        <f>ROUND(C1064*(1-Settings!$B$3),2)</f>
        <v>1399.99</v>
      </c>
      <c r="F1064" s="2" t="inlineStr">
        <is>
          <t>Pokemon</t>
        </is>
      </c>
      <c r="G1064" s="2" t="inlineStr">
        <is>
          <t>Coffret</t>
        </is>
      </c>
      <c r="H1064" s="2" t="inlineStr">
        <is>
          <t>Generations</t>
        </is>
      </c>
      <c r="I1064" s="3" t="n"/>
      <c r="J1064" s="3" t="n"/>
      <c r="K1064" s="3" t="n">
        <v>1999.99</v>
      </c>
      <c r="L1064" s="3" t="n">
        <v>1999.99</v>
      </c>
      <c r="M1064" s="2" t="inlineStr">
        <is>
          <t>TCGplayer</t>
        </is>
      </c>
      <c r="O1064" s="4" t="inlineStr">
        <is>
          <t>https://www.tcgplayer.com/product/120700</t>
        </is>
      </c>
    </row>
    <row r="1065">
      <c r="A1065" s="2" t="inlineStr">
        <is>
          <t>Super-Premium Collection [Mew &amp; Mewtwo]</t>
        </is>
      </c>
      <c r="B1065" s="3">
        <f>IF(I1065&lt;&gt;"",I1065,IF(J1065&lt;&gt;"",J1065,IF(K1065&lt;&gt;"",K1065,L1065)))</f>
        <v>4697.97</v>
      </c>
      <c r="C1065" s="3">
        <f>MEDIAN(I1065:L1065)</f>
        <v>4697.97</v>
      </c>
      <c r="D1065" s="3">
        <f>ROUND(C1065*(1-Settings!$B$2),2)</f>
        <v>3288.58</v>
      </c>
      <c r="E1065" s="3">
        <f>ROUND(C1065*(1-Settings!$B$3),2)</f>
        <v>3288.58</v>
      </c>
      <c r="F1065" s="2" t="inlineStr">
        <is>
          <t>Pokemon</t>
        </is>
      </c>
      <c r="G1065" s="2" t="inlineStr">
        <is>
          <t>Coffret</t>
        </is>
      </c>
      <c r="H1065" s="2" t="inlineStr">
        <is>
          <t>Generations</t>
        </is>
      </c>
      <c r="I1065" s="3" t="n"/>
      <c r="J1065" s="3" t="n">
        <v>4697.97</v>
      </c>
      <c r="K1065" s="3" t="n">
        <v>6989.99</v>
      </c>
      <c r="L1065" s="3" t="n">
        <v>350</v>
      </c>
      <c r="M1065" s="2" t="inlineStr">
        <is>
          <t>TCGplayer</t>
        </is>
      </c>
      <c r="O1065" s="4" t="inlineStr">
        <is>
          <t>https://www.tcgplayer.com/product/147223</t>
        </is>
      </c>
    </row>
    <row r="1066">
      <c r="A1066" s="2" t="inlineStr">
        <is>
          <t>Go Alolan Exeggutor V Collection Box</t>
        </is>
      </c>
      <c r="B1066" s="3">
        <f>IF(I1066&lt;&gt;"",I1066,IF(J1066&lt;&gt;"",J1066,IF(K1066&lt;&gt;"",K1066,L1066)))</f>
        <v>54.99</v>
      </c>
      <c r="C1066" s="3">
        <f>MEDIAN(I1066:L1066)</f>
        <v>54.99</v>
      </c>
      <c r="D1066" s="3">
        <f>ROUND(C1066*(1-Settings!$B$2),2)</f>
        <v>38.49</v>
      </c>
      <c r="E1066" s="3">
        <f>ROUND(C1066*(1-Settings!$B$3),2)</f>
        <v>38.49</v>
      </c>
      <c r="F1066" s="2" t="inlineStr">
        <is>
          <t>Pokemon</t>
        </is>
      </c>
      <c r="G1066" s="2" t="inlineStr">
        <is>
          <t>Coffret</t>
        </is>
      </c>
      <c r="H1066" s="2" t="inlineStr">
        <is>
          <t>Go</t>
        </is>
      </c>
      <c r="I1066" s="3" t="n">
        <v>54.99</v>
      </c>
      <c r="J1066" s="3" t="n"/>
      <c r="K1066" s="3" t="n"/>
      <c r="L1066" s="3" t="n"/>
      <c r="M1066" s="2" t="inlineStr">
        <is>
          <t>PriceCharting</t>
        </is>
      </c>
      <c r="N1066" s="4" t="inlineStr">
        <is>
          <t>https://www.pricecharting.com/game/pokemon-go/alolan-exeggutor-v-collection-box</t>
        </is>
      </c>
    </row>
    <row r="1067">
      <c r="A1067" s="2" t="inlineStr">
        <is>
          <t>Go Blissey Tin</t>
        </is>
      </c>
      <c r="B1067" s="3">
        <f>IF(I1067&lt;&gt;"",I1067,IF(J1067&lt;&gt;"",J1067,IF(K1067&lt;&gt;"",K1067,L1067)))</f>
        <v>46.43</v>
      </c>
      <c r="C1067" s="3">
        <f>MEDIAN(I1067:L1067)</f>
        <v>46.43</v>
      </c>
      <c r="D1067" s="3">
        <f>ROUND(C1067*(1-Settings!$B$2),2)</f>
        <v>32.5</v>
      </c>
      <c r="E1067" s="3">
        <f>ROUND(C1067*(1-Settings!$B$3),2)</f>
        <v>32.5</v>
      </c>
      <c r="F1067" s="2" t="inlineStr">
        <is>
          <t>Pokemon</t>
        </is>
      </c>
      <c r="G1067" s="2" t="inlineStr">
        <is>
          <t>Coffret</t>
        </is>
      </c>
      <c r="H1067" s="2" t="inlineStr">
        <is>
          <t>Go</t>
        </is>
      </c>
      <c r="I1067" s="3" t="n">
        <v>46.43</v>
      </c>
      <c r="J1067" s="3" t="n"/>
      <c r="K1067" s="3" t="n"/>
      <c r="L1067" s="3" t="n"/>
      <c r="M1067" s="2" t="inlineStr">
        <is>
          <t>PriceCharting</t>
        </is>
      </c>
      <c r="N1067" s="4" t="inlineStr">
        <is>
          <t>https://www.pricecharting.com/game/pokemon-go/blissey-tin</t>
        </is>
      </c>
    </row>
    <row r="1068">
      <c r="A1068" s="2" t="inlineStr">
        <is>
          <t>Go Bulbasaur Pin Collection</t>
        </is>
      </c>
      <c r="B1068" s="3">
        <f>IF(I1068&lt;&gt;"",I1068,IF(J1068&lt;&gt;"",J1068,IF(K1068&lt;&gt;"",K1068,L1068)))</f>
        <v>52.53</v>
      </c>
      <c r="C1068" s="3">
        <f>MEDIAN(I1068:L1068)</f>
        <v>52.53</v>
      </c>
      <c r="D1068" s="3">
        <f>ROUND(C1068*(1-Settings!$B$2),2)</f>
        <v>36.77</v>
      </c>
      <c r="E1068" s="3">
        <f>ROUND(C1068*(1-Settings!$B$3),2)</f>
        <v>36.77</v>
      </c>
      <c r="F1068" s="2" t="inlineStr">
        <is>
          <t>Pokemon</t>
        </is>
      </c>
      <c r="G1068" s="2" t="inlineStr">
        <is>
          <t>Coffret</t>
        </is>
      </c>
      <c r="H1068" s="2" t="inlineStr">
        <is>
          <t>Go</t>
        </is>
      </c>
      <c r="I1068" s="3" t="n">
        <v>52.53</v>
      </c>
      <c r="J1068" s="3" t="n"/>
      <c r="K1068" s="3" t="n"/>
      <c r="L1068" s="3" t="n"/>
      <c r="M1068" s="2" t="inlineStr">
        <is>
          <t>PriceCharting</t>
        </is>
      </c>
      <c r="N1068" s="4" t="inlineStr">
        <is>
          <t>https://www.pricecharting.com/game/pokemon-go/bulbasaur-pin-collection</t>
        </is>
      </c>
    </row>
    <row r="1069">
      <c r="A1069" s="2" t="inlineStr">
        <is>
          <t>Go Charmander Pin Collection</t>
        </is>
      </c>
      <c r="B1069" s="3">
        <f>IF(I1069&lt;&gt;"",I1069,IF(J1069&lt;&gt;"",J1069,IF(K1069&lt;&gt;"",K1069,L1069)))</f>
        <v>65.53</v>
      </c>
      <c r="C1069" s="3">
        <f>MEDIAN(I1069:L1069)</f>
        <v>65.53</v>
      </c>
      <c r="D1069" s="3">
        <f>ROUND(C1069*(1-Settings!$B$2),2)</f>
        <v>45.87</v>
      </c>
      <c r="E1069" s="3">
        <f>ROUND(C1069*(1-Settings!$B$3),2)</f>
        <v>45.87</v>
      </c>
      <c r="F1069" s="2" t="inlineStr">
        <is>
          <t>Pokemon</t>
        </is>
      </c>
      <c r="G1069" s="2" t="inlineStr">
        <is>
          <t>Coffret</t>
        </is>
      </c>
      <c r="H1069" s="2" t="inlineStr">
        <is>
          <t>Go</t>
        </is>
      </c>
      <c r="I1069" s="3" t="n">
        <v>65.53</v>
      </c>
      <c r="J1069" s="3" t="n"/>
      <c r="K1069" s="3" t="n"/>
      <c r="L1069" s="3" t="n"/>
      <c r="M1069" s="2" t="inlineStr">
        <is>
          <t>PriceCharting</t>
        </is>
      </c>
      <c r="N1069" s="4" t="inlineStr">
        <is>
          <t>https://www.pricecharting.com/game/pokemon-go/charmander-pin-collection</t>
        </is>
      </c>
    </row>
    <row r="1070">
      <c r="A1070" s="2" t="inlineStr">
        <is>
          <t>Go Eevee TIn</t>
        </is>
      </c>
      <c r="B1070" s="3">
        <f>IF(I1070&lt;&gt;"",I1070,IF(J1070&lt;&gt;"",J1070,IF(K1070&lt;&gt;"",K1070,L1070)))</f>
        <v>29.71</v>
      </c>
      <c r="C1070" s="3">
        <f>MEDIAN(I1070:L1070)</f>
        <v>29.71</v>
      </c>
      <c r="D1070" s="3">
        <f>ROUND(C1070*(1-Settings!$B$2),2)</f>
        <v>20.8</v>
      </c>
      <c r="E1070" s="3">
        <f>ROUND(C1070*(1-Settings!$B$3),2)</f>
        <v>20.8</v>
      </c>
      <c r="F1070" s="2" t="inlineStr">
        <is>
          <t>Pokemon</t>
        </is>
      </c>
      <c r="G1070" s="2" t="inlineStr">
        <is>
          <t>Coffret</t>
        </is>
      </c>
      <c r="H1070" s="2" t="inlineStr">
        <is>
          <t>Go</t>
        </is>
      </c>
      <c r="I1070" s="3" t="n">
        <v>29.71</v>
      </c>
      <c r="J1070" s="3" t="n"/>
      <c r="K1070" s="3" t="n"/>
      <c r="L1070" s="3" t="n"/>
      <c r="M1070" s="2" t="inlineStr">
        <is>
          <t>PriceCharting</t>
        </is>
      </c>
      <c r="N1070" s="4" t="inlineStr">
        <is>
          <t>https://www.pricecharting.com/game/pokemon-go/eevee-tin</t>
        </is>
      </c>
    </row>
    <row r="1071">
      <c r="A1071" s="2" t="inlineStr">
        <is>
          <t>Go Elite Trainer Box</t>
        </is>
      </c>
      <c r="B1071" s="3">
        <f>IF(I1071&lt;&gt;"",I1071,IF(J1071&lt;&gt;"",J1071,IF(K1071&lt;&gt;"",K1071,L1071)))</f>
        <v>164.78</v>
      </c>
      <c r="C1071" s="3">
        <f>MEDIAN(I1071:L1071)</f>
        <v>164.78</v>
      </c>
      <c r="D1071" s="3">
        <f>ROUND(C1071*(1-Settings!$B$2),2)</f>
        <v>115.35</v>
      </c>
      <c r="E1071" s="3">
        <f>ROUND(C1071*(1-Settings!$B$3),2)</f>
        <v>115.35</v>
      </c>
      <c r="F1071" s="2" t="inlineStr">
        <is>
          <t>Pokemon</t>
        </is>
      </c>
      <c r="G1071" s="2" t="inlineStr">
        <is>
          <t>Coffret</t>
        </is>
      </c>
      <c r="H1071" s="2" t="inlineStr">
        <is>
          <t>Go</t>
        </is>
      </c>
      <c r="I1071" s="3" t="n">
        <v>164.78</v>
      </c>
      <c r="J1071" s="3" t="n"/>
      <c r="K1071" s="3" t="n"/>
      <c r="L1071" s="3" t="n"/>
      <c r="M1071" s="2" t="inlineStr">
        <is>
          <t>PriceCharting</t>
        </is>
      </c>
      <c r="N1071" s="4" t="inlineStr">
        <is>
          <t>https://www.pricecharting.com/game/pokemon-go/elite-trainer-box</t>
        </is>
      </c>
    </row>
    <row r="1072">
      <c r="A1072" s="2" t="inlineStr">
        <is>
          <t>Go Elite Trainer Box Plus [Pokemon Center]</t>
        </is>
      </c>
      <c r="B1072" s="3">
        <f>IF(I1072&lt;&gt;"",I1072,IF(J1072&lt;&gt;"",J1072,IF(K1072&lt;&gt;"",K1072,L1072)))</f>
        <v>232.48</v>
      </c>
      <c r="C1072" s="3">
        <f>MEDIAN(I1072:L1072)</f>
        <v>232.48</v>
      </c>
      <c r="D1072" s="3">
        <f>ROUND(C1072*(1-Settings!$B$2),2)</f>
        <v>162.74</v>
      </c>
      <c r="E1072" s="3">
        <f>ROUND(C1072*(1-Settings!$B$3),2)</f>
        <v>162.74</v>
      </c>
      <c r="F1072" s="2" t="inlineStr">
        <is>
          <t>Pokemon</t>
        </is>
      </c>
      <c r="G1072" s="2" t="inlineStr">
        <is>
          <t>Coffret</t>
        </is>
      </c>
      <c r="H1072" s="2" t="inlineStr">
        <is>
          <t>Go</t>
        </is>
      </c>
      <c r="I1072" s="3" t="n">
        <v>232.48</v>
      </c>
      <c r="J1072" s="3" t="n"/>
      <c r="K1072" s="3" t="n"/>
      <c r="L1072" s="3" t="n"/>
      <c r="M1072" s="2" t="inlineStr">
        <is>
          <t>PriceCharting</t>
        </is>
      </c>
      <c r="N1072" s="4" t="inlineStr">
        <is>
          <t>https://www.pricecharting.com/game/pokemon-go/elite-trainer-box-plus-pokemon-center</t>
        </is>
      </c>
    </row>
    <row r="1073">
      <c r="A1073" s="2" t="inlineStr">
        <is>
          <t>Go Magikarp TIn</t>
        </is>
      </c>
      <c r="B1073" s="3">
        <f>IF(I1073&lt;&gt;"",I1073,IF(J1073&lt;&gt;"",J1073,IF(K1073&lt;&gt;"",K1073,L1073)))</f>
        <v>37.99</v>
      </c>
      <c r="C1073" s="3">
        <f>MEDIAN(I1073:L1073)</f>
        <v>37.99</v>
      </c>
      <c r="D1073" s="3">
        <f>ROUND(C1073*(1-Settings!$B$2),2)</f>
        <v>26.59</v>
      </c>
      <c r="E1073" s="3">
        <f>ROUND(C1073*(1-Settings!$B$3),2)</f>
        <v>26.59</v>
      </c>
      <c r="F1073" s="2" t="inlineStr">
        <is>
          <t>Pokemon</t>
        </is>
      </c>
      <c r="G1073" s="2" t="inlineStr">
        <is>
          <t>Coffret</t>
        </is>
      </c>
      <c r="H1073" s="2" t="inlineStr">
        <is>
          <t>Go</t>
        </is>
      </c>
      <c r="I1073" s="3" t="n">
        <v>37.99</v>
      </c>
      <c r="J1073" s="3" t="n"/>
      <c r="K1073" s="3" t="n"/>
      <c r="L1073" s="3" t="n"/>
      <c r="M1073" s="2" t="inlineStr">
        <is>
          <t>PriceCharting</t>
        </is>
      </c>
      <c r="N1073" s="4" t="inlineStr">
        <is>
          <t>https://www.pricecharting.com/game/pokemon-go/magikarp-tin</t>
        </is>
      </c>
    </row>
    <row r="1074">
      <c r="A1074" s="2" t="inlineStr">
        <is>
          <t>Go Mini Tin [Pikachu]</t>
        </is>
      </c>
      <c r="B1074" s="3">
        <f>IF(I1074&lt;&gt;"",I1074,IF(J1074&lt;&gt;"",J1074,IF(K1074&lt;&gt;"",K1074,L1074)))</f>
        <v>28.43</v>
      </c>
      <c r="C1074" s="3">
        <f>MEDIAN(I1074:L1074)</f>
        <v>28.43</v>
      </c>
      <c r="D1074" s="3">
        <f>ROUND(C1074*(1-Settings!$B$2),2)</f>
        <v>19.9</v>
      </c>
      <c r="E1074" s="3">
        <f>ROUND(C1074*(1-Settings!$B$3),2)</f>
        <v>19.9</v>
      </c>
      <c r="F1074" s="2" t="inlineStr">
        <is>
          <t>Pokemon</t>
        </is>
      </c>
      <c r="G1074" s="2" t="inlineStr">
        <is>
          <t>Coffret</t>
        </is>
      </c>
      <c r="H1074" s="2" t="inlineStr">
        <is>
          <t>Go</t>
        </is>
      </c>
      <c r="I1074" s="3" t="n">
        <v>28.43</v>
      </c>
      <c r="J1074" s="3" t="n"/>
      <c r="K1074" s="3" t="n"/>
      <c r="L1074" s="3" t="n"/>
      <c r="M1074" s="2" t="inlineStr">
        <is>
          <t>PriceCharting</t>
        </is>
      </c>
      <c r="N1074" s="4" t="inlineStr">
        <is>
          <t>https://www.pricecharting.com/game/pokemon-go/mini-tin-pikachu</t>
        </is>
      </c>
    </row>
    <row r="1075">
      <c r="A1075" s="2" t="inlineStr">
        <is>
          <t>Go Pikachu Tin</t>
        </is>
      </c>
      <c r="B1075" s="3">
        <f>IF(I1075&lt;&gt;"",I1075,IF(J1075&lt;&gt;"",J1075,IF(K1075&lt;&gt;"",K1075,L1075)))</f>
        <v>60.85</v>
      </c>
      <c r="C1075" s="3">
        <f>MEDIAN(I1075:L1075)</f>
        <v>60.85</v>
      </c>
      <c r="D1075" s="3">
        <f>ROUND(C1075*(1-Settings!$B$2),2)</f>
        <v>42.6</v>
      </c>
      <c r="E1075" s="3">
        <f>ROUND(C1075*(1-Settings!$B$3),2)</f>
        <v>42.6</v>
      </c>
      <c r="F1075" s="2" t="inlineStr">
        <is>
          <t>Pokemon</t>
        </is>
      </c>
      <c r="G1075" s="2" t="inlineStr">
        <is>
          <t>Coffret</t>
        </is>
      </c>
      <c r="H1075" s="2" t="inlineStr">
        <is>
          <t>Go</t>
        </is>
      </c>
      <c r="I1075" s="3" t="n">
        <v>60.85</v>
      </c>
      <c r="J1075" s="3" t="n"/>
      <c r="K1075" s="3" t="n"/>
      <c r="L1075" s="3" t="n"/>
      <c r="M1075" s="2" t="inlineStr">
        <is>
          <t>PriceCharting</t>
        </is>
      </c>
      <c r="N1075" s="4" t="inlineStr">
        <is>
          <t>https://www.pricecharting.com/game/pokemon-go/pikachu-tin</t>
        </is>
      </c>
    </row>
    <row r="1076">
      <c r="A1076" s="2" t="inlineStr">
        <is>
          <t>Go Poke Ball Tin</t>
        </is>
      </c>
      <c r="B1076" s="3">
        <f>IF(I1076&lt;&gt;"",I1076,IF(J1076&lt;&gt;"",J1076,IF(K1076&lt;&gt;"",K1076,L1076)))</f>
        <v>39.99</v>
      </c>
      <c r="C1076" s="3">
        <f>MEDIAN(I1076:L1076)</f>
        <v>39.99</v>
      </c>
      <c r="D1076" s="3">
        <f>ROUND(C1076*(1-Settings!$B$2),2)</f>
        <v>27.99</v>
      </c>
      <c r="E1076" s="3">
        <f>ROUND(C1076*(1-Settings!$B$3),2)</f>
        <v>27.99</v>
      </c>
      <c r="F1076" s="2" t="inlineStr">
        <is>
          <t>Pokemon</t>
        </is>
      </c>
      <c r="G1076" s="2" t="inlineStr">
        <is>
          <t>Coffret</t>
        </is>
      </c>
      <c r="H1076" s="2" t="inlineStr">
        <is>
          <t>Go</t>
        </is>
      </c>
      <c r="I1076" s="3" t="n">
        <v>39.99</v>
      </c>
      <c r="J1076" s="3" t="n"/>
      <c r="K1076" s="3" t="n"/>
      <c r="L1076" s="3" t="n"/>
      <c r="M1076" s="2" t="inlineStr">
        <is>
          <t>PriceCharting</t>
        </is>
      </c>
      <c r="N1076" s="4" t="inlineStr">
        <is>
          <t>https://www.pricecharting.com/game/pokemon-go/poke-ball-tin</t>
        </is>
      </c>
    </row>
    <row r="1077">
      <c r="A1077" s="2" t="inlineStr">
        <is>
          <t>Go Poke Ball Tin [Ultra Ball]</t>
        </is>
      </c>
      <c r="B1077" s="3">
        <f>IF(I1077&lt;&gt;"",I1077,IF(J1077&lt;&gt;"",J1077,IF(K1077&lt;&gt;"",K1077,L1077)))</f>
        <v>25.52</v>
      </c>
      <c r="C1077" s="3">
        <f>MEDIAN(I1077:L1077)</f>
        <v>25.52</v>
      </c>
      <c r="D1077" s="3">
        <f>ROUND(C1077*(1-Settings!$B$2),2)</f>
        <v>17.86</v>
      </c>
      <c r="E1077" s="3">
        <f>ROUND(C1077*(1-Settings!$B$3),2)</f>
        <v>17.86</v>
      </c>
      <c r="F1077" s="2" t="inlineStr">
        <is>
          <t>Pokemon</t>
        </is>
      </c>
      <c r="G1077" s="2" t="inlineStr">
        <is>
          <t>Coffret</t>
        </is>
      </c>
      <c r="H1077" s="2" t="inlineStr">
        <is>
          <t>Go</t>
        </is>
      </c>
      <c r="I1077" s="3" t="n">
        <v>25.52</v>
      </c>
      <c r="J1077" s="3" t="n"/>
      <c r="K1077" s="3" t="n"/>
      <c r="L1077" s="3" t="n"/>
      <c r="M1077" s="2" t="inlineStr">
        <is>
          <t>PriceCharting</t>
        </is>
      </c>
      <c r="N1077" s="4" t="inlineStr">
        <is>
          <t>https://www.pricecharting.com/game/pokemon-go/poke-ball-tin-ultra-ball</t>
        </is>
      </c>
    </row>
    <row r="1078">
      <c r="A1078" s="2" t="inlineStr">
        <is>
          <t>Go Radiant Eevee Premium Collection Box</t>
        </is>
      </c>
      <c r="B1078" s="3">
        <f>IF(I1078&lt;&gt;"",I1078,IF(J1078&lt;&gt;"",J1078,IF(K1078&lt;&gt;"",K1078,L1078)))</f>
        <v>131.69</v>
      </c>
      <c r="C1078" s="3">
        <f>MEDIAN(I1078:L1078)</f>
        <v>131.69</v>
      </c>
      <c r="D1078" s="3">
        <f>ROUND(C1078*(1-Settings!$B$2),2)</f>
        <v>92.18</v>
      </c>
      <c r="E1078" s="3">
        <f>ROUND(C1078*(1-Settings!$B$3),2)</f>
        <v>92.18</v>
      </c>
      <c r="F1078" s="2" t="inlineStr">
        <is>
          <t>Pokemon</t>
        </is>
      </c>
      <c r="G1078" s="2" t="inlineStr">
        <is>
          <t>Coffret</t>
        </is>
      </c>
      <c r="H1078" s="2" t="inlineStr">
        <is>
          <t>Go</t>
        </is>
      </c>
      <c r="I1078" s="3" t="n">
        <v>131.69</v>
      </c>
      <c r="J1078" s="3" t="n"/>
      <c r="K1078" s="3" t="n"/>
      <c r="L1078" s="3" t="n"/>
      <c r="M1078" s="2" t="inlineStr">
        <is>
          <t>PriceCharting</t>
        </is>
      </c>
      <c r="N1078" s="4" t="inlineStr">
        <is>
          <t>https://www.pricecharting.com/game/pokemon-go/radiant-eevee-premium-collection-box</t>
        </is>
      </c>
    </row>
    <row r="1079">
      <c r="A1079" s="2" t="inlineStr">
        <is>
          <t>Go Snorlax Tin</t>
        </is>
      </c>
      <c r="B1079" s="3">
        <f>IF(I1079&lt;&gt;"",I1079,IF(J1079&lt;&gt;"",J1079,IF(K1079&lt;&gt;"",K1079,L1079)))</f>
        <v>56.5</v>
      </c>
      <c r="C1079" s="3">
        <f>MEDIAN(I1079:L1079)</f>
        <v>56.5</v>
      </c>
      <c r="D1079" s="3">
        <f>ROUND(C1079*(1-Settings!$B$2),2)</f>
        <v>39.55</v>
      </c>
      <c r="E1079" s="3">
        <f>ROUND(C1079*(1-Settings!$B$3),2)</f>
        <v>39.55</v>
      </c>
      <c r="F1079" s="2" t="inlineStr">
        <is>
          <t>Pokemon</t>
        </is>
      </c>
      <c r="G1079" s="2" t="inlineStr">
        <is>
          <t>Coffret</t>
        </is>
      </c>
      <c r="H1079" s="2" t="inlineStr">
        <is>
          <t>Go</t>
        </is>
      </c>
      <c r="I1079" s="3" t="n">
        <v>56.5</v>
      </c>
      <c r="J1079" s="3" t="n"/>
      <c r="K1079" s="3" t="n"/>
      <c r="L1079" s="3" t="n"/>
      <c r="M1079" s="2" t="inlineStr">
        <is>
          <t>PriceCharting</t>
        </is>
      </c>
      <c r="N1079" s="4" t="inlineStr">
        <is>
          <t>https://www.pricecharting.com/game/pokemon-go/snorlax-tin</t>
        </is>
      </c>
    </row>
    <row r="1080">
      <c r="A1080" s="2" t="inlineStr">
        <is>
          <t>Go Squirtle Pin Collection</t>
        </is>
      </c>
      <c r="B1080" s="3">
        <f>IF(I1080&lt;&gt;"",I1080,IF(J1080&lt;&gt;"",J1080,IF(K1080&lt;&gt;"",K1080,L1080)))</f>
        <v>53.0</v>
      </c>
      <c r="C1080" s="3">
        <f>MEDIAN(I1080:L1080)</f>
        <v>53.0</v>
      </c>
      <c r="D1080" s="3">
        <f>ROUND(C1080*(1-Settings!$B$2),2)</f>
        <v>37.1</v>
      </c>
      <c r="E1080" s="3">
        <f>ROUND(C1080*(1-Settings!$B$3),2)</f>
        <v>37.1</v>
      </c>
      <c r="F1080" s="2" t="inlineStr">
        <is>
          <t>Pokemon</t>
        </is>
      </c>
      <c r="G1080" s="2" t="inlineStr">
        <is>
          <t>Coffret</t>
        </is>
      </c>
      <c r="H1080" s="2" t="inlineStr">
        <is>
          <t>Go</t>
        </is>
      </c>
      <c r="I1080" s="3" t="n">
        <v>53</v>
      </c>
      <c r="J1080" s="3" t="n"/>
      <c r="K1080" s="3" t="n"/>
      <c r="L1080" s="3" t="n"/>
      <c r="M1080" s="2" t="inlineStr">
        <is>
          <t>PriceCharting</t>
        </is>
      </c>
      <c r="N1080" s="4" t="inlineStr">
        <is>
          <t>https://www.pricecharting.com/game/pokemon-go/squirtle-pin-collection</t>
        </is>
      </c>
    </row>
    <row r="1081">
      <c r="A1081" s="2" t="inlineStr">
        <is>
          <t>Go Team Instinct Special Collection Box</t>
        </is>
      </c>
      <c r="B1081" s="3">
        <f>IF(I1081&lt;&gt;"",I1081,IF(J1081&lt;&gt;"",J1081,IF(K1081&lt;&gt;"",K1081,L1081)))</f>
        <v>117.58</v>
      </c>
      <c r="C1081" s="3">
        <f>MEDIAN(I1081:L1081)</f>
        <v>117.58</v>
      </c>
      <c r="D1081" s="3">
        <f>ROUND(C1081*(1-Settings!$B$2),2)</f>
        <v>82.31</v>
      </c>
      <c r="E1081" s="3">
        <f>ROUND(C1081*(1-Settings!$B$3),2)</f>
        <v>82.31</v>
      </c>
      <c r="F1081" s="2" t="inlineStr">
        <is>
          <t>Pokemon</t>
        </is>
      </c>
      <c r="G1081" s="2" t="inlineStr">
        <is>
          <t>Coffret</t>
        </is>
      </c>
      <c r="H1081" s="2" t="inlineStr">
        <is>
          <t>Go</t>
        </is>
      </c>
      <c r="I1081" s="3" t="n">
        <v>117.58</v>
      </c>
      <c r="J1081" s="3" t="n"/>
      <c r="K1081" s="3" t="n"/>
      <c r="L1081" s="3" t="n"/>
      <c r="M1081" s="2" t="inlineStr">
        <is>
          <t>PriceCharting</t>
        </is>
      </c>
      <c r="N1081" s="4" t="inlineStr">
        <is>
          <t>https://www.pricecharting.com/game/pokemon-go/team-instinct-special-collection-box</t>
        </is>
      </c>
    </row>
    <row r="1082">
      <c r="A1082" s="2" t="inlineStr">
        <is>
          <t>Go Team Mystic Special Collection Box</t>
        </is>
      </c>
      <c r="B1082" s="3">
        <f>IF(I1082&lt;&gt;"",I1082,IF(J1082&lt;&gt;"",J1082,IF(K1082&lt;&gt;"",K1082,L1082)))</f>
        <v>103.75</v>
      </c>
      <c r="C1082" s="3">
        <f>MEDIAN(I1082:L1082)</f>
        <v>103.75</v>
      </c>
      <c r="D1082" s="3">
        <f>ROUND(C1082*(1-Settings!$B$2),2)</f>
        <v>72.63</v>
      </c>
      <c r="E1082" s="3">
        <f>ROUND(C1082*(1-Settings!$B$3),2)</f>
        <v>72.63</v>
      </c>
      <c r="F1082" s="2" t="inlineStr">
        <is>
          <t>Pokemon</t>
        </is>
      </c>
      <c r="G1082" s="2" t="inlineStr">
        <is>
          <t>Coffret</t>
        </is>
      </c>
      <c r="H1082" s="2" t="inlineStr">
        <is>
          <t>Go</t>
        </is>
      </c>
      <c r="I1082" s="3" t="n">
        <v>103.75</v>
      </c>
      <c r="J1082" s="3" t="n"/>
      <c r="K1082" s="3" t="n"/>
      <c r="L1082" s="3" t="n"/>
      <c r="M1082" s="2" t="inlineStr">
        <is>
          <t>PriceCharting</t>
        </is>
      </c>
      <c r="N1082" s="4" t="inlineStr">
        <is>
          <t>https://www.pricecharting.com/game/pokemon-go/team-mystic-special-collection-box</t>
        </is>
      </c>
    </row>
    <row r="1083">
      <c r="A1083" s="2" t="inlineStr">
        <is>
          <t>Go Team Valor Special Collection Box</t>
        </is>
      </c>
      <c r="B1083" s="3">
        <f>IF(I1083&lt;&gt;"",I1083,IF(J1083&lt;&gt;"",J1083,IF(K1083&lt;&gt;"",K1083,L1083)))</f>
        <v>64.42</v>
      </c>
      <c r="C1083" s="3">
        <f>MEDIAN(I1083:L1083)</f>
        <v>64.42</v>
      </c>
      <c r="D1083" s="3">
        <f>ROUND(C1083*(1-Settings!$B$2),2)</f>
        <v>45.09</v>
      </c>
      <c r="E1083" s="3">
        <f>ROUND(C1083*(1-Settings!$B$3),2)</f>
        <v>45.09</v>
      </c>
      <c r="F1083" s="2" t="inlineStr">
        <is>
          <t>Pokemon</t>
        </is>
      </c>
      <c r="G1083" s="2" t="inlineStr">
        <is>
          <t>Coffret</t>
        </is>
      </c>
      <c r="H1083" s="2" t="inlineStr">
        <is>
          <t>Go</t>
        </is>
      </c>
      <c r="I1083" s="3" t="n">
        <v>64.42</v>
      </c>
      <c r="J1083" s="3" t="n"/>
      <c r="K1083" s="3" t="n"/>
      <c r="L1083" s="3" t="n"/>
      <c r="M1083" s="2" t="inlineStr">
        <is>
          <t>PriceCharting</t>
        </is>
      </c>
      <c r="N1083" s="4" t="inlineStr">
        <is>
          <t>https://www.pricecharting.com/game/pokemon-go/team-valor-special-collection-box</t>
        </is>
      </c>
    </row>
    <row r="1084">
      <c r="A1084" s="2" t="inlineStr">
        <is>
          <t>Go V Battle Deck Bundle [Mewtwo Vs. Melmetal]</t>
        </is>
      </c>
      <c r="B1084" s="3">
        <f>IF(I1084&lt;&gt;"",I1084,IF(J1084&lt;&gt;"",J1084,IF(K1084&lt;&gt;"",K1084,L1084)))</f>
        <v>44.18</v>
      </c>
      <c r="C1084" s="3">
        <f>MEDIAN(I1084:L1084)</f>
        <v>44.18</v>
      </c>
      <c r="D1084" s="3">
        <f>ROUND(C1084*(1-Settings!$B$2),2)</f>
        <v>30.93</v>
      </c>
      <c r="E1084" s="3">
        <f>ROUND(C1084*(1-Settings!$B$3),2)</f>
        <v>30.93</v>
      </c>
      <c r="F1084" s="2" t="inlineStr">
        <is>
          <t>Pokemon</t>
        </is>
      </c>
      <c r="G1084" s="2" t="inlineStr">
        <is>
          <t>Coffret</t>
        </is>
      </c>
      <c r="H1084" s="2" t="inlineStr">
        <is>
          <t>Go</t>
        </is>
      </c>
      <c r="I1084" s="3" t="n">
        <v>44.18</v>
      </c>
      <c r="J1084" s="3" t="n"/>
      <c r="K1084" s="3" t="n"/>
      <c r="L1084" s="3" t="n"/>
      <c r="M1084" s="2" t="inlineStr">
        <is>
          <t>PriceCharting</t>
        </is>
      </c>
      <c r="N1084" s="4" t="inlineStr">
        <is>
          <t>https://www.pricecharting.com/game/pokemon-go/v-battle-deck-bundle-mewtwo-vs-melmetal</t>
        </is>
      </c>
    </row>
    <row r="1085">
      <c r="A1085" s="2" t="inlineStr">
        <is>
          <t>Hidden Fates Booster Pack Art Bundle [Set of 4]</t>
        </is>
      </c>
      <c r="B1085" s="3">
        <f>IF(I1085&lt;&gt;"",I1085,IF(J1085&lt;&gt;"",J1085,IF(K1085&lt;&gt;"",K1085,L1085)))</f>
        <v>179.37</v>
      </c>
      <c r="C1085" s="3">
        <f>MEDIAN(I1085:L1085)</f>
        <v>188.49</v>
      </c>
      <c r="D1085" s="3">
        <f>ROUND(C1085*(1-Settings!$B$2),2)</f>
        <v>131.94</v>
      </c>
      <c r="E1085" s="3">
        <f>ROUND(C1085*(1-Settings!$B$3),2)</f>
        <v>131.94</v>
      </c>
      <c r="F1085" s="2" t="inlineStr">
        <is>
          <t>Pokemon</t>
        </is>
      </c>
      <c r="G1085" s="2" t="inlineStr">
        <is>
          <t>Coffret</t>
        </is>
      </c>
      <c r="H1085" s="2" t="inlineStr">
        <is>
          <t>Hidden Fates</t>
        </is>
      </c>
      <c r="I1085" s="3" t="n"/>
      <c r="J1085" s="3" t="n">
        <v>179.37</v>
      </c>
      <c r="K1085" s="3" t="n">
        <v>191.99</v>
      </c>
      <c r="L1085" s="3" t="n">
        <v>188.49</v>
      </c>
      <c r="M1085" s="2" t="inlineStr">
        <is>
          <t>TCGplayer</t>
        </is>
      </c>
      <c r="O1085" s="4" t="inlineStr">
        <is>
          <t>https://www.tcgplayer.com/product/545766</t>
        </is>
      </c>
    </row>
    <row r="1086">
      <c r="A1086" s="2" t="inlineStr">
        <is>
          <t>Hidden Fates Charizard GX Hidden Fates Tin</t>
        </is>
      </c>
      <c r="B1086" s="3">
        <f>IF(I1086&lt;&gt;"",I1086,IF(J1086&lt;&gt;"",J1086,IF(K1086&lt;&gt;"",K1086,L1086)))</f>
        <v>153.32</v>
      </c>
      <c r="C1086" s="3">
        <f>MEDIAN(I1086:L1086)</f>
        <v>153.32</v>
      </c>
      <c r="D1086" s="3">
        <f>ROUND(C1086*(1-Settings!$B$2),2)</f>
        <v>107.32</v>
      </c>
      <c r="E1086" s="3">
        <f>ROUND(C1086*(1-Settings!$B$3),2)</f>
        <v>107.32</v>
      </c>
      <c r="F1086" s="2" t="inlineStr">
        <is>
          <t>Pokemon</t>
        </is>
      </c>
      <c r="G1086" s="2" t="inlineStr">
        <is>
          <t>Coffret</t>
        </is>
      </c>
      <c r="H1086" s="2" t="inlineStr">
        <is>
          <t>Hidden Fates</t>
        </is>
      </c>
      <c r="I1086" s="3" t="n">
        <v>153.32</v>
      </c>
      <c r="J1086" s="3" t="n"/>
      <c r="K1086" s="3" t="n"/>
      <c r="L1086" s="3" t="n"/>
      <c r="M1086" s="2" t="inlineStr">
        <is>
          <t>PriceCharting</t>
        </is>
      </c>
      <c r="N1086" s="4" t="inlineStr">
        <is>
          <t>https://www.pricecharting.com/game/pokemon-hidden-fates/charizard-gx-hidden-fates-tin</t>
        </is>
      </c>
    </row>
    <row r="1087">
      <c r="A1087" s="2" t="inlineStr">
        <is>
          <t>Hidden Fates Collection [Charizard GX]</t>
        </is>
      </c>
      <c r="B1087" s="3">
        <f>IF(I1087&lt;&gt;"",I1087,IF(J1087&lt;&gt;"",J1087,IF(K1087&lt;&gt;"",K1087,L1087)))</f>
        <v>209.33</v>
      </c>
      <c r="C1087" s="3">
        <f>MEDIAN(I1087:L1087)</f>
        <v>229.66500000000002</v>
      </c>
      <c r="D1087" s="3">
        <f>ROUND(C1087*(1-Settings!$B$2),2)</f>
        <v>160.77</v>
      </c>
      <c r="E1087" s="3">
        <f>ROUND(C1087*(1-Settings!$B$3),2)</f>
        <v>160.77</v>
      </c>
      <c r="F1087" s="2" t="inlineStr">
        <is>
          <t>Pokemon</t>
        </is>
      </c>
      <c r="G1087" s="2" t="inlineStr">
        <is>
          <t>Coffret</t>
        </is>
      </c>
      <c r="H1087" s="2" t="inlineStr">
        <is>
          <t>Hidden Fates</t>
        </is>
      </c>
      <c r="I1087" s="3" t="n">
        <v>209.33</v>
      </c>
      <c r="J1087" s="3" t="n">
        <v>203.75</v>
      </c>
      <c r="K1087" s="3" t="n">
        <v>265</v>
      </c>
      <c r="L1087" s="3" t="n">
        <v>250</v>
      </c>
      <c r="M1087" s="2" t="inlineStr">
        <is>
          <t>PriceCharting + TCGplayer</t>
        </is>
      </c>
      <c r="N1087" s="4" t="inlineStr">
        <is>
          <t>https://www.pricecharting.com/game/pokemon-hidden-fates/hidden-fates-collection-charizard-gx</t>
        </is>
      </c>
      <c r="O1087" s="4" t="inlineStr">
        <is>
          <t>https://www.tcgplayer.com/product/205159</t>
        </is>
      </c>
    </row>
    <row r="1088">
      <c r="A1088" s="2" t="inlineStr">
        <is>
          <t>Hidden Fates Collection [Gyarados GX]</t>
        </is>
      </c>
      <c r="B1088" s="3">
        <f>IF(I1088&lt;&gt;"",I1088,IF(J1088&lt;&gt;"",J1088,IF(K1088&lt;&gt;"",K1088,L1088)))</f>
        <v>175.0</v>
      </c>
      <c r="C1088" s="3">
        <f>MEDIAN(I1088:L1088)</f>
        <v>184.56</v>
      </c>
      <c r="D1088" s="3">
        <f>ROUND(C1088*(1-Settings!$B$2),2)</f>
        <v>129.19</v>
      </c>
      <c r="E1088" s="3">
        <f>ROUND(C1088*(1-Settings!$B$3),2)</f>
        <v>129.19</v>
      </c>
      <c r="F1088" s="2" t="inlineStr">
        <is>
          <t>Pokemon</t>
        </is>
      </c>
      <c r="G1088" s="2" t="inlineStr">
        <is>
          <t>Coffret</t>
        </is>
      </c>
      <c r="H1088" s="2" t="inlineStr">
        <is>
          <t>Hidden Fates</t>
        </is>
      </c>
      <c r="I1088" s="3" t="n">
        <v>175</v>
      </c>
      <c r="J1088" s="3" t="n">
        <v>182.13</v>
      </c>
      <c r="K1088" s="3" t="n">
        <v>199.99</v>
      </c>
      <c r="L1088" s="3" t="n">
        <v>186.99</v>
      </c>
      <c r="M1088" s="2" t="inlineStr">
        <is>
          <t>PriceCharting + TCGplayer</t>
        </is>
      </c>
      <c r="N1088" s="4" t="inlineStr">
        <is>
          <t>https://www.pricecharting.com/game/pokemon-hidden-fates/hidden-fates-collection-gyarados-gx</t>
        </is>
      </c>
      <c r="O1088" s="4" t="inlineStr">
        <is>
          <t>https://www.tcgplayer.com/product/205160</t>
        </is>
      </c>
    </row>
    <row r="1089">
      <c r="A1089" s="2" t="inlineStr">
        <is>
          <t>Hidden Fates Collection [Raichu GX]</t>
        </is>
      </c>
      <c r="B1089" s="3">
        <f>IF(I1089&lt;&gt;"",I1089,IF(J1089&lt;&gt;"",J1089,IF(K1089&lt;&gt;"",K1089,L1089)))</f>
        <v>169.39</v>
      </c>
      <c r="C1089" s="3">
        <f>MEDIAN(I1089:L1089)</f>
        <v>191.16500000000002</v>
      </c>
      <c r="D1089" s="3">
        <f>ROUND(C1089*(1-Settings!$B$2),2)</f>
        <v>133.82</v>
      </c>
      <c r="E1089" s="3">
        <f>ROUND(C1089*(1-Settings!$B$3),2)</f>
        <v>133.82</v>
      </c>
      <c r="F1089" s="2" t="inlineStr">
        <is>
          <t>Pokemon</t>
        </is>
      </c>
      <c r="G1089" s="2" t="inlineStr">
        <is>
          <t>Coffret</t>
        </is>
      </c>
      <c r="H1089" s="2" t="inlineStr">
        <is>
          <t>Hidden Fates</t>
        </is>
      </c>
      <c r="I1089" s="3" t="n">
        <v>169.39</v>
      </c>
      <c r="J1089" s="3" t="n">
        <v>182.33</v>
      </c>
      <c r="K1089" s="3" t="n">
        <v>214</v>
      </c>
      <c r="L1089" s="3" t="n">
        <v>200</v>
      </c>
      <c r="M1089" s="2" t="inlineStr">
        <is>
          <t>PriceCharting + TCGplayer</t>
        </is>
      </c>
      <c r="N1089" s="4" t="inlineStr">
        <is>
          <t>https://www.pricecharting.com/game/pokemon-hidden-fates/hidden-fates-collection-raichu-gx</t>
        </is>
      </c>
      <c r="O1089" s="4" t="inlineStr">
        <is>
          <t>https://www.tcgplayer.com/product/205161</t>
        </is>
      </c>
    </row>
    <row r="1090">
      <c r="A1090" s="2" t="inlineStr">
        <is>
          <t>Hidden Fates Elite Trainer Box</t>
        </is>
      </c>
      <c r="B1090" s="3">
        <f>IF(I1090&lt;&gt;"",I1090,IF(J1090&lt;&gt;"",J1090,IF(K1090&lt;&gt;"",K1090,L1090)))</f>
        <v>520.0</v>
      </c>
      <c r="C1090" s="3">
        <f>MEDIAN(I1090:L1090)</f>
        <v>535.995</v>
      </c>
      <c r="D1090" s="3">
        <f>ROUND(C1090*(1-Settings!$B$2),2)</f>
        <v>375.2</v>
      </c>
      <c r="E1090" s="3">
        <f>ROUND(C1090*(1-Settings!$B$3),2)</f>
        <v>375.2</v>
      </c>
      <c r="F1090" s="2" t="inlineStr">
        <is>
          <t>Pokemon</t>
        </is>
      </c>
      <c r="G1090" s="2" t="inlineStr">
        <is>
          <t>Coffret</t>
        </is>
      </c>
      <c r="H1090" s="2" t="inlineStr">
        <is>
          <t>Hidden Fates</t>
        </is>
      </c>
      <c r="I1090" s="3" t="n">
        <v>520</v>
      </c>
      <c r="J1090" s="3" t="n">
        <v>551.99</v>
      </c>
      <c r="K1090" s="3" t="n">
        <v>675</v>
      </c>
      <c r="L1090" s="3" t="n">
        <v>49.99</v>
      </c>
      <c r="M1090" s="2" t="inlineStr">
        <is>
          <t>PriceCharting + TCGplayer</t>
        </is>
      </c>
      <c r="N1090" s="4" t="inlineStr">
        <is>
          <t>https://www.pricecharting.com/game/pokemon-hidden-fates/elite-trainer-box</t>
        </is>
      </c>
      <c r="O1090" s="4" t="inlineStr">
        <is>
          <t>https://www.tcgplayer.com/product/194729</t>
        </is>
      </c>
    </row>
    <row r="1091">
      <c r="A1091" s="2" t="inlineStr">
        <is>
          <t>Hidden Fates Great Ball Collection</t>
        </is>
      </c>
      <c r="B1091" s="3">
        <f>IF(I1091&lt;&gt;"",I1091,IF(J1091&lt;&gt;"",J1091,IF(K1091&lt;&gt;"",K1091,L1091)))</f>
        <v>400.0</v>
      </c>
      <c r="C1091" s="3">
        <f>MEDIAN(I1091:L1091)</f>
        <v>400.0</v>
      </c>
      <c r="D1091" s="3">
        <f>ROUND(C1091*(1-Settings!$B$2),2)</f>
        <v>280.0</v>
      </c>
      <c r="E1091" s="3">
        <f>ROUND(C1091*(1-Settings!$B$3),2)</f>
        <v>280.0</v>
      </c>
      <c r="F1091" s="2" t="inlineStr">
        <is>
          <t>Pokemon</t>
        </is>
      </c>
      <c r="G1091" s="2" t="inlineStr">
        <is>
          <t>Coffret</t>
        </is>
      </c>
      <c r="H1091" s="2" t="inlineStr">
        <is>
          <t>Hidden Fates</t>
        </is>
      </c>
      <c r="I1091" s="3" t="n">
        <v>400</v>
      </c>
      <c r="J1091" s="3" t="n"/>
      <c r="K1091" s="3" t="n"/>
      <c r="L1091" s="3" t="n"/>
      <c r="M1091" s="2" t="inlineStr">
        <is>
          <t>PriceCharting</t>
        </is>
      </c>
      <c r="N1091" s="4" t="inlineStr">
        <is>
          <t>https://www.pricecharting.com/game/pokemon-hidden-fates/great-ball-collection</t>
        </is>
      </c>
    </row>
    <row r="1092">
      <c r="A1092" s="2" t="inlineStr">
        <is>
          <t>Hidden Fates Gyrados GX Hidden Fates Tin</t>
        </is>
      </c>
      <c r="B1092" s="3">
        <f>IF(I1092&lt;&gt;"",I1092,IF(J1092&lt;&gt;"",J1092,IF(K1092&lt;&gt;"",K1092,L1092)))</f>
        <v>120.63</v>
      </c>
      <c r="C1092" s="3">
        <f>MEDIAN(I1092:L1092)</f>
        <v>120.63</v>
      </c>
      <c r="D1092" s="3">
        <f>ROUND(C1092*(1-Settings!$B$2),2)</f>
        <v>84.44</v>
      </c>
      <c r="E1092" s="3">
        <f>ROUND(C1092*(1-Settings!$B$3),2)</f>
        <v>84.44</v>
      </c>
      <c r="F1092" s="2" t="inlineStr">
        <is>
          <t>Pokemon</t>
        </is>
      </c>
      <c r="G1092" s="2" t="inlineStr">
        <is>
          <t>Coffret</t>
        </is>
      </c>
      <c r="H1092" s="2" t="inlineStr">
        <is>
          <t>Hidden Fates</t>
        </is>
      </c>
      <c r="I1092" s="3" t="n">
        <v>120.63</v>
      </c>
      <c r="J1092" s="3" t="n"/>
      <c r="K1092" s="3" t="n"/>
      <c r="L1092" s="3" t="n"/>
      <c r="M1092" s="2" t="inlineStr">
        <is>
          <t>PriceCharting</t>
        </is>
      </c>
      <c r="N1092" s="4" t="inlineStr">
        <is>
          <t>https://www.pricecharting.com/game/pokemon-hidden-fates/gyrados-gx-hidden-fates-tin</t>
        </is>
      </c>
    </row>
    <row r="1093">
      <c r="A1093" s="2" t="inlineStr">
        <is>
          <t>Hidden Fates Pin Collection [Mew]</t>
        </is>
      </c>
      <c r="B1093" s="3">
        <f>IF(I1093&lt;&gt;"",I1093,IF(J1093&lt;&gt;"",J1093,IF(K1093&lt;&gt;"",K1093,L1093)))</f>
        <v>279.49</v>
      </c>
      <c r="C1093" s="3">
        <f>MEDIAN(I1093:L1093)</f>
        <v>274.245</v>
      </c>
      <c r="D1093" s="3">
        <f>ROUND(C1093*(1-Settings!$B$2),2)</f>
        <v>191.97</v>
      </c>
      <c r="E1093" s="3">
        <f>ROUND(C1093*(1-Settings!$B$3),2)</f>
        <v>191.97</v>
      </c>
      <c r="F1093" s="2" t="inlineStr">
        <is>
          <t>Pokemon</t>
        </is>
      </c>
      <c r="G1093" s="2" t="inlineStr">
        <is>
          <t>Coffret</t>
        </is>
      </c>
      <c r="H1093" s="2" t="inlineStr">
        <is>
          <t>Hidden Fates</t>
        </is>
      </c>
      <c r="I1093" s="3" t="n"/>
      <c r="J1093" s="3" t="n"/>
      <c r="K1093" s="3" t="n">
        <v>279.49</v>
      </c>
      <c r="L1093" s="3" t="n">
        <v>269</v>
      </c>
      <c r="M1093" s="2" t="inlineStr">
        <is>
          <t>TCGplayer</t>
        </is>
      </c>
      <c r="O1093" s="4" t="inlineStr">
        <is>
          <t>https://www.tcgplayer.com/product/193439</t>
        </is>
      </c>
    </row>
    <row r="1094">
      <c r="A1094" s="2" t="inlineStr">
        <is>
          <t>Hidden Fates Pin Collection [Mewtwo]</t>
        </is>
      </c>
      <c r="B1094" s="3">
        <f>IF(I1094&lt;&gt;"",I1094,IF(J1094&lt;&gt;"",J1094,IF(K1094&lt;&gt;"",K1094,L1094)))</f>
        <v>259.99</v>
      </c>
      <c r="C1094" s="3">
        <f>MEDIAN(I1094:L1094)</f>
        <v>327.99</v>
      </c>
      <c r="D1094" s="3">
        <f>ROUND(C1094*(1-Settings!$B$2),2)</f>
        <v>229.59</v>
      </c>
      <c r="E1094" s="3">
        <f>ROUND(C1094*(1-Settings!$B$3),2)</f>
        <v>229.59</v>
      </c>
      <c r="F1094" s="2" t="inlineStr">
        <is>
          <t>Pokemon</t>
        </is>
      </c>
      <c r="G1094" s="2" t="inlineStr">
        <is>
          <t>Coffret</t>
        </is>
      </c>
      <c r="H1094" s="2" t="inlineStr">
        <is>
          <t>Hidden Fates</t>
        </is>
      </c>
      <c r="I1094" s="3" t="n"/>
      <c r="J1094" s="3" t="n">
        <v>259.99</v>
      </c>
      <c r="K1094" s="3" t="n">
        <v>725</v>
      </c>
      <c r="L1094" s="3" t="n">
        <v>327.99</v>
      </c>
      <c r="M1094" s="2" t="inlineStr">
        <is>
          <t>TCGplayer</t>
        </is>
      </c>
      <c r="O1094" s="4" t="inlineStr">
        <is>
          <t>https://www.tcgplayer.com/product/193440</t>
        </is>
      </c>
    </row>
    <row r="1095">
      <c r="A1095" s="2" t="inlineStr">
        <is>
          <t>Hidden Fates Poke Ball Collection [Set of 2]</t>
        </is>
      </c>
      <c r="B1095" s="3">
        <f>IF(I1095&lt;&gt;"",I1095,IF(J1095&lt;&gt;"",J1095,IF(K1095&lt;&gt;"",K1095,L1095)))</f>
        <v>4000.0</v>
      </c>
      <c r="C1095" s="3">
        <f>MEDIAN(I1095:L1095)</f>
        <v>4000.0</v>
      </c>
      <c r="D1095" s="3">
        <f>ROUND(C1095*(1-Settings!$B$2),2)</f>
        <v>2800.0</v>
      </c>
      <c r="E1095" s="3">
        <f>ROUND(C1095*(1-Settings!$B$3),2)</f>
        <v>2800.0</v>
      </c>
      <c r="F1095" s="2" t="inlineStr">
        <is>
          <t>Pokemon</t>
        </is>
      </c>
      <c r="G1095" s="2" t="inlineStr">
        <is>
          <t>Coffret</t>
        </is>
      </c>
      <c r="H1095" s="2" t="inlineStr">
        <is>
          <t>Hidden Fates</t>
        </is>
      </c>
      <c r="I1095" s="3" t="n"/>
      <c r="J1095" s="3" t="n"/>
      <c r="K1095" s="3" t="n">
        <v>4000</v>
      </c>
      <c r="L1095" s="3" t="n">
        <v>4000</v>
      </c>
      <c r="M1095" s="2" t="inlineStr">
        <is>
          <t>TCGplayer</t>
        </is>
      </c>
      <c r="O1095" s="4" t="inlineStr">
        <is>
          <t>https://www.tcgplayer.com/product/198525</t>
        </is>
      </c>
    </row>
    <row r="1096">
      <c r="A1096" s="2" t="inlineStr">
        <is>
          <t>Hidden Fates Poke Ball Collection [Shiny Metagross]</t>
        </is>
      </c>
      <c r="B1096" s="3">
        <f>IF(I1096&lt;&gt;"",I1096,IF(J1096&lt;&gt;"",J1096,IF(K1096&lt;&gt;"",K1096,L1096)))</f>
        <v>555.16</v>
      </c>
      <c r="C1096" s="3">
        <f>MEDIAN(I1096:L1096)</f>
        <v>599.99</v>
      </c>
      <c r="D1096" s="3">
        <f>ROUND(C1096*(1-Settings!$B$2),2)</f>
        <v>419.99</v>
      </c>
      <c r="E1096" s="3">
        <f>ROUND(C1096*(1-Settings!$B$3),2)</f>
        <v>419.99</v>
      </c>
      <c r="F1096" s="2" t="inlineStr">
        <is>
          <t>Pokemon</t>
        </is>
      </c>
      <c r="G1096" s="2" t="inlineStr">
        <is>
          <t>Coffret</t>
        </is>
      </c>
      <c r="H1096" s="2" t="inlineStr">
        <is>
          <t>Hidden Fates</t>
        </is>
      </c>
      <c r="I1096" s="3" t="n"/>
      <c r="J1096" s="3" t="n">
        <v>555.16</v>
      </c>
      <c r="K1096" s="3" t="n">
        <v>668.98</v>
      </c>
      <c r="L1096" s="3" t="n">
        <v>599.99</v>
      </c>
      <c r="M1096" s="2" t="inlineStr">
        <is>
          <t>TCGplayer</t>
        </is>
      </c>
      <c r="O1096" s="4" t="inlineStr">
        <is>
          <t>https://www.tcgplayer.com/product/198524</t>
        </is>
      </c>
    </row>
    <row r="1097">
      <c r="A1097" s="2" t="inlineStr">
        <is>
          <t>Hidden Fates Poke Ball Collection [Shiny Zoroark]</t>
        </is>
      </c>
      <c r="B1097" s="3">
        <f>IF(I1097&lt;&gt;"",I1097,IF(J1097&lt;&gt;"",J1097,IF(K1097&lt;&gt;"",K1097,L1097)))</f>
        <v>600.0</v>
      </c>
      <c r="C1097" s="3">
        <f>MEDIAN(I1097:L1097)</f>
        <v>592.5</v>
      </c>
      <c r="D1097" s="3">
        <f>ROUND(C1097*(1-Settings!$B$2),2)</f>
        <v>414.75</v>
      </c>
      <c r="E1097" s="3">
        <f>ROUND(C1097*(1-Settings!$B$3),2)</f>
        <v>414.75</v>
      </c>
      <c r="F1097" s="2" t="inlineStr">
        <is>
          <t>Pokemon</t>
        </is>
      </c>
      <c r="G1097" s="2" t="inlineStr">
        <is>
          <t>Coffret</t>
        </is>
      </c>
      <c r="H1097" s="2" t="inlineStr">
        <is>
          <t>Hidden Fates</t>
        </is>
      </c>
      <c r="I1097" s="3" t="n"/>
      <c r="J1097" s="3" t="n"/>
      <c r="K1097" s="3" t="n">
        <v>600</v>
      </c>
      <c r="L1097" s="3" t="n">
        <v>585</v>
      </c>
      <c r="M1097" s="2" t="inlineStr">
        <is>
          <t>TCGplayer</t>
        </is>
      </c>
      <c r="O1097" s="4" t="inlineStr">
        <is>
          <t>https://www.tcgplayer.com/product/198523</t>
        </is>
      </c>
    </row>
    <row r="1098">
      <c r="A1098" s="2" t="inlineStr">
        <is>
          <t>Hidden Fates Premium Powers Collection</t>
        </is>
      </c>
      <c r="B1098" s="3">
        <f>IF(I1098&lt;&gt;"",I1098,IF(J1098&lt;&gt;"",J1098,IF(K1098&lt;&gt;"",K1098,L1098)))</f>
        <v>744.95</v>
      </c>
      <c r="C1098" s="3">
        <f>MEDIAN(I1098:L1098)</f>
        <v>803.8199999999999</v>
      </c>
      <c r="D1098" s="3">
        <f>ROUND(C1098*(1-Settings!$B$2),2)</f>
        <v>562.67</v>
      </c>
      <c r="E1098" s="3">
        <f>ROUND(C1098*(1-Settings!$B$3),2)</f>
        <v>562.67</v>
      </c>
      <c r="F1098" s="2" t="inlineStr">
        <is>
          <t>Pokemon</t>
        </is>
      </c>
      <c r="G1098" s="2" t="inlineStr">
        <is>
          <t>Coffret</t>
        </is>
      </c>
      <c r="H1098" s="2" t="inlineStr">
        <is>
          <t>Hidden Fates</t>
        </is>
      </c>
      <c r="I1098" s="3" t="n">
        <v>744.95</v>
      </c>
      <c r="J1098" s="3" t="n">
        <v>751.66</v>
      </c>
      <c r="K1098" s="3" t="n">
        <v>884.38</v>
      </c>
      <c r="L1098" s="3" t="n">
        <v>855.98</v>
      </c>
      <c r="M1098" s="2" t="inlineStr">
        <is>
          <t>PriceCharting + TCGplayer</t>
        </is>
      </c>
      <c r="N1098" s="4" t="inlineStr">
        <is>
          <t>https://www.pricecharting.com/game/pokemon-hidden-fates/premium-powers-collection</t>
        </is>
      </c>
      <c r="O1098" s="4" t="inlineStr">
        <is>
          <t>https://www.tcgplayer.com/product/206302</t>
        </is>
      </c>
    </row>
    <row r="1099">
      <c r="A1099" s="2" t="inlineStr">
        <is>
          <t>Hidden Fates Raichu GX Hidden Fates Tin</t>
        </is>
      </c>
      <c r="B1099" s="3">
        <f>IF(I1099&lt;&gt;"",I1099,IF(J1099&lt;&gt;"",J1099,IF(K1099&lt;&gt;"",K1099,L1099)))</f>
        <v>160.88</v>
      </c>
      <c r="C1099" s="3">
        <f>MEDIAN(I1099:L1099)</f>
        <v>160.88</v>
      </c>
      <c r="D1099" s="3">
        <f>ROUND(C1099*(1-Settings!$B$2),2)</f>
        <v>112.62</v>
      </c>
      <c r="E1099" s="3">
        <f>ROUND(C1099*(1-Settings!$B$3),2)</f>
        <v>112.62</v>
      </c>
      <c r="F1099" s="2" t="inlineStr">
        <is>
          <t>Pokemon</t>
        </is>
      </c>
      <c r="G1099" s="2" t="inlineStr">
        <is>
          <t>Coffret</t>
        </is>
      </c>
      <c r="H1099" s="2" t="inlineStr">
        <is>
          <t>Hidden Fates</t>
        </is>
      </c>
      <c r="I1099" s="3" t="n">
        <v>160.88</v>
      </c>
      <c r="J1099" s="3" t="n"/>
      <c r="K1099" s="3" t="n"/>
      <c r="L1099" s="3" t="n"/>
      <c r="M1099" s="2" t="inlineStr">
        <is>
          <t>PriceCharting</t>
        </is>
      </c>
      <c r="N1099" s="4" t="inlineStr">
        <is>
          <t>https://www.pricecharting.com/game/pokemon-hidden-fates/raichu-gx-hidden-fates-tin</t>
        </is>
      </c>
    </row>
    <row r="1100">
      <c r="A1100" s="2" t="inlineStr">
        <is>
          <t>Hidden Fates Tin [Charizard GX]</t>
        </is>
      </c>
      <c r="B1100" s="3">
        <f>IF(I1100&lt;&gt;"",I1100,IF(J1100&lt;&gt;"",J1100,IF(K1100&lt;&gt;"",K1100,L1100)))</f>
        <v>176.3</v>
      </c>
      <c r="C1100" s="3">
        <f>MEDIAN(I1100:L1100)</f>
        <v>176.3</v>
      </c>
      <c r="D1100" s="3">
        <f>ROUND(C1100*(1-Settings!$B$2),2)</f>
        <v>123.41</v>
      </c>
      <c r="E1100" s="3">
        <f>ROUND(C1100*(1-Settings!$B$3),2)</f>
        <v>123.41</v>
      </c>
      <c r="F1100" s="2" t="inlineStr">
        <is>
          <t>Pokemon</t>
        </is>
      </c>
      <c r="G1100" s="2" t="inlineStr">
        <is>
          <t>Coffret</t>
        </is>
      </c>
      <c r="H1100" s="2" t="inlineStr">
        <is>
          <t>Hidden Fates</t>
        </is>
      </c>
      <c r="I1100" s="3" t="n"/>
      <c r="J1100" s="3" t="n">
        <v>176.3</v>
      </c>
      <c r="K1100" s="3" t="n">
        <v>200</v>
      </c>
      <c r="L1100" s="3" t="n">
        <v>12</v>
      </c>
      <c r="M1100" s="2" t="inlineStr">
        <is>
          <t>TCGplayer</t>
        </is>
      </c>
      <c r="O1100" s="4" t="inlineStr">
        <is>
          <t>https://www.tcgplayer.com/product/193437</t>
        </is>
      </c>
    </row>
    <row r="1101">
      <c r="A1101" s="2" t="inlineStr">
        <is>
          <t>Hidden Fates Tin [Gyarados GX]</t>
        </is>
      </c>
      <c r="B1101" s="3">
        <f>IF(I1101&lt;&gt;"",I1101,IF(J1101&lt;&gt;"",J1101,IF(K1101&lt;&gt;"",K1101,L1101)))</f>
        <v>167.34</v>
      </c>
      <c r="C1101" s="3">
        <f>MEDIAN(I1101:L1101)</f>
        <v>180.0</v>
      </c>
      <c r="D1101" s="3">
        <f>ROUND(C1101*(1-Settings!$B$2),2)</f>
        <v>126.0</v>
      </c>
      <c r="E1101" s="3">
        <f>ROUND(C1101*(1-Settings!$B$3),2)</f>
        <v>126.0</v>
      </c>
      <c r="F1101" s="2" t="inlineStr">
        <is>
          <t>Pokemon</t>
        </is>
      </c>
      <c r="G1101" s="2" t="inlineStr">
        <is>
          <t>Coffret</t>
        </is>
      </c>
      <c r="H1101" s="2" t="inlineStr">
        <is>
          <t>Hidden Fates</t>
        </is>
      </c>
      <c r="I1101" s="3" t="n"/>
      <c r="J1101" s="3" t="n">
        <v>167.34</v>
      </c>
      <c r="K1101" s="3" t="n">
        <v>287.48</v>
      </c>
      <c r="L1101" s="3" t="n">
        <v>180</v>
      </c>
      <c r="M1101" s="2" t="inlineStr">
        <is>
          <t>TCGplayer</t>
        </is>
      </c>
      <c r="O1101" s="4" t="inlineStr">
        <is>
          <t>https://www.tcgplayer.com/product/193436</t>
        </is>
      </c>
    </row>
    <row r="1102">
      <c r="A1102" s="2" t="inlineStr">
        <is>
          <t>Hidden Fates Tin [Raichu GX]</t>
        </is>
      </c>
      <c r="B1102" s="3">
        <f>IF(I1102&lt;&gt;"",I1102,IF(J1102&lt;&gt;"",J1102,IF(K1102&lt;&gt;"",K1102,L1102)))</f>
        <v>178.11</v>
      </c>
      <c r="C1102" s="3">
        <f>MEDIAN(I1102:L1102)</f>
        <v>178.11</v>
      </c>
      <c r="D1102" s="3">
        <f>ROUND(C1102*(1-Settings!$B$2),2)</f>
        <v>124.68</v>
      </c>
      <c r="E1102" s="3">
        <f>ROUND(C1102*(1-Settings!$B$3),2)</f>
        <v>124.68</v>
      </c>
      <c r="F1102" s="2" t="inlineStr">
        <is>
          <t>Pokemon</t>
        </is>
      </c>
      <c r="G1102" s="2" t="inlineStr">
        <is>
          <t>Coffret</t>
        </is>
      </c>
      <c r="H1102" s="2" t="inlineStr">
        <is>
          <t>Hidden Fates</t>
        </is>
      </c>
      <c r="I1102" s="3" t="n"/>
      <c r="J1102" s="3" t="n">
        <v>178.11</v>
      </c>
      <c r="K1102" s="3" t="n">
        <v>207.97</v>
      </c>
      <c r="L1102" s="3" t="n">
        <v>0.75</v>
      </c>
      <c r="M1102" s="2" t="inlineStr">
        <is>
          <t>TCGplayer</t>
        </is>
      </c>
      <c r="O1102" s="4" t="inlineStr">
        <is>
          <t>https://www.tcgplayer.com/product/193438</t>
        </is>
      </c>
    </row>
    <row r="1103">
      <c r="A1103" s="2" t="inlineStr">
        <is>
          <t>Hidden Fates Tin [Set of 3]</t>
        </is>
      </c>
      <c r="B1103" s="3">
        <f>IF(I1103&lt;&gt;"",I1103,IF(J1103&lt;&gt;"",J1103,IF(K1103&lt;&gt;"",K1103,L1103)))</f>
        <v>492.26</v>
      </c>
      <c r="C1103" s="3">
        <f>MEDIAN(I1103:L1103)</f>
        <v>584.99</v>
      </c>
      <c r="D1103" s="3">
        <f>ROUND(C1103*(1-Settings!$B$2),2)</f>
        <v>409.49</v>
      </c>
      <c r="E1103" s="3">
        <f>ROUND(C1103*(1-Settings!$B$3),2)</f>
        <v>409.49</v>
      </c>
      <c r="F1103" s="2" t="inlineStr">
        <is>
          <t>Pokemon</t>
        </is>
      </c>
      <c r="G1103" s="2" t="inlineStr">
        <is>
          <t>Coffret</t>
        </is>
      </c>
      <c r="H1103" s="2" t="inlineStr">
        <is>
          <t>Hidden Fates</t>
        </is>
      </c>
      <c r="I1103" s="3" t="n"/>
      <c r="J1103" s="3" t="n">
        <v>492.26</v>
      </c>
      <c r="K1103" s="3" t="n">
        <v>675</v>
      </c>
      <c r="L1103" s="3" t="n">
        <v>584.99</v>
      </c>
      <c r="M1103" s="2" t="inlineStr">
        <is>
          <t>TCGplayer</t>
        </is>
      </c>
      <c r="O1103" s="4" t="inlineStr">
        <is>
          <t>https://www.tcgplayer.com/product/213476</t>
        </is>
      </c>
    </row>
    <row r="1104">
      <c r="A1104" s="2" t="inlineStr">
        <is>
          <t>Hidden Fates Ultra Ball Collection</t>
        </is>
      </c>
      <c r="B1104" s="3">
        <f>IF(I1104&lt;&gt;"",I1104,IF(J1104&lt;&gt;"",J1104,IF(K1104&lt;&gt;"",K1104,L1104)))</f>
        <v>413.75</v>
      </c>
      <c r="C1104" s="3">
        <f>MEDIAN(I1104:L1104)</f>
        <v>413.75</v>
      </c>
      <c r="D1104" s="3">
        <f>ROUND(C1104*(1-Settings!$B$2),2)</f>
        <v>289.63</v>
      </c>
      <c r="E1104" s="3">
        <f>ROUND(C1104*(1-Settings!$B$3),2)</f>
        <v>289.63</v>
      </c>
      <c r="F1104" s="2" t="inlineStr">
        <is>
          <t>Pokemon</t>
        </is>
      </c>
      <c r="G1104" s="2" t="inlineStr">
        <is>
          <t>Coffret</t>
        </is>
      </c>
      <c r="H1104" s="2" t="inlineStr">
        <is>
          <t>Hidden Fates</t>
        </is>
      </c>
      <c r="I1104" s="3" t="n">
        <v>413.75</v>
      </c>
      <c r="J1104" s="3" t="n"/>
      <c r="K1104" s="3" t="n"/>
      <c r="L1104" s="3" t="n"/>
      <c r="M1104" s="2" t="inlineStr">
        <is>
          <t>PriceCharting</t>
        </is>
      </c>
      <c r="N1104" s="4" t="inlineStr">
        <is>
          <t>https://www.pricecharting.com/game/pokemon-hidden-fates/ultra-ball-collection</t>
        </is>
      </c>
    </row>
    <row r="1105">
      <c r="A1105" s="2" t="inlineStr">
        <is>
          <t>Hidden Fates Ultra Premium Collection Box</t>
        </is>
      </c>
      <c r="B1105" s="3">
        <f>IF(I1105&lt;&gt;"",I1105,IF(J1105&lt;&gt;"",J1105,IF(K1105&lt;&gt;"",K1105,L1105)))</f>
        <v>1248.3</v>
      </c>
      <c r="C1105" s="3">
        <f>MEDIAN(I1105:L1105)</f>
        <v>1248.3</v>
      </c>
      <c r="D1105" s="3">
        <f>ROUND(C1105*(1-Settings!$B$2),2)</f>
        <v>873.81</v>
      </c>
      <c r="E1105" s="3">
        <f>ROUND(C1105*(1-Settings!$B$3),2)</f>
        <v>873.81</v>
      </c>
      <c r="F1105" s="2" t="inlineStr">
        <is>
          <t>Pokemon</t>
        </is>
      </c>
      <c r="G1105" s="2" t="inlineStr">
        <is>
          <t>Coffret</t>
        </is>
      </c>
      <c r="H1105" s="2" t="inlineStr">
        <is>
          <t>Hidden Fates</t>
        </is>
      </c>
      <c r="I1105" s="3" t="n">
        <v>1248.3</v>
      </c>
      <c r="J1105" s="3" t="n"/>
      <c r="K1105" s="3" t="n"/>
      <c r="L1105" s="3" t="n"/>
      <c r="M1105" s="2" t="inlineStr">
        <is>
          <t>PriceCharting</t>
        </is>
      </c>
      <c r="N1105" s="4" t="inlineStr">
        <is>
          <t>https://www.pricecharting.com/game/pokemon-hidden-fates/ultra-premium-collection-box</t>
        </is>
      </c>
    </row>
    <row r="1106">
      <c r="A1106" s="2" t="inlineStr">
        <is>
          <t>Hidden Fates Ultra-Premium Collection</t>
        </is>
      </c>
      <c r="B1106" s="3">
        <f>IF(I1106&lt;&gt;"",I1106,IF(J1106&lt;&gt;"",J1106,IF(K1106&lt;&gt;"",K1106,L1106)))</f>
        <v>1350.0</v>
      </c>
      <c r="C1106" s="3">
        <f>MEDIAN(I1106:L1106)</f>
        <v>1800.0</v>
      </c>
      <c r="D1106" s="3">
        <f>ROUND(C1106*(1-Settings!$B$2),2)</f>
        <v>1260.0</v>
      </c>
      <c r="E1106" s="3">
        <f>ROUND(C1106*(1-Settings!$B$3),2)</f>
        <v>1260.0</v>
      </c>
      <c r="F1106" s="2" t="inlineStr">
        <is>
          <t>Pokemon</t>
        </is>
      </c>
      <c r="G1106" s="2" t="inlineStr">
        <is>
          <t>Coffret</t>
        </is>
      </c>
      <c r="H1106" s="2" t="inlineStr">
        <is>
          <t>Hidden Fates</t>
        </is>
      </c>
      <c r="I1106" s="3" t="n"/>
      <c r="J1106" s="3" t="n">
        <v>1350</v>
      </c>
      <c r="K1106" s="3" t="n">
        <v>2900</v>
      </c>
      <c r="L1106" s="3" t="n">
        <v>1800</v>
      </c>
      <c r="M1106" s="2" t="inlineStr">
        <is>
          <t>TCGplayer</t>
        </is>
      </c>
      <c r="O1106" s="4" t="inlineStr">
        <is>
          <t>https://www.tcgplayer.com/product/199466</t>
        </is>
      </c>
    </row>
    <row r="1107">
      <c r="A1107" s="2" t="inlineStr">
        <is>
          <t>Japanese 10th Movie Commemoration Promo Commemoration Set</t>
        </is>
      </c>
      <c r="B1107" s="3">
        <f>IF(I1107&lt;&gt;"",I1107,IF(J1107&lt;&gt;"",J1107,IF(K1107&lt;&gt;"",K1107,L1107)))</f>
        <v>324.32</v>
      </c>
      <c r="C1107" s="3">
        <f>MEDIAN(I1107:L1107)</f>
        <v>324.32</v>
      </c>
      <c r="D1107" s="3">
        <f>ROUND(C1107*(1-Settings!$B$2),2)</f>
        <v>227.02</v>
      </c>
      <c r="E1107" s="3">
        <f>ROUND(C1107*(1-Settings!$B$3),2)</f>
        <v>227.02</v>
      </c>
      <c r="F1107" s="2" t="inlineStr">
        <is>
          <t>Pokemon</t>
        </is>
      </c>
      <c r="G1107" s="2" t="inlineStr">
        <is>
          <t>Coffret</t>
        </is>
      </c>
      <c r="H1107" s="2" t="inlineStr">
        <is>
          <t>Japanese 10th Movie Commemoration Promo</t>
        </is>
      </c>
      <c r="I1107" s="3" t="n">
        <v>324.32</v>
      </c>
      <c r="J1107" s="3" t="n"/>
      <c r="K1107" s="3" t="n"/>
      <c r="L1107" s="3" t="n"/>
      <c r="M1107" s="2" t="inlineStr">
        <is>
          <t>PriceCharting</t>
        </is>
      </c>
      <c r="N1107" s="4" t="inlineStr">
        <is>
          <t>https://www.pricecharting.com/game/pokemon-japanese-10th-movie-commemoration-promo/commemoration-set</t>
        </is>
      </c>
    </row>
    <row r="1108">
      <c r="A1108" s="2" t="inlineStr">
        <is>
          <t>Japanese 20th Anniversary 3-Pack Blister</t>
        </is>
      </c>
      <c r="B1108" s="3">
        <f>IF(I1108&lt;&gt;"",I1108,IF(J1108&lt;&gt;"",J1108,IF(K1108&lt;&gt;"",K1108,L1108)))</f>
        <v>2118.06</v>
      </c>
      <c r="C1108" s="3">
        <f>MEDIAN(I1108:L1108)</f>
        <v>2118.06</v>
      </c>
      <c r="D1108" s="3">
        <f>ROUND(C1108*(1-Settings!$B$2),2)</f>
        <v>1482.64</v>
      </c>
      <c r="E1108" s="3">
        <f>ROUND(C1108*(1-Settings!$B$3),2)</f>
        <v>1482.64</v>
      </c>
      <c r="F1108" s="2" t="inlineStr">
        <is>
          <t>Pokemon</t>
        </is>
      </c>
      <c r="G1108" s="2" t="inlineStr">
        <is>
          <t>Coffret</t>
        </is>
      </c>
      <c r="H1108" s="2" t="inlineStr">
        <is>
          <t>Japanese 20th Anniversary</t>
        </is>
      </c>
      <c r="I1108" s="3" t="n">
        <v>2118.06</v>
      </c>
      <c r="J1108" s="3" t="n"/>
      <c r="K1108" s="3" t="n"/>
      <c r="L1108" s="3" t="n"/>
      <c r="M1108" s="2" t="inlineStr">
        <is>
          <t>PriceCharting</t>
        </is>
      </c>
      <c r="N1108" s="4" t="inlineStr">
        <is>
          <t>https://www.pricecharting.com/game/pokemon-japanese-20th-anniversary/3-pack-blister</t>
        </is>
      </c>
    </row>
    <row r="1109">
      <c r="A1109" s="2" t="inlineStr">
        <is>
          <t>Japanese 25th Anniversary Collection Special Collection Box</t>
        </is>
      </c>
      <c r="B1109" s="3">
        <f>IF(I1109&lt;&gt;"",I1109,IF(J1109&lt;&gt;"",J1109,IF(K1109&lt;&gt;"",K1109,L1109)))</f>
        <v>343.1</v>
      </c>
      <c r="C1109" s="3">
        <f>MEDIAN(I1109:L1109)</f>
        <v>343.1</v>
      </c>
      <c r="D1109" s="3">
        <f>ROUND(C1109*(1-Settings!$B$2),2)</f>
        <v>240.17</v>
      </c>
      <c r="E1109" s="3">
        <f>ROUND(C1109*(1-Settings!$B$3),2)</f>
        <v>240.17</v>
      </c>
      <c r="F1109" s="2" t="inlineStr">
        <is>
          <t>Pokemon</t>
        </is>
      </c>
      <c r="G1109" s="2" t="inlineStr">
        <is>
          <t>Coffret</t>
        </is>
      </c>
      <c r="H1109" s="2" t="inlineStr">
        <is>
          <t>Japanese 25th Anniversary Collection</t>
        </is>
      </c>
      <c r="I1109" s="3" t="n">
        <v>343.1</v>
      </c>
      <c r="J1109" s="3" t="n"/>
      <c r="K1109" s="3" t="n"/>
      <c r="L1109" s="3" t="n"/>
      <c r="M1109" s="2" t="inlineStr">
        <is>
          <t>PriceCharting</t>
        </is>
      </c>
      <c r="N1109" s="4" t="inlineStr">
        <is>
          <t>https://www.pricecharting.com/game/pokemon-japanese-25th-anniversary-collection/special-collection-box</t>
        </is>
      </c>
    </row>
    <row r="1110">
      <c r="A1110" s="2" t="inlineStr">
        <is>
          <t>Japanese 25th Anniversary Golden Box Sealed 25th Anniversary Golden Box</t>
        </is>
      </c>
      <c r="B1110" s="3">
        <f>IF(I1110&lt;&gt;"",I1110,IF(J1110&lt;&gt;"",J1110,IF(K1110&lt;&gt;"",K1110,L1110)))</f>
        <v>1733.64</v>
      </c>
      <c r="C1110" s="3">
        <f>MEDIAN(I1110:L1110)</f>
        <v>1733.64</v>
      </c>
      <c r="D1110" s="3">
        <f>ROUND(C1110*(1-Settings!$B$2),2)</f>
        <v>1213.55</v>
      </c>
      <c r="E1110" s="3">
        <f>ROUND(C1110*(1-Settings!$B$3),2)</f>
        <v>1213.55</v>
      </c>
      <c r="F1110" s="2" t="inlineStr">
        <is>
          <t>Pokemon</t>
        </is>
      </c>
      <c r="G1110" s="2" t="inlineStr">
        <is>
          <t>Coffret</t>
        </is>
      </c>
      <c r="H1110" s="2" t="inlineStr">
        <is>
          <t>Japanese 25th Anniversary Golden Box</t>
        </is>
      </c>
      <c r="I1110" s="3" t="n">
        <v>1733.64</v>
      </c>
      <c r="J1110" s="3" t="n"/>
      <c r="K1110" s="3" t="n"/>
      <c r="L1110" s="3" t="n"/>
      <c r="M1110" s="2" t="inlineStr">
        <is>
          <t>PriceCharting</t>
        </is>
      </c>
      <c r="N1110" s="4" t="inlineStr">
        <is>
          <t>https://www.pricecharting.com/game/pokemon-japanese-25th-anniversary-golden-box/sealed-25th-anniversary-golden-box</t>
        </is>
      </c>
    </row>
    <row r="1111">
      <c r="A1111" s="2" t="inlineStr">
        <is>
          <t>Japanese Battle Partners Lillie's File Set Collection</t>
        </is>
      </c>
      <c r="B1111" s="3">
        <f>IF(I1111&lt;&gt;"",I1111,IF(J1111&lt;&gt;"",J1111,IF(K1111&lt;&gt;"",K1111,L1111)))</f>
        <v>49.61</v>
      </c>
      <c r="C1111" s="3">
        <f>MEDIAN(I1111:L1111)</f>
        <v>49.61</v>
      </c>
      <c r="D1111" s="3">
        <f>ROUND(C1111*(1-Settings!$B$2),2)</f>
        <v>34.73</v>
      </c>
      <c r="E1111" s="3">
        <f>ROUND(C1111*(1-Settings!$B$3),2)</f>
        <v>34.73</v>
      </c>
      <c r="F1111" s="2" t="inlineStr">
        <is>
          <t>Pokemon</t>
        </is>
      </c>
      <c r="G1111" s="2" t="inlineStr">
        <is>
          <t>Coffret</t>
        </is>
      </c>
      <c r="H1111" s="2" t="inlineStr">
        <is>
          <t>Japanese Battle Partners</t>
        </is>
      </c>
      <c r="I1111" s="3" t="n">
        <v>49.61</v>
      </c>
      <c r="J1111" s="3" t="n"/>
      <c r="K1111" s="3" t="n"/>
      <c r="L1111" s="3" t="n"/>
      <c r="M1111" s="2" t="inlineStr">
        <is>
          <t>PriceCharting</t>
        </is>
      </c>
      <c r="N1111" s="4" t="inlineStr">
        <is>
          <t>https://www.pricecharting.com/game/pokemon-japanese-battle-partners/lillie's-file-set-collection</t>
        </is>
      </c>
    </row>
    <row r="1112">
      <c r="A1112" s="2" t="inlineStr">
        <is>
          <t>Japanese Battle Partners N's File Set Collection</t>
        </is>
      </c>
      <c r="B1112" s="3">
        <f>IF(I1112&lt;&gt;"",I1112,IF(J1112&lt;&gt;"",J1112,IF(K1112&lt;&gt;"",K1112,L1112)))</f>
        <v>58.81</v>
      </c>
      <c r="C1112" s="3">
        <f>MEDIAN(I1112:L1112)</f>
        <v>58.81</v>
      </c>
      <c r="D1112" s="3">
        <f>ROUND(C1112*(1-Settings!$B$2),2)</f>
        <v>41.17</v>
      </c>
      <c r="E1112" s="3">
        <f>ROUND(C1112*(1-Settings!$B$3),2)</f>
        <v>41.17</v>
      </c>
      <c r="F1112" s="2" t="inlineStr">
        <is>
          <t>Pokemon</t>
        </is>
      </c>
      <c r="G1112" s="2" t="inlineStr">
        <is>
          <t>Coffret</t>
        </is>
      </c>
      <c r="H1112" s="2" t="inlineStr">
        <is>
          <t>Japanese Battle Partners</t>
        </is>
      </c>
      <c r="I1112" s="3" t="n">
        <v>58.81</v>
      </c>
      <c r="J1112" s="3" t="n"/>
      <c r="K1112" s="3" t="n"/>
      <c r="L1112" s="3" t="n"/>
      <c r="M1112" s="2" t="inlineStr">
        <is>
          <t>PriceCharting</t>
        </is>
      </c>
      <c r="N1112" s="4" t="inlineStr">
        <is>
          <t>https://www.pricecharting.com/game/pokemon-japanese-battle-partners/n's-file-set-collection</t>
        </is>
      </c>
    </row>
    <row r="1113">
      <c r="A1113" s="2" t="inlineStr">
        <is>
          <t>Japanese Darkness And To Light Energy Stadium</t>
        </is>
      </c>
      <c r="B1113" s="3">
        <f>IF(I1113&lt;&gt;"",I1113,IF(J1113&lt;&gt;"",J1113,IF(K1113&lt;&gt;"",K1113,L1113)))</f>
        <v>2.92</v>
      </c>
      <c r="C1113" s="3">
        <f>MEDIAN(I1113:L1113)</f>
        <v>2.92</v>
      </c>
      <c r="D1113" s="3">
        <f>ROUND(C1113*(1-Settings!$B$2),2)</f>
        <v>2.04</v>
      </c>
      <c r="E1113" s="3">
        <f>ROUND(C1113*(1-Settings!$B$3),2)</f>
        <v>2.04</v>
      </c>
      <c r="F1113" s="2" t="inlineStr">
        <is>
          <t>Pokemon</t>
        </is>
      </c>
      <c r="G1113" s="2" t="inlineStr">
        <is>
          <t>Coffret</t>
        </is>
      </c>
      <c r="H1113" s="2" t="inlineStr">
        <is>
          <t>Japanese Darkness And To Light</t>
        </is>
      </c>
      <c r="I1113" s="3" t="n">
        <v>2.92</v>
      </c>
      <c r="J1113" s="3" t="n"/>
      <c r="K1113" s="3" t="n"/>
      <c r="L1113" s="3" t="n"/>
      <c r="M1113" s="2" t="inlineStr">
        <is>
          <t>PriceCharting</t>
        </is>
      </c>
      <c r="N1113" s="4" t="inlineStr">
        <is>
          <t>https://www.pricecharting.com/game/pokemon-japanese-darkness-and-to-light/energy-stadium</t>
        </is>
      </c>
    </row>
    <row r="1114">
      <c r="A1114" s="2" t="inlineStr">
        <is>
          <t>Japanese Darkness And To Light Lucky Stadium</t>
        </is>
      </c>
      <c r="B1114" s="3">
        <f>IF(I1114&lt;&gt;"",I1114,IF(J1114&lt;&gt;"",J1114,IF(K1114&lt;&gt;"",K1114,L1114)))</f>
        <v>10.58</v>
      </c>
      <c r="C1114" s="3">
        <f>MEDIAN(I1114:L1114)</f>
        <v>10.58</v>
      </c>
      <c r="D1114" s="3">
        <f>ROUND(C1114*(1-Settings!$B$2),2)</f>
        <v>7.41</v>
      </c>
      <c r="E1114" s="3">
        <f>ROUND(C1114*(1-Settings!$B$3),2)</f>
        <v>7.41</v>
      </c>
      <c r="F1114" s="2" t="inlineStr">
        <is>
          <t>Pokemon</t>
        </is>
      </c>
      <c r="G1114" s="2" t="inlineStr">
        <is>
          <t>Coffret</t>
        </is>
      </c>
      <c r="H1114" s="2" t="inlineStr">
        <is>
          <t>Japanese Darkness And To Light</t>
        </is>
      </c>
      <c r="I1114" s="3" t="n">
        <v>10.58</v>
      </c>
      <c r="J1114" s="3" t="n"/>
      <c r="K1114" s="3" t="n"/>
      <c r="L1114" s="3" t="n"/>
      <c r="M1114" s="2" t="inlineStr">
        <is>
          <t>PriceCharting</t>
        </is>
      </c>
      <c r="N1114" s="4" t="inlineStr">
        <is>
          <t>https://www.pricecharting.com/game/pokemon-japanese-darkness-and-to-light/lucky-stadium</t>
        </is>
      </c>
    </row>
    <row r="1115">
      <c r="A1115" s="2" t="inlineStr">
        <is>
          <t>Japanese Eevee Heroes Gym Box</t>
        </is>
      </c>
      <c r="B1115" s="3">
        <f>IF(I1115&lt;&gt;"",I1115,IF(J1115&lt;&gt;"",J1115,IF(K1115&lt;&gt;"",K1115,L1115)))</f>
        <v>2113.9</v>
      </c>
      <c r="C1115" s="3">
        <f>MEDIAN(I1115:L1115)</f>
        <v>2113.9</v>
      </c>
      <c r="D1115" s="3">
        <f>ROUND(C1115*(1-Settings!$B$2),2)</f>
        <v>1479.73</v>
      </c>
      <c r="E1115" s="3">
        <f>ROUND(C1115*(1-Settings!$B$3),2)</f>
        <v>1479.73</v>
      </c>
      <c r="F1115" s="2" t="inlineStr">
        <is>
          <t>Pokemon</t>
        </is>
      </c>
      <c r="G1115" s="2" t="inlineStr">
        <is>
          <t>Coffret</t>
        </is>
      </c>
      <c r="H1115" s="2" t="inlineStr">
        <is>
          <t>Japanese Eevee Heroes</t>
        </is>
      </c>
      <c r="I1115" s="3" t="n">
        <v>2113.9</v>
      </c>
      <c r="J1115" s="3" t="n"/>
      <c r="K1115" s="3" t="n"/>
      <c r="L1115" s="3" t="n"/>
      <c r="M1115" s="2" t="inlineStr">
        <is>
          <t>PriceCharting</t>
        </is>
      </c>
      <c r="N1115" s="4" t="inlineStr">
        <is>
          <t>https://www.pricecharting.com/game/pokemon-japanese-eevee-heroes/gym-box</t>
        </is>
      </c>
    </row>
    <row r="1116">
      <c r="A1116" s="2" t="inlineStr">
        <is>
          <t>Japanese Eevee Heroes Sealed Promo Box</t>
        </is>
      </c>
      <c r="B1116" s="3">
        <f>IF(I1116&lt;&gt;"",I1116,IF(J1116&lt;&gt;"",J1116,IF(K1116&lt;&gt;"",K1116,L1116)))</f>
        <v>229.99</v>
      </c>
      <c r="C1116" s="3">
        <f>MEDIAN(I1116:L1116)</f>
        <v>229.99</v>
      </c>
      <c r="D1116" s="3">
        <f>ROUND(C1116*(1-Settings!$B$2),2)</f>
        <v>160.99</v>
      </c>
      <c r="E1116" s="3">
        <f>ROUND(C1116*(1-Settings!$B$3),2)</f>
        <v>160.99</v>
      </c>
      <c r="F1116" s="2" t="inlineStr">
        <is>
          <t>Pokemon</t>
        </is>
      </c>
      <c r="G1116" s="2" t="inlineStr">
        <is>
          <t>Coffret</t>
        </is>
      </c>
      <c r="H1116" s="2" t="inlineStr">
        <is>
          <t>Japanese Eevee Heroes</t>
        </is>
      </c>
      <c r="I1116" s="3" t="n">
        <v>229.99</v>
      </c>
      <c r="J1116" s="3" t="n"/>
      <c r="K1116" s="3" t="n"/>
      <c r="L1116" s="3" t="n"/>
      <c r="M1116" s="2" t="inlineStr">
        <is>
          <t>PriceCharting</t>
        </is>
      </c>
      <c r="N1116" s="4" t="inlineStr">
        <is>
          <t>https://www.pricecharting.com/game/pokemon-japanese-eevee-heroes/sealed-promo-box</t>
        </is>
      </c>
    </row>
    <row r="1117">
      <c r="A1117" s="2" t="inlineStr">
        <is>
          <t>Japanese Go Card File Set</t>
        </is>
      </c>
      <c r="B1117" s="3">
        <f>IF(I1117&lt;&gt;"",I1117,IF(J1117&lt;&gt;"",J1117,IF(K1117&lt;&gt;"",K1117,L1117)))</f>
        <v>103.5</v>
      </c>
      <c r="C1117" s="3">
        <f>MEDIAN(I1117:L1117)</f>
        <v>103.5</v>
      </c>
      <c r="D1117" s="3">
        <f>ROUND(C1117*(1-Settings!$B$2),2)</f>
        <v>72.45</v>
      </c>
      <c r="E1117" s="3">
        <f>ROUND(C1117*(1-Settings!$B$3),2)</f>
        <v>72.45</v>
      </c>
      <c r="F1117" s="2" t="inlineStr">
        <is>
          <t>Pokemon</t>
        </is>
      </c>
      <c r="G1117" s="2" t="inlineStr">
        <is>
          <t>Coffret</t>
        </is>
      </c>
      <c r="H1117" s="2" t="inlineStr">
        <is>
          <t>Japanese Go</t>
        </is>
      </c>
      <c r="I1117" s="3" t="n">
        <v>103.5</v>
      </c>
      <c r="J1117" s="3" t="n"/>
      <c r="K1117" s="3" t="n"/>
      <c r="L1117" s="3" t="n"/>
      <c r="M1117" s="2" t="inlineStr">
        <is>
          <t>PriceCharting</t>
        </is>
      </c>
      <c r="N1117" s="4" t="inlineStr">
        <is>
          <t>https://www.pricecharting.com/game/pokemon-japanese-go/card-file-set</t>
        </is>
      </c>
    </row>
    <row r="1118">
      <c r="A1118" s="2" t="inlineStr">
        <is>
          <t>Japanese Go Sealed Special Set</t>
        </is>
      </c>
      <c r="B1118" s="3">
        <f>IF(I1118&lt;&gt;"",I1118,IF(J1118&lt;&gt;"",J1118,IF(K1118&lt;&gt;"",K1118,L1118)))</f>
        <v>149.0</v>
      </c>
      <c r="C1118" s="3">
        <f>MEDIAN(I1118:L1118)</f>
        <v>149.0</v>
      </c>
      <c r="D1118" s="3">
        <f>ROUND(C1118*(1-Settings!$B$2),2)</f>
        <v>104.3</v>
      </c>
      <c r="E1118" s="3">
        <f>ROUND(C1118*(1-Settings!$B$3),2)</f>
        <v>104.3</v>
      </c>
      <c r="F1118" s="2" t="inlineStr">
        <is>
          <t>Pokemon</t>
        </is>
      </c>
      <c r="G1118" s="2" t="inlineStr">
        <is>
          <t>Coffret</t>
        </is>
      </c>
      <c r="H1118" s="2" t="inlineStr">
        <is>
          <t>Japanese Go</t>
        </is>
      </c>
      <c r="I1118" s="3" t="n">
        <v>149</v>
      </c>
      <c r="J1118" s="3" t="n"/>
      <c r="K1118" s="3" t="n"/>
      <c r="L1118" s="3" t="n"/>
      <c r="M1118" s="2" t="inlineStr">
        <is>
          <t>PriceCharting</t>
        </is>
      </c>
      <c r="N1118" s="4" t="inlineStr">
        <is>
          <t>https://www.pricecharting.com/game/pokemon-japanese-go/sealed-special-set</t>
        </is>
      </c>
    </row>
    <row r="1119">
      <c r="A1119" s="2" t="inlineStr">
        <is>
          <t>Japanese Mask Of Change Special Jumbo Card Set Ogerpon</t>
        </is>
      </c>
      <c r="B1119" s="3">
        <f>IF(I1119&lt;&gt;"",I1119,IF(J1119&lt;&gt;"",J1119,IF(K1119&lt;&gt;"",K1119,L1119)))</f>
        <v>47.89</v>
      </c>
      <c r="C1119" s="3">
        <f>MEDIAN(I1119:L1119)</f>
        <v>47.89</v>
      </c>
      <c r="D1119" s="3">
        <f>ROUND(C1119*(1-Settings!$B$2),2)</f>
        <v>33.52</v>
      </c>
      <c r="E1119" s="3">
        <f>ROUND(C1119*(1-Settings!$B$3),2)</f>
        <v>33.52</v>
      </c>
      <c r="F1119" s="2" t="inlineStr">
        <is>
          <t>Pokemon</t>
        </is>
      </c>
      <c r="G1119" s="2" t="inlineStr">
        <is>
          <t>Coffret</t>
        </is>
      </c>
      <c r="H1119" s="2" t="inlineStr">
        <is>
          <t>Japanese Mask Of Change</t>
        </is>
      </c>
      <c r="I1119" s="3" t="n">
        <v>47.89</v>
      </c>
      <c r="J1119" s="3" t="n"/>
      <c r="K1119" s="3" t="n"/>
      <c r="L1119" s="3" t="n"/>
      <c r="M1119" s="2" t="inlineStr">
        <is>
          <t>PriceCharting</t>
        </is>
      </c>
      <c r="N1119" s="4" t="inlineStr">
        <is>
          <t>https://www.pricecharting.com/game/pokemon-japanese-mask-of-change/special-jumbo-card-set-ogerpon</t>
        </is>
      </c>
    </row>
    <row r="1120">
      <c r="A1120" s="2" t="inlineStr">
        <is>
          <t>Japanese Mega Brave Pokemon Center Set</t>
        </is>
      </c>
      <c r="B1120" s="3">
        <f>IF(I1120&lt;&gt;"",I1120,IF(J1120&lt;&gt;"",J1120,IF(K1120&lt;&gt;"",K1120,L1120)))</f>
        <v>214.05</v>
      </c>
      <c r="C1120" s="3">
        <f>MEDIAN(I1120:L1120)</f>
        <v>214.05</v>
      </c>
      <c r="D1120" s="3">
        <f>ROUND(C1120*(1-Settings!$B$2),2)</f>
        <v>149.84</v>
      </c>
      <c r="E1120" s="3">
        <f>ROUND(C1120*(1-Settings!$B$3),2)</f>
        <v>149.84</v>
      </c>
      <c r="F1120" s="2" t="inlineStr">
        <is>
          <t>Pokemon</t>
        </is>
      </c>
      <c r="G1120" s="2" t="inlineStr">
        <is>
          <t>Coffret</t>
        </is>
      </c>
      <c r="H1120" s="2" t="inlineStr">
        <is>
          <t>Japanese Mega Brave</t>
        </is>
      </c>
      <c r="I1120" s="3" t="n">
        <v>214.05</v>
      </c>
      <c r="J1120" s="3" t="n"/>
      <c r="K1120" s="3" t="n"/>
      <c r="L1120" s="3" t="n"/>
      <c r="M1120" s="2" t="inlineStr">
        <is>
          <t>PriceCharting</t>
        </is>
      </c>
      <c r="N1120" s="4" t="inlineStr">
        <is>
          <t>https://www.pricecharting.com/game/pokemon-japanese-mega-brave/pokemon-center-set</t>
        </is>
      </c>
    </row>
    <row r="1121">
      <c r="A1121" s="2" t="inlineStr">
        <is>
          <t>Japanese Mega Brave Premium Trainer Box MEGA</t>
        </is>
      </c>
      <c r="B1121" s="3">
        <f>IF(I1121&lt;&gt;"",I1121,IF(J1121&lt;&gt;"",J1121,IF(K1121&lt;&gt;"",K1121,L1121)))</f>
        <v>108.45</v>
      </c>
      <c r="C1121" s="3">
        <f>MEDIAN(I1121:L1121)</f>
        <v>108.45</v>
      </c>
      <c r="D1121" s="3">
        <f>ROUND(C1121*(1-Settings!$B$2),2)</f>
        <v>75.92</v>
      </c>
      <c r="E1121" s="3">
        <f>ROUND(C1121*(1-Settings!$B$3),2)</f>
        <v>75.92</v>
      </c>
      <c r="F1121" s="2" t="inlineStr">
        <is>
          <t>Pokemon</t>
        </is>
      </c>
      <c r="G1121" s="2" t="inlineStr">
        <is>
          <t>Coffret</t>
        </is>
      </c>
      <c r="H1121" s="2" t="inlineStr">
        <is>
          <t>Japanese Mega Brave</t>
        </is>
      </c>
      <c r="I1121" s="3" t="n">
        <v>108.45</v>
      </c>
      <c r="J1121" s="3" t="n"/>
      <c r="K1121" s="3" t="n"/>
      <c r="L1121" s="3" t="n"/>
      <c r="M1121" s="2" t="inlineStr">
        <is>
          <t>PriceCharting</t>
        </is>
      </c>
      <c r="N1121" s="4" t="inlineStr">
        <is>
          <t>https://www.pricecharting.com/game/pokemon-japanese-mega-brave/premium-trainer-box-mega</t>
        </is>
      </c>
    </row>
    <row r="1122">
      <c r="A1122" s="2" t="inlineStr">
        <is>
          <t>Japanese Mega Symphonia Pokemon Center Set</t>
        </is>
      </c>
      <c r="B1122" s="3">
        <f>IF(I1122&lt;&gt;"",I1122,IF(J1122&lt;&gt;"",J1122,IF(K1122&lt;&gt;"",K1122,L1122)))</f>
        <v>289.28</v>
      </c>
      <c r="C1122" s="3">
        <f>MEDIAN(I1122:L1122)</f>
        <v>289.28</v>
      </c>
      <c r="D1122" s="3">
        <f>ROUND(C1122*(1-Settings!$B$2),2)</f>
        <v>202.5</v>
      </c>
      <c r="E1122" s="3">
        <f>ROUND(C1122*(1-Settings!$B$3),2)</f>
        <v>202.5</v>
      </c>
      <c r="F1122" s="2" t="inlineStr">
        <is>
          <t>Pokemon</t>
        </is>
      </c>
      <c r="G1122" s="2" t="inlineStr">
        <is>
          <t>Coffret</t>
        </is>
      </c>
      <c r="H1122" s="2" t="inlineStr">
        <is>
          <t>Japanese Mega Symphonia</t>
        </is>
      </c>
      <c r="I1122" s="3" t="n">
        <v>289.28</v>
      </c>
      <c r="J1122" s="3" t="n"/>
      <c r="K1122" s="3" t="n"/>
      <c r="L1122" s="3" t="n"/>
      <c r="M1122" s="2" t="inlineStr">
        <is>
          <t>PriceCharting</t>
        </is>
      </c>
      <c r="N1122" s="4" t="inlineStr">
        <is>
          <t>https://www.pricecharting.com/game/pokemon-japanese-mega-symphonia/pokemon-center-set</t>
        </is>
      </c>
    </row>
    <row r="1123">
      <c r="A1123" s="2" t="inlineStr">
        <is>
          <t>Japanese Neo Premium File Premium File Folder 1</t>
        </is>
      </c>
      <c r="B1123" s="3">
        <f>IF(I1123&lt;&gt;"",I1123,IF(J1123&lt;&gt;"",J1123,IF(K1123&lt;&gt;"",K1123,L1123)))</f>
        <v>174.68</v>
      </c>
      <c r="C1123" s="3">
        <f>MEDIAN(I1123:L1123)</f>
        <v>174.68</v>
      </c>
      <c r="D1123" s="3">
        <f>ROUND(C1123*(1-Settings!$B$2),2)</f>
        <v>122.28</v>
      </c>
      <c r="E1123" s="3">
        <f>ROUND(C1123*(1-Settings!$B$3),2)</f>
        <v>122.28</v>
      </c>
      <c r="F1123" s="2" t="inlineStr">
        <is>
          <t>Pokemon</t>
        </is>
      </c>
      <c r="G1123" s="2" t="inlineStr">
        <is>
          <t>Coffret</t>
        </is>
      </c>
      <c r="H1123" s="2" t="inlineStr">
        <is>
          <t>Japanese Neo Premium File</t>
        </is>
      </c>
      <c r="I1123" s="3" t="n">
        <v>174.68</v>
      </c>
      <c r="J1123" s="3" t="n"/>
      <c r="K1123" s="3" t="n"/>
      <c r="L1123" s="3" t="n"/>
      <c r="M1123" s="2" t="inlineStr">
        <is>
          <t>PriceCharting</t>
        </is>
      </c>
      <c r="N1123" s="4" t="inlineStr">
        <is>
          <t>https://www.pricecharting.com/game/pokemon-japanese-neo-premium-file/premium-file-folder-1</t>
        </is>
      </c>
    </row>
    <row r="1124">
      <c r="A1124" s="2" t="inlineStr">
        <is>
          <t>Japanese Neo Premium File Premium File Folder 2</t>
        </is>
      </c>
      <c r="B1124" s="3">
        <f>IF(I1124&lt;&gt;"",I1124,IF(J1124&lt;&gt;"",J1124,IF(K1124&lt;&gt;"",K1124,L1124)))</f>
        <v>572.44</v>
      </c>
      <c r="C1124" s="3">
        <f>MEDIAN(I1124:L1124)</f>
        <v>572.44</v>
      </c>
      <c r="D1124" s="3">
        <f>ROUND(C1124*(1-Settings!$B$2),2)</f>
        <v>400.71</v>
      </c>
      <c r="E1124" s="3">
        <f>ROUND(C1124*(1-Settings!$B$3),2)</f>
        <v>400.71</v>
      </c>
      <c r="F1124" s="2" t="inlineStr">
        <is>
          <t>Pokemon</t>
        </is>
      </c>
      <c r="G1124" s="2" t="inlineStr">
        <is>
          <t>Coffret</t>
        </is>
      </c>
      <c r="H1124" s="2" t="inlineStr">
        <is>
          <t>Japanese Neo Premium File</t>
        </is>
      </c>
      <c r="I1124" s="3" t="n">
        <v>572.4400000000001</v>
      </c>
      <c r="J1124" s="3" t="n"/>
      <c r="K1124" s="3" t="n"/>
      <c r="L1124" s="3" t="n"/>
      <c r="M1124" s="2" t="inlineStr">
        <is>
          <t>PriceCharting</t>
        </is>
      </c>
      <c r="N1124" s="4" t="inlineStr">
        <is>
          <t>https://www.pricecharting.com/game/pokemon-japanese-neo-premium-file/premium-file-folder-2</t>
        </is>
      </c>
    </row>
    <row r="1125">
      <c r="A1125" s="2" t="inlineStr">
        <is>
          <t>Japanese Neo Premium File Premium File Folder 3</t>
        </is>
      </c>
      <c r="B1125" s="3">
        <f>IF(I1125&lt;&gt;"",I1125,IF(J1125&lt;&gt;"",J1125,IF(K1125&lt;&gt;"",K1125,L1125)))</f>
        <v>556.9</v>
      </c>
      <c r="C1125" s="3">
        <f>MEDIAN(I1125:L1125)</f>
        <v>556.9</v>
      </c>
      <c r="D1125" s="3">
        <f>ROUND(C1125*(1-Settings!$B$2),2)</f>
        <v>389.83</v>
      </c>
      <c r="E1125" s="3">
        <f>ROUND(C1125*(1-Settings!$B$3),2)</f>
        <v>389.83</v>
      </c>
      <c r="F1125" s="2" t="inlineStr">
        <is>
          <t>Pokemon</t>
        </is>
      </c>
      <c r="G1125" s="2" t="inlineStr">
        <is>
          <t>Coffret</t>
        </is>
      </c>
      <c r="H1125" s="2" t="inlineStr">
        <is>
          <t>Japanese Neo Premium File</t>
        </is>
      </c>
      <c r="I1125" s="3" t="n">
        <v>556.9</v>
      </c>
      <c r="J1125" s="3" t="n"/>
      <c r="K1125" s="3" t="n"/>
      <c r="L1125" s="3" t="n"/>
      <c r="M1125" s="2" t="inlineStr">
        <is>
          <t>PriceCharting</t>
        </is>
      </c>
      <c r="N1125" s="4" t="inlineStr">
        <is>
          <t>https://www.pricecharting.com/game/pokemon-japanese-neo-premium-file/premium-file-folder-3</t>
        </is>
      </c>
    </row>
    <row r="1126">
      <c r="A1126" s="2" t="inlineStr">
        <is>
          <t>Japanese Nihil Zero Mega Gallade Ex Special Card Set</t>
        </is>
      </c>
      <c r="B1126" s="3">
        <f>IF(I1126&lt;&gt;"",I1126,IF(J1126&lt;&gt;"",J1126,IF(K1126&lt;&gt;"",K1126,L1126)))</f>
        <v>45.0</v>
      </c>
      <c r="C1126" s="3">
        <f>MEDIAN(I1126:L1126)</f>
        <v>45.0</v>
      </c>
      <c r="D1126" s="3">
        <f>ROUND(C1126*(1-Settings!$B$2),2)</f>
        <v>31.5</v>
      </c>
      <c r="E1126" s="3">
        <f>ROUND(C1126*(1-Settings!$B$3),2)</f>
        <v>31.5</v>
      </c>
      <c r="F1126" s="2" t="inlineStr">
        <is>
          <t>Pokemon</t>
        </is>
      </c>
      <c r="G1126" s="2" t="inlineStr">
        <is>
          <t>Coffret</t>
        </is>
      </c>
      <c r="H1126" s="2" t="inlineStr">
        <is>
          <t>Japanese Nihil Zero</t>
        </is>
      </c>
      <c r="I1126" s="3" t="n">
        <v>45</v>
      </c>
      <c r="J1126" s="3" t="n"/>
      <c r="K1126" s="3" t="n"/>
      <c r="L1126" s="3" t="n"/>
      <c r="M1126" s="2" t="inlineStr">
        <is>
          <t>PriceCharting</t>
        </is>
      </c>
      <c r="N1126" s="4" t="inlineStr">
        <is>
          <t>https://www.pricecharting.com/game/pokemon-japanese-nihil-zero/mega-gallade-ex-special-card-set</t>
        </is>
      </c>
    </row>
    <row r="1127">
      <c r="A1127" s="2" t="inlineStr">
        <is>
          <t>Japanese Paradigm Trigger Mystery Box</t>
        </is>
      </c>
      <c r="B1127" s="3">
        <f>IF(I1127&lt;&gt;"",I1127,IF(J1127&lt;&gt;"",J1127,IF(K1127&lt;&gt;"",K1127,L1127)))</f>
        <v>118.57</v>
      </c>
      <c r="C1127" s="3">
        <f>MEDIAN(I1127:L1127)</f>
        <v>118.57</v>
      </c>
      <c r="D1127" s="3">
        <f>ROUND(C1127*(1-Settings!$B$2),2)</f>
        <v>83.0</v>
      </c>
      <c r="E1127" s="3">
        <f>ROUND(C1127*(1-Settings!$B$3),2)</f>
        <v>83.0</v>
      </c>
      <c r="F1127" s="2" t="inlineStr">
        <is>
          <t>Pokemon</t>
        </is>
      </c>
      <c r="G1127" s="2" t="inlineStr">
        <is>
          <t>Coffret</t>
        </is>
      </c>
      <c r="H1127" s="2" t="inlineStr">
        <is>
          <t>Japanese Paradigm Trigger</t>
        </is>
      </c>
      <c r="I1127" s="3" t="n">
        <v>118.57</v>
      </c>
      <c r="J1127" s="3" t="n"/>
      <c r="K1127" s="3" t="n"/>
      <c r="L1127" s="3" t="n"/>
      <c r="M1127" s="2" t="inlineStr">
        <is>
          <t>PriceCharting</t>
        </is>
      </c>
      <c r="N1127" s="4" t="inlineStr">
        <is>
          <t>https://www.pricecharting.com/game/pokemon-japanese-paradigm-trigger/mystery-box</t>
        </is>
      </c>
    </row>
    <row r="1128">
      <c r="A1128" s="2" t="inlineStr">
        <is>
          <t>Japanese Promo 151 Card File Set</t>
        </is>
      </c>
      <c r="B1128" s="3">
        <f>IF(I1128&lt;&gt;"",I1128,IF(J1128&lt;&gt;"",J1128,IF(K1128&lt;&gt;"",K1128,L1128)))</f>
        <v>155.8</v>
      </c>
      <c r="C1128" s="3">
        <f>MEDIAN(I1128:L1128)</f>
        <v>155.8</v>
      </c>
      <c r="D1128" s="3">
        <f>ROUND(C1128*(1-Settings!$B$2),2)</f>
        <v>109.06</v>
      </c>
      <c r="E1128" s="3">
        <f>ROUND(C1128*(1-Settings!$B$3),2)</f>
        <v>109.06</v>
      </c>
      <c r="F1128" s="2" t="inlineStr">
        <is>
          <t>Pokemon</t>
        </is>
      </c>
      <c r="G1128" s="2" t="inlineStr">
        <is>
          <t>Coffret</t>
        </is>
      </c>
      <c r="H1128" s="2" t="inlineStr">
        <is>
          <t>Japanese Promo</t>
        </is>
      </c>
      <c r="I1128" s="3" t="n">
        <v>155.8</v>
      </c>
      <c r="J1128" s="3" t="n"/>
      <c r="K1128" s="3" t="n"/>
      <c r="L1128" s="3" t="n"/>
      <c r="M1128" s="2" t="inlineStr">
        <is>
          <t>PriceCharting</t>
        </is>
      </c>
      <c r="N1128" s="4" t="inlineStr">
        <is>
          <t>https://www.pricecharting.com/game/pokemon-japanese-promo/151-card-file-set</t>
        </is>
      </c>
    </row>
    <row r="1129">
      <c r="A1129" s="2" t="inlineStr">
        <is>
          <t>Japanese Promo Brock Trainer Battle Box</t>
        </is>
      </c>
      <c r="B1129" s="3">
        <f>IF(I1129&lt;&gt;"",I1129,IF(J1129&lt;&gt;"",J1129,IF(K1129&lt;&gt;"",K1129,L1129)))</f>
        <v>139.99</v>
      </c>
      <c r="C1129" s="3">
        <f>MEDIAN(I1129:L1129)</f>
        <v>139.99</v>
      </c>
      <c r="D1129" s="3">
        <f>ROUND(C1129*(1-Settings!$B$2),2)</f>
        <v>97.99</v>
      </c>
      <c r="E1129" s="3">
        <f>ROUND(C1129*(1-Settings!$B$3),2)</f>
        <v>97.99</v>
      </c>
      <c r="F1129" s="2" t="inlineStr">
        <is>
          <t>Pokemon</t>
        </is>
      </c>
      <c r="G1129" s="2" t="inlineStr">
        <is>
          <t>Coffret</t>
        </is>
      </c>
      <c r="H1129" s="2" t="inlineStr">
        <is>
          <t>Japanese Promo</t>
        </is>
      </c>
      <c r="I1129" s="3" t="n">
        <v>139.99</v>
      </c>
      <c r="J1129" s="3" t="n"/>
      <c r="K1129" s="3" t="n"/>
      <c r="L1129" s="3" t="n"/>
      <c r="M1129" s="2" t="inlineStr">
        <is>
          <t>PriceCharting</t>
        </is>
      </c>
      <c r="N1129" s="4" t="inlineStr">
        <is>
          <t>https://www.pricecharting.com/game/pokemon-japanese-promo/brock-trainer-battle-box</t>
        </is>
      </c>
    </row>
    <row r="1130">
      <c r="A1130" s="2" t="inlineStr">
        <is>
          <t>Japanese Promo Ex Generations Special Battle Set</t>
        </is>
      </c>
      <c r="B1130" s="3">
        <f>IF(I1130&lt;&gt;"",I1130,IF(J1130&lt;&gt;"",J1130,IF(K1130&lt;&gt;"",K1130,L1130)))</f>
        <v>163.43</v>
      </c>
      <c r="C1130" s="3">
        <f>MEDIAN(I1130:L1130)</f>
        <v>163.43</v>
      </c>
      <c r="D1130" s="3">
        <f>ROUND(C1130*(1-Settings!$B$2),2)</f>
        <v>114.4</v>
      </c>
      <c r="E1130" s="3">
        <f>ROUND(C1130*(1-Settings!$B$3),2)</f>
        <v>114.4</v>
      </c>
      <c r="F1130" s="2" t="inlineStr">
        <is>
          <t>Pokemon</t>
        </is>
      </c>
      <c r="G1130" s="2" t="inlineStr">
        <is>
          <t>Coffret</t>
        </is>
      </c>
      <c r="H1130" s="2" t="inlineStr">
        <is>
          <t>Japanese Promo</t>
        </is>
      </c>
      <c r="I1130" s="3" t="n">
        <v>163.43</v>
      </c>
      <c r="J1130" s="3" t="n"/>
      <c r="K1130" s="3" t="n"/>
      <c r="L1130" s="3" t="n"/>
      <c r="M1130" s="2" t="inlineStr">
        <is>
          <t>PriceCharting</t>
        </is>
      </c>
      <c r="N1130" s="4" t="inlineStr">
        <is>
          <t>https://www.pricecharting.com/game/pokemon-japanese-promo/ex-generations-special-battle-set</t>
        </is>
      </c>
    </row>
    <row r="1131">
      <c r="A1131" s="2" t="inlineStr">
        <is>
          <t>Japanese Promo Lucky Stadium [Chugoku Shikoku]</t>
        </is>
      </c>
      <c r="B1131" s="3">
        <f>IF(I1131&lt;&gt;"",I1131,IF(J1131&lt;&gt;"",J1131,IF(K1131&lt;&gt;"",K1131,L1131)))</f>
        <v>79.73</v>
      </c>
      <c r="C1131" s="3">
        <f>MEDIAN(I1131:L1131)</f>
        <v>79.73</v>
      </c>
      <c r="D1131" s="3">
        <f>ROUND(C1131*(1-Settings!$B$2),2)</f>
        <v>55.81</v>
      </c>
      <c r="E1131" s="3">
        <f>ROUND(C1131*(1-Settings!$B$3),2)</f>
        <v>55.81</v>
      </c>
      <c r="F1131" s="2" t="inlineStr">
        <is>
          <t>Pokemon</t>
        </is>
      </c>
      <c r="G1131" s="2" t="inlineStr">
        <is>
          <t>Coffret</t>
        </is>
      </c>
      <c r="H1131" s="2" t="inlineStr">
        <is>
          <t>Japanese Promo</t>
        </is>
      </c>
      <c r="I1131" s="3" t="n">
        <v>79.73</v>
      </c>
      <c r="J1131" s="3" t="n"/>
      <c r="K1131" s="3" t="n"/>
      <c r="L1131" s="3" t="n"/>
      <c r="M1131" s="2" t="inlineStr">
        <is>
          <t>PriceCharting</t>
        </is>
      </c>
      <c r="N1131" s="4" t="inlineStr">
        <is>
          <t>https://www.pricecharting.com/game/pokemon-japanese-promo/lucky-stadium-chugoku-shikoku</t>
        </is>
      </c>
    </row>
    <row r="1132">
      <c r="A1132" s="2" t="inlineStr">
        <is>
          <t>Japanese Promo Lucky Stadium [Chūbu]</t>
        </is>
      </c>
      <c r="B1132" s="3">
        <f>IF(I1132&lt;&gt;"",I1132,IF(J1132&lt;&gt;"",J1132,IF(K1132&lt;&gt;"",K1132,L1132)))</f>
        <v>49.99</v>
      </c>
      <c r="C1132" s="3">
        <f>MEDIAN(I1132:L1132)</f>
        <v>49.99</v>
      </c>
      <c r="D1132" s="3">
        <f>ROUND(C1132*(1-Settings!$B$2),2)</f>
        <v>34.99</v>
      </c>
      <c r="E1132" s="3">
        <f>ROUND(C1132*(1-Settings!$B$3),2)</f>
        <v>34.99</v>
      </c>
      <c r="F1132" s="2" t="inlineStr">
        <is>
          <t>Pokemon</t>
        </is>
      </c>
      <c r="G1132" s="2" t="inlineStr">
        <is>
          <t>Coffret</t>
        </is>
      </c>
      <c r="H1132" s="2" t="inlineStr">
        <is>
          <t>Japanese Promo</t>
        </is>
      </c>
      <c r="I1132" s="3" t="n">
        <v>49.99</v>
      </c>
      <c r="J1132" s="3" t="n"/>
      <c r="K1132" s="3" t="n"/>
      <c r="L1132" s="3" t="n"/>
      <c r="M1132" s="2" t="inlineStr">
        <is>
          <t>PriceCharting</t>
        </is>
      </c>
      <c r="N1132" s="4" t="inlineStr">
        <is>
          <t>https://www.pricecharting.com/game/pokemon-japanese-promo/lucky-stadium-chūbu</t>
        </is>
      </c>
    </row>
    <row r="1133">
      <c r="A1133" s="2" t="inlineStr">
        <is>
          <t>Japanese Promo Lucky Stadium [Hokkaidō]</t>
        </is>
      </c>
      <c r="B1133" s="3">
        <f>IF(I1133&lt;&gt;"",I1133,IF(J1133&lt;&gt;"",J1133,IF(K1133&lt;&gt;"",K1133,L1133)))</f>
        <v>80.0</v>
      </c>
      <c r="C1133" s="3">
        <f>MEDIAN(I1133:L1133)</f>
        <v>80.0</v>
      </c>
      <c r="D1133" s="3">
        <f>ROUND(C1133*(1-Settings!$B$2),2)</f>
        <v>56.0</v>
      </c>
      <c r="E1133" s="3">
        <f>ROUND(C1133*(1-Settings!$B$3),2)</f>
        <v>56.0</v>
      </c>
      <c r="F1133" s="2" t="inlineStr">
        <is>
          <t>Pokemon</t>
        </is>
      </c>
      <c r="G1133" s="2" t="inlineStr">
        <is>
          <t>Coffret</t>
        </is>
      </c>
      <c r="H1133" s="2" t="inlineStr">
        <is>
          <t>Japanese Promo</t>
        </is>
      </c>
      <c r="I1133" s="3" t="n">
        <v>80</v>
      </c>
      <c r="J1133" s="3" t="n"/>
      <c r="K1133" s="3" t="n"/>
      <c r="L1133" s="3" t="n"/>
      <c r="M1133" s="2" t="inlineStr">
        <is>
          <t>PriceCharting</t>
        </is>
      </c>
      <c r="N1133" s="4" t="inlineStr">
        <is>
          <t>https://www.pricecharting.com/game/pokemon-japanese-promo/lucky-stadium-hokkaidō</t>
        </is>
      </c>
    </row>
    <row r="1134">
      <c r="A1134" s="2" t="inlineStr">
        <is>
          <t>Japanese Promo Lucky Stadium [Kansai]</t>
        </is>
      </c>
      <c r="B1134" s="3">
        <f>IF(I1134&lt;&gt;"",I1134,IF(J1134&lt;&gt;"",J1134,IF(K1134&lt;&gt;"",K1134,L1134)))</f>
        <v>46.1</v>
      </c>
      <c r="C1134" s="3">
        <f>MEDIAN(I1134:L1134)</f>
        <v>46.1</v>
      </c>
      <c r="D1134" s="3">
        <f>ROUND(C1134*(1-Settings!$B$2),2)</f>
        <v>32.27</v>
      </c>
      <c r="E1134" s="3">
        <f>ROUND(C1134*(1-Settings!$B$3),2)</f>
        <v>32.27</v>
      </c>
      <c r="F1134" s="2" t="inlineStr">
        <is>
          <t>Pokemon</t>
        </is>
      </c>
      <c r="G1134" s="2" t="inlineStr">
        <is>
          <t>Coffret</t>
        </is>
      </c>
      <c r="H1134" s="2" t="inlineStr">
        <is>
          <t>Japanese Promo</t>
        </is>
      </c>
      <c r="I1134" s="3" t="n">
        <v>46.1</v>
      </c>
      <c r="J1134" s="3" t="n"/>
      <c r="K1134" s="3" t="n"/>
      <c r="L1134" s="3" t="n"/>
      <c r="M1134" s="2" t="inlineStr">
        <is>
          <t>PriceCharting</t>
        </is>
      </c>
      <c r="N1134" s="4" t="inlineStr">
        <is>
          <t>https://www.pricecharting.com/game/pokemon-japanese-promo/lucky-stadium-kansai</t>
        </is>
      </c>
    </row>
    <row r="1135">
      <c r="A1135" s="2" t="inlineStr">
        <is>
          <t>Japanese Promo Lucky Stadium [Kantō]</t>
        </is>
      </c>
      <c r="B1135" s="3">
        <f>IF(I1135&lt;&gt;"",I1135,IF(J1135&lt;&gt;"",J1135,IF(K1135&lt;&gt;"",K1135,L1135)))</f>
        <v>77.37</v>
      </c>
      <c r="C1135" s="3">
        <f>MEDIAN(I1135:L1135)</f>
        <v>77.37</v>
      </c>
      <c r="D1135" s="3">
        <f>ROUND(C1135*(1-Settings!$B$2),2)</f>
        <v>54.16</v>
      </c>
      <c r="E1135" s="3">
        <f>ROUND(C1135*(1-Settings!$B$3),2)</f>
        <v>54.16</v>
      </c>
      <c r="F1135" s="2" t="inlineStr">
        <is>
          <t>Pokemon</t>
        </is>
      </c>
      <c r="G1135" s="2" t="inlineStr">
        <is>
          <t>Coffret</t>
        </is>
      </c>
      <c r="H1135" s="2" t="inlineStr">
        <is>
          <t>Japanese Promo</t>
        </is>
      </c>
      <c r="I1135" s="3" t="n">
        <v>77.37</v>
      </c>
      <c r="J1135" s="3" t="n"/>
      <c r="K1135" s="3" t="n"/>
      <c r="L1135" s="3" t="n"/>
      <c r="M1135" s="2" t="inlineStr">
        <is>
          <t>PriceCharting</t>
        </is>
      </c>
      <c r="N1135" s="4" t="inlineStr">
        <is>
          <t>https://www.pricecharting.com/game/pokemon-japanese-promo/lucky-stadium-kantō</t>
        </is>
      </c>
    </row>
    <row r="1136">
      <c r="A1136" s="2" t="inlineStr">
        <is>
          <t>Japanese Promo Lucky Stadium [Kyūshū]</t>
        </is>
      </c>
      <c r="B1136" s="3">
        <f>IF(I1136&lt;&gt;"",I1136,IF(J1136&lt;&gt;"",J1136,IF(K1136&lt;&gt;"",K1136,L1136)))</f>
        <v>37.3</v>
      </c>
      <c r="C1136" s="3">
        <f>MEDIAN(I1136:L1136)</f>
        <v>37.3</v>
      </c>
      <c r="D1136" s="3">
        <f>ROUND(C1136*(1-Settings!$B$2),2)</f>
        <v>26.11</v>
      </c>
      <c r="E1136" s="3">
        <f>ROUND(C1136*(1-Settings!$B$3),2)</f>
        <v>26.11</v>
      </c>
      <c r="F1136" s="2" t="inlineStr">
        <is>
          <t>Pokemon</t>
        </is>
      </c>
      <c r="G1136" s="2" t="inlineStr">
        <is>
          <t>Coffret</t>
        </is>
      </c>
      <c r="H1136" s="2" t="inlineStr">
        <is>
          <t>Japanese Promo</t>
        </is>
      </c>
      <c r="I1136" s="3" t="n">
        <v>37.3</v>
      </c>
      <c r="J1136" s="3" t="n"/>
      <c r="K1136" s="3" t="n"/>
      <c r="L1136" s="3" t="n"/>
      <c r="M1136" s="2" t="inlineStr">
        <is>
          <t>PriceCharting</t>
        </is>
      </c>
      <c r="N1136" s="4" t="inlineStr">
        <is>
          <t>https://www.pricecharting.com/game/pokemon-japanese-promo/lucky-stadium-kyūshū</t>
        </is>
      </c>
    </row>
    <row r="1137">
      <c r="A1137" s="2" t="inlineStr">
        <is>
          <t>Japanese Promo Lucky Stadium [Tōhoku]</t>
        </is>
      </c>
      <c r="B1137" s="3">
        <f>IF(I1137&lt;&gt;"",I1137,IF(J1137&lt;&gt;"",J1137,IF(K1137&lt;&gt;"",K1137,L1137)))</f>
        <v>89.98</v>
      </c>
      <c r="C1137" s="3">
        <f>MEDIAN(I1137:L1137)</f>
        <v>89.98</v>
      </c>
      <c r="D1137" s="3">
        <f>ROUND(C1137*(1-Settings!$B$2),2)</f>
        <v>62.99</v>
      </c>
      <c r="E1137" s="3">
        <f>ROUND(C1137*(1-Settings!$B$3),2)</f>
        <v>62.99</v>
      </c>
      <c r="F1137" s="2" t="inlineStr">
        <is>
          <t>Pokemon</t>
        </is>
      </c>
      <c r="G1137" s="2" t="inlineStr">
        <is>
          <t>Coffret</t>
        </is>
      </c>
      <c r="H1137" s="2" t="inlineStr">
        <is>
          <t>Japanese Promo</t>
        </is>
      </c>
      <c r="I1137" s="3" t="n">
        <v>89.98</v>
      </c>
      <c r="J1137" s="3" t="n"/>
      <c r="K1137" s="3" t="n"/>
      <c r="L1137" s="3" t="n"/>
      <c r="M1137" s="2" t="inlineStr">
        <is>
          <t>PriceCharting</t>
        </is>
      </c>
      <c r="N1137" s="4" t="inlineStr">
        <is>
          <t>https://www.pricecharting.com/game/pokemon-japanese-promo/lucky-stadium-tōhoku</t>
        </is>
      </c>
    </row>
    <row r="1138">
      <c r="A1138" s="2" t="inlineStr">
        <is>
          <t>Japanese Promo Lucky Stadium Hokushin'Etsu</t>
        </is>
      </c>
      <c r="B1138" s="3">
        <f>IF(I1138&lt;&gt;"",I1138,IF(J1138&lt;&gt;"",J1138,IF(K1138&lt;&gt;"",K1138,L1138)))</f>
        <v>203.69</v>
      </c>
      <c r="C1138" s="3">
        <f>MEDIAN(I1138:L1138)</f>
        <v>203.69</v>
      </c>
      <c r="D1138" s="3">
        <f>ROUND(C1138*(1-Settings!$B$2),2)</f>
        <v>142.58</v>
      </c>
      <c r="E1138" s="3">
        <f>ROUND(C1138*(1-Settings!$B$3),2)</f>
        <v>142.58</v>
      </c>
      <c r="F1138" s="2" t="inlineStr">
        <is>
          <t>Pokemon</t>
        </is>
      </c>
      <c r="G1138" s="2" t="inlineStr">
        <is>
          <t>Coffret</t>
        </is>
      </c>
      <c r="H1138" s="2" t="inlineStr">
        <is>
          <t>Japanese Promo</t>
        </is>
      </c>
      <c r="I1138" s="3" t="n">
        <v>203.69</v>
      </c>
      <c r="J1138" s="3" t="n"/>
      <c r="K1138" s="3" t="n"/>
      <c r="L1138" s="3" t="n"/>
      <c r="M1138" s="2" t="inlineStr">
        <is>
          <t>PriceCharting</t>
        </is>
      </c>
      <c r="N1138" s="4" t="inlineStr">
        <is>
          <t>https://www.pricecharting.com/game/pokemon-japanese-promo/lucky-stadium-hokushin'etsu</t>
        </is>
      </c>
    </row>
    <row r="1139">
      <c r="A1139" s="2" t="inlineStr">
        <is>
          <t>Japanese Promo Sealed Fukuoka SPECIAL Box</t>
        </is>
      </c>
      <c r="B1139" s="3">
        <f>IF(I1139&lt;&gt;"",I1139,IF(J1139&lt;&gt;"",J1139,IF(K1139&lt;&gt;"",K1139,L1139)))</f>
        <v>188.19</v>
      </c>
      <c r="C1139" s="3">
        <f>MEDIAN(I1139:L1139)</f>
        <v>188.19</v>
      </c>
      <c r="D1139" s="3">
        <f>ROUND(C1139*(1-Settings!$B$2),2)</f>
        <v>131.73</v>
      </c>
      <c r="E1139" s="3">
        <f>ROUND(C1139*(1-Settings!$B$3),2)</f>
        <v>131.73</v>
      </c>
      <c r="F1139" s="2" t="inlineStr">
        <is>
          <t>Pokemon</t>
        </is>
      </c>
      <c r="G1139" s="2" t="inlineStr">
        <is>
          <t>Coffret</t>
        </is>
      </c>
      <c r="H1139" s="2" t="inlineStr">
        <is>
          <t>Japanese Promo</t>
        </is>
      </c>
      <c r="I1139" s="3" t="n">
        <v>188.19</v>
      </c>
      <c r="J1139" s="3" t="n"/>
      <c r="K1139" s="3" t="n"/>
      <c r="L1139" s="3" t="n"/>
      <c r="M1139" s="2" t="inlineStr">
        <is>
          <t>PriceCharting</t>
        </is>
      </c>
      <c r="N1139" s="4" t="inlineStr">
        <is>
          <t>https://www.pricecharting.com/game/pokemon-japanese-promo/sealed-fukuoka-special-box</t>
        </is>
      </c>
    </row>
    <row r="1140">
      <c r="A1140" s="2" t="inlineStr">
        <is>
          <t>Japanese Promo Sealed Hiroshima SPECIAL Box</t>
        </is>
      </c>
      <c r="B1140" s="3">
        <f>IF(I1140&lt;&gt;"",I1140,IF(J1140&lt;&gt;"",J1140,IF(K1140&lt;&gt;"",K1140,L1140)))</f>
        <v>192.46</v>
      </c>
      <c r="C1140" s="3">
        <f>MEDIAN(I1140:L1140)</f>
        <v>192.46</v>
      </c>
      <c r="D1140" s="3">
        <f>ROUND(C1140*(1-Settings!$B$2),2)</f>
        <v>134.72</v>
      </c>
      <c r="E1140" s="3">
        <f>ROUND(C1140*(1-Settings!$B$3),2)</f>
        <v>134.72</v>
      </c>
      <c r="F1140" s="2" t="inlineStr">
        <is>
          <t>Pokemon</t>
        </is>
      </c>
      <c r="G1140" s="2" t="inlineStr">
        <is>
          <t>Coffret</t>
        </is>
      </c>
      <c r="H1140" s="2" t="inlineStr">
        <is>
          <t>Japanese Promo</t>
        </is>
      </c>
      <c r="I1140" s="3" t="n">
        <v>192.46</v>
      </c>
      <c r="J1140" s="3" t="n"/>
      <c r="K1140" s="3" t="n"/>
      <c r="L1140" s="3" t="n"/>
      <c r="M1140" s="2" t="inlineStr">
        <is>
          <t>PriceCharting</t>
        </is>
      </c>
      <c r="N1140" s="4" t="inlineStr">
        <is>
          <t>https://www.pricecharting.com/game/pokemon-japanese-promo/sealed-hiroshima-special-box</t>
        </is>
      </c>
    </row>
    <row r="1141">
      <c r="A1141" s="2" t="inlineStr">
        <is>
          <t>Japanese Promo Sealed Japanese Stamp Box</t>
        </is>
      </c>
      <c r="B1141" s="3">
        <f>IF(I1141&lt;&gt;"",I1141,IF(J1141&lt;&gt;"",J1141,IF(K1141&lt;&gt;"",K1141,L1141)))</f>
        <v>3371.95</v>
      </c>
      <c r="C1141" s="3">
        <f>MEDIAN(I1141:L1141)</f>
        <v>3371.95</v>
      </c>
      <c r="D1141" s="3">
        <f>ROUND(C1141*(1-Settings!$B$2),2)</f>
        <v>2360.37</v>
      </c>
      <c r="E1141" s="3">
        <f>ROUND(C1141*(1-Settings!$B$3),2)</f>
        <v>2360.37</v>
      </c>
      <c r="F1141" s="2" t="inlineStr">
        <is>
          <t>Pokemon</t>
        </is>
      </c>
      <c r="G1141" s="2" t="inlineStr">
        <is>
          <t>Coffret</t>
        </is>
      </c>
      <c r="H1141" s="2" t="inlineStr">
        <is>
          <t>Japanese Promo</t>
        </is>
      </c>
      <c r="I1141" s="3" t="n">
        <v>3371.95</v>
      </c>
      <c r="J1141" s="3" t="n"/>
      <c r="K1141" s="3" t="n"/>
      <c r="L1141" s="3" t="n"/>
      <c r="M1141" s="2" t="inlineStr">
        <is>
          <t>PriceCharting</t>
        </is>
      </c>
      <c r="N1141" s="4" t="inlineStr">
        <is>
          <t>https://www.pricecharting.com/game/pokemon-japanese-promo/sealed-japanese-stamp-box</t>
        </is>
      </c>
    </row>
    <row r="1142">
      <c r="A1142" s="2" t="inlineStr">
        <is>
          <t>Japanese Promo Sealed Limited Collection Master Battle Set</t>
        </is>
      </c>
      <c r="B1142" s="3">
        <f>IF(I1142&lt;&gt;"",I1142,IF(J1142&lt;&gt;"",J1142,IF(K1142&lt;&gt;"",K1142,L1142)))</f>
        <v>10999.99</v>
      </c>
      <c r="C1142" s="3">
        <f>MEDIAN(I1142:L1142)</f>
        <v>10999.99</v>
      </c>
      <c r="D1142" s="3">
        <f>ROUND(C1142*(1-Settings!$B$2),2)</f>
        <v>7699.99</v>
      </c>
      <c r="E1142" s="3">
        <f>ROUND(C1142*(1-Settings!$B$3),2)</f>
        <v>7699.99</v>
      </c>
      <c r="F1142" s="2" t="inlineStr">
        <is>
          <t>Pokemon</t>
        </is>
      </c>
      <c r="G1142" s="2" t="inlineStr">
        <is>
          <t>Coffret</t>
        </is>
      </c>
      <c r="H1142" s="2" t="inlineStr">
        <is>
          <t>Japanese Promo</t>
        </is>
      </c>
      <c r="I1142" s="3" t="n">
        <v>10999.99</v>
      </c>
      <c r="J1142" s="3" t="n"/>
      <c r="K1142" s="3" t="n"/>
      <c r="L1142" s="3" t="n"/>
      <c r="M1142" s="2" t="inlineStr">
        <is>
          <t>PriceCharting</t>
        </is>
      </c>
      <c r="N1142" s="4" t="inlineStr">
        <is>
          <t>https://www.pricecharting.com/game/pokemon-japanese-promo/sealed-limited-collection-master-battle-set</t>
        </is>
      </c>
    </row>
    <row r="1143">
      <c r="A1143" s="2" t="inlineStr">
        <is>
          <t>Japanese Promo Sealed Special Box [Mario Pikachu]</t>
        </is>
      </c>
      <c r="B1143" s="3">
        <f>IF(I1143&lt;&gt;"",I1143,IF(J1143&lt;&gt;"",J1143,IF(K1143&lt;&gt;"",K1143,L1143)))</f>
        <v>17687.5</v>
      </c>
      <c r="C1143" s="3">
        <f>MEDIAN(I1143:L1143)</f>
        <v>17687.5</v>
      </c>
      <c r="D1143" s="3">
        <f>ROUND(C1143*(1-Settings!$B$2),2)</f>
        <v>12381.25</v>
      </c>
      <c r="E1143" s="3">
        <f>ROUND(C1143*(1-Settings!$B$3),2)</f>
        <v>12381.25</v>
      </c>
      <c r="F1143" s="2" t="inlineStr">
        <is>
          <t>Pokemon</t>
        </is>
      </c>
      <c r="G1143" s="2" t="inlineStr">
        <is>
          <t>Coffret</t>
        </is>
      </c>
      <c r="H1143" s="2" t="inlineStr">
        <is>
          <t>Japanese Promo</t>
        </is>
      </c>
      <c r="I1143" s="3" t="n">
        <v>17687.5</v>
      </c>
      <c r="J1143" s="3" t="n"/>
      <c r="K1143" s="3" t="n"/>
      <c r="L1143" s="3" t="n"/>
      <c r="M1143" s="2" t="inlineStr">
        <is>
          <t>PriceCharting</t>
        </is>
      </c>
      <c r="N1143" s="4" t="inlineStr">
        <is>
          <t>https://www.pricecharting.com/game/pokemon-japanese-promo/sealed-special-box-mario-pikachu</t>
        </is>
      </c>
    </row>
    <row r="1144">
      <c r="A1144" s="2" t="inlineStr">
        <is>
          <t>Japanese Promo Sealed Tohoku SPECIAL Box</t>
        </is>
      </c>
      <c r="B1144" s="3">
        <f>IF(I1144&lt;&gt;"",I1144,IF(J1144&lt;&gt;"",J1144,IF(K1144&lt;&gt;"",K1144,L1144)))</f>
        <v>140.95</v>
      </c>
      <c r="C1144" s="3">
        <f>MEDIAN(I1144:L1144)</f>
        <v>140.95</v>
      </c>
      <c r="D1144" s="3">
        <f>ROUND(C1144*(1-Settings!$B$2),2)</f>
        <v>98.67</v>
      </c>
      <c r="E1144" s="3">
        <f>ROUND(C1144*(1-Settings!$B$3),2)</f>
        <v>98.67</v>
      </c>
      <c r="F1144" s="2" t="inlineStr">
        <is>
          <t>Pokemon</t>
        </is>
      </c>
      <c r="G1144" s="2" t="inlineStr">
        <is>
          <t>Coffret</t>
        </is>
      </c>
      <c r="H1144" s="2" t="inlineStr">
        <is>
          <t>Japanese Promo</t>
        </is>
      </c>
      <c r="I1144" s="3" t="n">
        <v>140.95</v>
      </c>
      <c r="J1144" s="3" t="n"/>
      <c r="K1144" s="3" t="n"/>
      <c r="L1144" s="3" t="n"/>
      <c r="M1144" s="2" t="inlineStr">
        <is>
          <t>PriceCharting</t>
        </is>
      </c>
      <c r="N1144" s="4" t="inlineStr">
        <is>
          <t>https://www.pricecharting.com/game/pokemon-japanese-promo/sealed-tohoku-special-box</t>
        </is>
      </c>
    </row>
    <row r="1145">
      <c r="A1145" s="2" t="inlineStr">
        <is>
          <t>Japanese Promo Special Box [15th Anniversary]</t>
        </is>
      </c>
      <c r="B1145" s="3">
        <f>IF(I1145&lt;&gt;"",I1145,IF(J1145&lt;&gt;"",J1145,IF(K1145&lt;&gt;"",K1145,L1145)))</f>
        <v>26360.42</v>
      </c>
      <c r="C1145" s="3">
        <f>MEDIAN(I1145:L1145)</f>
        <v>26360.42</v>
      </c>
      <c r="D1145" s="3">
        <f>ROUND(C1145*(1-Settings!$B$2),2)</f>
        <v>18452.29</v>
      </c>
      <c r="E1145" s="3">
        <f>ROUND(C1145*(1-Settings!$B$3),2)</f>
        <v>18452.29</v>
      </c>
      <c r="F1145" s="2" t="inlineStr">
        <is>
          <t>Pokemon</t>
        </is>
      </c>
      <c r="G1145" s="2" t="inlineStr">
        <is>
          <t>Coffret</t>
        </is>
      </c>
      <c r="H1145" s="2" t="inlineStr">
        <is>
          <t>Japanese Promo</t>
        </is>
      </c>
      <c r="I1145" s="3" t="n">
        <v>26360.42</v>
      </c>
      <c r="J1145" s="3" t="n"/>
      <c r="K1145" s="3" t="n"/>
      <c r="L1145" s="3" t="n"/>
      <c r="M1145" s="2" t="inlineStr">
        <is>
          <t>PriceCharting</t>
        </is>
      </c>
      <c r="N1145" s="4" t="inlineStr">
        <is>
          <t>https://www.pricecharting.com/game/pokemon-japanese-promo/special-box-15th-anniversary</t>
        </is>
      </c>
    </row>
    <row r="1146">
      <c r="A1146" s="2" t="inlineStr">
        <is>
          <t>Japanese Promo Special Box [Arora &amp; Locon]</t>
        </is>
      </c>
      <c r="B1146" s="3">
        <f>IF(I1146&lt;&gt;"",I1146,IF(J1146&lt;&gt;"",J1146,IF(K1146&lt;&gt;"",K1146,L1146)))</f>
        <v>6176.45</v>
      </c>
      <c r="C1146" s="3">
        <f>MEDIAN(I1146:L1146)</f>
        <v>6176.45</v>
      </c>
      <c r="D1146" s="3">
        <f>ROUND(C1146*(1-Settings!$B$2),2)</f>
        <v>4323.52</v>
      </c>
      <c r="E1146" s="3">
        <f>ROUND(C1146*(1-Settings!$B$3),2)</f>
        <v>4323.52</v>
      </c>
      <c r="F1146" s="2" t="inlineStr">
        <is>
          <t>Pokemon</t>
        </is>
      </c>
      <c r="G1146" s="2" t="inlineStr">
        <is>
          <t>Coffret</t>
        </is>
      </c>
      <c r="H1146" s="2" t="inlineStr">
        <is>
          <t>Japanese Promo</t>
        </is>
      </c>
      <c r="I1146" s="3" t="n">
        <v>6176.45</v>
      </c>
      <c r="J1146" s="3" t="n"/>
      <c r="K1146" s="3" t="n"/>
      <c r="L1146" s="3" t="n"/>
      <c r="M1146" s="2" t="inlineStr">
        <is>
          <t>PriceCharting</t>
        </is>
      </c>
      <c r="N1146" s="4" t="inlineStr">
        <is>
          <t>https://www.pricecharting.com/game/pokemon-japanese-promo/special-box-arora-&amp;-locon</t>
        </is>
      </c>
    </row>
    <row r="1147">
      <c r="A1147" s="2" t="inlineStr">
        <is>
          <t>Japanese Promo Special Box [Lillie &amp; Cosmog]</t>
        </is>
      </c>
      <c r="B1147" s="3">
        <f>IF(I1147&lt;&gt;"",I1147,IF(J1147&lt;&gt;"",J1147,IF(K1147&lt;&gt;"",K1147,L1147)))</f>
        <v>170.68</v>
      </c>
      <c r="C1147" s="3">
        <f>MEDIAN(I1147:L1147)</f>
        <v>170.68</v>
      </c>
      <c r="D1147" s="3">
        <f>ROUND(C1147*(1-Settings!$B$2),2)</f>
        <v>119.48</v>
      </c>
      <c r="E1147" s="3">
        <f>ROUND(C1147*(1-Settings!$B$3),2)</f>
        <v>119.48</v>
      </c>
      <c r="F1147" s="2" t="inlineStr">
        <is>
          <t>Pokemon</t>
        </is>
      </c>
      <c r="G1147" s="2" t="inlineStr">
        <is>
          <t>Coffret</t>
        </is>
      </c>
      <c r="H1147" s="2" t="inlineStr">
        <is>
          <t>Japanese Promo</t>
        </is>
      </c>
      <c r="I1147" s="3" t="n">
        <v>170.68</v>
      </c>
      <c r="J1147" s="3" t="n"/>
      <c r="K1147" s="3" t="n"/>
      <c r="L1147" s="3" t="n"/>
      <c r="M1147" s="2" t="inlineStr">
        <is>
          <t>PriceCharting</t>
        </is>
      </c>
      <c r="N1147" s="4" t="inlineStr">
        <is>
          <t>https://www.pricecharting.com/game/pokemon-japanese-promo/special-box-lillie-&amp;-cosmog</t>
        </is>
      </c>
    </row>
    <row r="1148">
      <c r="A1148" s="2" t="inlineStr">
        <is>
          <t>Japanese Promo Special Box [Luigi Pikachu]</t>
        </is>
      </c>
      <c r="B1148" s="3">
        <f>IF(I1148&lt;&gt;"",I1148,IF(J1148&lt;&gt;"",J1148,IF(K1148&lt;&gt;"",K1148,L1148)))</f>
        <v>6925.0</v>
      </c>
      <c r="C1148" s="3">
        <f>MEDIAN(I1148:L1148)</f>
        <v>6925.0</v>
      </c>
      <c r="D1148" s="3">
        <f>ROUND(C1148*(1-Settings!$B$2),2)</f>
        <v>4847.5</v>
      </c>
      <c r="E1148" s="3">
        <f>ROUND(C1148*(1-Settings!$B$3),2)</f>
        <v>4847.5</v>
      </c>
      <c r="F1148" s="2" t="inlineStr">
        <is>
          <t>Pokemon</t>
        </is>
      </c>
      <c r="G1148" s="2" t="inlineStr">
        <is>
          <t>Coffret</t>
        </is>
      </c>
      <c r="H1148" s="2" t="inlineStr">
        <is>
          <t>Japanese Promo</t>
        </is>
      </c>
      <c r="I1148" s="3" t="n">
        <v>6925</v>
      </c>
      <c r="J1148" s="3" t="n"/>
      <c r="K1148" s="3" t="n"/>
      <c r="L1148" s="3" t="n"/>
      <c r="M1148" s="2" t="inlineStr">
        <is>
          <t>PriceCharting</t>
        </is>
      </c>
      <c r="N1148" s="4" t="inlineStr">
        <is>
          <t>https://www.pricecharting.com/game/pokemon-japanese-promo/special-box-luigi-pikachu</t>
        </is>
      </c>
    </row>
    <row r="1149">
      <c r="A1149" s="2" t="inlineStr">
        <is>
          <t>Japanese Promo Special Box [Mimikyu Dayo]</t>
        </is>
      </c>
      <c r="B1149" s="3">
        <f>IF(I1149&lt;&gt;"",I1149,IF(J1149&lt;&gt;"",J1149,IF(K1149&lt;&gt;"",K1149,L1149)))</f>
        <v>6599.99</v>
      </c>
      <c r="C1149" s="3">
        <f>MEDIAN(I1149:L1149)</f>
        <v>6599.99</v>
      </c>
      <c r="D1149" s="3">
        <f>ROUND(C1149*(1-Settings!$B$2),2)</f>
        <v>4619.99</v>
      </c>
      <c r="E1149" s="3">
        <f>ROUND(C1149*(1-Settings!$B$3),2)</f>
        <v>4619.99</v>
      </c>
      <c r="F1149" s="2" t="inlineStr">
        <is>
          <t>Pokemon</t>
        </is>
      </c>
      <c r="G1149" s="2" t="inlineStr">
        <is>
          <t>Coffret</t>
        </is>
      </c>
      <c r="H1149" s="2" t="inlineStr">
        <is>
          <t>Japanese Promo</t>
        </is>
      </c>
      <c r="I1149" s="3" t="n">
        <v>6599.99</v>
      </c>
      <c r="J1149" s="3" t="n"/>
      <c r="K1149" s="3" t="n"/>
      <c r="L1149" s="3" t="n"/>
      <c r="M1149" s="2" t="inlineStr">
        <is>
          <t>PriceCharting</t>
        </is>
      </c>
      <c r="N1149" s="4" t="inlineStr">
        <is>
          <t>https://www.pricecharting.com/game/pokemon-japanese-promo/special-box-mimikyu-dayo</t>
        </is>
      </c>
    </row>
    <row r="1150">
      <c r="A1150" s="2" t="inlineStr">
        <is>
          <t>Japanese Promo Special Box [Pokemon Center Kanazawa]</t>
        </is>
      </c>
      <c r="B1150" s="3">
        <f>IF(I1150&lt;&gt;"",I1150,IF(J1150&lt;&gt;"",J1150,IF(K1150&lt;&gt;"",K1150,L1150)))</f>
        <v>1155.05</v>
      </c>
      <c r="C1150" s="3">
        <f>MEDIAN(I1150:L1150)</f>
        <v>1155.05</v>
      </c>
      <c r="D1150" s="3">
        <f>ROUND(C1150*(1-Settings!$B$2),2)</f>
        <v>808.54</v>
      </c>
      <c r="E1150" s="3">
        <f>ROUND(C1150*(1-Settings!$B$3),2)</f>
        <v>808.54</v>
      </c>
      <c r="F1150" s="2" t="inlineStr">
        <is>
          <t>Pokemon</t>
        </is>
      </c>
      <c r="G1150" s="2" t="inlineStr">
        <is>
          <t>Coffret</t>
        </is>
      </c>
      <c r="H1150" s="2" t="inlineStr">
        <is>
          <t>Japanese Promo</t>
        </is>
      </c>
      <c r="I1150" s="3" t="n">
        <v>1155.05</v>
      </c>
      <c r="J1150" s="3" t="n"/>
      <c r="K1150" s="3" t="n"/>
      <c r="L1150" s="3" t="n"/>
      <c r="M1150" s="2" t="inlineStr">
        <is>
          <t>PriceCharting</t>
        </is>
      </c>
      <c r="N1150" s="4" t="inlineStr">
        <is>
          <t>https://www.pricecharting.com/game/pokemon-japanese-promo/special-box-pokemon-center-kanazawa</t>
        </is>
      </c>
    </row>
    <row r="1151">
      <c r="A1151" s="2" t="inlineStr">
        <is>
          <t>Japanese Promo Special Box [Pokemon Center Yokohama]</t>
        </is>
      </c>
      <c r="B1151" s="3">
        <f>IF(I1151&lt;&gt;"",I1151,IF(J1151&lt;&gt;"",J1151,IF(K1151&lt;&gt;"",K1151,L1151)))</f>
        <v>4600.0</v>
      </c>
      <c r="C1151" s="3">
        <f>MEDIAN(I1151:L1151)</f>
        <v>4600.0</v>
      </c>
      <c r="D1151" s="3">
        <f>ROUND(C1151*(1-Settings!$B$2),2)</f>
        <v>3220.0</v>
      </c>
      <c r="E1151" s="3">
        <f>ROUND(C1151*(1-Settings!$B$3),2)</f>
        <v>3220.0</v>
      </c>
      <c r="F1151" s="2" t="inlineStr">
        <is>
          <t>Pokemon</t>
        </is>
      </c>
      <c r="G1151" s="2" t="inlineStr">
        <is>
          <t>Coffret</t>
        </is>
      </c>
      <c r="H1151" s="2" t="inlineStr">
        <is>
          <t>Japanese Promo</t>
        </is>
      </c>
      <c r="I1151" s="3" t="n">
        <v>4600</v>
      </c>
      <c r="J1151" s="3" t="n"/>
      <c r="K1151" s="3" t="n"/>
      <c r="L1151" s="3" t="n"/>
      <c r="M1151" s="2" t="inlineStr">
        <is>
          <t>PriceCharting</t>
        </is>
      </c>
      <c r="N1151" s="4" t="inlineStr">
        <is>
          <t>https://www.pricecharting.com/game/pokemon-japanese-promo/special-box-pokemon-center-yokohama</t>
        </is>
      </c>
    </row>
    <row r="1152">
      <c r="A1152" s="2" t="inlineStr">
        <is>
          <t>Japanese Promo Special Box [Poncho Magikarp &amp; Gyarados]</t>
        </is>
      </c>
      <c r="B1152" s="3">
        <f>IF(I1152&lt;&gt;"",I1152,IF(J1152&lt;&gt;"",J1152,IF(K1152&lt;&gt;"",K1152,L1152)))</f>
        <v>12500.0</v>
      </c>
      <c r="C1152" s="3">
        <f>MEDIAN(I1152:L1152)</f>
        <v>12500.0</v>
      </c>
      <c r="D1152" s="3">
        <f>ROUND(C1152*(1-Settings!$B$2),2)</f>
        <v>8750.0</v>
      </c>
      <c r="E1152" s="3">
        <f>ROUND(C1152*(1-Settings!$B$3),2)</f>
        <v>8750.0</v>
      </c>
      <c r="F1152" s="2" t="inlineStr">
        <is>
          <t>Pokemon</t>
        </is>
      </c>
      <c r="G1152" s="2" t="inlineStr">
        <is>
          <t>Coffret</t>
        </is>
      </c>
      <c r="H1152" s="2" t="inlineStr">
        <is>
          <t>Japanese Promo</t>
        </is>
      </c>
      <c r="I1152" s="3" t="n">
        <v>12500</v>
      </c>
      <c r="J1152" s="3" t="n"/>
      <c r="K1152" s="3" t="n"/>
      <c r="L1152" s="3" t="n"/>
      <c r="M1152" s="2" t="inlineStr">
        <is>
          <t>PriceCharting</t>
        </is>
      </c>
      <c r="N1152" s="4" t="inlineStr">
        <is>
          <t>https://www.pricecharting.com/game/pokemon-japanese-promo/special-box-poncho-magikarp-&amp;-gyarados</t>
        </is>
      </c>
    </row>
    <row r="1153">
      <c r="A1153" s="2" t="inlineStr">
        <is>
          <t>Japanese Promo Special Box [Poncho Pikachu Mega Charizard X]</t>
        </is>
      </c>
      <c r="B1153" s="3">
        <f>IF(I1153&lt;&gt;"",I1153,IF(J1153&lt;&gt;"",J1153,IF(K1153&lt;&gt;"",K1153,L1153)))</f>
        <v>11050.0</v>
      </c>
      <c r="C1153" s="3">
        <f>MEDIAN(I1153:L1153)</f>
        <v>11050.0</v>
      </c>
      <c r="D1153" s="3">
        <f>ROUND(C1153*(1-Settings!$B$2),2)</f>
        <v>7735.0</v>
      </c>
      <c r="E1153" s="3">
        <f>ROUND(C1153*(1-Settings!$B$3),2)</f>
        <v>7735.0</v>
      </c>
      <c r="F1153" s="2" t="inlineStr">
        <is>
          <t>Pokemon</t>
        </is>
      </c>
      <c r="G1153" s="2" t="inlineStr">
        <is>
          <t>Coffret</t>
        </is>
      </c>
      <c r="H1153" s="2" t="inlineStr">
        <is>
          <t>Japanese Promo</t>
        </is>
      </c>
      <c r="I1153" s="3" t="n">
        <v>11050</v>
      </c>
      <c r="J1153" s="3" t="n"/>
      <c r="K1153" s="3" t="n"/>
      <c r="L1153" s="3" t="n"/>
      <c r="M1153" s="2" t="inlineStr">
        <is>
          <t>PriceCharting</t>
        </is>
      </c>
      <c r="N1153" s="4" t="inlineStr">
        <is>
          <t>https://www.pricecharting.com/game/pokemon-japanese-promo/special-box-poncho-pikachu-mega-charizard-x</t>
        </is>
      </c>
    </row>
    <row r="1154">
      <c r="A1154" s="2" t="inlineStr">
        <is>
          <t>Japanese Promo Special Box [Poncho Pikachu Mega Charizard Y]</t>
        </is>
      </c>
      <c r="B1154" s="3">
        <f>IF(I1154&lt;&gt;"",I1154,IF(J1154&lt;&gt;"",J1154,IF(K1154&lt;&gt;"",K1154,L1154)))</f>
        <v>21265.05</v>
      </c>
      <c r="C1154" s="3">
        <f>MEDIAN(I1154:L1154)</f>
        <v>21265.05</v>
      </c>
      <c r="D1154" s="3">
        <f>ROUND(C1154*(1-Settings!$B$2),2)</f>
        <v>14885.54</v>
      </c>
      <c r="E1154" s="3">
        <f>ROUND(C1154*(1-Settings!$B$3),2)</f>
        <v>14885.54</v>
      </c>
      <c r="F1154" s="2" t="inlineStr">
        <is>
          <t>Pokemon</t>
        </is>
      </c>
      <c r="G1154" s="2" t="inlineStr">
        <is>
          <t>Coffret</t>
        </is>
      </c>
      <c r="H1154" s="2" t="inlineStr">
        <is>
          <t>Japanese Promo</t>
        </is>
      </c>
      <c r="I1154" s="3" t="n">
        <v>21265.05</v>
      </c>
      <c r="J1154" s="3" t="n"/>
      <c r="K1154" s="3" t="n"/>
      <c r="L1154" s="3" t="n"/>
      <c r="M1154" s="2" t="inlineStr">
        <is>
          <t>PriceCharting</t>
        </is>
      </c>
      <c r="N1154" s="4" t="inlineStr">
        <is>
          <t>https://www.pricecharting.com/game/pokemon-japanese-promo/special-box-poncho-pikachu-mega-charizard-y</t>
        </is>
      </c>
    </row>
    <row r="1155">
      <c r="A1155" s="2" t="inlineStr">
        <is>
          <t>Japanese Promo Special Box [Poncho Rayquaza]</t>
        </is>
      </c>
      <c r="B1155" s="3">
        <f>IF(I1155&lt;&gt;"",I1155,IF(J1155&lt;&gt;"",J1155,IF(K1155&lt;&gt;"",K1155,L1155)))</f>
        <v>4451.29</v>
      </c>
      <c r="C1155" s="3">
        <f>MEDIAN(I1155:L1155)</f>
        <v>4451.29</v>
      </c>
      <c r="D1155" s="3">
        <f>ROUND(C1155*(1-Settings!$B$2),2)</f>
        <v>3115.9</v>
      </c>
      <c r="E1155" s="3">
        <f>ROUND(C1155*(1-Settings!$B$3),2)</f>
        <v>3115.9</v>
      </c>
      <c r="F1155" s="2" t="inlineStr">
        <is>
          <t>Pokemon</t>
        </is>
      </c>
      <c r="G1155" s="2" t="inlineStr">
        <is>
          <t>Coffret</t>
        </is>
      </c>
      <c r="H1155" s="2" t="inlineStr">
        <is>
          <t>Japanese Promo</t>
        </is>
      </c>
      <c r="I1155" s="3" t="n">
        <v>4451.29</v>
      </c>
      <c r="J1155" s="3" t="n"/>
      <c r="K1155" s="3" t="n"/>
      <c r="L1155" s="3" t="n"/>
      <c r="M1155" s="2" t="inlineStr">
        <is>
          <t>PriceCharting</t>
        </is>
      </c>
      <c r="N1155" s="4" t="inlineStr">
        <is>
          <t>https://www.pricecharting.com/game/pokemon-japanese-promo/special-box-poncho-rayquaza</t>
        </is>
      </c>
    </row>
    <row r="1156">
      <c r="A1156" s="2" t="inlineStr">
        <is>
          <t>Japanese Promo Special Box [Rokon's Crystal Season]</t>
        </is>
      </c>
      <c r="B1156" s="3">
        <f>IF(I1156&lt;&gt;"",I1156,IF(J1156&lt;&gt;"",J1156,IF(K1156&lt;&gt;"",K1156,L1156)))</f>
        <v>3899.99</v>
      </c>
      <c r="C1156" s="3">
        <f>MEDIAN(I1156:L1156)</f>
        <v>3899.99</v>
      </c>
      <c r="D1156" s="3">
        <f>ROUND(C1156*(1-Settings!$B$2),2)</f>
        <v>2729.99</v>
      </c>
      <c r="E1156" s="3">
        <f>ROUND(C1156*(1-Settings!$B$3),2)</f>
        <v>2729.99</v>
      </c>
      <c r="F1156" s="2" t="inlineStr">
        <is>
          <t>Pokemon</t>
        </is>
      </c>
      <c r="G1156" s="2" t="inlineStr">
        <is>
          <t>Coffret</t>
        </is>
      </c>
      <c r="H1156" s="2" t="inlineStr">
        <is>
          <t>Japanese Promo</t>
        </is>
      </c>
      <c r="I1156" s="3" t="n">
        <v>3899.99</v>
      </c>
      <c r="J1156" s="3" t="n"/>
      <c r="K1156" s="3" t="n"/>
      <c r="L1156" s="3" t="n"/>
      <c r="M1156" s="2" t="inlineStr">
        <is>
          <t>PriceCharting</t>
        </is>
      </c>
      <c r="N1156" s="4" t="inlineStr">
        <is>
          <t>https://www.pricecharting.com/game/pokemon-japanese-promo/special-box-rokon's-crystal-season</t>
        </is>
      </c>
    </row>
    <row r="1157">
      <c r="A1157" s="2" t="inlineStr">
        <is>
          <t>Japanese Promo Special Box [Tokyo DX]</t>
        </is>
      </c>
      <c r="B1157" s="3">
        <f>IF(I1157&lt;&gt;"",I1157,IF(J1157&lt;&gt;"",J1157,IF(K1157&lt;&gt;"",K1157,L1157)))</f>
        <v>4134.72</v>
      </c>
      <c r="C1157" s="3">
        <f>MEDIAN(I1157:L1157)</f>
        <v>4134.72</v>
      </c>
      <c r="D1157" s="3">
        <f>ROUND(C1157*(1-Settings!$B$2),2)</f>
        <v>2894.3</v>
      </c>
      <c r="E1157" s="3">
        <f>ROUND(C1157*(1-Settings!$B$3),2)</f>
        <v>2894.3</v>
      </c>
      <c r="F1157" s="2" t="inlineStr">
        <is>
          <t>Pokemon</t>
        </is>
      </c>
      <c r="G1157" s="2" t="inlineStr">
        <is>
          <t>Coffret</t>
        </is>
      </c>
      <c r="H1157" s="2" t="inlineStr">
        <is>
          <t>Japanese Promo</t>
        </is>
      </c>
      <c r="I1157" s="3" t="n">
        <v>4134.72</v>
      </c>
      <c r="J1157" s="3" t="n"/>
      <c r="K1157" s="3" t="n"/>
      <c r="L1157" s="3" t="n"/>
      <c r="M1157" s="2" t="inlineStr">
        <is>
          <t>PriceCharting</t>
        </is>
      </c>
      <c r="N1157" s="4" t="inlineStr">
        <is>
          <t>https://www.pricecharting.com/game/pokemon-japanese-promo/special-box-tokyo-dx</t>
        </is>
      </c>
    </row>
    <row r="1158">
      <c r="A1158" s="2" t="inlineStr">
        <is>
          <t>Japanese Promo Yu Nagaba Eevee's Special Box</t>
        </is>
      </c>
      <c r="B1158" s="3">
        <f>IF(I1158&lt;&gt;"",I1158,IF(J1158&lt;&gt;"",J1158,IF(K1158&lt;&gt;"",K1158,L1158)))</f>
        <v>243.66</v>
      </c>
      <c r="C1158" s="3">
        <f>MEDIAN(I1158:L1158)</f>
        <v>243.66</v>
      </c>
      <c r="D1158" s="3">
        <f>ROUND(C1158*(1-Settings!$B$2),2)</f>
        <v>170.56</v>
      </c>
      <c r="E1158" s="3">
        <f>ROUND(C1158*(1-Settings!$B$3),2)</f>
        <v>170.56</v>
      </c>
      <c r="F1158" s="2" t="inlineStr">
        <is>
          <t>Pokemon</t>
        </is>
      </c>
      <c r="G1158" s="2" t="inlineStr">
        <is>
          <t>Coffret</t>
        </is>
      </c>
      <c r="H1158" s="2" t="inlineStr">
        <is>
          <t>Japanese Promo</t>
        </is>
      </c>
      <c r="I1158" s="3" t="n">
        <v>243.66</v>
      </c>
      <c r="J1158" s="3" t="n"/>
      <c r="K1158" s="3" t="n"/>
      <c r="L1158" s="3" t="n"/>
      <c r="M1158" s="2" t="inlineStr">
        <is>
          <t>PriceCharting</t>
        </is>
      </c>
      <c r="N1158" s="4" t="inlineStr">
        <is>
          <t>https://www.pricecharting.com/game/pokemon-japanese-promo/yu-nagaba-eevee's-special-box</t>
        </is>
      </c>
    </row>
    <row r="1159">
      <c r="A1159" s="2" t="inlineStr">
        <is>
          <t>Japanese Promo Yu Nagaba Special Box</t>
        </is>
      </c>
      <c r="B1159" s="3">
        <f>IF(I1159&lt;&gt;"",I1159,IF(J1159&lt;&gt;"",J1159,IF(K1159&lt;&gt;"",K1159,L1159)))</f>
        <v>320.0</v>
      </c>
      <c r="C1159" s="3">
        <f>MEDIAN(I1159:L1159)</f>
        <v>320.0</v>
      </c>
      <c r="D1159" s="3">
        <f>ROUND(C1159*(1-Settings!$B$2),2)</f>
        <v>224.0</v>
      </c>
      <c r="E1159" s="3">
        <f>ROUND(C1159*(1-Settings!$B$3),2)</f>
        <v>224.0</v>
      </c>
      <c r="F1159" s="2" t="inlineStr">
        <is>
          <t>Pokemon</t>
        </is>
      </c>
      <c r="G1159" s="2" t="inlineStr">
        <is>
          <t>Coffret</t>
        </is>
      </c>
      <c r="H1159" s="2" t="inlineStr">
        <is>
          <t>Japanese Promo</t>
        </is>
      </c>
      <c r="I1159" s="3" t="n">
        <v>320</v>
      </c>
      <c r="J1159" s="3" t="n"/>
      <c r="K1159" s="3" t="n"/>
      <c r="L1159" s="3" t="n"/>
      <c r="M1159" s="2" t="inlineStr">
        <is>
          <t>PriceCharting</t>
        </is>
      </c>
      <c r="N1159" s="4" t="inlineStr">
        <is>
          <t>https://www.pricecharting.com/game/pokemon-japanese-promo/yu-nagaba-special-box</t>
        </is>
      </c>
    </row>
    <row r="1160">
      <c r="A1160" s="2" t="inlineStr">
        <is>
          <t>Japanese Shiny Star V Crobat V Shiny Box</t>
        </is>
      </c>
      <c r="B1160" s="3">
        <f>IF(I1160&lt;&gt;"",I1160,IF(J1160&lt;&gt;"",J1160,IF(K1160&lt;&gt;"",K1160,L1160)))</f>
        <v>107.97</v>
      </c>
      <c r="C1160" s="3">
        <f>MEDIAN(I1160:L1160)</f>
        <v>107.97</v>
      </c>
      <c r="D1160" s="3">
        <f>ROUND(C1160*(1-Settings!$B$2),2)</f>
        <v>75.58</v>
      </c>
      <c r="E1160" s="3">
        <f>ROUND(C1160*(1-Settings!$B$3),2)</f>
        <v>75.58</v>
      </c>
      <c r="F1160" s="2" t="inlineStr">
        <is>
          <t>Pokemon</t>
        </is>
      </c>
      <c r="G1160" s="2" t="inlineStr">
        <is>
          <t>Coffret</t>
        </is>
      </c>
      <c r="H1160" s="2" t="inlineStr">
        <is>
          <t>Japanese Shiny Star V</t>
        </is>
      </c>
      <c r="I1160" s="3" t="n">
        <v>107.97</v>
      </c>
      <c r="J1160" s="3" t="n"/>
      <c r="K1160" s="3" t="n"/>
      <c r="L1160" s="3" t="n"/>
      <c r="M1160" s="2" t="inlineStr">
        <is>
          <t>PriceCharting</t>
        </is>
      </c>
      <c r="N1160" s="4" t="inlineStr">
        <is>
          <t>https://www.pricecharting.com/game/pokemon-japanese-shiny-star-v/crobat-v-shiny-box</t>
        </is>
      </c>
    </row>
    <row r="1161">
      <c r="A1161" s="2" t="inlineStr">
        <is>
          <t>Japanese Shiny Star V Nessa Shiny Star V Set</t>
        </is>
      </c>
      <c r="B1161" s="3">
        <f>IF(I1161&lt;&gt;"",I1161,IF(J1161&lt;&gt;"",J1161,IF(K1161&lt;&gt;"",K1161,L1161)))</f>
        <v>342.5</v>
      </c>
      <c r="C1161" s="3">
        <f>MEDIAN(I1161:L1161)</f>
        <v>342.5</v>
      </c>
      <c r="D1161" s="3">
        <f>ROUND(C1161*(1-Settings!$B$2),2)</f>
        <v>239.75</v>
      </c>
      <c r="E1161" s="3">
        <f>ROUND(C1161*(1-Settings!$B$3),2)</f>
        <v>239.75</v>
      </c>
      <c r="F1161" s="2" t="inlineStr">
        <is>
          <t>Pokemon</t>
        </is>
      </c>
      <c r="G1161" s="2" t="inlineStr">
        <is>
          <t>Coffret</t>
        </is>
      </c>
      <c r="H1161" s="2" t="inlineStr">
        <is>
          <t>Japanese Shiny Star V</t>
        </is>
      </c>
      <c r="I1161" s="3" t="n">
        <v>342.5</v>
      </c>
      <c r="J1161" s="3" t="n"/>
      <c r="K1161" s="3" t="n"/>
      <c r="L1161" s="3" t="n"/>
      <c r="M1161" s="2" t="inlineStr">
        <is>
          <t>PriceCharting</t>
        </is>
      </c>
      <c r="N1161" s="4" t="inlineStr">
        <is>
          <t>https://www.pricecharting.com/game/pokemon-japanese-shiny-star-v/nessa-shiny-star-v-set</t>
        </is>
      </c>
    </row>
    <row r="1162">
      <c r="A1162" s="2" t="inlineStr">
        <is>
          <t>Japanese Snow Hazard Gym Box [Pokemon Center]</t>
        </is>
      </c>
      <c r="B1162" s="3">
        <f>IF(I1162&lt;&gt;"",I1162,IF(J1162&lt;&gt;"",J1162,IF(K1162&lt;&gt;"",K1162,L1162)))</f>
        <v>198.38</v>
      </c>
      <c r="C1162" s="3">
        <f>MEDIAN(I1162:L1162)</f>
        <v>198.38</v>
      </c>
      <c r="D1162" s="3">
        <f>ROUND(C1162*(1-Settings!$B$2),2)</f>
        <v>138.87</v>
      </c>
      <c r="E1162" s="3">
        <f>ROUND(C1162*(1-Settings!$B$3),2)</f>
        <v>138.87</v>
      </c>
      <c r="F1162" s="2" t="inlineStr">
        <is>
          <t>Pokemon</t>
        </is>
      </c>
      <c r="G1162" s="2" t="inlineStr">
        <is>
          <t>Coffret</t>
        </is>
      </c>
      <c r="H1162" s="2" t="inlineStr">
        <is>
          <t>Japanese Snow Hazard</t>
        </is>
      </c>
      <c r="I1162" s="3" t="n">
        <v>198.38</v>
      </c>
      <c r="J1162" s="3" t="n"/>
      <c r="K1162" s="3" t="n"/>
      <c r="L1162" s="3" t="n"/>
      <c r="M1162" s="2" t="inlineStr">
        <is>
          <t>PriceCharting</t>
        </is>
      </c>
      <c r="N1162" s="4" t="inlineStr">
        <is>
          <t>https://www.pricecharting.com/game/pokemon-japanese-snow-hazard/gym-box-pokemon-center</t>
        </is>
      </c>
    </row>
    <row r="1163">
      <c r="A1163" s="2" t="inlineStr">
        <is>
          <t>Japanese Southern Islands Tropical Island Beach Box</t>
        </is>
      </c>
      <c r="B1163" s="3">
        <f>IF(I1163&lt;&gt;"",I1163,IF(J1163&lt;&gt;"",J1163,IF(K1163&lt;&gt;"",K1163,L1163)))</f>
        <v>265.58</v>
      </c>
      <c r="C1163" s="3">
        <f>MEDIAN(I1163:L1163)</f>
        <v>265.58</v>
      </c>
      <c r="D1163" s="3">
        <f>ROUND(C1163*(1-Settings!$B$2),2)</f>
        <v>185.91</v>
      </c>
      <c r="E1163" s="3">
        <f>ROUND(C1163*(1-Settings!$B$3),2)</f>
        <v>185.91</v>
      </c>
      <c r="F1163" s="2" t="inlineStr">
        <is>
          <t>Pokemon</t>
        </is>
      </c>
      <c r="G1163" s="2" t="inlineStr">
        <is>
          <t>Coffret</t>
        </is>
      </c>
      <c r="H1163" s="2" t="inlineStr">
        <is>
          <t>Japanese Southern Islands</t>
        </is>
      </c>
      <c r="I1163" s="3" t="n">
        <v>265.58</v>
      </c>
      <c r="J1163" s="3" t="n"/>
      <c r="K1163" s="3" t="n"/>
      <c r="L1163" s="3" t="n"/>
      <c r="M1163" s="2" t="inlineStr">
        <is>
          <t>PriceCharting</t>
        </is>
      </c>
      <c r="N1163" s="4" t="inlineStr">
        <is>
          <t>https://www.pricecharting.com/game/pokemon-japanese-southern-islands/tropical-island-beach-box</t>
        </is>
      </c>
    </row>
    <row r="1164">
      <c r="A1164" s="2" t="inlineStr">
        <is>
          <t>Japanese Southern Islands Tropical Island Box</t>
        </is>
      </c>
      <c r="B1164" s="3">
        <f>IF(I1164&lt;&gt;"",I1164,IF(J1164&lt;&gt;"",J1164,IF(K1164&lt;&gt;"",K1164,L1164)))</f>
        <v>185.0</v>
      </c>
      <c r="C1164" s="3">
        <f>MEDIAN(I1164:L1164)</f>
        <v>185.0</v>
      </c>
      <c r="D1164" s="3">
        <f>ROUND(C1164*(1-Settings!$B$2),2)</f>
        <v>129.5</v>
      </c>
      <c r="E1164" s="3">
        <f>ROUND(C1164*(1-Settings!$B$3),2)</f>
        <v>129.5</v>
      </c>
      <c r="F1164" s="2" t="inlineStr">
        <is>
          <t>Pokemon</t>
        </is>
      </c>
      <c r="G1164" s="2" t="inlineStr">
        <is>
          <t>Coffret</t>
        </is>
      </c>
      <c r="H1164" s="2" t="inlineStr">
        <is>
          <t>Japanese Southern Islands</t>
        </is>
      </c>
      <c r="I1164" s="3" t="n">
        <v>185</v>
      </c>
      <c r="J1164" s="3" t="n"/>
      <c r="K1164" s="3" t="n"/>
      <c r="L1164" s="3" t="n"/>
      <c r="M1164" s="2" t="inlineStr">
        <is>
          <t>PriceCharting</t>
        </is>
      </c>
      <c r="N1164" s="4" t="inlineStr">
        <is>
          <t>https://www.pricecharting.com/game/pokemon-japanese-southern-islands/tropical-island-box</t>
        </is>
      </c>
    </row>
    <row r="1165">
      <c r="A1165" s="2" t="inlineStr">
        <is>
          <t>Japanese Taruka Sealed Box</t>
        </is>
      </c>
      <c r="B1165" s="3">
        <f>IF(I1165&lt;&gt;"",I1165,IF(J1165&lt;&gt;"",J1165,IF(K1165&lt;&gt;"",K1165,L1165)))</f>
        <v>28.2</v>
      </c>
      <c r="C1165" s="3">
        <f>MEDIAN(I1165:L1165)</f>
        <v>28.2</v>
      </c>
      <c r="D1165" s="3">
        <f>ROUND(C1165*(1-Settings!$B$2),2)</f>
        <v>19.74</v>
      </c>
      <c r="E1165" s="3">
        <f>ROUND(C1165*(1-Settings!$B$3),2)</f>
        <v>19.74</v>
      </c>
      <c r="F1165" s="2" t="inlineStr">
        <is>
          <t>Pokemon</t>
        </is>
      </c>
      <c r="G1165" s="2" t="inlineStr">
        <is>
          <t>Coffret</t>
        </is>
      </c>
      <c r="H1165" s="2" t="inlineStr">
        <is>
          <t>Japanese Taruka</t>
        </is>
      </c>
      <c r="I1165" s="3" t="n">
        <v>28.2</v>
      </c>
      <c r="J1165" s="3" t="n"/>
      <c r="K1165" s="3" t="n"/>
      <c r="L1165" s="3" t="n"/>
      <c r="M1165" s="2" t="inlineStr">
        <is>
          <t>PriceCharting</t>
        </is>
      </c>
      <c r="N1165" s="4" t="inlineStr">
        <is>
          <t>https://www.pricecharting.com/game/pokemon-japanese-taruka/sealed-box</t>
        </is>
      </c>
    </row>
    <row r="1166">
      <c r="A1166" s="2" t="inlineStr">
        <is>
          <t>Japanese Vstar Universe Diamond Clan Special Set</t>
        </is>
      </c>
      <c r="B1166" s="3">
        <f>IF(I1166&lt;&gt;"",I1166,IF(J1166&lt;&gt;"",J1166,IF(K1166&lt;&gt;"",K1166,L1166)))</f>
        <v>112.76</v>
      </c>
      <c r="C1166" s="3">
        <f>MEDIAN(I1166:L1166)</f>
        <v>112.76</v>
      </c>
      <c r="D1166" s="3">
        <f>ROUND(C1166*(1-Settings!$B$2),2)</f>
        <v>78.93</v>
      </c>
      <c r="E1166" s="3">
        <f>ROUND(C1166*(1-Settings!$B$3),2)</f>
        <v>78.93</v>
      </c>
      <c r="F1166" s="2" t="inlineStr">
        <is>
          <t>Pokemon</t>
        </is>
      </c>
      <c r="G1166" s="2" t="inlineStr">
        <is>
          <t>Coffret</t>
        </is>
      </c>
      <c r="H1166" s="2" t="inlineStr">
        <is>
          <t>Japanese Vstar Universe</t>
        </is>
      </c>
      <c r="I1166" s="3" t="n">
        <v>112.76</v>
      </c>
      <c r="J1166" s="3" t="n"/>
      <c r="K1166" s="3" t="n"/>
      <c r="L1166" s="3" t="n"/>
      <c r="M1166" s="2" t="inlineStr">
        <is>
          <t>PriceCharting</t>
        </is>
      </c>
      <c r="N1166" s="4" t="inlineStr">
        <is>
          <t>https://www.pricecharting.com/game/pokemon-japanese-vstar-universe/diamond-clan-special-set</t>
        </is>
      </c>
    </row>
    <row r="1167">
      <c r="A1167" s="2" t="inlineStr">
        <is>
          <t>Japanese Vstar Universe Pearl Clan Special Set</t>
        </is>
      </c>
      <c r="B1167" s="3">
        <f>IF(I1167&lt;&gt;"",I1167,IF(J1167&lt;&gt;"",J1167,IF(K1167&lt;&gt;"",K1167,L1167)))</f>
        <v>97.23</v>
      </c>
      <c r="C1167" s="3">
        <f>MEDIAN(I1167:L1167)</f>
        <v>97.23</v>
      </c>
      <c r="D1167" s="3">
        <f>ROUND(C1167*(1-Settings!$B$2),2)</f>
        <v>68.06</v>
      </c>
      <c r="E1167" s="3">
        <f>ROUND(C1167*(1-Settings!$B$3),2)</f>
        <v>68.06</v>
      </c>
      <c r="F1167" s="2" t="inlineStr">
        <is>
          <t>Pokemon</t>
        </is>
      </c>
      <c r="G1167" s="2" t="inlineStr">
        <is>
          <t>Coffret</t>
        </is>
      </c>
      <c r="H1167" s="2" t="inlineStr">
        <is>
          <t>Japanese Vstar Universe</t>
        </is>
      </c>
      <c r="I1167" s="3" t="n">
        <v>97.23</v>
      </c>
      <c r="J1167" s="3" t="n"/>
      <c r="K1167" s="3" t="n"/>
      <c r="L1167" s="3" t="n"/>
      <c r="M1167" s="2" t="inlineStr">
        <is>
          <t>PriceCharting</t>
        </is>
      </c>
      <c r="N1167" s="4" t="inlineStr">
        <is>
          <t>https://www.pricecharting.com/game/pokemon-japanese-vstar-universe/pearl-clan-special-set</t>
        </is>
      </c>
    </row>
    <row r="1168">
      <c r="A1168" s="2" t="inlineStr">
        <is>
          <t>Journey Together Elite Trainer Box [Pokemon Center]</t>
        </is>
      </c>
      <c r="B1168" s="3">
        <f>IF(I1168&lt;&gt;"",I1168,IF(J1168&lt;&gt;"",J1168,IF(K1168&lt;&gt;"",K1168,L1168)))</f>
        <v>194.0</v>
      </c>
      <c r="C1168" s="3">
        <f>MEDIAN(I1168:L1168)</f>
        <v>194.0</v>
      </c>
      <c r="D1168" s="3">
        <f>ROUND(C1168*(1-Settings!$B$2),2)</f>
        <v>135.8</v>
      </c>
      <c r="E1168" s="3">
        <f>ROUND(C1168*(1-Settings!$B$3),2)</f>
        <v>135.8</v>
      </c>
      <c r="F1168" s="2" t="inlineStr">
        <is>
          <t>Pokemon</t>
        </is>
      </c>
      <c r="G1168" s="2" t="inlineStr">
        <is>
          <t>Coffret</t>
        </is>
      </c>
      <c r="H1168" s="2" t="inlineStr">
        <is>
          <t>Journey Together</t>
        </is>
      </c>
      <c r="I1168" s="3" t="n">
        <v>194</v>
      </c>
      <c r="J1168" s="3" t="n"/>
      <c r="K1168" s="3" t="n"/>
      <c r="L1168" s="3" t="n"/>
      <c r="M1168" s="2" t="inlineStr">
        <is>
          <t>PriceCharting</t>
        </is>
      </c>
      <c r="N1168" s="4" t="inlineStr">
        <is>
          <t>https://www.pricecharting.com/game/pokemon-journey-together/elite-trainer-box-pokemon-center</t>
        </is>
      </c>
    </row>
    <row r="1169">
      <c r="A1169" s="2" t="inlineStr">
        <is>
          <t>Journey Together Hops Zacian Ex Sealed Box</t>
        </is>
      </c>
      <c r="B1169" s="3">
        <f>IF(I1169&lt;&gt;"",I1169,IF(J1169&lt;&gt;"",J1169,IF(K1169&lt;&gt;"",K1169,L1169)))</f>
        <v>33.5</v>
      </c>
      <c r="C1169" s="3">
        <f>MEDIAN(I1169:L1169)</f>
        <v>33.5</v>
      </c>
      <c r="D1169" s="3">
        <f>ROUND(C1169*(1-Settings!$B$2),2)</f>
        <v>23.45</v>
      </c>
      <c r="E1169" s="3">
        <f>ROUND(C1169*(1-Settings!$B$3),2)</f>
        <v>23.45</v>
      </c>
      <c r="F1169" s="2" t="inlineStr">
        <is>
          <t>Pokemon</t>
        </is>
      </c>
      <c r="G1169" s="2" t="inlineStr">
        <is>
          <t>Coffret</t>
        </is>
      </c>
      <c r="H1169" s="2" t="inlineStr">
        <is>
          <t>Journey Together</t>
        </is>
      </c>
      <c r="I1169" s="3" t="n">
        <v>33.5</v>
      </c>
      <c r="J1169" s="3" t="n"/>
      <c r="K1169" s="3" t="n"/>
      <c r="L1169" s="3" t="n"/>
      <c r="M1169" s="2" t="inlineStr">
        <is>
          <t>PriceCharting</t>
        </is>
      </c>
      <c r="N1169" s="4" t="inlineStr">
        <is>
          <t>https://www.pricecharting.com/game/pokemon-journey-together/hops-zacian-ex-sealed-box</t>
        </is>
      </c>
    </row>
    <row r="1170">
      <c r="A1170" s="2" t="inlineStr">
        <is>
          <t>Journey Together Mimikyu Ex &amp; Alcremie Ex Premium Collection</t>
        </is>
      </c>
      <c r="B1170" s="3">
        <f>IF(I1170&lt;&gt;"",I1170,IF(J1170&lt;&gt;"",J1170,IF(K1170&lt;&gt;"",K1170,L1170)))</f>
        <v>117.41</v>
      </c>
      <c r="C1170" s="3">
        <f>MEDIAN(I1170:L1170)</f>
        <v>117.41</v>
      </c>
      <c r="D1170" s="3">
        <f>ROUND(C1170*(1-Settings!$B$2),2)</f>
        <v>82.19</v>
      </c>
      <c r="E1170" s="3">
        <f>ROUND(C1170*(1-Settings!$B$3),2)</f>
        <v>82.19</v>
      </c>
      <c r="F1170" s="2" t="inlineStr">
        <is>
          <t>Pokemon</t>
        </is>
      </c>
      <c r="G1170" s="2" t="inlineStr">
        <is>
          <t>Coffret</t>
        </is>
      </c>
      <c r="H1170" s="2" t="inlineStr">
        <is>
          <t>Journey Together</t>
        </is>
      </c>
      <c r="I1170" s="3" t="n">
        <v>117.41</v>
      </c>
      <c r="J1170" s="3" t="n"/>
      <c r="K1170" s="3" t="n"/>
      <c r="L1170" s="3" t="n"/>
      <c r="M1170" s="2" t="inlineStr">
        <is>
          <t>PriceCharting</t>
        </is>
      </c>
      <c r="N1170" s="4" t="inlineStr">
        <is>
          <t>https://www.pricecharting.com/game/pokemon-journey-together/mimikyu-ex-&amp;-alcremie-ex-premium-collection</t>
        </is>
      </c>
    </row>
    <row r="1171">
      <c r="A1171" s="2" t="inlineStr">
        <is>
          <t>Lost Origin 3-Pack Blister</t>
        </is>
      </c>
      <c r="B1171" s="3">
        <f>IF(I1171&lt;&gt;"",I1171,IF(J1171&lt;&gt;"",J1171,IF(K1171&lt;&gt;"",K1171,L1171)))</f>
        <v>69.41</v>
      </c>
      <c r="C1171" s="3">
        <f>MEDIAN(I1171:L1171)</f>
        <v>69.41</v>
      </c>
      <c r="D1171" s="3">
        <f>ROUND(C1171*(1-Settings!$B$2),2)</f>
        <v>48.59</v>
      </c>
      <c r="E1171" s="3">
        <f>ROUND(C1171*(1-Settings!$B$3),2)</f>
        <v>48.59</v>
      </c>
      <c r="F1171" s="2" t="inlineStr">
        <is>
          <t>Pokemon</t>
        </is>
      </c>
      <c r="G1171" s="2" t="inlineStr">
        <is>
          <t>Coffret</t>
        </is>
      </c>
      <c r="H1171" s="2" t="inlineStr">
        <is>
          <t>Lost Origin</t>
        </is>
      </c>
      <c r="I1171" s="3" t="n">
        <v>69.41</v>
      </c>
      <c r="J1171" s="3" t="n"/>
      <c r="K1171" s="3" t="n"/>
      <c r="L1171" s="3" t="n"/>
      <c r="M1171" s="2" t="inlineStr">
        <is>
          <t>PriceCharting</t>
        </is>
      </c>
      <c r="N1171" s="4" t="inlineStr">
        <is>
          <t>https://www.pricecharting.com/game/pokemon-lost-origin/3-pack-blister</t>
        </is>
      </c>
    </row>
    <row r="1172">
      <c r="A1172" s="2" t="inlineStr">
        <is>
          <t>Lost Origin Darkness Stacking Tin</t>
        </is>
      </c>
      <c r="B1172" s="3">
        <f>IF(I1172&lt;&gt;"",I1172,IF(J1172&lt;&gt;"",J1172,IF(K1172&lt;&gt;"",K1172,L1172)))</f>
        <v>49.99</v>
      </c>
      <c r="C1172" s="3">
        <f>MEDIAN(I1172:L1172)</f>
        <v>49.99</v>
      </c>
      <c r="D1172" s="3">
        <f>ROUND(C1172*(1-Settings!$B$2),2)</f>
        <v>34.99</v>
      </c>
      <c r="E1172" s="3">
        <f>ROUND(C1172*(1-Settings!$B$3),2)</f>
        <v>34.99</v>
      </c>
      <c r="F1172" s="2" t="inlineStr">
        <is>
          <t>Pokemon</t>
        </is>
      </c>
      <c r="G1172" s="2" t="inlineStr">
        <is>
          <t>Coffret</t>
        </is>
      </c>
      <c r="H1172" s="2" t="inlineStr">
        <is>
          <t>Lost Origin</t>
        </is>
      </c>
      <c r="I1172" s="3" t="n">
        <v>49.99</v>
      </c>
      <c r="J1172" s="3" t="n"/>
      <c r="K1172" s="3" t="n"/>
      <c r="L1172" s="3" t="n"/>
      <c r="M1172" s="2" t="inlineStr">
        <is>
          <t>PriceCharting</t>
        </is>
      </c>
      <c r="N1172" s="4" t="inlineStr">
        <is>
          <t>https://www.pricecharting.com/game/pokemon-lost-origin/darkness-stacking-tin</t>
        </is>
      </c>
    </row>
    <row r="1173">
      <c r="A1173" s="2" t="inlineStr">
        <is>
          <t>Lost Origin Eevee Evolutions Premium Collection Box</t>
        </is>
      </c>
      <c r="B1173" s="3">
        <f>IF(I1173&lt;&gt;"",I1173,IF(J1173&lt;&gt;"",J1173,IF(K1173&lt;&gt;"",K1173,L1173)))</f>
        <v>285.0</v>
      </c>
      <c r="C1173" s="3">
        <f>MEDIAN(I1173:L1173)</f>
        <v>285.0</v>
      </c>
      <c r="D1173" s="3">
        <f>ROUND(C1173*(1-Settings!$B$2),2)</f>
        <v>199.5</v>
      </c>
      <c r="E1173" s="3">
        <f>ROUND(C1173*(1-Settings!$B$3),2)</f>
        <v>199.5</v>
      </c>
      <c r="F1173" s="2" t="inlineStr">
        <is>
          <t>Pokemon</t>
        </is>
      </c>
      <c r="G1173" s="2" t="inlineStr">
        <is>
          <t>Coffret</t>
        </is>
      </c>
      <c r="H1173" s="2" t="inlineStr">
        <is>
          <t>Lost Origin</t>
        </is>
      </c>
      <c r="I1173" s="3" t="n">
        <v>285</v>
      </c>
      <c r="J1173" s="3" t="n"/>
      <c r="K1173" s="3" t="n"/>
      <c r="L1173" s="3" t="n"/>
      <c r="M1173" s="2" t="inlineStr">
        <is>
          <t>PriceCharting</t>
        </is>
      </c>
      <c r="N1173" s="4" t="inlineStr">
        <is>
          <t>https://www.pricecharting.com/game/pokemon-lost-origin/eevee-evolutions-premium-collection-box</t>
        </is>
      </c>
    </row>
    <row r="1174">
      <c r="A1174" s="2" t="inlineStr">
        <is>
          <t>Lost Origin Elite Trainer Box [Pokemon Center]</t>
        </is>
      </c>
      <c r="B1174" s="3">
        <f>IF(I1174&lt;&gt;"",I1174,IF(J1174&lt;&gt;"",J1174,IF(K1174&lt;&gt;"",K1174,L1174)))</f>
        <v>366.0</v>
      </c>
      <c r="C1174" s="3">
        <f>MEDIAN(I1174:L1174)</f>
        <v>366.0</v>
      </c>
      <c r="D1174" s="3">
        <f>ROUND(C1174*(1-Settings!$B$2),2)</f>
        <v>256.2</v>
      </c>
      <c r="E1174" s="3">
        <f>ROUND(C1174*(1-Settings!$B$3),2)</f>
        <v>256.2</v>
      </c>
      <c r="F1174" s="2" t="inlineStr">
        <is>
          <t>Pokemon</t>
        </is>
      </c>
      <c r="G1174" s="2" t="inlineStr">
        <is>
          <t>Coffret</t>
        </is>
      </c>
      <c r="H1174" s="2" t="inlineStr">
        <is>
          <t>Lost Origin</t>
        </is>
      </c>
      <c r="I1174" s="3" t="n">
        <v>366</v>
      </c>
      <c r="J1174" s="3" t="n"/>
      <c r="K1174" s="3" t="n"/>
      <c r="L1174" s="3" t="n"/>
      <c r="M1174" s="2" t="inlineStr">
        <is>
          <t>PriceCharting</t>
        </is>
      </c>
      <c r="N1174" s="4" t="inlineStr">
        <is>
          <t>https://www.pricecharting.com/game/pokemon-lost-origin/elite-trainer-box-pokemon-center</t>
        </is>
      </c>
    </row>
    <row r="1175">
      <c r="A1175" s="2" t="inlineStr">
        <is>
          <t>Lost Origin Fighting Stacking Tin</t>
        </is>
      </c>
      <c r="B1175" s="3">
        <f>IF(I1175&lt;&gt;"",I1175,IF(J1175&lt;&gt;"",J1175,IF(K1175&lt;&gt;"",K1175,L1175)))</f>
        <v>52.09</v>
      </c>
      <c r="C1175" s="3">
        <f>MEDIAN(I1175:L1175)</f>
        <v>52.09</v>
      </c>
      <c r="D1175" s="3">
        <f>ROUND(C1175*(1-Settings!$B$2),2)</f>
        <v>36.46</v>
      </c>
      <c r="E1175" s="3">
        <f>ROUND(C1175*(1-Settings!$B$3),2)</f>
        <v>36.46</v>
      </c>
      <c r="F1175" s="2" t="inlineStr">
        <is>
          <t>Pokemon</t>
        </is>
      </c>
      <c r="G1175" s="2" t="inlineStr">
        <is>
          <t>Coffret</t>
        </is>
      </c>
      <c r="H1175" s="2" t="inlineStr">
        <is>
          <t>Lost Origin</t>
        </is>
      </c>
      <c r="I1175" s="3" t="n">
        <v>52.09</v>
      </c>
      <c r="J1175" s="3" t="n"/>
      <c r="K1175" s="3" t="n"/>
      <c r="L1175" s="3" t="n"/>
      <c r="M1175" s="2" t="inlineStr">
        <is>
          <t>PriceCharting</t>
        </is>
      </c>
      <c r="N1175" s="4" t="inlineStr">
        <is>
          <t>https://www.pricecharting.com/game/pokemon-lost-origin/fighting-stacking-tin</t>
        </is>
      </c>
    </row>
    <row r="1176">
      <c r="A1176" s="2" t="inlineStr">
        <is>
          <t>Lost Origin Fire Stacking Tin</t>
        </is>
      </c>
      <c r="B1176" s="3">
        <f>IF(I1176&lt;&gt;"",I1176,IF(J1176&lt;&gt;"",J1176,IF(K1176&lt;&gt;"",K1176,L1176)))</f>
        <v>49.9</v>
      </c>
      <c r="C1176" s="3">
        <f>MEDIAN(I1176:L1176)</f>
        <v>49.9</v>
      </c>
      <c r="D1176" s="3">
        <f>ROUND(C1176*(1-Settings!$B$2),2)</f>
        <v>34.93</v>
      </c>
      <c r="E1176" s="3">
        <f>ROUND(C1176*(1-Settings!$B$3),2)</f>
        <v>34.93</v>
      </c>
      <c r="F1176" s="2" t="inlineStr">
        <is>
          <t>Pokemon</t>
        </is>
      </c>
      <c r="G1176" s="2" t="inlineStr">
        <is>
          <t>Coffret</t>
        </is>
      </c>
      <c r="H1176" s="2" t="inlineStr">
        <is>
          <t>Lost Origin</t>
        </is>
      </c>
      <c r="I1176" s="3" t="n">
        <v>49.9</v>
      </c>
      <c r="J1176" s="3" t="n"/>
      <c r="K1176" s="3" t="n"/>
      <c r="L1176" s="3" t="n"/>
      <c r="M1176" s="2" t="inlineStr">
        <is>
          <t>PriceCharting</t>
        </is>
      </c>
      <c r="N1176" s="4" t="inlineStr">
        <is>
          <t>https://www.pricecharting.com/game/pokemon-lost-origin/fire-stacking-tin</t>
        </is>
      </c>
    </row>
    <row r="1177">
      <c r="A1177" s="2" t="inlineStr">
        <is>
          <t>Lost Origin Infernape V Collection Box</t>
        </is>
      </c>
      <c r="B1177" s="3">
        <f>IF(I1177&lt;&gt;"",I1177,IF(J1177&lt;&gt;"",J1177,IF(K1177&lt;&gt;"",K1177,L1177)))</f>
        <v>72.72</v>
      </c>
      <c r="C1177" s="3">
        <f>MEDIAN(I1177:L1177)</f>
        <v>72.72</v>
      </c>
      <c r="D1177" s="3">
        <f>ROUND(C1177*(1-Settings!$B$2),2)</f>
        <v>50.9</v>
      </c>
      <c r="E1177" s="3">
        <f>ROUND(C1177*(1-Settings!$B$3),2)</f>
        <v>50.9</v>
      </c>
      <c r="F1177" s="2" t="inlineStr">
        <is>
          <t>Pokemon</t>
        </is>
      </c>
      <c r="G1177" s="2" t="inlineStr">
        <is>
          <t>Coffret</t>
        </is>
      </c>
      <c r="H1177" s="2" t="inlineStr">
        <is>
          <t>Lost Origin</t>
        </is>
      </c>
      <c r="I1177" s="3" t="n">
        <v>72.72</v>
      </c>
      <c r="J1177" s="3" t="n"/>
      <c r="K1177" s="3" t="n"/>
      <c r="L1177" s="3" t="n"/>
      <c r="M1177" s="2" t="inlineStr">
        <is>
          <t>PriceCharting</t>
        </is>
      </c>
      <c r="N1177" s="4" t="inlineStr">
        <is>
          <t>https://www.pricecharting.com/game/pokemon-lost-origin/infernape-v-collection-box</t>
        </is>
      </c>
    </row>
    <row r="1178">
      <c r="A1178" s="2" t="inlineStr">
        <is>
          <t>Lost Origin Weavile 3-Pack Blister</t>
        </is>
      </c>
      <c r="B1178" s="3">
        <f>IF(I1178&lt;&gt;"",I1178,IF(J1178&lt;&gt;"",J1178,IF(K1178&lt;&gt;"",K1178,L1178)))</f>
        <v>62.59</v>
      </c>
      <c r="C1178" s="3">
        <f>MEDIAN(I1178:L1178)</f>
        <v>62.59</v>
      </c>
      <c r="D1178" s="3">
        <f>ROUND(C1178*(1-Settings!$B$2),2)</f>
        <v>43.81</v>
      </c>
      <c r="E1178" s="3">
        <f>ROUND(C1178*(1-Settings!$B$3),2)</f>
        <v>43.81</v>
      </c>
      <c r="F1178" s="2" t="inlineStr">
        <is>
          <t>Pokemon</t>
        </is>
      </c>
      <c r="G1178" s="2" t="inlineStr">
        <is>
          <t>Coffret</t>
        </is>
      </c>
      <c r="H1178" s="2" t="inlineStr">
        <is>
          <t>Lost Origin</t>
        </is>
      </c>
      <c r="I1178" s="3" t="n">
        <v>62.59</v>
      </c>
      <c r="J1178" s="3" t="n"/>
      <c r="K1178" s="3" t="n"/>
      <c r="L1178" s="3" t="n"/>
      <c r="M1178" s="2" t="inlineStr">
        <is>
          <t>PriceCharting</t>
        </is>
      </c>
      <c r="N1178" s="4" t="inlineStr">
        <is>
          <t>https://www.pricecharting.com/game/pokemon-lost-origin/weavile-3-pack-blister</t>
        </is>
      </c>
    </row>
    <row r="1179">
      <c r="A1179" s="2" t="inlineStr">
        <is>
          <t>Lost Thunder Alolan Exeggutor 3-Pack Blister</t>
        </is>
      </c>
      <c r="B1179" s="3">
        <f>IF(I1179&lt;&gt;"",I1179,IF(J1179&lt;&gt;"",J1179,IF(K1179&lt;&gt;"",K1179,L1179)))</f>
        <v>130.82</v>
      </c>
      <c r="C1179" s="3">
        <f>MEDIAN(I1179:L1179)</f>
        <v>130.82</v>
      </c>
      <c r="D1179" s="3">
        <f>ROUND(C1179*(1-Settings!$B$2),2)</f>
        <v>91.57</v>
      </c>
      <c r="E1179" s="3">
        <f>ROUND(C1179*(1-Settings!$B$3),2)</f>
        <v>91.57</v>
      </c>
      <c r="F1179" s="2" t="inlineStr">
        <is>
          <t>Pokemon</t>
        </is>
      </c>
      <c r="G1179" s="2" t="inlineStr">
        <is>
          <t>Coffret</t>
        </is>
      </c>
      <c r="H1179" s="2" t="inlineStr">
        <is>
          <t>Lost Thunder</t>
        </is>
      </c>
      <c r="I1179" s="3" t="n">
        <v>130.82</v>
      </c>
      <c r="J1179" s="3" t="n"/>
      <c r="K1179" s="3" t="n"/>
      <c r="L1179" s="3" t="n"/>
      <c r="M1179" s="2" t="inlineStr">
        <is>
          <t>PriceCharting</t>
        </is>
      </c>
      <c r="N1179" s="4" t="inlineStr">
        <is>
          <t>https://www.pricecharting.com/game/pokemon-lost-thunder/alolan-exeggutor-3-pack-blister</t>
        </is>
      </c>
    </row>
    <row r="1180">
      <c r="A1180" s="2" t="inlineStr">
        <is>
          <t>Lost Thunder Altaria 3-Pack Blister</t>
        </is>
      </c>
      <c r="B1180" s="3">
        <f>IF(I1180&lt;&gt;"",I1180,IF(J1180&lt;&gt;"",J1180,IF(K1180&lt;&gt;"",K1180,L1180)))</f>
        <v>151.05</v>
      </c>
      <c r="C1180" s="3">
        <f>MEDIAN(I1180:L1180)</f>
        <v>151.05</v>
      </c>
      <c r="D1180" s="3">
        <f>ROUND(C1180*(1-Settings!$B$2),2)</f>
        <v>105.74</v>
      </c>
      <c r="E1180" s="3">
        <f>ROUND(C1180*(1-Settings!$B$3),2)</f>
        <v>105.74</v>
      </c>
      <c r="F1180" s="2" t="inlineStr">
        <is>
          <t>Pokemon</t>
        </is>
      </c>
      <c r="G1180" s="2" t="inlineStr">
        <is>
          <t>Coffret</t>
        </is>
      </c>
      <c r="H1180" s="2" t="inlineStr">
        <is>
          <t>Lost Thunder</t>
        </is>
      </c>
      <c r="I1180" s="3" t="n">
        <v>151.05</v>
      </c>
      <c r="J1180" s="3" t="n"/>
      <c r="K1180" s="3" t="n"/>
      <c r="L1180" s="3" t="n"/>
      <c r="M1180" s="2" t="inlineStr">
        <is>
          <t>PriceCharting</t>
        </is>
      </c>
      <c r="N1180" s="4" t="inlineStr">
        <is>
          <t>https://www.pricecharting.com/game/pokemon-lost-thunder/altaria-3-pack-blister</t>
        </is>
      </c>
    </row>
    <row r="1181">
      <c r="A1181" s="2" t="inlineStr">
        <is>
          <t>Premium Trainer Box MEGA Brave &amp; Symphonia</t>
        </is>
      </c>
      <c r="B1181" s="3">
        <f>IF(I1181&lt;&gt;"",I1181,IF(J1181&lt;&gt;"",J1181,IF(K1181&lt;&gt;"",K1181,L1181)))</f>
        <v>94.85</v>
      </c>
      <c r="C1181" s="3">
        <f>MEDIAN(I1181:L1181)</f>
        <v>95.875</v>
      </c>
      <c r="D1181" s="3">
        <f>ROUND(C1181*(1-Settings!$B$2),2)</f>
        <v>67.11</v>
      </c>
      <c r="E1181" s="3">
        <f>ROUND(C1181*(1-Settings!$B$3),2)</f>
        <v>67.11</v>
      </c>
      <c r="F1181" s="2" t="inlineStr">
        <is>
          <t>Pokemon</t>
        </is>
      </c>
      <c r="G1181" s="2" t="inlineStr">
        <is>
          <t>Coffret</t>
        </is>
      </c>
      <c r="H1181" s="2" t="inlineStr">
        <is>
          <t>m1L: Mega Brave</t>
        </is>
      </c>
      <c r="I1181" s="3" t="n"/>
      <c r="J1181" s="3" t="n">
        <v>94.84999999999999</v>
      </c>
      <c r="K1181" s="3" t="n"/>
      <c r="L1181" s="3" t="n">
        <v>96.90000000000001</v>
      </c>
      <c r="M1181" s="2" t="inlineStr">
        <is>
          <t>TCGplayer</t>
        </is>
      </c>
      <c r="O1181" s="4" t="inlineStr">
        <is>
          <t>https://www.tcgplayer.com/product/648589</t>
        </is>
      </c>
    </row>
    <row r="1182">
      <c r="A1182" s="2" t="inlineStr">
        <is>
          <t>Mega Special Card Set: Mega Gallade ex</t>
        </is>
      </c>
      <c r="B1182" s="3">
        <f>IF(I1182&lt;&gt;"",I1182,IF(J1182&lt;&gt;"",J1182,IF(K1182&lt;&gt;"",K1182,L1182)))</f>
        <v>48.63</v>
      </c>
      <c r="C1182" s="3">
        <f>MEDIAN(I1182:L1182)</f>
        <v>41.815</v>
      </c>
      <c r="D1182" s="3">
        <f>ROUND(C1182*(1-Settings!$B$2),2)</f>
        <v>29.27</v>
      </c>
      <c r="E1182" s="3">
        <f>ROUND(C1182*(1-Settings!$B$3),2)</f>
        <v>29.27</v>
      </c>
      <c r="F1182" s="2" t="inlineStr">
        <is>
          <t>Pokemon</t>
        </is>
      </c>
      <c r="G1182" s="2" t="inlineStr">
        <is>
          <t>Coffret</t>
        </is>
      </c>
      <c r="H1182" s="2" t="inlineStr">
        <is>
          <t>M3: Nihil Zero</t>
        </is>
      </c>
      <c r="I1182" s="3" t="n"/>
      <c r="J1182" s="3" t="n">
        <v>48.63</v>
      </c>
      <c r="K1182" s="3" t="n"/>
      <c r="L1182" s="3" t="n">
        <v>35</v>
      </c>
      <c r="M1182" s="2" t="inlineStr">
        <is>
          <t>TCGplayer</t>
        </is>
      </c>
      <c r="O1182" s="4" t="inlineStr">
        <is>
          <t>https://www.tcgplayer.com/product/674457</t>
        </is>
      </c>
    </row>
    <row r="1183">
      <c r="A1183" s="2" t="inlineStr">
        <is>
          <t>30th CELEBRATION FUTURISTIC BOX</t>
        </is>
      </c>
      <c r="B1183" s="3">
        <f>IF(I1183&lt;&gt;"",I1183,IF(J1183&lt;&gt;"",J1183,IF(K1183&lt;&gt;"",K1183,L1183)))</f>
        <v>595.37</v>
      </c>
      <c r="C1183" s="3">
        <f>MEDIAN(I1183:L1183)</f>
        <v>622.6800000000001</v>
      </c>
      <c r="D1183" s="3">
        <f>ROUND(C1183*(1-Settings!$B$2),2)</f>
        <v>435.88</v>
      </c>
      <c r="E1183" s="3">
        <f>ROUND(C1183*(1-Settings!$B$3),2)</f>
        <v>435.88</v>
      </c>
      <c r="F1183" s="2" t="inlineStr">
        <is>
          <t>Pokemon</t>
        </is>
      </c>
      <c r="G1183" s="2" t="inlineStr">
        <is>
          <t>Coffret</t>
        </is>
      </c>
      <c r="H1183" s="2" t="inlineStr">
        <is>
          <t>M6a: MEGA Expansion 30th Celebration</t>
        </is>
      </c>
      <c r="I1183" s="3" t="n"/>
      <c r="J1183" s="3" t="n">
        <v>595.37</v>
      </c>
      <c r="K1183" s="3" t="n"/>
      <c r="L1183" s="3" t="n">
        <v>649.99</v>
      </c>
      <c r="M1183" s="2" t="inlineStr">
        <is>
          <t>TCGplayer</t>
        </is>
      </c>
      <c r="O1183" s="4" t="inlineStr">
        <is>
          <t>https://www.tcgplayer.com/product/696837</t>
        </is>
      </c>
    </row>
    <row r="1184">
      <c r="A1184" s="2" t="inlineStr">
        <is>
          <t>Mega Evolution Booster Bundle</t>
        </is>
      </c>
      <c r="B1184" s="3">
        <f>IF(I1184&lt;&gt;"",I1184,IF(J1184&lt;&gt;"",J1184,IF(K1184&lt;&gt;"",K1184,L1184)))</f>
        <v>67.7</v>
      </c>
      <c r="C1184" s="3">
        <f>MEDIAN(I1184:L1184)</f>
        <v>67.7</v>
      </c>
      <c r="D1184" s="3">
        <f>ROUND(C1184*(1-Settings!$B$2),2)</f>
        <v>47.39</v>
      </c>
      <c r="E1184" s="3">
        <f>ROUND(C1184*(1-Settings!$B$3),2)</f>
        <v>47.39</v>
      </c>
      <c r="F1184" s="2" t="inlineStr">
        <is>
          <t>Pokemon</t>
        </is>
      </c>
      <c r="G1184" s="2" t="inlineStr">
        <is>
          <t>Coffret</t>
        </is>
      </c>
      <c r="H1184" s="2" t="inlineStr">
        <is>
          <t>ME01: Mega Evolution</t>
        </is>
      </c>
      <c r="I1184" s="3" t="n"/>
      <c r="J1184" s="3" t="n">
        <v>67.7</v>
      </c>
      <c r="K1184" s="3" t="n">
        <v>70</v>
      </c>
      <c r="L1184" s="3" t="n">
        <v>45</v>
      </c>
      <c r="M1184" s="2" t="inlineStr">
        <is>
          <t>TCGplayer</t>
        </is>
      </c>
      <c r="O1184" s="4" t="inlineStr">
        <is>
          <t>https://www.tcgplayer.com/product/644362</t>
        </is>
      </c>
    </row>
    <row r="1185">
      <c r="A1185" s="2" t="inlineStr">
        <is>
          <t>Mega Evolution Booster Pack Art Bundle [Set of 4]</t>
        </is>
      </c>
      <c r="B1185" s="3">
        <f>IF(I1185&lt;&gt;"",I1185,IF(J1185&lt;&gt;"",J1185,IF(K1185&lt;&gt;"",K1185,L1185)))</f>
        <v>35.06</v>
      </c>
      <c r="C1185" s="3">
        <f>MEDIAN(I1185:L1185)</f>
        <v>35.06</v>
      </c>
      <c r="D1185" s="3">
        <f>ROUND(C1185*(1-Settings!$B$2),2)</f>
        <v>24.54</v>
      </c>
      <c r="E1185" s="3">
        <f>ROUND(C1185*(1-Settings!$B$3),2)</f>
        <v>24.54</v>
      </c>
      <c r="F1185" s="2" t="inlineStr">
        <is>
          <t>Pokemon</t>
        </is>
      </c>
      <c r="G1185" s="2" t="inlineStr">
        <is>
          <t>Coffret</t>
        </is>
      </c>
      <c r="H1185" s="2" t="inlineStr">
        <is>
          <t>ME01: Mega Evolution</t>
        </is>
      </c>
      <c r="I1185" s="3" t="n"/>
      <c r="J1185" s="3" t="n">
        <v>35.06</v>
      </c>
      <c r="K1185" s="3" t="n">
        <v>38.24</v>
      </c>
      <c r="L1185" s="3" t="n">
        <v>33.88</v>
      </c>
      <c r="M1185" s="2" t="inlineStr">
        <is>
          <t>TCGplayer</t>
        </is>
      </c>
      <c r="O1185" s="4" t="inlineStr">
        <is>
          <t>https://www.tcgplayer.com/product/657875</t>
        </is>
      </c>
    </row>
    <row r="1186">
      <c r="A1186" s="2" t="inlineStr">
        <is>
          <t>Mega Evolution Build &amp; Battle Box</t>
        </is>
      </c>
      <c r="B1186" s="3">
        <f>IF(I1186&lt;&gt;"",I1186,IF(J1186&lt;&gt;"",J1186,IF(K1186&lt;&gt;"",K1186,L1186)))</f>
        <v>61.37</v>
      </c>
      <c r="C1186" s="3">
        <f>MEDIAN(I1186:L1186)</f>
        <v>66.0</v>
      </c>
      <c r="D1186" s="3">
        <f>ROUND(C1186*(1-Settings!$B$2),2)</f>
        <v>46.2</v>
      </c>
      <c r="E1186" s="3">
        <f>ROUND(C1186*(1-Settings!$B$3),2)</f>
        <v>46.2</v>
      </c>
      <c r="F1186" s="2" t="inlineStr">
        <is>
          <t>Pokemon</t>
        </is>
      </c>
      <c r="G1186" s="2" t="inlineStr">
        <is>
          <t>Coffret</t>
        </is>
      </c>
      <c r="H1186" s="2" t="inlineStr">
        <is>
          <t>ME01: Mega Evolution</t>
        </is>
      </c>
      <c r="I1186" s="3" t="n"/>
      <c r="J1186" s="3" t="n">
        <v>61.37</v>
      </c>
      <c r="K1186" s="3" t="n">
        <v>68.59</v>
      </c>
      <c r="L1186" s="3" t="n">
        <v>66</v>
      </c>
      <c r="M1186" s="2" t="inlineStr">
        <is>
          <t>TCGplayer</t>
        </is>
      </c>
      <c r="O1186" s="4" t="inlineStr">
        <is>
          <t>https://www.tcgplayer.com/product/644363</t>
        </is>
      </c>
    </row>
    <row r="1187">
      <c r="A1187" s="2" t="inlineStr">
        <is>
          <t>Mega Evolution Elite Trainer Box [Mega Gardevoir]</t>
        </is>
      </c>
      <c r="B1187" s="3">
        <f>IF(I1187&lt;&gt;"",I1187,IF(J1187&lt;&gt;"",J1187,IF(K1187&lt;&gt;"",K1187,L1187)))</f>
        <v>120.48</v>
      </c>
      <c r="C1187" s="3">
        <f>MEDIAN(I1187:L1187)</f>
        <v>120.48</v>
      </c>
      <c r="D1187" s="3">
        <f>ROUND(C1187*(1-Settings!$B$2),2)</f>
        <v>84.34</v>
      </c>
      <c r="E1187" s="3">
        <f>ROUND(C1187*(1-Settings!$B$3),2)</f>
        <v>84.34</v>
      </c>
      <c r="F1187" s="2" t="inlineStr">
        <is>
          <t>Pokemon</t>
        </is>
      </c>
      <c r="G1187" s="2" t="inlineStr">
        <is>
          <t>Coffret</t>
        </is>
      </c>
      <c r="H1187" s="2" t="inlineStr">
        <is>
          <t>ME01: Mega Evolution</t>
        </is>
      </c>
      <c r="I1187" s="3" t="n"/>
      <c r="J1187" s="3" t="n">
        <v>120.48</v>
      </c>
      <c r="K1187" s="3" t="n">
        <v>129.97</v>
      </c>
      <c r="L1187" s="3" t="n">
        <v>79.98999999999999</v>
      </c>
      <c r="M1187" s="2" t="inlineStr">
        <is>
          <t>TCGplayer</t>
        </is>
      </c>
      <c r="O1187" s="4" t="inlineStr">
        <is>
          <t>https://www.tcgplayer.com/product/644279</t>
        </is>
      </c>
    </row>
    <row r="1188">
      <c r="A1188" s="2" t="inlineStr">
        <is>
          <t>Mega Evolution Elite Trainer Box [Mega Lucario]</t>
        </is>
      </c>
      <c r="B1188" s="3">
        <f>IF(I1188&lt;&gt;"",I1188,IF(J1188&lt;&gt;"",J1188,IF(K1188&lt;&gt;"",K1188,L1188)))</f>
        <v>128.67</v>
      </c>
      <c r="C1188" s="3">
        <f>MEDIAN(I1188:L1188)</f>
        <v>128.67</v>
      </c>
      <c r="D1188" s="3">
        <f>ROUND(C1188*(1-Settings!$B$2),2)</f>
        <v>90.07</v>
      </c>
      <c r="E1188" s="3">
        <f>ROUND(C1188*(1-Settings!$B$3),2)</f>
        <v>90.07</v>
      </c>
      <c r="F1188" s="2" t="inlineStr">
        <is>
          <t>Pokemon</t>
        </is>
      </c>
      <c r="G1188" s="2" t="inlineStr">
        <is>
          <t>Coffret</t>
        </is>
      </c>
      <c r="H1188" s="2" t="inlineStr">
        <is>
          <t>ME01: Mega Evolution</t>
        </is>
      </c>
      <c r="I1188" s="3" t="n"/>
      <c r="J1188" s="3" t="n">
        <v>128.67</v>
      </c>
      <c r="K1188" s="3" t="n">
        <v>142.5</v>
      </c>
      <c r="L1188" s="3" t="n">
        <v>100</v>
      </c>
      <c r="M1188" s="2" t="inlineStr">
        <is>
          <t>TCGplayer</t>
        </is>
      </c>
      <c r="O1188" s="4" t="inlineStr">
        <is>
          <t>https://www.tcgplayer.com/product/648394</t>
        </is>
      </c>
    </row>
    <row r="1189">
      <c r="A1189" s="2" t="inlineStr">
        <is>
          <t>Mega Evolution Pokemon Center Elite Trainer Box (Exclusive) [Mega Gardevoir]</t>
        </is>
      </c>
      <c r="B1189" s="3">
        <f>IF(I1189&lt;&gt;"",I1189,IF(J1189&lt;&gt;"",J1189,IF(K1189&lt;&gt;"",K1189,L1189)))</f>
        <v>197.42</v>
      </c>
      <c r="C1189" s="3">
        <f>MEDIAN(I1189:L1189)</f>
        <v>197.42</v>
      </c>
      <c r="D1189" s="3">
        <f>ROUND(C1189*(1-Settings!$B$2),2)</f>
        <v>138.19</v>
      </c>
      <c r="E1189" s="3">
        <f>ROUND(C1189*(1-Settings!$B$3),2)</f>
        <v>138.19</v>
      </c>
      <c r="F1189" s="2" t="inlineStr">
        <is>
          <t>Pokemon</t>
        </is>
      </c>
      <c r="G1189" s="2" t="inlineStr">
        <is>
          <t>Coffret</t>
        </is>
      </c>
      <c r="H1189" s="2" t="inlineStr">
        <is>
          <t>ME01: Mega Evolution</t>
        </is>
      </c>
      <c r="I1189" s="3" t="n"/>
      <c r="J1189" s="3" t="n">
        <v>197.42</v>
      </c>
      <c r="K1189" s="3" t="n">
        <v>229.49</v>
      </c>
      <c r="L1189" s="3" t="n">
        <v>179.85</v>
      </c>
      <c r="M1189" s="2" t="inlineStr">
        <is>
          <t>TCGplayer</t>
        </is>
      </c>
      <c r="O1189" s="4" t="inlineStr">
        <is>
          <t>https://www.tcgplayer.com/product/648415</t>
        </is>
      </c>
    </row>
    <row r="1190">
      <c r="A1190" s="2" t="inlineStr">
        <is>
          <t>Mega Evolution Pokemon Center Elite Trainer Box (Exclusive) [Mega Lucario]</t>
        </is>
      </c>
      <c r="B1190" s="3">
        <f>IF(I1190&lt;&gt;"",I1190,IF(J1190&lt;&gt;"",J1190,IF(K1190&lt;&gt;"",K1190,L1190)))</f>
        <v>202.61</v>
      </c>
      <c r="C1190" s="3">
        <f>MEDIAN(I1190:L1190)</f>
        <v>202.61</v>
      </c>
      <c r="D1190" s="3">
        <f>ROUND(C1190*(1-Settings!$B$2),2)</f>
        <v>141.83</v>
      </c>
      <c r="E1190" s="3">
        <f>ROUND(C1190*(1-Settings!$B$3),2)</f>
        <v>141.83</v>
      </c>
      <c r="F1190" s="2" t="inlineStr">
        <is>
          <t>Pokemon</t>
        </is>
      </c>
      <c r="G1190" s="2" t="inlineStr">
        <is>
          <t>Coffret</t>
        </is>
      </c>
      <c r="H1190" s="2" t="inlineStr">
        <is>
          <t>ME01: Mega Evolution</t>
        </is>
      </c>
      <c r="I1190" s="3" t="n"/>
      <c r="J1190" s="3" t="n">
        <v>202.61</v>
      </c>
      <c r="K1190" s="3" t="n">
        <v>256.5</v>
      </c>
      <c r="L1190" s="3" t="n">
        <v>187</v>
      </c>
      <c r="M1190" s="2" t="inlineStr">
        <is>
          <t>TCGplayer</t>
        </is>
      </c>
      <c r="O1190" s="4" t="inlineStr">
        <is>
          <t>https://www.tcgplayer.com/product/644282</t>
        </is>
      </c>
    </row>
    <row r="1191">
      <c r="A1191" s="2" t="inlineStr">
        <is>
          <t>Mega Evolution Sleeved Booster Pack Art Bundle [Set of 4]</t>
        </is>
      </c>
      <c r="B1191" s="3">
        <f>IF(I1191&lt;&gt;"",I1191,IF(J1191&lt;&gt;"",J1191,IF(K1191&lt;&gt;"",K1191,L1191)))</f>
        <v>45.1</v>
      </c>
      <c r="C1191" s="3">
        <f>MEDIAN(I1191:L1191)</f>
        <v>45.1</v>
      </c>
      <c r="D1191" s="3">
        <f>ROUND(C1191*(1-Settings!$B$2),2)</f>
        <v>31.57</v>
      </c>
      <c r="E1191" s="3">
        <f>ROUND(C1191*(1-Settings!$B$3),2)</f>
        <v>31.57</v>
      </c>
      <c r="F1191" s="2" t="inlineStr">
        <is>
          <t>Pokemon</t>
        </is>
      </c>
      <c r="G1191" s="2" t="inlineStr">
        <is>
          <t>Coffret</t>
        </is>
      </c>
      <c r="H1191" s="2" t="inlineStr">
        <is>
          <t>ME01: Mega Evolution</t>
        </is>
      </c>
      <c r="I1191" s="3" t="n"/>
      <c r="J1191" s="3" t="n">
        <v>45.1</v>
      </c>
      <c r="K1191" s="3" t="n">
        <v>46.44</v>
      </c>
      <c r="L1191" s="3" t="n">
        <v>39.99</v>
      </c>
      <c r="M1191" s="2" t="inlineStr">
        <is>
          <t>TCGplayer</t>
        </is>
      </c>
      <c r="O1191" s="4" t="inlineStr">
        <is>
          <t>https://www.tcgplayer.com/product/644355</t>
        </is>
      </c>
    </row>
    <row r="1192">
      <c r="A1192" s="2" t="inlineStr">
        <is>
          <t>Mega Heroes Mini Tin [Mega Gardevoir]</t>
        </is>
      </c>
      <c r="B1192" s="3">
        <f>IF(I1192&lt;&gt;"",I1192,IF(J1192&lt;&gt;"",J1192,IF(K1192&lt;&gt;"",K1192,L1192)))</f>
        <v>20.75</v>
      </c>
      <c r="C1192" s="3">
        <f>MEDIAN(I1192:L1192)</f>
        <v>20.75</v>
      </c>
      <c r="D1192" s="3">
        <f>ROUND(C1192*(1-Settings!$B$2),2)</f>
        <v>14.53</v>
      </c>
      <c r="E1192" s="3">
        <f>ROUND(C1192*(1-Settings!$B$3),2)</f>
        <v>14.53</v>
      </c>
      <c r="F1192" s="2" t="inlineStr">
        <is>
          <t>Pokemon</t>
        </is>
      </c>
      <c r="G1192" s="2" t="inlineStr">
        <is>
          <t>Coffret</t>
        </is>
      </c>
      <c r="H1192" s="2" t="inlineStr">
        <is>
          <t>ME01: Mega Evolution</t>
        </is>
      </c>
      <c r="I1192" s="3" t="n"/>
      <c r="J1192" s="3" t="n">
        <v>20.75</v>
      </c>
      <c r="K1192" s="3" t="n">
        <v>28.99</v>
      </c>
      <c r="L1192" s="3" t="n">
        <v>19.27</v>
      </c>
      <c r="M1192" s="2" t="inlineStr">
        <is>
          <t>TCGplayer</t>
        </is>
      </c>
      <c r="O1192" s="4" t="inlineStr">
        <is>
          <t>https://www.tcgplayer.com/product/649394</t>
        </is>
      </c>
    </row>
    <row r="1193">
      <c r="A1193" s="2" t="inlineStr">
        <is>
          <t>Mega Heroes Mini Tin [Mega Kangaskhan]</t>
        </is>
      </c>
      <c r="B1193" s="3">
        <f>IF(I1193&lt;&gt;"",I1193,IF(J1193&lt;&gt;"",J1193,IF(K1193&lt;&gt;"",K1193,L1193)))</f>
        <v>20.65</v>
      </c>
      <c r="C1193" s="3">
        <f>MEDIAN(I1193:L1193)</f>
        <v>20.65</v>
      </c>
      <c r="D1193" s="3">
        <f>ROUND(C1193*(1-Settings!$B$2),2)</f>
        <v>14.46</v>
      </c>
      <c r="E1193" s="3">
        <f>ROUND(C1193*(1-Settings!$B$3),2)</f>
        <v>14.46</v>
      </c>
      <c r="F1193" s="2" t="inlineStr">
        <is>
          <t>Pokemon</t>
        </is>
      </c>
      <c r="G1193" s="2" t="inlineStr">
        <is>
          <t>Coffret</t>
        </is>
      </c>
      <c r="H1193" s="2" t="inlineStr">
        <is>
          <t>ME01: Mega Evolution</t>
        </is>
      </c>
      <c r="I1193" s="3" t="n"/>
      <c r="J1193" s="3" t="n">
        <v>20.65</v>
      </c>
      <c r="K1193" s="3" t="n">
        <v>24.5</v>
      </c>
      <c r="L1193" s="3" t="n">
        <v>18.23</v>
      </c>
      <c r="M1193" s="2" t="inlineStr">
        <is>
          <t>TCGplayer</t>
        </is>
      </c>
      <c r="O1193" s="4" t="inlineStr">
        <is>
          <t>https://www.tcgplayer.com/product/649395</t>
        </is>
      </c>
    </row>
    <row r="1194">
      <c r="A1194" s="2" t="inlineStr">
        <is>
          <t>Mega Heroes Mini Tin [Mega Latias]</t>
        </is>
      </c>
      <c r="B1194" s="3">
        <f>IF(I1194&lt;&gt;"",I1194,IF(J1194&lt;&gt;"",J1194,IF(K1194&lt;&gt;"",K1194,L1194)))</f>
        <v>24.06</v>
      </c>
      <c r="C1194" s="3">
        <f>MEDIAN(I1194:L1194)</f>
        <v>24.06</v>
      </c>
      <c r="D1194" s="3">
        <f>ROUND(C1194*(1-Settings!$B$2),2)</f>
        <v>16.84</v>
      </c>
      <c r="E1194" s="3">
        <f>ROUND(C1194*(1-Settings!$B$3),2)</f>
        <v>16.84</v>
      </c>
      <c r="F1194" s="2" t="inlineStr">
        <is>
          <t>Pokemon</t>
        </is>
      </c>
      <c r="G1194" s="2" t="inlineStr">
        <is>
          <t>Coffret</t>
        </is>
      </c>
      <c r="H1194" s="2" t="inlineStr">
        <is>
          <t>ME01: Mega Evolution</t>
        </is>
      </c>
      <c r="I1194" s="3" t="n"/>
      <c r="J1194" s="3" t="n">
        <v>24.06</v>
      </c>
      <c r="K1194" s="3" t="n">
        <v>39.38</v>
      </c>
      <c r="L1194" s="3" t="n">
        <v>23</v>
      </c>
      <c r="M1194" s="2" t="inlineStr">
        <is>
          <t>TCGplayer</t>
        </is>
      </c>
      <c r="O1194" s="4" t="inlineStr">
        <is>
          <t>https://www.tcgplayer.com/product/649397</t>
        </is>
      </c>
    </row>
    <row r="1195">
      <c r="A1195" s="2" t="inlineStr">
        <is>
          <t>Mega Heroes Mini Tin [Mega Lucario]</t>
        </is>
      </c>
      <c r="B1195" s="3">
        <f>IF(I1195&lt;&gt;"",I1195,IF(J1195&lt;&gt;"",J1195,IF(K1195&lt;&gt;"",K1195,L1195)))</f>
        <v>22.6</v>
      </c>
      <c r="C1195" s="3">
        <f>MEDIAN(I1195:L1195)</f>
        <v>22.6</v>
      </c>
      <c r="D1195" s="3">
        <f>ROUND(C1195*(1-Settings!$B$2),2)</f>
        <v>15.82</v>
      </c>
      <c r="E1195" s="3">
        <f>ROUND(C1195*(1-Settings!$B$3),2)</f>
        <v>15.82</v>
      </c>
      <c r="F1195" s="2" t="inlineStr">
        <is>
          <t>Pokemon</t>
        </is>
      </c>
      <c r="G1195" s="2" t="inlineStr">
        <is>
          <t>Coffret</t>
        </is>
      </c>
      <c r="H1195" s="2" t="inlineStr">
        <is>
          <t>ME01: Mega Evolution</t>
        </is>
      </c>
      <c r="I1195" s="3" t="n"/>
      <c r="J1195" s="3" t="n">
        <v>22.6</v>
      </c>
      <c r="K1195" s="3" t="n">
        <v>25</v>
      </c>
      <c r="L1195" s="3" t="n">
        <v>1.99</v>
      </c>
      <c r="M1195" s="2" t="inlineStr">
        <is>
          <t>TCGplayer</t>
        </is>
      </c>
      <c r="O1195" s="4" t="inlineStr">
        <is>
          <t>https://www.tcgplayer.com/product/649400</t>
        </is>
      </c>
    </row>
    <row r="1196">
      <c r="A1196" s="2" t="inlineStr">
        <is>
          <t>Mega Heroes Mini Tin [Mega Venusaur]</t>
        </is>
      </c>
      <c r="B1196" s="3">
        <f>IF(I1196&lt;&gt;"",I1196,IF(J1196&lt;&gt;"",J1196,IF(K1196&lt;&gt;"",K1196,L1196)))</f>
        <v>20.85</v>
      </c>
      <c r="C1196" s="3">
        <f>MEDIAN(I1196:L1196)</f>
        <v>20.85</v>
      </c>
      <c r="D1196" s="3">
        <f>ROUND(C1196*(1-Settings!$B$2),2)</f>
        <v>14.6</v>
      </c>
      <c r="E1196" s="3">
        <f>ROUND(C1196*(1-Settings!$B$3),2)</f>
        <v>14.6</v>
      </c>
      <c r="F1196" s="2" t="inlineStr">
        <is>
          <t>Pokemon</t>
        </is>
      </c>
      <c r="G1196" s="2" t="inlineStr">
        <is>
          <t>Coffret</t>
        </is>
      </c>
      <c r="H1196" s="2" t="inlineStr">
        <is>
          <t>ME01: Mega Evolution</t>
        </is>
      </c>
      <c r="I1196" s="3" t="n"/>
      <c r="J1196" s="3" t="n">
        <v>20.85</v>
      </c>
      <c r="K1196" s="3" t="n">
        <v>25</v>
      </c>
      <c r="L1196" s="3" t="n">
        <v>19.79</v>
      </c>
      <c r="M1196" s="2" t="inlineStr">
        <is>
          <t>TCGplayer</t>
        </is>
      </c>
      <c r="O1196" s="4" t="inlineStr">
        <is>
          <t>https://www.tcgplayer.com/product/649401</t>
        </is>
      </c>
    </row>
    <row r="1197">
      <c r="A1197" s="2" t="inlineStr">
        <is>
          <t>Phantasmal Flames Booster Bundle</t>
        </is>
      </c>
      <c r="B1197" s="3">
        <f>IF(I1197&lt;&gt;"",I1197,IF(J1197&lt;&gt;"",J1197,IF(K1197&lt;&gt;"",K1197,L1197)))</f>
        <v>85.07</v>
      </c>
      <c r="C1197" s="3">
        <f>MEDIAN(I1197:L1197)</f>
        <v>85.07</v>
      </c>
      <c r="D1197" s="3">
        <f>ROUND(C1197*(1-Settings!$B$2),2)</f>
        <v>59.55</v>
      </c>
      <c r="E1197" s="3">
        <f>ROUND(C1197*(1-Settings!$B$3),2)</f>
        <v>59.55</v>
      </c>
      <c r="F1197" s="2" t="inlineStr">
        <is>
          <t>Pokemon</t>
        </is>
      </c>
      <c r="G1197" s="2" t="inlineStr">
        <is>
          <t>Coffret</t>
        </is>
      </c>
      <c r="H1197" s="2" t="inlineStr">
        <is>
          <t>ME02: Phantasmal Flames</t>
        </is>
      </c>
      <c r="I1197" s="3" t="n"/>
      <c r="J1197" s="3" t="n">
        <v>85.06999999999999</v>
      </c>
      <c r="K1197" s="3" t="n">
        <v>89.98999999999999</v>
      </c>
      <c r="L1197" s="3" t="n">
        <v>78.98999999999999</v>
      </c>
      <c r="M1197" s="2" t="inlineStr">
        <is>
          <t>TCGplayer</t>
        </is>
      </c>
      <c r="O1197" s="4" t="inlineStr">
        <is>
          <t>https://www.tcgplayer.com/product/654160</t>
        </is>
      </c>
    </row>
    <row r="1198">
      <c r="A1198" s="2" t="inlineStr">
        <is>
          <t>Phantasmal Flames Booster Pack Art Bundle [Set of 4]</t>
        </is>
      </c>
      <c r="B1198" s="3">
        <f>IF(I1198&lt;&gt;"",I1198,IF(J1198&lt;&gt;"",J1198,IF(K1198&lt;&gt;"",K1198,L1198)))</f>
        <v>45.86</v>
      </c>
      <c r="C1198" s="3">
        <f>MEDIAN(I1198:L1198)</f>
        <v>45.86</v>
      </c>
      <c r="D1198" s="3">
        <f>ROUND(C1198*(1-Settings!$B$2),2)</f>
        <v>32.1</v>
      </c>
      <c r="E1198" s="3">
        <f>ROUND(C1198*(1-Settings!$B$3),2)</f>
        <v>32.1</v>
      </c>
      <c r="F1198" s="2" t="inlineStr">
        <is>
          <t>Pokemon</t>
        </is>
      </c>
      <c r="G1198" s="2" t="inlineStr">
        <is>
          <t>Coffret</t>
        </is>
      </c>
      <c r="H1198" s="2" t="inlineStr">
        <is>
          <t>ME02: Phantasmal Flames</t>
        </is>
      </c>
      <c r="I1198" s="3" t="n"/>
      <c r="J1198" s="3" t="n">
        <v>45.86</v>
      </c>
      <c r="K1198" s="3" t="n">
        <v>46.71</v>
      </c>
      <c r="L1198" s="3" t="n">
        <v>44.98</v>
      </c>
      <c r="M1198" s="2" t="inlineStr">
        <is>
          <t>TCGplayer</t>
        </is>
      </c>
      <c r="O1198" s="4" t="inlineStr">
        <is>
          <t>https://www.tcgplayer.com/product/654174</t>
        </is>
      </c>
    </row>
    <row r="1199">
      <c r="A1199" s="2" t="inlineStr">
        <is>
          <t>Phantasmal Flames Build &amp; Battle Box</t>
        </is>
      </c>
      <c r="B1199" s="3">
        <f>IF(I1199&lt;&gt;"",I1199,IF(J1199&lt;&gt;"",J1199,IF(K1199&lt;&gt;"",K1199,L1199)))</f>
        <v>63.47</v>
      </c>
      <c r="C1199" s="3">
        <f>MEDIAN(I1199:L1199)</f>
        <v>63.47</v>
      </c>
      <c r="D1199" s="3">
        <f>ROUND(C1199*(1-Settings!$B$2),2)</f>
        <v>44.43</v>
      </c>
      <c r="E1199" s="3">
        <f>ROUND(C1199*(1-Settings!$B$3),2)</f>
        <v>44.43</v>
      </c>
      <c r="F1199" s="2" t="inlineStr">
        <is>
          <t>Pokemon</t>
        </is>
      </c>
      <c r="G1199" s="2" t="inlineStr">
        <is>
          <t>Coffret</t>
        </is>
      </c>
      <c r="H1199" s="2" t="inlineStr">
        <is>
          <t>ME02: Phantasmal Flames</t>
        </is>
      </c>
      <c r="I1199" s="3" t="n"/>
      <c r="J1199" s="3" t="n">
        <v>63.47</v>
      </c>
      <c r="K1199" s="3" t="n">
        <v>74.98999999999999</v>
      </c>
      <c r="L1199" s="3" t="n">
        <v>59</v>
      </c>
      <c r="M1199" s="2" t="inlineStr">
        <is>
          <t>TCGplayer</t>
        </is>
      </c>
      <c r="O1199" s="4" t="inlineStr">
        <is>
          <t>https://www.tcgplayer.com/product/662725</t>
        </is>
      </c>
    </row>
    <row r="1200">
      <c r="A1200" s="2" t="inlineStr">
        <is>
          <t>Phantasmal Flames Elite Trainer Box</t>
        </is>
      </c>
      <c r="B1200" s="3">
        <f>IF(I1200&lt;&gt;"",I1200,IF(J1200&lt;&gt;"",J1200,IF(K1200&lt;&gt;"",K1200,L1200)))</f>
        <v>150.15</v>
      </c>
      <c r="C1200" s="3">
        <f>MEDIAN(I1200:L1200)</f>
        <v>150.15</v>
      </c>
      <c r="D1200" s="3">
        <f>ROUND(C1200*(1-Settings!$B$2),2)</f>
        <v>105.11</v>
      </c>
      <c r="E1200" s="3">
        <f>ROUND(C1200*(1-Settings!$B$3),2)</f>
        <v>105.11</v>
      </c>
      <c r="F1200" s="2" t="inlineStr">
        <is>
          <t>Pokemon</t>
        </is>
      </c>
      <c r="G1200" s="2" t="inlineStr">
        <is>
          <t>Coffret</t>
        </is>
      </c>
      <c r="H1200" s="2" t="inlineStr">
        <is>
          <t>ME02: Phantasmal Flames</t>
        </is>
      </c>
      <c r="I1200" s="3" t="n"/>
      <c r="J1200" s="3" t="n">
        <v>150.15</v>
      </c>
      <c r="K1200" s="3" t="n">
        <v>165.44</v>
      </c>
      <c r="L1200" s="3" t="n">
        <v>144.49</v>
      </c>
      <c r="M1200" s="2" t="inlineStr">
        <is>
          <t>TCGplayer</t>
        </is>
      </c>
      <c r="O1200" s="4" t="inlineStr">
        <is>
          <t>https://www.tcgplayer.com/product/654136</t>
        </is>
      </c>
    </row>
    <row r="1201">
      <c r="A1201" s="2" t="inlineStr">
        <is>
          <t>Phantasmal Flames Pokemon Center Elite Trainer Box (Exclusive)</t>
        </is>
      </c>
      <c r="B1201" s="3">
        <f>IF(I1201&lt;&gt;"",I1201,IF(J1201&lt;&gt;"",J1201,IF(K1201&lt;&gt;"",K1201,L1201)))</f>
        <v>285.87</v>
      </c>
      <c r="C1201" s="3">
        <f>MEDIAN(I1201:L1201)</f>
        <v>285.87</v>
      </c>
      <c r="D1201" s="3">
        <f>ROUND(C1201*(1-Settings!$B$2),2)</f>
        <v>200.11</v>
      </c>
      <c r="E1201" s="3">
        <f>ROUND(C1201*(1-Settings!$B$3),2)</f>
        <v>200.11</v>
      </c>
      <c r="F1201" s="2" t="inlineStr">
        <is>
          <t>Pokemon</t>
        </is>
      </c>
      <c r="G1201" s="2" t="inlineStr">
        <is>
          <t>Coffret</t>
        </is>
      </c>
      <c r="H1201" s="2" t="inlineStr">
        <is>
          <t>ME02: Phantasmal Flames</t>
        </is>
      </c>
      <c r="I1201" s="3" t="n"/>
      <c r="J1201" s="3" t="n">
        <v>285.87</v>
      </c>
      <c r="K1201" s="3" t="n">
        <v>342.99</v>
      </c>
      <c r="L1201" s="3" t="n">
        <v>260</v>
      </c>
      <c r="M1201" s="2" t="inlineStr">
        <is>
          <t>TCGplayer</t>
        </is>
      </c>
      <c r="O1201" s="4" t="inlineStr">
        <is>
          <t>https://www.tcgplayer.com/product/654135</t>
        </is>
      </c>
    </row>
    <row r="1202">
      <c r="A1202" s="2" t="inlineStr">
        <is>
          <t>Phantasmal Flames Sleeved Booster Pack Art Bundle [Set of 4]</t>
        </is>
      </c>
      <c r="B1202" s="3">
        <f>IF(I1202&lt;&gt;"",I1202,IF(J1202&lt;&gt;"",J1202,IF(K1202&lt;&gt;"",K1202,L1202)))</f>
        <v>54.72</v>
      </c>
      <c r="C1202" s="3">
        <f>MEDIAN(I1202:L1202)</f>
        <v>55.0</v>
      </c>
      <c r="D1202" s="3">
        <f>ROUND(C1202*(1-Settings!$B$2),2)</f>
        <v>38.5</v>
      </c>
      <c r="E1202" s="3">
        <f>ROUND(C1202*(1-Settings!$B$3),2)</f>
        <v>38.5</v>
      </c>
      <c r="F1202" s="2" t="inlineStr">
        <is>
          <t>Pokemon</t>
        </is>
      </c>
      <c r="G1202" s="2" t="inlineStr">
        <is>
          <t>Coffret</t>
        </is>
      </c>
      <c r="H1202" s="2" t="inlineStr">
        <is>
          <t>ME02: Phantasmal Flames</t>
        </is>
      </c>
      <c r="I1202" s="3" t="n"/>
      <c r="J1202" s="3" t="n">
        <v>54.72</v>
      </c>
      <c r="K1202" s="3" t="n">
        <v>62.93</v>
      </c>
      <c r="L1202" s="3" t="n">
        <v>55</v>
      </c>
      <c r="M1202" s="2" t="inlineStr">
        <is>
          <t>TCGplayer</t>
        </is>
      </c>
      <c r="O1202" s="4" t="inlineStr">
        <is>
          <t>https://www.tcgplayer.com/product/664903</t>
        </is>
      </c>
    </row>
    <row r="1203">
      <c r="A1203" s="2" t="inlineStr">
        <is>
          <t>Perfect Order Booster Bundle</t>
        </is>
      </c>
      <c r="B1203" s="3">
        <f>IF(I1203&lt;&gt;"",I1203,IF(J1203&lt;&gt;"",J1203,IF(K1203&lt;&gt;"",K1203,L1203)))</f>
        <v>38.75</v>
      </c>
      <c r="C1203" s="3">
        <f>MEDIAN(I1203:L1203)</f>
        <v>38.75</v>
      </c>
      <c r="D1203" s="3">
        <f>ROUND(C1203*(1-Settings!$B$2),2)</f>
        <v>27.13</v>
      </c>
      <c r="E1203" s="3">
        <f>ROUND(C1203*(1-Settings!$B$3),2)</f>
        <v>27.13</v>
      </c>
      <c r="F1203" s="2" t="inlineStr">
        <is>
          <t>Pokemon</t>
        </is>
      </c>
      <c r="G1203" s="2" t="inlineStr">
        <is>
          <t>Coffret</t>
        </is>
      </c>
      <c r="H1203" s="2" t="inlineStr">
        <is>
          <t>ME03: Perfect Order</t>
        </is>
      </c>
      <c r="I1203" s="3" t="n"/>
      <c r="J1203" s="3" t="n">
        <v>38.75</v>
      </c>
      <c r="K1203" s="3" t="n">
        <v>43.64</v>
      </c>
      <c r="L1203" s="3" t="n">
        <v>32</v>
      </c>
      <c r="M1203" s="2" t="inlineStr">
        <is>
          <t>TCGplayer</t>
        </is>
      </c>
      <c r="O1203" s="4" t="inlineStr">
        <is>
          <t>https://www.tcgplayer.com/product/672396</t>
        </is>
      </c>
    </row>
    <row r="1204">
      <c r="A1204" s="2" t="inlineStr">
        <is>
          <t>Perfect Order Booster Pack Art Bundle [Set of 4]</t>
        </is>
      </c>
      <c r="B1204" s="3">
        <f>IF(I1204&lt;&gt;"",I1204,IF(J1204&lt;&gt;"",J1204,IF(K1204&lt;&gt;"",K1204,L1204)))</f>
        <v>23.86</v>
      </c>
      <c r="C1204" s="3">
        <f>MEDIAN(I1204:L1204)</f>
        <v>23.86</v>
      </c>
      <c r="D1204" s="3">
        <f>ROUND(C1204*(1-Settings!$B$2),2)</f>
        <v>16.7</v>
      </c>
      <c r="E1204" s="3">
        <f>ROUND(C1204*(1-Settings!$B$3),2)</f>
        <v>16.7</v>
      </c>
      <c r="F1204" s="2" t="inlineStr">
        <is>
          <t>Pokemon</t>
        </is>
      </c>
      <c r="G1204" s="2" t="inlineStr">
        <is>
          <t>Coffret</t>
        </is>
      </c>
      <c r="H1204" s="2" t="inlineStr">
        <is>
          <t>ME03: Perfect Order</t>
        </is>
      </c>
      <c r="I1204" s="3" t="n"/>
      <c r="J1204" s="3" t="n">
        <v>23.86</v>
      </c>
      <c r="K1204" s="3" t="n">
        <v>29.95</v>
      </c>
      <c r="L1204" s="3" t="n">
        <v>22</v>
      </c>
      <c r="M1204" s="2" t="inlineStr">
        <is>
          <t>TCGplayer</t>
        </is>
      </c>
      <c r="O1204" s="4" t="inlineStr">
        <is>
          <t>https://www.tcgplayer.com/product/672399</t>
        </is>
      </c>
    </row>
    <row r="1205">
      <c r="A1205" s="2" t="inlineStr">
        <is>
          <t>Perfect Order Build &amp; Battle Box</t>
        </is>
      </c>
      <c r="B1205" s="3">
        <f>IF(I1205&lt;&gt;"",I1205,IF(J1205&lt;&gt;"",J1205,IF(K1205&lt;&gt;"",K1205,L1205)))</f>
        <v>37.23</v>
      </c>
      <c r="C1205" s="3">
        <f>MEDIAN(I1205:L1205)</f>
        <v>37.23</v>
      </c>
      <c r="D1205" s="3">
        <f>ROUND(C1205*(1-Settings!$B$2),2)</f>
        <v>26.06</v>
      </c>
      <c r="E1205" s="3">
        <f>ROUND(C1205*(1-Settings!$B$3),2)</f>
        <v>26.06</v>
      </c>
      <c r="F1205" s="2" t="inlineStr">
        <is>
          <t>Pokemon</t>
        </is>
      </c>
      <c r="G1205" s="2" t="inlineStr">
        <is>
          <t>Coffret</t>
        </is>
      </c>
      <c r="H1205" s="2" t="inlineStr">
        <is>
          <t>ME03: Perfect Order</t>
        </is>
      </c>
      <c r="I1205" s="3" t="n"/>
      <c r="J1205" s="3" t="n">
        <v>37.23</v>
      </c>
      <c r="K1205" s="3" t="n">
        <v>44.49</v>
      </c>
      <c r="L1205" s="3" t="n">
        <v>36.13</v>
      </c>
      <c r="M1205" s="2" t="inlineStr">
        <is>
          <t>TCGplayer</t>
        </is>
      </c>
      <c r="O1205" s="4" t="inlineStr">
        <is>
          <t>https://www.tcgplayer.com/product/672400</t>
        </is>
      </c>
    </row>
    <row r="1206">
      <c r="A1206" s="2" t="inlineStr">
        <is>
          <t>Perfect Order Elite Trainer Box</t>
        </is>
      </c>
      <c r="B1206" s="3">
        <f>IF(I1206&lt;&gt;"",I1206,IF(J1206&lt;&gt;"",J1206,IF(K1206&lt;&gt;"",K1206,L1206)))</f>
        <v>73.14</v>
      </c>
      <c r="C1206" s="3">
        <f>MEDIAN(I1206:L1206)</f>
        <v>73.14</v>
      </c>
      <c r="D1206" s="3">
        <f>ROUND(C1206*(1-Settings!$B$2),2)</f>
        <v>51.2</v>
      </c>
      <c r="E1206" s="3">
        <f>ROUND(C1206*(1-Settings!$B$3),2)</f>
        <v>51.2</v>
      </c>
      <c r="F1206" s="2" t="inlineStr">
        <is>
          <t>Pokemon</t>
        </is>
      </c>
      <c r="G1206" s="2" t="inlineStr">
        <is>
          <t>Coffret</t>
        </is>
      </c>
      <c r="H1206" s="2" t="inlineStr">
        <is>
          <t>ME03: Perfect Order</t>
        </is>
      </c>
      <c r="I1206" s="3" t="n"/>
      <c r="J1206" s="3" t="n">
        <v>73.14</v>
      </c>
      <c r="K1206" s="3" t="n">
        <v>78.5</v>
      </c>
      <c r="L1206" s="3" t="n">
        <v>55.99</v>
      </c>
      <c r="M1206" s="2" t="inlineStr">
        <is>
          <t>TCGplayer</t>
        </is>
      </c>
      <c r="O1206" s="4" t="inlineStr">
        <is>
          <t>https://www.tcgplayer.com/product/672401</t>
        </is>
      </c>
    </row>
    <row r="1207">
      <c r="A1207" s="2" t="inlineStr">
        <is>
          <t>Perfect Order Pokemon Center Elite Trainer Box</t>
        </is>
      </c>
      <c r="B1207" s="3">
        <f>IF(I1207&lt;&gt;"",I1207,IF(J1207&lt;&gt;"",J1207,IF(K1207&lt;&gt;"",K1207,L1207)))</f>
        <v>122.35</v>
      </c>
      <c r="C1207" s="3">
        <f>MEDIAN(I1207:L1207)</f>
        <v>122.35</v>
      </c>
      <c r="D1207" s="3">
        <f>ROUND(C1207*(1-Settings!$B$2),2)</f>
        <v>85.65</v>
      </c>
      <c r="E1207" s="3">
        <f>ROUND(C1207*(1-Settings!$B$3),2)</f>
        <v>85.65</v>
      </c>
      <c r="F1207" s="2" t="inlineStr">
        <is>
          <t>Pokemon</t>
        </is>
      </c>
      <c r="G1207" s="2" t="inlineStr">
        <is>
          <t>Coffret</t>
        </is>
      </c>
      <c r="H1207" s="2" t="inlineStr">
        <is>
          <t>ME03: Perfect Order</t>
        </is>
      </c>
      <c r="I1207" s="3" t="n"/>
      <c r="J1207" s="3" t="n">
        <v>122.35</v>
      </c>
      <c r="K1207" s="3" t="n">
        <v>135.99</v>
      </c>
      <c r="L1207" s="3" t="n">
        <v>118.98</v>
      </c>
      <c r="M1207" s="2" t="inlineStr">
        <is>
          <t>TCGplayer</t>
        </is>
      </c>
      <c r="O1207" s="4" t="inlineStr">
        <is>
          <t>https://www.tcgplayer.com/product/672404</t>
        </is>
      </c>
    </row>
    <row r="1208">
      <c r="A1208" s="2" t="inlineStr">
        <is>
          <t>Perfect Order Sleeved Booster Pack Art Bundle [Set of 4]</t>
        </is>
      </c>
      <c r="B1208" s="3">
        <f>IF(I1208&lt;&gt;"",I1208,IF(J1208&lt;&gt;"",J1208,IF(K1208&lt;&gt;"",K1208,L1208)))</f>
        <v>30.02</v>
      </c>
      <c r="C1208" s="3">
        <f>MEDIAN(I1208:L1208)</f>
        <v>30.02</v>
      </c>
      <c r="D1208" s="3">
        <f>ROUND(C1208*(1-Settings!$B$2),2)</f>
        <v>21.01</v>
      </c>
      <c r="E1208" s="3">
        <f>ROUND(C1208*(1-Settings!$B$3),2)</f>
        <v>21.01</v>
      </c>
      <c r="F1208" s="2" t="inlineStr">
        <is>
          <t>Pokemon</t>
        </is>
      </c>
      <c r="G1208" s="2" t="inlineStr">
        <is>
          <t>Coffret</t>
        </is>
      </c>
      <c r="H1208" s="2" t="inlineStr">
        <is>
          <t>ME03: Perfect Order</t>
        </is>
      </c>
      <c r="I1208" s="3" t="n"/>
      <c r="J1208" s="3" t="n">
        <v>30.02</v>
      </c>
      <c r="K1208" s="3" t="n">
        <v>30.75</v>
      </c>
      <c r="L1208" s="3" t="n">
        <v>27.76</v>
      </c>
      <c r="M1208" s="2" t="inlineStr">
        <is>
          <t>TCGplayer</t>
        </is>
      </c>
      <c r="O1208" s="4" t="inlineStr">
        <is>
          <t>https://www.tcgplayer.com/product/672413</t>
        </is>
      </c>
    </row>
    <row r="1209">
      <c r="A1209" s="2" t="inlineStr">
        <is>
          <t>Chaos Rising 3-Pack Blister [Charmeleon]</t>
        </is>
      </c>
      <c r="B1209" s="3">
        <f>IF(I1209&lt;&gt;"",I1209,IF(J1209&lt;&gt;"",J1209,IF(K1209&lt;&gt;"",K1209,L1209)))</f>
        <v>21.42</v>
      </c>
      <c r="C1209" s="3">
        <f>MEDIAN(I1209:L1209)</f>
        <v>21.42</v>
      </c>
      <c r="D1209" s="3">
        <f>ROUND(C1209*(1-Settings!$B$2),2)</f>
        <v>14.99</v>
      </c>
      <c r="E1209" s="3">
        <f>ROUND(C1209*(1-Settings!$B$3),2)</f>
        <v>14.99</v>
      </c>
      <c r="F1209" s="2" t="inlineStr">
        <is>
          <t>Pokemon</t>
        </is>
      </c>
      <c r="G1209" s="2" t="inlineStr">
        <is>
          <t>Coffret</t>
        </is>
      </c>
      <c r="H1209" s="2" t="inlineStr">
        <is>
          <t>ME04: Chaos Rising</t>
        </is>
      </c>
      <c r="I1209" s="3" t="n"/>
      <c r="J1209" s="3" t="n">
        <v>21.42</v>
      </c>
      <c r="K1209" s="3" t="n">
        <v>25.35</v>
      </c>
      <c r="L1209" s="3" t="n">
        <v>9.99</v>
      </c>
      <c r="M1209" s="2" t="inlineStr">
        <is>
          <t>TCGplayer</t>
        </is>
      </c>
      <c r="O1209" s="4" t="inlineStr">
        <is>
          <t>https://www.tcgplayer.com/product/684458</t>
        </is>
      </c>
    </row>
    <row r="1210">
      <c r="A1210" s="2" t="inlineStr">
        <is>
          <t>Chaos Rising Booster Bundle</t>
        </is>
      </c>
      <c r="B1210" s="3">
        <f>IF(I1210&lt;&gt;"",I1210,IF(J1210&lt;&gt;"",J1210,IF(K1210&lt;&gt;"",K1210,L1210)))</f>
        <v>34.78</v>
      </c>
      <c r="C1210" s="3">
        <f>MEDIAN(I1210:L1210)</f>
        <v>34.78</v>
      </c>
      <c r="D1210" s="3">
        <f>ROUND(C1210*(1-Settings!$B$2),2)</f>
        <v>24.35</v>
      </c>
      <c r="E1210" s="3">
        <f>ROUND(C1210*(1-Settings!$B$3),2)</f>
        <v>24.35</v>
      </c>
      <c r="F1210" s="2" t="inlineStr">
        <is>
          <t>Pokemon</t>
        </is>
      </c>
      <c r="G1210" s="2" t="inlineStr">
        <is>
          <t>Coffret</t>
        </is>
      </c>
      <c r="H1210" s="2" t="inlineStr">
        <is>
          <t>ME04: Chaos Rising</t>
        </is>
      </c>
      <c r="I1210" s="3" t="n"/>
      <c r="J1210" s="3" t="n">
        <v>34.78</v>
      </c>
      <c r="K1210" s="3" t="n">
        <v>44.99</v>
      </c>
      <c r="L1210" s="3" t="n">
        <v>5</v>
      </c>
      <c r="M1210" s="2" t="inlineStr">
        <is>
          <t>TCGplayer</t>
        </is>
      </c>
      <c r="O1210" s="4" t="inlineStr">
        <is>
          <t>https://www.tcgplayer.com/product/684456</t>
        </is>
      </c>
    </row>
    <row r="1211">
      <c r="A1211" s="2" t="inlineStr">
        <is>
          <t>Chaos Rising Booster Pack Art Bundle [Set of 4]</t>
        </is>
      </c>
      <c r="B1211" s="3">
        <f>IF(I1211&lt;&gt;"",I1211,IF(J1211&lt;&gt;"",J1211,IF(K1211&lt;&gt;"",K1211,L1211)))</f>
        <v>26.44</v>
      </c>
      <c r="C1211" s="3">
        <f>MEDIAN(I1211:L1211)</f>
        <v>26.44</v>
      </c>
      <c r="D1211" s="3">
        <f>ROUND(C1211*(1-Settings!$B$2),2)</f>
        <v>18.51</v>
      </c>
      <c r="E1211" s="3">
        <f>ROUND(C1211*(1-Settings!$B$3),2)</f>
        <v>18.51</v>
      </c>
      <c r="F1211" s="2" t="inlineStr">
        <is>
          <t>Pokemon</t>
        </is>
      </c>
      <c r="G1211" s="2" t="inlineStr">
        <is>
          <t>Coffret</t>
        </is>
      </c>
      <c r="H1211" s="2" t="inlineStr">
        <is>
          <t>ME04: Chaos Rising</t>
        </is>
      </c>
      <c r="I1211" s="3" t="n"/>
      <c r="J1211" s="3" t="n">
        <v>26.44</v>
      </c>
      <c r="K1211" s="3" t="n">
        <v>26.86</v>
      </c>
      <c r="L1211" s="3" t="n">
        <v>20.2</v>
      </c>
      <c r="M1211" s="2" t="inlineStr">
        <is>
          <t>TCGplayer</t>
        </is>
      </c>
      <c r="O1211" s="4" t="inlineStr">
        <is>
          <t>https://www.tcgplayer.com/product/684447</t>
        </is>
      </c>
    </row>
    <row r="1212">
      <c r="A1212" s="2" t="inlineStr">
        <is>
          <t>Chaos Rising Build &amp; Battle Box</t>
        </is>
      </c>
      <c r="B1212" s="3">
        <f>IF(I1212&lt;&gt;"",I1212,IF(J1212&lt;&gt;"",J1212,IF(K1212&lt;&gt;"",K1212,L1212)))</f>
        <v>43.14</v>
      </c>
      <c r="C1212" s="3">
        <f>MEDIAN(I1212:L1212)</f>
        <v>43.14</v>
      </c>
      <c r="D1212" s="3">
        <f>ROUND(C1212*(1-Settings!$B$2),2)</f>
        <v>30.2</v>
      </c>
      <c r="E1212" s="3">
        <f>ROUND(C1212*(1-Settings!$B$3),2)</f>
        <v>30.2</v>
      </c>
      <c r="F1212" s="2" t="inlineStr">
        <is>
          <t>Pokemon</t>
        </is>
      </c>
      <c r="G1212" s="2" t="inlineStr">
        <is>
          <t>Coffret</t>
        </is>
      </c>
      <c r="H1212" s="2" t="inlineStr">
        <is>
          <t>ME04: Chaos Rising</t>
        </is>
      </c>
      <c r="I1212" s="3" t="n"/>
      <c r="J1212" s="3" t="n">
        <v>43.14</v>
      </c>
      <c r="K1212" s="3" t="n">
        <v>45.48</v>
      </c>
      <c r="L1212" s="3" t="n">
        <v>37.49</v>
      </c>
      <c r="M1212" s="2" t="inlineStr">
        <is>
          <t>TCGplayer</t>
        </is>
      </c>
      <c r="O1212" s="4" t="inlineStr">
        <is>
          <t>https://www.tcgplayer.com/product/684454</t>
        </is>
      </c>
    </row>
    <row r="1213">
      <c r="A1213" s="2" t="inlineStr">
        <is>
          <t>Chaos Rising Elite Trainer Box</t>
        </is>
      </c>
      <c r="B1213" s="3">
        <f>IF(I1213&lt;&gt;"",I1213,IF(J1213&lt;&gt;"",J1213,IF(K1213&lt;&gt;"",K1213,L1213)))</f>
        <v>70.46</v>
      </c>
      <c r="C1213" s="3">
        <f>MEDIAN(I1213:L1213)</f>
        <v>70.46</v>
      </c>
      <c r="D1213" s="3">
        <f>ROUND(C1213*(1-Settings!$B$2),2)</f>
        <v>49.32</v>
      </c>
      <c r="E1213" s="3">
        <f>ROUND(C1213*(1-Settings!$B$3),2)</f>
        <v>49.32</v>
      </c>
      <c r="F1213" s="2" t="inlineStr">
        <is>
          <t>Pokemon</t>
        </is>
      </c>
      <c r="G1213" s="2" t="inlineStr">
        <is>
          <t>Coffret</t>
        </is>
      </c>
      <c r="H1213" s="2" t="inlineStr">
        <is>
          <t>ME04: Chaos Rising</t>
        </is>
      </c>
      <c r="I1213" s="3" t="n"/>
      <c r="J1213" s="3" t="n">
        <v>70.45999999999999</v>
      </c>
      <c r="K1213" s="3" t="n">
        <v>80</v>
      </c>
      <c r="L1213" s="3" t="n">
        <v>50</v>
      </c>
      <c r="M1213" s="2" t="inlineStr">
        <is>
          <t>TCGplayer</t>
        </is>
      </c>
      <c r="O1213" s="4" t="inlineStr">
        <is>
          <t>https://www.tcgplayer.com/product/684450</t>
        </is>
      </c>
    </row>
    <row r="1214">
      <c r="A1214" s="2" t="inlineStr">
        <is>
          <t>Chaos Rising Pokemon Center Elite Trainer Box</t>
        </is>
      </c>
      <c r="B1214" s="3">
        <f>IF(I1214&lt;&gt;"",I1214,IF(J1214&lt;&gt;"",J1214,IF(K1214&lt;&gt;"",K1214,L1214)))</f>
        <v>125.62</v>
      </c>
      <c r="C1214" s="3">
        <f>MEDIAN(I1214:L1214)</f>
        <v>125.62</v>
      </c>
      <c r="D1214" s="3">
        <f>ROUND(C1214*(1-Settings!$B$2),2)</f>
        <v>87.93</v>
      </c>
      <c r="E1214" s="3">
        <f>ROUND(C1214*(1-Settings!$B$3),2)</f>
        <v>87.93</v>
      </c>
      <c r="F1214" s="2" t="inlineStr">
        <is>
          <t>Pokemon</t>
        </is>
      </c>
      <c r="G1214" s="2" t="inlineStr">
        <is>
          <t>Coffret</t>
        </is>
      </c>
      <c r="H1214" s="2" t="inlineStr">
        <is>
          <t>ME04: Chaos Rising</t>
        </is>
      </c>
      <c r="I1214" s="3" t="n"/>
      <c r="J1214" s="3" t="n">
        <v>125.62</v>
      </c>
      <c r="K1214" s="3" t="n">
        <v>165</v>
      </c>
      <c r="L1214" s="3" t="n">
        <v>20</v>
      </c>
      <c r="M1214" s="2" t="inlineStr">
        <is>
          <t>TCGplayer</t>
        </is>
      </c>
      <c r="O1214" s="4" t="inlineStr">
        <is>
          <t>https://www.tcgplayer.com/product/684452</t>
        </is>
      </c>
    </row>
    <row r="1215">
      <c r="A1215" s="2" t="inlineStr">
        <is>
          <t>Chaos Rising Sleeved Booster Pack Art Bundle [Set of 4]</t>
        </is>
      </c>
      <c r="B1215" s="3">
        <f>IF(I1215&lt;&gt;"",I1215,IF(J1215&lt;&gt;"",J1215,IF(K1215&lt;&gt;"",K1215,L1215)))</f>
        <v>26.14</v>
      </c>
      <c r="C1215" s="3">
        <f>MEDIAN(I1215:L1215)</f>
        <v>26.14</v>
      </c>
      <c r="D1215" s="3">
        <f>ROUND(C1215*(1-Settings!$B$2),2)</f>
        <v>18.3</v>
      </c>
      <c r="E1215" s="3">
        <f>ROUND(C1215*(1-Settings!$B$3),2)</f>
        <v>18.3</v>
      </c>
      <c r="F1215" s="2" t="inlineStr">
        <is>
          <t>Pokemon</t>
        </is>
      </c>
      <c r="G1215" s="2" t="inlineStr">
        <is>
          <t>Coffret</t>
        </is>
      </c>
      <c r="H1215" s="2" t="inlineStr">
        <is>
          <t>ME04: Chaos Rising</t>
        </is>
      </c>
      <c r="I1215" s="3" t="n"/>
      <c r="J1215" s="3" t="n">
        <v>26.14</v>
      </c>
      <c r="K1215" s="3" t="n">
        <v>31.35</v>
      </c>
      <c r="L1215" s="3" t="n">
        <v>5</v>
      </c>
      <c r="M1215" s="2" t="inlineStr">
        <is>
          <t>TCGplayer</t>
        </is>
      </c>
      <c r="O1215" s="4" t="inlineStr">
        <is>
          <t>https://www.tcgplayer.com/product/684449</t>
        </is>
      </c>
    </row>
    <row r="1216">
      <c r="A1216" s="2" t="inlineStr">
        <is>
          <t>Pitch Black 3-Pack Blister [Binacle]</t>
        </is>
      </c>
      <c r="B1216" s="3">
        <f>IF(I1216&lt;&gt;"",I1216,IF(J1216&lt;&gt;"",J1216,IF(K1216&lt;&gt;"",K1216,L1216)))</f>
        <v>19.75</v>
      </c>
      <c r="C1216" s="3">
        <f>MEDIAN(I1216:L1216)</f>
        <v>19.75</v>
      </c>
      <c r="D1216" s="3">
        <f>ROUND(C1216*(1-Settings!$B$2),2)</f>
        <v>13.83</v>
      </c>
      <c r="E1216" s="3">
        <f>ROUND(C1216*(1-Settings!$B$3),2)</f>
        <v>13.83</v>
      </c>
      <c r="F1216" s="2" t="inlineStr">
        <is>
          <t>Pokemon</t>
        </is>
      </c>
      <c r="G1216" s="2" t="inlineStr">
        <is>
          <t>Coffret</t>
        </is>
      </c>
      <c r="H1216" s="2" t="inlineStr">
        <is>
          <t>ME05: Pitch Black</t>
        </is>
      </c>
      <c r="I1216" s="3" t="n"/>
      <c r="J1216" s="3" t="n">
        <v>19.75</v>
      </c>
      <c r="K1216" s="3" t="n">
        <v>24</v>
      </c>
      <c r="L1216" s="3" t="n">
        <v>14.78</v>
      </c>
      <c r="M1216" s="2" t="inlineStr">
        <is>
          <t>TCGplayer</t>
        </is>
      </c>
      <c r="O1216" s="4" t="inlineStr">
        <is>
          <t>https://www.tcgplayer.com/product/692938</t>
        </is>
      </c>
    </row>
    <row r="1217">
      <c r="A1217" s="2" t="inlineStr">
        <is>
          <t>Pitch Black Booster Bundle</t>
        </is>
      </c>
      <c r="B1217" s="3">
        <f>IF(I1217&lt;&gt;"",I1217,IF(J1217&lt;&gt;"",J1217,IF(K1217&lt;&gt;"",K1217,L1217)))</f>
        <v>40.11</v>
      </c>
      <c r="C1217" s="3">
        <f>MEDIAN(I1217:L1217)</f>
        <v>40.11</v>
      </c>
      <c r="D1217" s="3">
        <f>ROUND(C1217*(1-Settings!$B$2),2)</f>
        <v>28.08</v>
      </c>
      <c r="E1217" s="3">
        <f>ROUND(C1217*(1-Settings!$B$3),2)</f>
        <v>28.08</v>
      </c>
      <c r="F1217" s="2" t="inlineStr">
        <is>
          <t>Pokemon</t>
        </is>
      </c>
      <c r="G1217" s="2" t="inlineStr">
        <is>
          <t>Coffret</t>
        </is>
      </c>
      <c r="H1217" s="2" t="inlineStr">
        <is>
          <t>ME05: Pitch Black</t>
        </is>
      </c>
      <c r="I1217" s="3" t="n"/>
      <c r="J1217" s="3" t="n">
        <v>40.11</v>
      </c>
      <c r="K1217" s="3" t="n">
        <v>44.98</v>
      </c>
      <c r="L1217" s="3" t="n">
        <v>30.99</v>
      </c>
      <c r="M1217" s="2" t="inlineStr">
        <is>
          <t>TCGplayer</t>
        </is>
      </c>
      <c r="O1217" s="4" t="inlineStr">
        <is>
          <t>https://www.tcgplayer.com/product/692942</t>
        </is>
      </c>
    </row>
    <row r="1218">
      <c r="A1218" s="2" t="inlineStr">
        <is>
          <t>Pitch Black Booster Pack Art Bundle [Set of 4]</t>
        </is>
      </c>
      <c r="B1218" s="3">
        <f>IF(I1218&lt;&gt;"",I1218,IF(J1218&lt;&gt;"",J1218,IF(K1218&lt;&gt;"",K1218,L1218)))</f>
        <v>25.3</v>
      </c>
      <c r="C1218" s="3">
        <f>MEDIAN(I1218:L1218)</f>
        <v>25.3</v>
      </c>
      <c r="D1218" s="3">
        <f>ROUND(C1218*(1-Settings!$B$2),2)</f>
        <v>17.71</v>
      </c>
      <c r="E1218" s="3">
        <f>ROUND(C1218*(1-Settings!$B$3),2)</f>
        <v>17.71</v>
      </c>
      <c r="F1218" s="2" t="inlineStr">
        <is>
          <t>Pokemon</t>
        </is>
      </c>
      <c r="G1218" s="2" t="inlineStr">
        <is>
          <t>Coffret</t>
        </is>
      </c>
      <c r="H1218" s="2" t="inlineStr">
        <is>
          <t>ME05: Pitch Black</t>
        </is>
      </c>
      <c r="I1218" s="3" t="n"/>
      <c r="J1218" s="3" t="n">
        <v>25.3</v>
      </c>
      <c r="K1218" s="3" t="n">
        <v>28.89</v>
      </c>
      <c r="L1218" s="3" t="n">
        <v>24</v>
      </c>
      <c r="M1218" s="2" t="inlineStr">
        <is>
          <t>TCGplayer</t>
        </is>
      </c>
      <c r="O1218" s="4" t="inlineStr">
        <is>
          <t>https://www.tcgplayer.com/product/692945</t>
        </is>
      </c>
    </row>
    <row r="1219">
      <c r="A1219" s="2" t="inlineStr">
        <is>
          <t>Pitch Black Build &amp; Battle Box</t>
        </is>
      </c>
      <c r="B1219" s="3">
        <f>IF(I1219&lt;&gt;"",I1219,IF(J1219&lt;&gt;"",J1219,IF(K1219&lt;&gt;"",K1219,L1219)))</f>
        <v>37.96</v>
      </c>
      <c r="C1219" s="3">
        <f>MEDIAN(I1219:L1219)</f>
        <v>37.96</v>
      </c>
      <c r="D1219" s="3">
        <f>ROUND(C1219*(1-Settings!$B$2),2)</f>
        <v>26.57</v>
      </c>
      <c r="E1219" s="3">
        <f>ROUND(C1219*(1-Settings!$B$3),2)</f>
        <v>26.57</v>
      </c>
      <c r="F1219" s="2" t="inlineStr">
        <is>
          <t>Pokemon</t>
        </is>
      </c>
      <c r="G1219" s="2" t="inlineStr">
        <is>
          <t>Coffret</t>
        </is>
      </c>
      <c r="H1219" s="2" t="inlineStr">
        <is>
          <t>ME05: Pitch Black</t>
        </is>
      </c>
      <c r="I1219" s="3" t="n"/>
      <c r="J1219" s="3" t="n">
        <v>37.96</v>
      </c>
      <c r="K1219" s="3" t="n">
        <v>39.48</v>
      </c>
      <c r="L1219" s="3" t="n">
        <v>35.99</v>
      </c>
      <c r="M1219" s="2" t="inlineStr">
        <is>
          <t>TCGplayer</t>
        </is>
      </c>
      <c r="O1219" s="4" t="inlineStr">
        <is>
          <t>https://www.tcgplayer.com/product/692946</t>
        </is>
      </c>
    </row>
    <row r="1220">
      <c r="A1220" s="2" t="inlineStr">
        <is>
          <t>Pitch Black Elite Trainer Box</t>
        </is>
      </c>
      <c r="B1220" s="3">
        <f>IF(I1220&lt;&gt;"",I1220,IF(J1220&lt;&gt;"",J1220,IF(K1220&lt;&gt;"",K1220,L1220)))</f>
        <v>77.96</v>
      </c>
      <c r="C1220" s="3">
        <f>MEDIAN(I1220:L1220)</f>
        <v>77.96</v>
      </c>
      <c r="D1220" s="3">
        <f>ROUND(C1220*(1-Settings!$B$2),2)</f>
        <v>54.57</v>
      </c>
      <c r="E1220" s="3">
        <f>ROUND(C1220*(1-Settings!$B$3),2)</f>
        <v>54.57</v>
      </c>
      <c r="F1220" s="2" t="inlineStr">
        <is>
          <t>Pokemon</t>
        </is>
      </c>
      <c r="G1220" s="2" t="inlineStr">
        <is>
          <t>Coffret</t>
        </is>
      </c>
      <c r="H1220" s="2" t="inlineStr">
        <is>
          <t>ME05: Pitch Black</t>
        </is>
      </c>
      <c r="I1220" s="3" t="n"/>
      <c r="J1220" s="3" t="n">
        <v>77.95999999999999</v>
      </c>
      <c r="K1220" s="3" t="n">
        <v>85</v>
      </c>
      <c r="L1220" s="3" t="n">
        <v>55.99</v>
      </c>
      <c r="M1220" s="2" t="inlineStr">
        <is>
          <t>TCGplayer</t>
        </is>
      </c>
      <c r="O1220" s="4" t="inlineStr">
        <is>
          <t>https://www.tcgplayer.com/product/692947</t>
        </is>
      </c>
    </row>
    <row r="1221">
      <c r="A1221" s="2" t="inlineStr">
        <is>
          <t>Pitch Black Pokemon Center Elite Trainer Box (Exclusive)</t>
        </is>
      </c>
      <c r="B1221" s="3">
        <f>IF(I1221&lt;&gt;"",I1221,IF(J1221&lt;&gt;"",J1221,IF(K1221&lt;&gt;"",K1221,L1221)))</f>
        <v>117.82</v>
      </c>
      <c r="C1221" s="3">
        <f>MEDIAN(I1221:L1221)</f>
        <v>117.82</v>
      </c>
      <c r="D1221" s="3">
        <f>ROUND(C1221*(1-Settings!$B$2),2)</f>
        <v>82.47</v>
      </c>
      <c r="E1221" s="3">
        <f>ROUND(C1221*(1-Settings!$B$3),2)</f>
        <v>82.47</v>
      </c>
      <c r="F1221" s="2" t="inlineStr">
        <is>
          <t>Pokemon</t>
        </is>
      </c>
      <c r="G1221" s="2" t="inlineStr">
        <is>
          <t>Coffret</t>
        </is>
      </c>
      <c r="H1221" s="2" t="inlineStr">
        <is>
          <t>ME05: Pitch Black</t>
        </is>
      </c>
      <c r="I1221" s="3" t="n"/>
      <c r="J1221" s="3" t="n">
        <v>117.82</v>
      </c>
      <c r="K1221" s="3" t="n">
        <v>200</v>
      </c>
      <c r="L1221" s="3" t="n">
        <v>108.78</v>
      </c>
      <c r="M1221" s="2" t="inlineStr">
        <is>
          <t>TCGplayer</t>
        </is>
      </c>
      <c r="O1221" s="4" t="inlineStr">
        <is>
          <t>https://www.tcgplayer.com/product/692949</t>
        </is>
      </c>
    </row>
    <row r="1222">
      <c r="A1222" s="2" t="inlineStr">
        <is>
          <t>Pitch Black Sleeved Booster Pack Art Bundle [Set of 4]</t>
        </is>
      </c>
      <c r="B1222" s="3">
        <f>IF(I1222&lt;&gt;"",I1222,IF(J1222&lt;&gt;"",J1222,IF(K1222&lt;&gt;"",K1222,L1222)))</f>
        <v>25.4</v>
      </c>
      <c r="C1222" s="3">
        <f>MEDIAN(I1222:L1222)</f>
        <v>25.4</v>
      </c>
      <c r="D1222" s="3">
        <f>ROUND(C1222*(1-Settings!$B$2),2)</f>
        <v>17.78</v>
      </c>
      <c r="E1222" s="3">
        <f>ROUND(C1222*(1-Settings!$B$3),2)</f>
        <v>17.78</v>
      </c>
      <c r="F1222" s="2" t="inlineStr">
        <is>
          <t>Pokemon</t>
        </is>
      </c>
      <c r="G1222" s="2" t="inlineStr">
        <is>
          <t>Coffret</t>
        </is>
      </c>
      <c r="H1222" s="2" t="inlineStr">
        <is>
          <t>ME05: Pitch Black</t>
        </is>
      </c>
      <c r="I1222" s="3" t="n"/>
      <c r="J1222" s="3" t="n">
        <v>25.4</v>
      </c>
      <c r="K1222" s="3" t="n">
        <v>34.74</v>
      </c>
      <c r="L1222" s="3" t="n">
        <v>24.25</v>
      </c>
      <c r="M1222" s="2" t="inlineStr">
        <is>
          <t>TCGplayer</t>
        </is>
      </c>
      <c r="O1222" s="4" t="inlineStr">
        <is>
          <t>https://www.tcgplayer.com/product/692958</t>
        </is>
      </c>
    </row>
    <row r="1223">
      <c r="A1223" s="2" t="inlineStr">
        <is>
          <t>Delta Reign Booster Bundle</t>
        </is>
      </c>
      <c r="B1223" s="3">
        <f>IF(I1223&lt;&gt;"",I1223,IF(J1223&lt;&gt;"",J1223,IF(K1223&lt;&gt;"",K1223,L1223)))</f>
        <v>72.67</v>
      </c>
      <c r="C1223" s="3">
        <f>MEDIAN(I1223:L1223)</f>
        <v>72.44</v>
      </c>
      <c r="D1223" s="3">
        <f>ROUND(C1223*(1-Settings!$B$2),2)</f>
        <v>50.71</v>
      </c>
      <c r="E1223" s="3">
        <f>ROUND(C1223*(1-Settings!$B$3),2)</f>
        <v>50.71</v>
      </c>
      <c r="F1223" s="2" t="inlineStr">
        <is>
          <t>Pokemon</t>
        </is>
      </c>
      <c r="G1223" s="2" t="inlineStr">
        <is>
          <t>Coffret</t>
        </is>
      </c>
      <c r="H1223" s="2" t="inlineStr">
        <is>
          <t>ME06: Delta Reign</t>
        </is>
      </c>
      <c r="I1223" s="3" t="n"/>
      <c r="J1223" s="3" t="n">
        <v>72.67</v>
      </c>
      <c r="K1223" s="3" t="n">
        <v>72.44</v>
      </c>
      <c r="L1223" s="3" t="n">
        <v>63.32</v>
      </c>
      <c r="M1223" s="2" t="inlineStr">
        <is>
          <t>TCGplayer</t>
        </is>
      </c>
      <c r="O1223" s="4" t="inlineStr">
        <is>
          <t>https://www.tcgplayer.com/product/712097</t>
        </is>
      </c>
    </row>
    <row r="1224">
      <c r="A1224" s="2" t="inlineStr">
        <is>
          <t>Delta Reign Booster Pack Art Bundle [Set of 4]</t>
        </is>
      </c>
      <c r="B1224" s="3">
        <f>IF(I1224&lt;&gt;"",I1224,IF(J1224&lt;&gt;"",J1224,IF(K1224&lt;&gt;"",K1224,L1224)))</f>
        <v>72.92</v>
      </c>
      <c r="C1224" s="3">
        <f>MEDIAN(I1224:L1224)</f>
        <v>67.42</v>
      </c>
      <c r="D1224" s="3">
        <f>ROUND(C1224*(1-Settings!$B$2),2)</f>
        <v>47.19</v>
      </c>
      <c r="E1224" s="3">
        <f>ROUND(C1224*(1-Settings!$B$3),2)</f>
        <v>47.19</v>
      </c>
      <c r="F1224" s="2" t="inlineStr">
        <is>
          <t>Pokemon</t>
        </is>
      </c>
      <c r="G1224" s="2" t="inlineStr">
        <is>
          <t>Coffret</t>
        </is>
      </c>
      <c r="H1224" s="2" t="inlineStr">
        <is>
          <t>ME06: Delta Reign</t>
        </is>
      </c>
      <c r="I1224" s="3" t="n"/>
      <c r="J1224" s="3" t="n">
        <v>72.92</v>
      </c>
      <c r="K1224" s="3" t="n">
        <v>67.42</v>
      </c>
      <c r="L1224" s="3" t="n">
        <v>64.66</v>
      </c>
      <c r="M1224" s="2" t="inlineStr">
        <is>
          <t>TCGplayer</t>
        </is>
      </c>
      <c r="O1224" s="4" t="inlineStr">
        <is>
          <t>https://www.tcgplayer.com/product/712100</t>
        </is>
      </c>
    </row>
    <row r="1225">
      <c r="A1225" s="2" t="inlineStr">
        <is>
          <t>Delta Reign Build &amp; Battle Box</t>
        </is>
      </c>
      <c r="B1225" s="3">
        <f>IF(I1225&lt;&gt;"",I1225,IF(J1225&lt;&gt;"",J1225,IF(K1225&lt;&gt;"",K1225,L1225)))</f>
        <v>70.27</v>
      </c>
      <c r="C1225" s="3">
        <f>MEDIAN(I1225:L1225)</f>
        <v>68.7</v>
      </c>
      <c r="D1225" s="3">
        <f>ROUND(C1225*(1-Settings!$B$2),2)</f>
        <v>48.09</v>
      </c>
      <c r="E1225" s="3">
        <f>ROUND(C1225*(1-Settings!$B$3),2)</f>
        <v>48.09</v>
      </c>
      <c r="F1225" s="2" t="inlineStr">
        <is>
          <t>Pokemon</t>
        </is>
      </c>
      <c r="G1225" s="2" t="inlineStr">
        <is>
          <t>Coffret</t>
        </is>
      </c>
      <c r="H1225" s="2" t="inlineStr">
        <is>
          <t>ME06: Delta Reign</t>
        </is>
      </c>
      <c r="I1225" s="3" t="n"/>
      <c r="J1225" s="3" t="n">
        <v>70.27</v>
      </c>
      <c r="K1225" s="3" t="n">
        <v>68.7</v>
      </c>
      <c r="L1225" s="3" t="n">
        <v>68.56</v>
      </c>
      <c r="M1225" s="2" t="inlineStr">
        <is>
          <t>TCGplayer</t>
        </is>
      </c>
      <c r="O1225" s="4" t="inlineStr">
        <is>
          <t>https://www.tcgplayer.com/product/712101</t>
        </is>
      </c>
    </row>
    <row r="1226">
      <c r="A1226" s="2" t="inlineStr">
        <is>
          <t>Delta Reign Elite Trainer Box</t>
        </is>
      </c>
      <c r="B1226" s="3">
        <f>IF(I1226&lt;&gt;"",I1226,IF(J1226&lt;&gt;"",J1226,IF(K1226&lt;&gt;"",K1226,L1226)))</f>
        <v>121.5</v>
      </c>
      <c r="C1226" s="3">
        <f>MEDIAN(I1226:L1226)</f>
        <v>121.5</v>
      </c>
      <c r="D1226" s="3">
        <f>ROUND(C1226*(1-Settings!$B$2),2)</f>
        <v>85.05</v>
      </c>
      <c r="E1226" s="3">
        <f>ROUND(C1226*(1-Settings!$B$3),2)</f>
        <v>85.05</v>
      </c>
      <c r="F1226" s="2" t="inlineStr">
        <is>
          <t>Pokemon</t>
        </is>
      </c>
      <c r="G1226" s="2" t="inlineStr">
        <is>
          <t>Coffret</t>
        </is>
      </c>
      <c r="H1226" s="2" t="inlineStr">
        <is>
          <t>ME06: Delta Reign</t>
        </is>
      </c>
      <c r="I1226" s="3" t="n"/>
      <c r="J1226" s="3" t="n">
        <v>121.5</v>
      </c>
      <c r="K1226" s="3" t="n">
        <v>121.96</v>
      </c>
      <c r="L1226" s="3" t="n">
        <v>114.47</v>
      </c>
      <c r="M1226" s="2" t="inlineStr">
        <is>
          <t>TCGplayer</t>
        </is>
      </c>
      <c r="O1226" s="4" t="inlineStr">
        <is>
          <t>https://www.tcgplayer.com/product/712102</t>
        </is>
      </c>
    </row>
    <row r="1227">
      <c r="A1227" s="2" t="inlineStr">
        <is>
          <t>Delta Reign Pokemon Center Elite Trainer Box (Exclusive)</t>
        </is>
      </c>
      <c r="B1227" s="3">
        <f>IF(I1227&lt;&gt;"",I1227,IF(J1227&lt;&gt;"",J1227,IF(K1227&lt;&gt;"",K1227,L1227)))</f>
        <v>457.21</v>
      </c>
      <c r="C1227" s="3">
        <f>MEDIAN(I1227:L1227)</f>
        <v>425.21</v>
      </c>
      <c r="D1227" s="3">
        <f>ROUND(C1227*(1-Settings!$B$2),2)</f>
        <v>297.65</v>
      </c>
      <c r="E1227" s="3">
        <f>ROUND(C1227*(1-Settings!$B$3),2)</f>
        <v>297.65</v>
      </c>
      <c r="F1227" s="2" t="inlineStr">
        <is>
          <t>Pokemon</t>
        </is>
      </c>
      <c r="G1227" s="2" t="inlineStr">
        <is>
          <t>Coffret</t>
        </is>
      </c>
      <c r="H1227" s="2" t="inlineStr">
        <is>
          <t>ME06: Delta Reign</t>
        </is>
      </c>
      <c r="I1227" s="3" t="n"/>
      <c r="J1227" s="3" t="n">
        <v>457.21</v>
      </c>
      <c r="K1227" s="3" t="n">
        <v>425.21</v>
      </c>
      <c r="L1227" s="3" t="n">
        <v>399</v>
      </c>
      <c r="M1227" s="2" t="inlineStr">
        <is>
          <t>TCGplayer</t>
        </is>
      </c>
      <c r="O1227" s="4" t="inlineStr">
        <is>
          <t>https://www.tcgplayer.com/product/712104</t>
        </is>
      </c>
    </row>
    <row r="1228">
      <c r="A1228" s="2" t="inlineStr">
        <is>
          <t>Delta Reign Sleeved Booster Pack Art Bundle [Set of 4]</t>
        </is>
      </c>
      <c r="B1228" s="3">
        <f>IF(I1228&lt;&gt;"",I1228,IF(J1228&lt;&gt;"",J1228,IF(K1228&lt;&gt;"",K1228,L1228)))</f>
        <v>58.71</v>
      </c>
      <c r="C1228" s="3">
        <f>MEDIAN(I1228:L1228)</f>
        <v>57.77</v>
      </c>
      <c r="D1228" s="3">
        <f>ROUND(C1228*(1-Settings!$B$2),2)</f>
        <v>40.44</v>
      </c>
      <c r="E1228" s="3">
        <f>ROUND(C1228*(1-Settings!$B$3),2)</f>
        <v>40.44</v>
      </c>
      <c r="F1228" s="2" t="inlineStr">
        <is>
          <t>Pokemon</t>
        </is>
      </c>
      <c r="G1228" s="2" t="inlineStr">
        <is>
          <t>Coffret</t>
        </is>
      </c>
      <c r="H1228" s="2" t="inlineStr">
        <is>
          <t>ME06: Delta Reign</t>
        </is>
      </c>
      <c r="I1228" s="3" t="n"/>
      <c r="J1228" s="3" t="n">
        <v>58.71</v>
      </c>
      <c r="K1228" s="3" t="n">
        <v>57.77</v>
      </c>
      <c r="L1228" s="3" t="n">
        <v>57.25</v>
      </c>
      <c r="M1228" s="2" t="inlineStr">
        <is>
          <t>TCGplayer</t>
        </is>
      </c>
      <c r="O1228" s="4" t="inlineStr">
        <is>
          <t>https://www.tcgplayer.com/product/712113</t>
        </is>
      </c>
    </row>
    <row r="1229">
      <c r="A1229" s="2" t="inlineStr">
        <is>
          <t>30th Celebration 2-Pack Blister</t>
        </is>
      </c>
      <c r="B1229" s="3">
        <f>IF(I1229&lt;&gt;"",I1229,IF(J1229&lt;&gt;"",J1229,IF(K1229&lt;&gt;"",K1229,L1229)))</f>
        <v>47.7</v>
      </c>
      <c r="C1229" s="3">
        <f>MEDIAN(I1229:L1229)</f>
        <v>52.435</v>
      </c>
      <c r="D1229" s="3">
        <f>ROUND(C1229*(1-Settings!$B$2),2)</f>
        <v>36.7</v>
      </c>
      <c r="E1229" s="3">
        <f>ROUND(C1229*(1-Settings!$B$3),2)</f>
        <v>36.7</v>
      </c>
      <c r="F1229" s="2" t="inlineStr">
        <is>
          <t>Pokemon</t>
        </is>
      </c>
      <c r="G1229" s="2" t="inlineStr">
        <is>
          <t>Coffret</t>
        </is>
      </c>
      <c r="H1229" s="2" t="inlineStr">
        <is>
          <t>ME: 30th Celebration</t>
        </is>
      </c>
      <c r="I1229" s="3" t="n">
        <v>47.7</v>
      </c>
      <c r="J1229" s="3" t="n">
        <v>57.17</v>
      </c>
      <c r="K1229" s="3" t="n"/>
      <c r="L1229" s="3" t="n"/>
      <c r="M1229" s="2" t="inlineStr">
        <is>
          <t>PriceCharting + TCGplayer</t>
        </is>
      </c>
      <c r="N1229" s="4" t="inlineStr">
        <is>
          <t>https://www.pricecharting.com/game/pokemon-30th-celebration/2-pack-blister</t>
        </is>
      </c>
      <c r="O1229" s="4" t="inlineStr">
        <is>
          <t>https://www.tcgplayer.com/product/704148</t>
        </is>
      </c>
    </row>
    <row r="1230">
      <c r="A1230" s="2" t="inlineStr">
        <is>
          <t>30th Celebration Binder Collection</t>
        </is>
      </c>
      <c r="B1230" s="3">
        <f>IF(I1230&lt;&gt;"",I1230,IF(J1230&lt;&gt;"",J1230,IF(K1230&lt;&gt;"",K1230,L1230)))</f>
        <v>97.04</v>
      </c>
      <c r="C1230" s="3">
        <f>MEDIAN(I1230:L1230)</f>
        <v>109.38499999999999</v>
      </c>
      <c r="D1230" s="3">
        <f>ROUND(C1230*(1-Settings!$B$2),2)</f>
        <v>76.57</v>
      </c>
      <c r="E1230" s="3">
        <f>ROUND(C1230*(1-Settings!$B$3),2)</f>
        <v>76.57</v>
      </c>
      <c r="F1230" s="2" t="inlineStr">
        <is>
          <t>Pokemon</t>
        </is>
      </c>
      <c r="G1230" s="2" t="inlineStr">
        <is>
          <t>Coffret</t>
        </is>
      </c>
      <c r="H1230" s="2" t="inlineStr">
        <is>
          <t>ME: 30th Celebration</t>
        </is>
      </c>
      <c r="I1230" s="3" t="n">
        <v>97.04000000000001</v>
      </c>
      <c r="J1230" s="3" t="n">
        <v>109.58</v>
      </c>
      <c r="K1230" s="3" t="n">
        <v>109.7</v>
      </c>
      <c r="L1230" s="3" t="n">
        <v>109.19</v>
      </c>
      <c r="M1230" s="2" t="inlineStr">
        <is>
          <t>PriceCharting + TCGplayer</t>
        </is>
      </c>
      <c r="N1230" s="4" t="inlineStr">
        <is>
          <t>https://www.pricecharting.com/game/pokemon-30th-celebration/binder-collection</t>
        </is>
      </c>
      <c r="O1230" s="4" t="inlineStr">
        <is>
          <t>https://www.tcgplayer.com/product/704169</t>
        </is>
      </c>
    </row>
    <row r="1231">
      <c r="A1231" s="2" t="inlineStr">
        <is>
          <t>30th Celebration Booster Bundle</t>
        </is>
      </c>
      <c r="B1231" s="3">
        <f>IF(I1231&lt;&gt;"",I1231,IF(J1231&lt;&gt;"",J1231,IF(K1231&lt;&gt;"",K1231,L1231)))</f>
        <v>81.7</v>
      </c>
      <c r="C1231" s="3">
        <f>MEDIAN(I1231:L1231)</f>
        <v>76.875</v>
      </c>
      <c r="D1231" s="3">
        <f>ROUND(C1231*(1-Settings!$B$2),2)</f>
        <v>53.81</v>
      </c>
      <c r="E1231" s="3">
        <f>ROUND(C1231*(1-Settings!$B$3),2)</f>
        <v>53.81</v>
      </c>
      <c r="F1231" s="2" t="inlineStr">
        <is>
          <t>Pokemon</t>
        </is>
      </c>
      <c r="G1231" s="2" t="inlineStr">
        <is>
          <t>Coffret</t>
        </is>
      </c>
      <c r="H1231" s="2" t="inlineStr">
        <is>
          <t>ME: 30th Celebration</t>
        </is>
      </c>
      <c r="I1231" s="3" t="n">
        <v>81.7</v>
      </c>
      <c r="J1231" s="3" t="n">
        <v>74.53</v>
      </c>
      <c r="K1231" s="3" t="n">
        <v>79.22</v>
      </c>
      <c r="L1231" s="3" t="n">
        <v>70</v>
      </c>
      <c r="M1231" s="2" t="inlineStr">
        <is>
          <t>PriceCharting + TCGplayer</t>
        </is>
      </c>
      <c r="N1231" s="4" t="inlineStr">
        <is>
          <t>https://www.pricecharting.com/game/pokemon-30th-celebration/booster-bundle</t>
        </is>
      </c>
      <c r="O1231" s="4" t="inlineStr">
        <is>
          <t>https://www.tcgplayer.com/product/704171</t>
        </is>
      </c>
    </row>
    <row r="1232">
      <c r="A1232" s="2" t="inlineStr">
        <is>
          <t>30th Celebration Classic Collection Pack</t>
        </is>
      </c>
      <c r="B1232" s="3">
        <f>IF(I1232&lt;&gt;"",I1232,IF(J1232&lt;&gt;"",J1232,IF(K1232&lt;&gt;"",K1232,L1232)))</f>
        <v>254.5</v>
      </c>
      <c r="C1232" s="3">
        <f>MEDIAN(I1232:L1232)</f>
        <v>305.90999999999997</v>
      </c>
      <c r="D1232" s="3">
        <f>ROUND(C1232*(1-Settings!$B$2),2)</f>
        <v>214.14</v>
      </c>
      <c r="E1232" s="3">
        <f>ROUND(C1232*(1-Settings!$B$3),2)</f>
        <v>214.14</v>
      </c>
      <c r="F1232" s="2" t="inlineStr">
        <is>
          <t>Pokemon</t>
        </is>
      </c>
      <c r="G1232" s="2" t="inlineStr">
        <is>
          <t>Coffret</t>
        </is>
      </c>
      <c r="H1232" s="2" t="inlineStr">
        <is>
          <t>ME: 30th Celebration</t>
        </is>
      </c>
      <c r="I1232" s="3" t="n">
        <v>254.5</v>
      </c>
      <c r="J1232" s="3" t="n">
        <v>311.83</v>
      </c>
      <c r="K1232" s="3" t="n">
        <v>351.97</v>
      </c>
      <c r="L1232" s="3" t="n">
        <v>299.99</v>
      </c>
      <c r="M1232" s="2" t="inlineStr">
        <is>
          <t>PriceCharting + TCGplayer</t>
        </is>
      </c>
      <c r="N1232" s="4" t="inlineStr">
        <is>
          <t>https://www.pricecharting.com/game/pokemon-30th-celebration/classic-collection-pack</t>
        </is>
      </c>
      <c r="O1232" s="4" t="inlineStr">
        <is>
          <t>https://www.tcgplayer.com/product/704192</t>
        </is>
      </c>
    </row>
    <row r="1233">
      <c r="A1233" s="2" t="inlineStr">
        <is>
          <t>30th Celebration Ditto Premium Collection</t>
        </is>
      </c>
      <c r="B1233" s="3">
        <f>IF(I1233&lt;&gt;"",I1233,IF(J1233&lt;&gt;"",J1233,IF(K1233&lt;&gt;"",K1233,L1233)))</f>
        <v>192.81</v>
      </c>
      <c r="C1233" s="3">
        <f>MEDIAN(I1233:L1233)</f>
        <v>192.76</v>
      </c>
      <c r="D1233" s="3">
        <f>ROUND(C1233*(1-Settings!$B$2),2)</f>
        <v>134.93</v>
      </c>
      <c r="E1233" s="3">
        <f>ROUND(C1233*(1-Settings!$B$3),2)</f>
        <v>134.93</v>
      </c>
      <c r="F1233" s="2" t="inlineStr">
        <is>
          <t>Pokemon</t>
        </is>
      </c>
      <c r="G1233" s="2" t="inlineStr">
        <is>
          <t>Coffret</t>
        </is>
      </c>
      <c r="H1233" s="2" t="inlineStr">
        <is>
          <t>ME: 30th Celebration</t>
        </is>
      </c>
      <c r="I1233" s="3" t="n">
        <v>192.81</v>
      </c>
      <c r="J1233" s="3" t="n">
        <v>192.71</v>
      </c>
      <c r="K1233" s="3" t="n">
        <v>195.38</v>
      </c>
      <c r="L1233" s="3" t="n">
        <v>192.7</v>
      </c>
      <c r="M1233" s="2" t="inlineStr">
        <is>
          <t>PriceCharting + TCGplayer</t>
        </is>
      </c>
      <c r="N1233" s="4" t="inlineStr">
        <is>
          <t>https://www.pricecharting.com/game/pokemon-30th-celebration/ditto-premium-collection</t>
        </is>
      </c>
      <c r="O1233" s="4" t="inlineStr">
        <is>
          <t>https://www.tcgplayer.com/product/704189</t>
        </is>
      </c>
    </row>
    <row r="1234">
      <c r="A1234" s="2" t="inlineStr">
        <is>
          <t>30th Celebration Elite Trainer Box</t>
        </is>
      </c>
      <c r="B1234" s="3">
        <f>IF(I1234&lt;&gt;"",I1234,IF(J1234&lt;&gt;"",J1234,IF(K1234&lt;&gt;"",K1234,L1234)))</f>
        <v>165.52</v>
      </c>
      <c r="C1234" s="3">
        <f>MEDIAN(I1234:L1234)</f>
        <v>145.28500000000003</v>
      </c>
      <c r="D1234" s="3">
        <f>ROUND(C1234*(1-Settings!$B$2),2)</f>
        <v>101.7</v>
      </c>
      <c r="E1234" s="3">
        <f>ROUND(C1234*(1-Settings!$B$3),2)</f>
        <v>101.7</v>
      </c>
      <c r="F1234" s="2" t="inlineStr">
        <is>
          <t>Pokemon</t>
        </is>
      </c>
      <c r="G1234" s="2" t="inlineStr">
        <is>
          <t>Coffret</t>
        </is>
      </c>
      <c r="H1234" s="2" t="inlineStr">
        <is>
          <t>ME: 30th Celebration</t>
        </is>
      </c>
      <c r="I1234" s="3" t="n">
        <v>165.52</v>
      </c>
      <c r="J1234" s="3" t="n">
        <v>138.61</v>
      </c>
      <c r="K1234" s="3" t="n">
        <v>151.96</v>
      </c>
      <c r="L1234" s="3" t="n">
        <v>111</v>
      </c>
      <c r="M1234" s="2" t="inlineStr">
        <is>
          <t>PriceCharting + TCGplayer</t>
        </is>
      </c>
      <c r="N1234" s="4" t="inlineStr">
        <is>
          <t>https://www.pricecharting.com/game/pokemon-30th-celebration/elite-trainer-box</t>
        </is>
      </c>
      <c r="O1234" s="4" t="inlineStr">
        <is>
          <t>https://www.tcgplayer.com/product/704143</t>
        </is>
      </c>
    </row>
    <row r="1235">
      <c r="A1235" s="2" t="inlineStr">
        <is>
          <t>30th Celebration ex Box [Set of 2]</t>
        </is>
      </c>
      <c r="B1235" s="3">
        <f>IF(I1235&lt;&gt;"",I1235,IF(J1235&lt;&gt;"",J1235,IF(K1235&lt;&gt;"",K1235,L1235)))</f>
        <v>119.99</v>
      </c>
      <c r="C1235" s="3">
        <f>MEDIAN(I1235:L1235)</f>
        <v>119.99</v>
      </c>
      <c r="D1235" s="3">
        <f>ROUND(C1235*(1-Settings!$B$2),2)</f>
        <v>83.99</v>
      </c>
      <c r="E1235" s="3">
        <f>ROUND(C1235*(1-Settings!$B$3),2)</f>
        <v>83.99</v>
      </c>
      <c r="F1235" s="2" t="inlineStr">
        <is>
          <t>Pokemon</t>
        </is>
      </c>
      <c r="G1235" s="2" t="inlineStr">
        <is>
          <t>Coffret</t>
        </is>
      </c>
      <c r="H1235" s="2" t="inlineStr">
        <is>
          <t>ME: 30th Celebration</t>
        </is>
      </c>
      <c r="I1235" s="3" t="n"/>
      <c r="J1235" s="3" t="n">
        <v>119.99</v>
      </c>
      <c r="K1235" s="3" t="n">
        <v>119.99</v>
      </c>
      <c r="L1235" s="3" t="n">
        <v>119</v>
      </c>
      <c r="M1235" s="2" t="inlineStr">
        <is>
          <t>TCGplayer</t>
        </is>
      </c>
      <c r="O1235" s="4" t="inlineStr">
        <is>
          <t>https://www.tcgplayer.com/product/722832</t>
        </is>
      </c>
    </row>
    <row r="1236">
      <c r="A1236" s="2" t="inlineStr">
        <is>
          <t>30th Celebration ex Tin [Greninja ex] (International Version)</t>
        </is>
      </c>
      <c r="B1236" s="3">
        <f>IF(I1236&lt;&gt;"",I1236,IF(J1236&lt;&gt;"",J1236,IF(K1236&lt;&gt;"",K1236,L1236)))</f>
        <v>57.04</v>
      </c>
      <c r="C1236" s="3">
        <f>MEDIAN(I1236:L1236)</f>
        <v>94.79</v>
      </c>
      <c r="D1236" s="3">
        <f>ROUND(C1236*(1-Settings!$B$2),2)</f>
        <v>66.35</v>
      </c>
      <c r="E1236" s="3">
        <f>ROUND(C1236*(1-Settings!$B$3),2)</f>
        <v>66.35</v>
      </c>
      <c r="F1236" s="2" t="inlineStr">
        <is>
          <t>Pokemon</t>
        </is>
      </c>
      <c r="G1236" s="2" t="inlineStr">
        <is>
          <t>Coffret</t>
        </is>
      </c>
      <c r="H1236" s="2" t="inlineStr">
        <is>
          <t>ME: 30th Celebration</t>
        </is>
      </c>
      <c r="I1236" s="3" t="n"/>
      <c r="J1236" s="3" t="n">
        <v>57.04</v>
      </c>
      <c r="K1236" s="3" t="n">
        <v>94.8</v>
      </c>
      <c r="L1236" s="3" t="n">
        <v>94.79000000000001</v>
      </c>
      <c r="M1236" s="2" t="inlineStr">
        <is>
          <t>TCGplayer</t>
        </is>
      </c>
      <c r="O1236" s="4" t="inlineStr">
        <is>
          <t>https://www.tcgplayer.com/product/704150</t>
        </is>
      </c>
    </row>
    <row r="1237">
      <c r="A1237" s="2" t="inlineStr">
        <is>
          <t>30th Celebration ex Tin [Greninja ex] (Retail Version)</t>
        </is>
      </c>
      <c r="B1237" s="3">
        <f>IF(I1237&lt;&gt;"",I1237,IF(J1237&lt;&gt;"",J1237,IF(K1237&lt;&gt;"",K1237,L1237)))</f>
        <v>61.29</v>
      </c>
      <c r="C1237" s="3">
        <f>MEDIAN(I1237:L1237)</f>
        <v>61.29</v>
      </c>
      <c r="D1237" s="3">
        <f>ROUND(C1237*(1-Settings!$B$2),2)</f>
        <v>42.9</v>
      </c>
      <c r="E1237" s="3">
        <f>ROUND(C1237*(1-Settings!$B$3),2)</f>
        <v>42.9</v>
      </c>
      <c r="F1237" s="2" t="inlineStr">
        <is>
          <t>Pokemon</t>
        </is>
      </c>
      <c r="G1237" s="2" t="inlineStr">
        <is>
          <t>Coffret</t>
        </is>
      </c>
      <c r="H1237" s="2" t="inlineStr">
        <is>
          <t>ME: 30th Celebration</t>
        </is>
      </c>
      <c r="I1237" s="3" t="n"/>
      <c r="J1237" s="3" t="n">
        <v>61.29</v>
      </c>
      <c r="K1237" s="3" t="n">
        <v>64.31</v>
      </c>
      <c r="L1237" s="3" t="n">
        <v>55</v>
      </c>
      <c r="M1237" s="2" t="inlineStr">
        <is>
          <t>TCGplayer</t>
        </is>
      </c>
      <c r="O1237" s="4" t="inlineStr">
        <is>
          <t>https://www.tcgplayer.com/product/718673</t>
        </is>
      </c>
    </row>
    <row r="1238">
      <c r="A1238" s="2" t="inlineStr">
        <is>
          <t>30th Celebration ex Tin [Set of 2] (International Version)</t>
        </is>
      </c>
      <c r="B1238" s="3">
        <f>IF(I1238&lt;&gt;"",I1238,IF(J1238&lt;&gt;"",J1238,IF(K1238&lt;&gt;"",K1238,L1238)))</f>
        <v>127.39</v>
      </c>
      <c r="C1238" s="3">
        <f>MEDIAN(I1238:L1238)</f>
        <v>349.88</v>
      </c>
      <c r="D1238" s="3">
        <f>ROUND(C1238*(1-Settings!$B$2),2)</f>
        <v>244.92</v>
      </c>
      <c r="E1238" s="3">
        <f>ROUND(C1238*(1-Settings!$B$3),2)</f>
        <v>244.92</v>
      </c>
      <c r="F1238" s="2" t="inlineStr">
        <is>
          <t>Pokemon</t>
        </is>
      </c>
      <c r="G1238" s="2" t="inlineStr">
        <is>
          <t>Coffret</t>
        </is>
      </c>
      <c r="H1238" s="2" t="inlineStr">
        <is>
          <t>ME: 30th Celebration</t>
        </is>
      </c>
      <c r="I1238" s="3" t="n"/>
      <c r="J1238" s="3" t="n">
        <v>127.39</v>
      </c>
      <c r="K1238" s="3" t="n">
        <v>349.88</v>
      </c>
      <c r="L1238" s="3" t="n">
        <v>349.88</v>
      </c>
      <c r="M1238" s="2" t="inlineStr">
        <is>
          <t>TCGplayer</t>
        </is>
      </c>
      <c r="O1238" s="4" t="inlineStr">
        <is>
          <t>https://www.tcgplayer.com/product/704151</t>
        </is>
      </c>
    </row>
    <row r="1239">
      <c r="A1239" s="2" t="inlineStr">
        <is>
          <t>30th Celebration ex Tin [Set of 2] (Retail Version)</t>
        </is>
      </c>
      <c r="B1239" s="3">
        <f>IF(I1239&lt;&gt;"",I1239,IF(J1239&lt;&gt;"",J1239,IF(K1239&lt;&gt;"",K1239,L1239)))</f>
        <v>128.86</v>
      </c>
      <c r="C1239" s="3">
        <f>MEDIAN(I1239:L1239)</f>
        <v>128.86</v>
      </c>
      <c r="D1239" s="3">
        <f>ROUND(C1239*(1-Settings!$B$2),2)</f>
        <v>90.2</v>
      </c>
      <c r="E1239" s="3">
        <f>ROUND(C1239*(1-Settings!$B$3),2)</f>
        <v>90.2</v>
      </c>
      <c r="F1239" s="2" t="inlineStr">
        <is>
          <t>Pokemon</t>
        </is>
      </c>
      <c r="G1239" s="2" t="inlineStr">
        <is>
          <t>Coffret</t>
        </is>
      </c>
      <c r="H1239" s="2" t="inlineStr">
        <is>
          <t>ME: 30th Celebration</t>
        </is>
      </c>
      <c r="I1239" s="3" t="n"/>
      <c r="J1239" s="3" t="n">
        <v>128.86</v>
      </c>
      <c r="K1239" s="3" t="n">
        <v>132.99</v>
      </c>
      <c r="L1239" s="3" t="n">
        <v>113.5</v>
      </c>
      <c r="M1239" s="2" t="inlineStr">
        <is>
          <t>TCGplayer</t>
        </is>
      </c>
      <c r="O1239" s="4" t="inlineStr">
        <is>
          <t>https://www.tcgplayer.com/product/718675</t>
        </is>
      </c>
    </row>
    <row r="1240">
      <c r="A1240" s="2" t="inlineStr">
        <is>
          <t>30th Celebration ex Tin [Sylveon ex] (International Version)</t>
        </is>
      </c>
      <c r="B1240" s="3">
        <f>IF(I1240&lt;&gt;"",I1240,IF(J1240&lt;&gt;"",J1240,IF(K1240&lt;&gt;"",K1240,L1240)))</f>
        <v>70.12</v>
      </c>
      <c r="C1240" s="3">
        <f>MEDIAN(I1240:L1240)</f>
        <v>94.39</v>
      </c>
      <c r="D1240" s="3">
        <f>ROUND(C1240*(1-Settings!$B$2),2)</f>
        <v>66.07</v>
      </c>
      <c r="E1240" s="3">
        <f>ROUND(C1240*(1-Settings!$B$3),2)</f>
        <v>66.07</v>
      </c>
      <c r="F1240" s="2" t="inlineStr">
        <is>
          <t>Pokemon</t>
        </is>
      </c>
      <c r="G1240" s="2" t="inlineStr">
        <is>
          <t>Coffret</t>
        </is>
      </c>
      <c r="H1240" s="2" t="inlineStr">
        <is>
          <t>ME: 30th Celebration</t>
        </is>
      </c>
      <c r="I1240" s="3" t="n"/>
      <c r="J1240" s="3" t="n">
        <v>70.12</v>
      </c>
      <c r="K1240" s="3" t="n">
        <v>96.40000000000001</v>
      </c>
      <c r="L1240" s="3" t="n">
        <v>94.39</v>
      </c>
      <c r="M1240" s="2" t="inlineStr">
        <is>
          <t>TCGplayer</t>
        </is>
      </c>
      <c r="O1240" s="4" t="inlineStr">
        <is>
          <t>https://www.tcgplayer.com/product/704149</t>
        </is>
      </c>
    </row>
    <row r="1241">
      <c r="A1241" s="2" t="inlineStr">
        <is>
          <t>30th Celebration ex Tin [Sylveon ex] (Retail Version)</t>
        </is>
      </c>
      <c r="B1241" s="3">
        <f>IF(I1241&lt;&gt;"",I1241,IF(J1241&lt;&gt;"",J1241,IF(K1241&lt;&gt;"",K1241,L1241)))</f>
        <v>60.59</v>
      </c>
      <c r="C1241" s="3">
        <f>MEDIAN(I1241:L1241)</f>
        <v>60.59</v>
      </c>
      <c r="D1241" s="3">
        <f>ROUND(C1241*(1-Settings!$B$2),2)</f>
        <v>42.41</v>
      </c>
      <c r="E1241" s="3">
        <f>ROUND(C1241*(1-Settings!$B$3),2)</f>
        <v>42.41</v>
      </c>
      <c r="F1241" s="2" t="inlineStr">
        <is>
          <t>Pokemon</t>
        </is>
      </c>
      <c r="G1241" s="2" t="inlineStr">
        <is>
          <t>Coffret</t>
        </is>
      </c>
      <c r="H1241" s="2" t="inlineStr">
        <is>
          <t>ME: 30th Celebration</t>
        </is>
      </c>
      <c r="I1241" s="3" t="n"/>
      <c r="J1241" s="3" t="n">
        <v>60.59</v>
      </c>
      <c r="K1241" s="3" t="n">
        <v>65</v>
      </c>
      <c r="L1241" s="3" t="n">
        <v>55</v>
      </c>
      <c r="M1241" s="2" t="inlineStr">
        <is>
          <t>TCGplayer</t>
        </is>
      </c>
      <c r="O1241" s="4" t="inlineStr">
        <is>
          <t>https://www.tcgplayer.com/product/718674</t>
        </is>
      </c>
    </row>
    <row r="1242">
      <c r="A1242" s="2" t="inlineStr">
        <is>
          <t>30th Celebration Figure Collection [Mew]</t>
        </is>
      </c>
      <c r="B1242" s="3">
        <f>IF(I1242&lt;&gt;"",I1242,IF(J1242&lt;&gt;"",J1242,IF(K1242&lt;&gt;"",K1242,L1242)))</f>
        <v>125.17</v>
      </c>
      <c r="C1242" s="3">
        <f>MEDIAN(I1242:L1242)</f>
        <v>190.445</v>
      </c>
      <c r="D1242" s="3">
        <f>ROUND(C1242*(1-Settings!$B$2),2)</f>
        <v>133.31</v>
      </c>
      <c r="E1242" s="3">
        <f>ROUND(C1242*(1-Settings!$B$3),2)</f>
        <v>133.31</v>
      </c>
      <c r="F1242" s="2" t="inlineStr">
        <is>
          <t>Pokemon</t>
        </is>
      </c>
      <c r="G1242" s="2" t="inlineStr">
        <is>
          <t>Coffret</t>
        </is>
      </c>
      <c r="H1242" s="2" t="inlineStr">
        <is>
          <t>ME: 30th Celebration</t>
        </is>
      </c>
      <c r="I1242" s="3" t="n">
        <v>125.17</v>
      </c>
      <c r="J1242" s="3" t="n">
        <v>130.99</v>
      </c>
      <c r="K1242" s="3" t="n">
        <v>520</v>
      </c>
      <c r="L1242" s="3" t="n">
        <v>249.9</v>
      </c>
      <c r="M1242" s="2" t="inlineStr">
        <is>
          <t>PriceCharting + TCGplayer</t>
        </is>
      </c>
      <c r="N1242" s="4" t="inlineStr">
        <is>
          <t>https://www.pricecharting.com/game/pokemon-30th-celebration/figure-collection-mew</t>
        </is>
      </c>
      <c r="O1242" s="4" t="inlineStr">
        <is>
          <t>https://www.tcgplayer.com/product/704193</t>
        </is>
      </c>
    </row>
    <row r="1243">
      <c r="A1243" s="2" t="inlineStr">
        <is>
          <t>30th Celebration Figure Collection [Mewtwo]</t>
        </is>
      </c>
      <c r="B1243" s="3">
        <f>IF(I1243&lt;&gt;"",I1243,IF(J1243&lt;&gt;"",J1243,IF(K1243&lt;&gt;"",K1243,L1243)))</f>
        <v>97.19</v>
      </c>
      <c r="C1243" s="3">
        <f>MEDIAN(I1243:L1243)</f>
        <v>177.66</v>
      </c>
      <c r="D1243" s="3">
        <f>ROUND(C1243*(1-Settings!$B$2),2)</f>
        <v>124.36</v>
      </c>
      <c r="E1243" s="3">
        <f>ROUND(C1243*(1-Settings!$B$3),2)</f>
        <v>124.36</v>
      </c>
      <c r="F1243" s="2" t="inlineStr">
        <is>
          <t>Pokemon</t>
        </is>
      </c>
      <c r="G1243" s="2" t="inlineStr">
        <is>
          <t>Coffret</t>
        </is>
      </c>
      <c r="H1243" s="2" t="inlineStr">
        <is>
          <t>ME: 30th Celebration</t>
        </is>
      </c>
      <c r="I1243" s="3" t="n">
        <v>97.19</v>
      </c>
      <c r="J1243" s="3" t="n">
        <v>155.42</v>
      </c>
      <c r="K1243" s="3" t="n">
        <v>199.94</v>
      </c>
      <c r="L1243" s="3" t="n">
        <v>199.9</v>
      </c>
      <c r="M1243" s="2" t="inlineStr">
        <is>
          <t>PriceCharting + TCGplayer</t>
        </is>
      </c>
      <c r="N1243" s="4" t="inlineStr">
        <is>
          <t>https://www.pricecharting.com/game/pokemon-30th-celebration/figure-collection-mewtwo</t>
        </is>
      </c>
      <c r="O1243" s="4" t="inlineStr">
        <is>
          <t>https://www.tcgplayer.com/product/704194</t>
        </is>
      </c>
    </row>
    <row r="1244">
      <c r="A1244" s="2" t="inlineStr">
        <is>
          <t>30th Celebration Greninja ex Box</t>
        </is>
      </c>
      <c r="B1244" s="3">
        <f>IF(I1244&lt;&gt;"",I1244,IF(J1244&lt;&gt;"",J1244,IF(K1244&lt;&gt;"",K1244,L1244)))</f>
        <v>54.98</v>
      </c>
      <c r="C1244" s="3">
        <f>MEDIAN(I1244:L1244)</f>
        <v>54.56</v>
      </c>
      <c r="D1244" s="3">
        <f>ROUND(C1244*(1-Settings!$B$2),2)</f>
        <v>38.19</v>
      </c>
      <c r="E1244" s="3">
        <f>ROUND(C1244*(1-Settings!$B$3),2)</f>
        <v>38.19</v>
      </c>
      <c r="F1244" s="2" t="inlineStr">
        <is>
          <t>Pokemon</t>
        </is>
      </c>
      <c r="G1244" s="2" t="inlineStr">
        <is>
          <t>Coffret</t>
        </is>
      </c>
      <c r="H1244" s="2" t="inlineStr">
        <is>
          <t>ME: 30th Celebration</t>
        </is>
      </c>
      <c r="I1244" s="3" t="n">
        <v>54.98</v>
      </c>
      <c r="J1244" s="3" t="n">
        <v>54.14</v>
      </c>
      <c r="K1244" s="3" t="n">
        <v>63</v>
      </c>
      <c r="L1244" s="3" t="n">
        <v>49</v>
      </c>
      <c r="M1244" s="2" t="inlineStr">
        <is>
          <t>PriceCharting + TCGplayer</t>
        </is>
      </c>
      <c r="N1244" s="4" t="inlineStr">
        <is>
          <t>https://www.pricecharting.com/game/pokemon-30th-celebration/greninja-ex-box</t>
        </is>
      </c>
      <c r="O1244" s="4" t="inlineStr">
        <is>
          <t>https://www.tcgplayer.com/product/704168</t>
        </is>
      </c>
    </row>
    <row r="1245">
      <c r="A1245" s="2" t="inlineStr">
        <is>
          <t>30th Celebration Knock Out Collection</t>
        </is>
      </c>
      <c r="B1245" s="3">
        <f>IF(I1245&lt;&gt;"",I1245,IF(J1245&lt;&gt;"",J1245,IF(K1245&lt;&gt;"",K1245,L1245)))</f>
        <v>29.5</v>
      </c>
      <c r="C1245" s="3">
        <f>MEDIAN(I1245:L1245)</f>
        <v>28.310000000000002</v>
      </c>
      <c r="D1245" s="3">
        <f>ROUND(C1245*(1-Settings!$B$2),2)</f>
        <v>19.82</v>
      </c>
      <c r="E1245" s="3">
        <f>ROUND(C1245*(1-Settings!$B$3),2)</f>
        <v>19.82</v>
      </c>
      <c r="F1245" s="2" t="inlineStr">
        <is>
          <t>Pokemon</t>
        </is>
      </c>
      <c r="G1245" s="2" t="inlineStr">
        <is>
          <t>Coffret</t>
        </is>
      </c>
      <c r="H1245" s="2" t="inlineStr">
        <is>
          <t>ME: 30th Celebration</t>
        </is>
      </c>
      <c r="I1245" s="3" t="n">
        <v>29.5</v>
      </c>
      <c r="J1245" s="3" t="n">
        <v>27.12</v>
      </c>
      <c r="K1245" s="3" t="n">
        <v>29.72</v>
      </c>
      <c r="L1245" s="3" t="n">
        <v>1</v>
      </c>
      <c r="M1245" s="2" t="inlineStr">
        <is>
          <t>PriceCharting + TCGplayer</t>
        </is>
      </c>
      <c r="N1245" s="4" t="inlineStr">
        <is>
          <t>https://www.pricecharting.com/game/pokemon-30th-celebration/knock-out-collection</t>
        </is>
      </c>
      <c r="O1245" s="4" t="inlineStr">
        <is>
          <t>https://www.tcgplayer.com/product/704152</t>
        </is>
      </c>
    </row>
    <row r="1246">
      <c r="A1246" s="2" t="inlineStr">
        <is>
          <t>30th Celebration Mini Tin [Day Pikachu]</t>
        </is>
      </c>
      <c r="B1246" s="3">
        <f>IF(I1246&lt;&gt;"",I1246,IF(J1246&lt;&gt;"",J1246,IF(K1246&lt;&gt;"",K1246,L1246)))</f>
        <v>49.49</v>
      </c>
      <c r="C1246" s="3">
        <f>MEDIAN(I1246:L1246)</f>
        <v>29.955000000000002</v>
      </c>
      <c r="D1246" s="3">
        <f>ROUND(C1246*(1-Settings!$B$2),2)</f>
        <v>20.97</v>
      </c>
      <c r="E1246" s="3">
        <f>ROUND(C1246*(1-Settings!$B$3),2)</f>
        <v>20.97</v>
      </c>
      <c r="F1246" s="2" t="inlineStr">
        <is>
          <t>Pokemon</t>
        </is>
      </c>
      <c r="G1246" s="2" t="inlineStr">
        <is>
          <t>Coffret</t>
        </is>
      </c>
      <c r="H1246" s="2" t="inlineStr">
        <is>
          <t>ME: 30th Celebration</t>
        </is>
      </c>
      <c r="I1246" s="3" t="n">
        <v>49.49</v>
      </c>
      <c r="J1246" s="3" t="n">
        <v>26.67</v>
      </c>
      <c r="K1246" s="3" t="n">
        <v>33.24</v>
      </c>
      <c r="L1246" s="3" t="n">
        <v>23.5</v>
      </c>
      <c r="M1246" s="2" t="inlineStr">
        <is>
          <t>PriceCharting + TCGplayer</t>
        </is>
      </c>
      <c r="N1246" s="4" t="inlineStr">
        <is>
          <t>https://www.pricecharting.com/game/pokemon-30th-celebration/mini-tin-day-pikachu</t>
        </is>
      </c>
      <c r="O1246" s="4" t="inlineStr">
        <is>
          <t>https://www.tcgplayer.com/product/704177</t>
        </is>
      </c>
    </row>
    <row r="1247">
      <c r="A1247" s="2" t="inlineStr">
        <is>
          <t>30th Celebration Mini Tin [Espeon]</t>
        </is>
      </c>
      <c r="B1247" s="3">
        <f>IF(I1247&lt;&gt;"",I1247,IF(J1247&lt;&gt;"",J1247,IF(K1247&lt;&gt;"",K1247,L1247)))</f>
        <v>49.35</v>
      </c>
      <c r="C1247" s="3">
        <f>MEDIAN(I1247:L1247)</f>
        <v>31.405</v>
      </c>
      <c r="D1247" s="3">
        <f>ROUND(C1247*(1-Settings!$B$2),2)</f>
        <v>21.98</v>
      </c>
      <c r="E1247" s="3">
        <f>ROUND(C1247*(1-Settings!$B$3),2)</f>
        <v>21.98</v>
      </c>
      <c r="F1247" s="2" t="inlineStr">
        <is>
          <t>Pokemon</t>
        </is>
      </c>
      <c r="G1247" s="2" t="inlineStr">
        <is>
          <t>Coffret</t>
        </is>
      </c>
      <c r="H1247" s="2" t="inlineStr">
        <is>
          <t>ME: 30th Celebration</t>
        </is>
      </c>
      <c r="I1247" s="3" t="n">
        <v>49.35</v>
      </c>
      <c r="J1247" s="3" t="n">
        <v>27.82</v>
      </c>
      <c r="K1247" s="3" t="n">
        <v>34.99</v>
      </c>
      <c r="L1247" s="3" t="n">
        <v>23</v>
      </c>
      <c r="M1247" s="2" t="inlineStr">
        <is>
          <t>PriceCharting + TCGplayer</t>
        </is>
      </c>
      <c r="N1247" s="4" t="inlineStr">
        <is>
          <t>https://www.pricecharting.com/game/pokemon-30th-celebration/mini-tin-espeon</t>
        </is>
      </c>
      <c r="O1247" s="4" t="inlineStr">
        <is>
          <t>https://www.tcgplayer.com/product/704176</t>
        </is>
      </c>
    </row>
    <row r="1248">
      <c r="A1248" s="2" t="inlineStr">
        <is>
          <t>30th Celebration Mini Tin [Greninja]</t>
        </is>
      </c>
      <c r="B1248" s="3">
        <f>IF(I1248&lt;&gt;"",I1248,IF(J1248&lt;&gt;"",J1248,IF(K1248&lt;&gt;"",K1248,L1248)))</f>
        <v>46.09</v>
      </c>
      <c r="C1248" s="3">
        <f>MEDIAN(I1248:L1248)</f>
        <v>30.625</v>
      </c>
      <c r="D1248" s="3">
        <f>ROUND(C1248*(1-Settings!$B$2),2)</f>
        <v>21.44</v>
      </c>
      <c r="E1248" s="3">
        <f>ROUND(C1248*(1-Settings!$B$3),2)</f>
        <v>21.44</v>
      </c>
      <c r="F1248" s="2" t="inlineStr">
        <is>
          <t>Pokemon</t>
        </is>
      </c>
      <c r="G1248" s="2" t="inlineStr">
        <is>
          <t>Coffret</t>
        </is>
      </c>
      <c r="H1248" s="2" t="inlineStr">
        <is>
          <t>ME: 30th Celebration</t>
        </is>
      </c>
      <c r="I1248" s="3" t="n">
        <v>46.09</v>
      </c>
      <c r="J1248" s="3" t="n">
        <v>23.76</v>
      </c>
      <c r="K1248" s="3" t="n">
        <v>37.49</v>
      </c>
      <c r="L1248" s="3" t="n">
        <v>4.25</v>
      </c>
      <c r="M1248" s="2" t="inlineStr">
        <is>
          <t>PriceCharting + TCGplayer</t>
        </is>
      </c>
      <c r="N1248" s="4" t="inlineStr">
        <is>
          <t>https://www.pricecharting.com/game/pokemon-30th-celebration/mini-tin-greninja</t>
        </is>
      </c>
      <c r="O1248" s="4" t="inlineStr">
        <is>
          <t>https://www.tcgplayer.com/product/704185</t>
        </is>
      </c>
    </row>
    <row r="1249">
      <c r="A1249" s="2" t="inlineStr">
        <is>
          <t>30th Celebration Mini Tin [Lapras]</t>
        </is>
      </c>
      <c r="B1249" s="3">
        <f>IF(I1249&lt;&gt;"",I1249,IF(J1249&lt;&gt;"",J1249,IF(K1249&lt;&gt;"",K1249,L1249)))</f>
        <v>46.0</v>
      </c>
      <c r="C1249" s="3">
        <f>MEDIAN(I1249:L1249)</f>
        <v>27.805</v>
      </c>
      <c r="D1249" s="3">
        <f>ROUND(C1249*(1-Settings!$B$2),2)</f>
        <v>19.46</v>
      </c>
      <c r="E1249" s="3">
        <f>ROUND(C1249*(1-Settings!$B$3),2)</f>
        <v>19.46</v>
      </c>
      <c r="F1249" s="2" t="inlineStr">
        <is>
          <t>Pokemon</t>
        </is>
      </c>
      <c r="G1249" s="2" t="inlineStr">
        <is>
          <t>Coffret</t>
        </is>
      </c>
      <c r="H1249" s="2" t="inlineStr">
        <is>
          <t>ME: 30th Celebration</t>
        </is>
      </c>
      <c r="I1249" s="3" t="n">
        <v>46</v>
      </c>
      <c r="J1249" s="3" t="n">
        <v>23.62</v>
      </c>
      <c r="K1249" s="3" t="n">
        <v>31.99</v>
      </c>
      <c r="L1249" s="3" t="n">
        <v>4.85</v>
      </c>
      <c r="M1249" s="2" t="inlineStr">
        <is>
          <t>PriceCharting + TCGplayer</t>
        </is>
      </c>
      <c r="N1249" s="4" t="inlineStr">
        <is>
          <t>https://www.pricecharting.com/game/pokemon-30th-celebration/mini-tin-lapras</t>
        </is>
      </c>
      <c r="O1249" s="4" t="inlineStr">
        <is>
          <t>https://www.tcgplayer.com/product/704179</t>
        </is>
      </c>
    </row>
    <row r="1250">
      <c r="A1250" s="2" t="inlineStr">
        <is>
          <t>30th Celebration Mini Tin [Mew]</t>
        </is>
      </c>
      <c r="B1250" s="3">
        <f>IF(I1250&lt;&gt;"",I1250,IF(J1250&lt;&gt;"",J1250,IF(K1250&lt;&gt;"",K1250,L1250)))</f>
        <v>48.93</v>
      </c>
      <c r="C1250" s="3">
        <f>MEDIAN(I1250:L1250)</f>
        <v>32.894999999999996</v>
      </c>
      <c r="D1250" s="3">
        <f>ROUND(C1250*(1-Settings!$B$2),2)</f>
        <v>23.03</v>
      </c>
      <c r="E1250" s="3">
        <f>ROUND(C1250*(1-Settings!$B$3),2)</f>
        <v>23.03</v>
      </c>
      <c r="F1250" s="2" t="inlineStr">
        <is>
          <t>Pokemon</t>
        </is>
      </c>
      <c r="G1250" s="2" t="inlineStr">
        <is>
          <t>Coffret</t>
        </is>
      </c>
      <c r="H1250" s="2" t="inlineStr">
        <is>
          <t>ME: 30th Celebration</t>
        </is>
      </c>
      <c r="I1250" s="3" t="n">
        <v>48.93</v>
      </c>
      <c r="J1250" s="3" t="n">
        <v>25.59</v>
      </c>
      <c r="K1250" s="3" t="n">
        <v>38</v>
      </c>
      <c r="L1250" s="3" t="n">
        <v>27.79</v>
      </c>
      <c r="M1250" s="2" t="inlineStr">
        <is>
          <t>PriceCharting + TCGplayer</t>
        </is>
      </c>
      <c r="N1250" s="4" t="inlineStr">
        <is>
          <t>https://www.pricecharting.com/game/pokemon-30th-celebration/mini-tin-mew</t>
        </is>
      </c>
      <c r="O1250" s="4" t="inlineStr">
        <is>
          <t>https://www.tcgplayer.com/product/704178</t>
        </is>
      </c>
    </row>
    <row r="1251">
      <c r="A1251" s="2" t="inlineStr">
        <is>
          <t>30th Celebration Mini Tin [Mewtwo]</t>
        </is>
      </c>
      <c r="B1251" s="3">
        <f>IF(I1251&lt;&gt;"",I1251,IF(J1251&lt;&gt;"",J1251,IF(K1251&lt;&gt;"",K1251,L1251)))</f>
        <v>47.99</v>
      </c>
      <c r="C1251" s="3">
        <f>MEDIAN(I1251:L1251)</f>
        <v>30.865000000000002</v>
      </c>
      <c r="D1251" s="3">
        <f>ROUND(C1251*(1-Settings!$B$2),2)</f>
        <v>21.61</v>
      </c>
      <c r="E1251" s="3">
        <f>ROUND(C1251*(1-Settings!$B$3),2)</f>
        <v>21.61</v>
      </c>
      <c r="F1251" s="2" t="inlineStr">
        <is>
          <t>Pokemon</t>
        </is>
      </c>
      <c r="G1251" s="2" t="inlineStr">
        <is>
          <t>Coffret</t>
        </is>
      </c>
      <c r="H1251" s="2" t="inlineStr">
        <is>
          <t>ME: 30th Celebration</t>
        </is>
      </c>
      <c r="I1251" s="3" t="n">
        <v>47.99</v>
      </c>
      <c r="J1251" s="3" t="n">
        <v>25.74</v>
      </c>
      <c r="K1251" s="3" t="n">
        <v>35.99</v>
      </c>
      <c r="L1251" s="3" t="n">
        <v>25</v>
      </c>
      <c r="M1251" s="2" t="inlineStr">
        <is>
          <t>PriceCharting + TCGplayer</t>
        </is>
      </c>
      <c r="N1251" s="4" t="inlineStr">
        <is>
          <t>https://www.pricecharting.com/game/pokemon-30th-celebration/mini-tin-mewtwo</t>
        </is>
      </c>
      <c r="O1251" s="4" t="inlineStr">
        <is>
          <t>https://www.tcgplayer.com/product/704183</t>
        </is>
      </c>
    </row>
    <row r="1252">
      <c r="A1252" s="2" t="inlineStr">
        <is>
          <t>30th Celebration Mini Tin [Moltres]</t>
        </is>
      </c>
      <c r="B1252" s="3">
        <f>IF(I1252&lt;&gt;"",I1252,IF(J1252&lt;&gt;"",J1252,IF(K1252&lt;&gt;"",K1252,L1252)))</f>
        <v>33.08</v>
      </c>
      <c r="C1252" s="3">
        <f>MEDIAN(I1252:L1252)</f>
        <v>27.765</v>
      </c>
      <c r="D1252" s="3">
        <f>ROUND(C1252*(1-Settings!$B$2),2)</f>
        <v>19.44</v>
      </c>
      <c r="E1252" s="3">
        <f>ROUND(C1252*(1-Settings!$B$3),2)</f>
        <v>19.44</v>
      </c>
      <c r="F1252" s="2" t="inlineStr">
        <is>
          <t>Pokemon</t>
        </is>
      </c>
      <c r="G1252" s="2" t="inlineStr">
        <is>
          <t>Coffret</t>
        </is>
      </c>
      <c r="H1252" s="2" t="inlineStr">
        <is>
          <t>ME: 30th Celebration</t>
        </is>
      </c>
      <c r="I1252" s="3" t="n">
        <v>33.08</v>
      </c>
      <c r="J1252" s="3" t="n">
        <v>24.58</v>
      </c>
      <c r="K1252" s="3" t="n">
        <v>30.95</v>
      </c>
      <c r="L1252" s="3" t="n">
        <v>4.85</v>
      </c>
      <c r="M1252" s="2" t="inlineStr">
        <is>
          <t>PriceCharting + TCGplayer</t>
        </is>
      </c>
      <c r="N1252" s="4" t="inlineStr">
        <is>
          <t>https://www.pricecharting.com/game/pokemon-30th-celebration/mini-tin-moltres</t>
        </is>
      </c>
      <c r="O1252" s="4" t="inlineStr">
        <is>
          <t>https://www.tcgplayer.com/product/704180</t>
        </is>
      </c>
    </row>
    <row r="1253">
      <c r="A1253" s="2" t="inlineStr">
        <is>
          <t>30th Celebration Mini Tin [Night Pikachu]</t>
        </is>
      </c>
      <c r="B1253" s="3">
        <f>IF(I1253&lt;&gt;"",I1253,IF(J1253&lt;&gt;"",J1253,IF(K1253&lt;&gt;"",K1253,L1253)))</f>
        <v>46.35</v>
      </c>
      <c r="C1253" s="3">
        <f>MEDIAN(I1253:L1253)</f>
        <v>27.22</v>
      </c>
      <c r="D1253" s="3">
        <f>ROUND(C1253*(1-Settings!$B$2),2)</f>
        <v>19.05</v>
      </c>
      <c r="E1253" s="3">
        <f>ROUND(C1253*(1-Settings!$B$3),2)</f>
        <v>19.05</v>
      </c>
      <c r="F1253" s="2" t="inlineStr">
        <is>
          <t>Pokemon</t>
        </is>
      </c>
      <c r="G1253" s="2" t="inlineStr">
        <is>
          <t>Coffret</t>
        </is>
      </c>
      <c r="H1253" s="2" t="inlineStr">
        <is>
          <t>ME: 30th Celebration</t>
        </is>
      </c>
      <c r="I1253" s="3" t="n">
        <v>46.35</v>
      </c>
      <c r="J1253" s="3" t="n">
        <v>24.45</v>
      </c>
      <c r="K1253" s="3" t="n">
        <v>29.99</v>
      </c>
      <c r="L1253" s="3" t="n">
        <v>15.99</v>
      </c>
      <c r="M1253" s="2" t="inlineStr">
        <is>
          <t>PriceCharting + TCGplayer</t>
        </is>
      </c>
      <c r="N1253" s="4" t="inlineStr">
        <is>
          <t>https://www.pricecharting.com/game/pokemon-30th-celebration/mini-tin-night-pikachu</t>
        </is>
      </c>
      <c r="O1253" s="4" t="inlineStr">
        <is>
          <t>https://www.tcgplayer.com/product/704184</t>
        </is>
      </c>
    </row>
    <row r="1254">
      <c r="A1254" s="2" t="inlineStr">
        <is>
          <t>30th Celebration Mini Tin [Umbreon]</t>
        </is>
      </c>
      <c r="B1254" s="3">
        <f>IF(I1254&lt;&gt;"",I1254,IF(J1254&lt;&gt;"",J1254,IF(K1254&lt;&gt;"",K1254,L1254)))</f>
        <v>49.49</v>
      </c>
      <c r="C1254" s="3">
        <f>MEDIAN(I1254:L1254)</f>
        <v>36.28</v>
      </c>
      <c r="D1254" s="3">
        <f>ROUND(C1254*(1-Settings!$B$2),2)</f>
        <v>25.4</v>
      </c>
      <c r="E1254" s="3">
        <f>ROUND(C1254*(1-Settings!$B$3),2)</f>
        <v>25.4</v>
      </c>
      <c r="F1254" s="2" t="inlineStr">
        <is>
          <t>Pokemon</t>
        </is>
      </c>
      <c r="G1254" s="2" t="inlineStr">
        <is>
          <t>Coffret</t>
        </is>
      </c>
      <c r="H1254" s="2" t="inlineStr">
        <is>
          <t>ME: 30th Celebration</t>
        </is>
      </c>
      <c r="I1254" s="3" t="n">
        <v>49.49</v>
      </c>
      <c r="J1254" s="3" t="n">
        <v>31.05</v>
      </c>
      <c r="K1254" s="3" t="n">
        <v>41.51</v>
      </c>
      <c r="L1254" s="3" t="n">
        <v>27.99</v>
      </c>
      <c r="M1254" s="2" t="inlineStr">
        <is>
          <t>PriceCharting + TCGplayer</t>
        </is>
      </c>
      <c r="N1254" s="4" t="inlineStr">
        <is>
          <t>https://www.pricecharting.com/game/pokemon-30th-celebration/mini-tin-umbreon</t>
        </is>
      </c>
      <c r="O1254" s="4" t="inlineStr">
        <is>
          <t>https://www.tcgplayer.com/product/704182</t>
        </is>
      </c>
    </row>
    <row r="1255">
      <c r="A1255" s="2" t="inlineStr">
        <is>
          <t>30th Celebration Mini Tin [Zapdos]</t>
        </is>
      </c>
      <c r="B1255" s="3">
        <f>IF(I1255&lt;&gt;"",I1255,IF(J1255&lt;&gt;"",J1255,IF(K1255&lt;&gt;"",K1255,L1255)))</f>
        <v>45.2</v>
      </c>
      <c r="C1255" s="3">
        <f>MEDIAN(I1255:L1255)</f>
        <v>27.985</v>
      </c>
      <c r="D1255" s="3">
        <f>ROUND(C1255*(1-Settings!$B$2),2)</f>
        <v>19.59</v>
      </c>
      <c r="E1255" s="3">
        <f>ROUND(C1255*(1-Settings!$B$3),2)</f>
        <v>19.59</v>
      </c>
      <c r="F1255" s="2" t="inlineStr">
        <is>
          <t>Pokemon</t>
        </is>
      </c>
      <c r="G1255" s="2" t="inlineStr">
        <is>
          <t>Coffret</t>
        </is>
      </c>
      <c r="H1255" s="2" t="inlineStr">
        <is>
          <t>ME: 30th Celebration</t>
        </is>
      </c>
      <c r="I1255" s="3" t="n">
        <v>45.2</v>
      </c>
      <c r="J1255" s="3" t="n">
        <v>24.97</v>
      </c>
      <c r="K1255" s="3" t="n">
        <v>31</v>
      </c>
      <c r="L1255" s="3" t="n">
        <v>12.84</v>
      </c>
      <c r="M1255" s="2" t="inlineStr">
        <is>
          <t>PriceCharting + TCGplayer</t>
        </is>
      </c>
      <c r="N1255" s="4" t="inlineStr">
        <is>
          <t>https://www.pricecharting.com/game/pokemon-30th-celebration/mini-tin-zapdos</t>
        </is>
      </c>
      <c r="O1255" s="4" t="inlineStr">
        <is>
          <t>https://www.tcgplayer.com/product/704181</t>
        </is>
      </c>
    </row>
    <row r="1256">
      <c r="A1256" s="2" t="inlineStr">
        <is>
          <t>30th Celebration Pokemon Center Elite Trainer Box</t>
        </is>
      </c>
      <c r="B1256" s="3">
        <f>IF(I1256&lt;&gt;"",I1256,IF(J1256&lt;&gt;"",J1256,IF(K1256&lt;&gt;"",K1256,L1256)))</f>
        <v>297.03</v>
      </c>
      <c r="C1256" s="3">
        <f>MEDIAN(I1256:L1256)</f>
        <v>297.03</v>
      </c>
      <c r="D1256" s="3">
        <f>ROUND(C1256*(1-Settings!$B$2),2)</f>
        <v>207.92</v>
      </c>
      <c r="E1256" s="3">
        <f>ROUND(C1256*(1-Settings!$B$3),2)</f>
        <v>207.92</v>
      </c>
      <c r="F1256" s="2" t="inlineStr">
        <is>
          <t>Pokemon</t>
        </is>
      </c>
      <c r="G1256" s="2" t="inlineStr">
        <is>
          <t>Coffret</t>
        </is>
      </c>
      <c r="H1256" s="2" t="inlineStr">
        <is>
          <t>ME: 30th Celebration</t>
        </is>
      </c>
      <c r="I1256" s="3" t="n"/>
      <c r="J1256" s="3" t="n">
        <v>297.03</v>
      </c>
      <c r="K1256" s="3" t="n">
        <v>369</v>
      </c>
      <c r="L1256" s="3" t="n">
        <v>175</v>
      </c>
      <c r="M1256" s="2" t="inlineStr">
        <is>
          <t>TCGplayer</t>
        </is>
      </c>
      <c r="O1256" s="4" t="inlineStr">
        <is>
          <t>https://www.tcgplayer.com/product/704144</t>
        </is>
      </c>
    </row>
    <row r="1257">
      <c r="A1257" s="2" t="inlineStr">
        <is>
          <t>30th Celebration Poster Collection</t>
        </is>
      </c>
      <c r="B1257" s="3">
        <f>IF(I1257&lt;&gt;"",I1257,IF(J1257&lt;&gt;"",J1257,IF(K1257&lt;&gt;"",K1257,L1257)))</f>
        <v>40.13</v>
      </c>
      <c r="C1257" s="3">
        <f>MEDIAN(I1257:L1257)</f>
        <v>38.635000000000005</v>
      </c>
      <c r="D1257" s="3">
        <f>ROUND(C1257*(1-Settings!$B$2),2)</f>
        <v>27.04</v>
      </c>
      <c r="E1257" s="3">
        <f>ROUND(C1257*(1-Settings!$B$3),2)</f>
        <v>27.04</v>
      </c>
      <c r="F1257" s="2" t="inlineStr">
        <is>
          <t>Pokemon</t>
        </is>
      </c>
      <c r="G1257" s="2" t="inlineStr">
        <is>
          <t>Coffret</t>
        </is>
      </c>
      <c r="H1257" s="2" t="inlineStr">
        <is>
          <t>ME: 30th Celebration</t>
        </is>
      </c>
      <c r="I1257" s="3" t="n">
        <v>40.13</v>
      </c>
      <c r="J1257" s="3" t="n">
        <v>37.14</v>
      </c>
      <c r="K1257" s="3" t="n">
        <v>42</v>
      </c>
      <c r="L1257" s="3" t="n">
        <v>14</v>
      </c>
      <c r="M1257" s="2" t="inlineStr">
        <is>
          <t>PriceCharting + TCGplayer</t>
        </is>
      </c>
      <c r="N1257" s="4" t="inlineStr">
        <is>
          <t>https://www.pricecharting.com/game/pokemon-30th-celebration/poster-collection</t>
        </is>
      </c>
      <c r="O1257" s="4" t="inlineStr">
        <is>
          <t>https://www.tcgplayer.com/product/704153</t>
        </is>
      </c>
    </row>
    <row r="1258">
      <c r="A1258" s="2" t="inlineStr">
        <is>
          <t>30th Celebration Sylveon ex Box</t>
        </is>
      </c>
      <c r="B1258" s="3">
        <f>IF(I1258&lt;&gt;"",I1258,IF(J1258&lt;&gt;"",J1258,IF(K1258&lt;&gt;"",K1258,L1258)))</f>
        <v>59.99</v>
      </c>
      <c r="C1258" s="3">
        <f>MEDIAN(I1258:L1258)</f>
        <v>61.065</v>
      </c>
      <c r="D1258" s="3">
        <f>ROUND(C1258*(1-Settings!$B$2),2)</f>
        <v>42.75</v>
      </c>
      <c r="E1258" s="3">
        <f>ROUND(C1258*(1-Settings!$B$3),2)</f>
        <v>42.75</v>
      </c>
      <c r="F1258" s="2" t="inlineStr">
        <is>
          <t>Pokemon</t>
        </is>
      </c>
      <c r="G1258" s="2" t="inlineStr">
        <is>
          <t>Coffret</t>
        </is>
      </c>
      <c r="H1258" s="2" t="inlineStr">
        <is>
          <t>ME: 30th Celebration</t>
        </is>
      </c>
      <c r="I1258" s="3" t="n">
        <v>59.99</v>
      </c>
      <c r="J1258" s="3" t="n">
        <v>62.14</v>
      </c>
      <c r="K1258" s="3" t="n">
        <v>65</v>
      </c>
      <c r="L1258" s="3" t="n">
        <v>54</v>
      </c>
      <c r="M1258" s="2" t="inlineStr">
        <is>
          <t>PriceCharting + TCGplayer</t>
        </is>
      </c>
      <c r="N1258" s="4" t="inlineStr">
        <is>
          <t>https://www.pricecharting.com/game/pokemon-30th-celebration/sylveon-ex-box</t>
        </is>
      </c>
      <c r="O1258" s="4" t="inlineStr">
        <is>
          <t>https://www.tcgplayer.com/product/704155</t>
        </is>
      </c>
    </row>
    <row r="1259">
      <c r="A1259" s="2" t="inlineStr">
        <is>
          <t>30th Celebration Tech Sticker Collection [Alolan Exeggutor]</t>
        </is>
      </c>
      <c r="B1259" s="3">
        <f>IF(I1259&lt;&gt;"",I1259,IF(J1259&lt;&gt;"",J1259,IF(K1259&lt;&gt;"",K1259,L1259)))</f>
        <v>35.07</v>
      </c>
      <c r="C1259" s="3">
        <f>MEDIAN(I1259:L1259)</f>
        <v>33.875</v>
      </c>
      <c r="D1259" s="3">
        <f>ROUND(C1259*(1-Settings!$B$2),2)</f>
        <v>23.71</v>
      </c>
      <c r="E1259" s="3">
        <f>ROUND(C1259*(1-Settings!$B$3),2)</f>
        <v>23.71</v>
      </c>
      <c r="F1259" s="2" t="inlineStr">
        <is>
          <t>Pokemon</t>
        </is>
      </c>
      <c r="G1259" s="2" t="inlineStr">
        <is>
          <t>Coffret</t>
        </is>
      </c>
      <c r="H1259" s="2" t="inlineStr">
        <is>
          <t>ME: 30th Celebration</t>
        </is>
      </c>
      <c r="I1259" s="3" t="n">
        <v>35.07</v>
      </c>
      <c r="J1259" s="3" t="n">
        <v>32.68</v>
      </c>
      <c r="K1259" s="3" t="n">
        <v>40.99</v>
      </c>
      <c r="L1259" s="3" t="n">
        <v>31</v>
      </c>
      <c r="M1259" s="2" t="inlineStr">
        <is>
          <t>PriceCharting + TCGplayer</t>
        </is>
      </c>
      <c r="N1259" s="4" t="inlineStr">
        <is>
          <t>https://www.pricecharting.com/game/pokemon-30th-celebration/tech-sticker-collection-alolan-exeggutor</t>
        </is>
      </c>
      <c r="O1259" s="4" t="inlineStr">
        <is>
          <t>https://www.tcgplayer.com/product/704145</t>
        </is>
      </c>
    </row>
    <row r="1260">
      <c r="A1260" s="2" t="inlineStr">
        <is>
          <t>30th Celebration Tech Sticker Collection [Lucario]</t>
        </is>
      </c>
      <c r="B1260" s="3">
        <f>IF(I1260&lt;&gt;"",I1260,IF(J1260&lt;&gt;"",J1260,IF(K1260&lt;&gt;"",K1260,L1260)))</f>
        <v>36.9</v>
      </c>
      <c r="C1260" s="3">
        <f>MEDIAN(I1260:L1260)</f>
        <v>35.425</v>
      </c>
      <c r="D1260" s="3">
        <f>ROUND(C1260*(1-Settings!$B$2),2)</f>
        <v>24.8</v>
      </c>
      <c r="E1260" s="3">
        <f>ROUND(C1260*(1-Settings!$B$3),2)</f>
        <v>24.8</v>
      </c>
      <c r="F1260" s="2" t="inlineStr">
        <is>
          <t>Pokemon</t>
        </is>
      </c>
      <c r="G1260" s="2" t="inlineStr">
        <is>
          <t>Coffret</t>
        </is>
      </c>
      <c r="H1260" s="2" t="inlineStr">
        <is>
          <t>ME: 30th Celebration</t>
        </is>
      </c>
      <c r="I1260" s="3" t="n">
        <v>36.9</v>
      </c>
      <c r="J1260" s="3" t="n">
        <v>33.95</v>
      </c>
      <c r="K1260" s="3" t="n">
        <v>44.12</v>
      </c>
      <c r="L1260" s="3" t="n">
        <v>1.99</v>
      </c>
      <c r="M1260" s="2" t="inlineStr">
        <is>
          <t>PriceCharting + TCGplayer</t>
        </is>
      </c>
      <c r="N1260" s="4" t="inlineStr">
        <is>
          <t>https://www.pricecharting.com/game/pokemon-30th-celebration/tech-sticker-collection-lucario</t>
        </is>
      </c>
      <c r="O1260" s="4" t="inlineStr">
        <is>
          <t>https://www.tcgplayer.com/product/704146</t>
        </is>
      </c>
    </row>
    <row r="1261">
      <c r="A1261" s="2" t="inlineStr">
        <is>
          <t>30th Celebration Tech Sticker Collection [Set of 2]</t>
        </is>
      </c>
      <c r="B1261" s="3">
        <f>IF(I1261&lt;&gt;"",I1261,IF(J1261&lt;&gt;"",J1261,IF(K1261&lt;&gt;"",K1261,L1261)))</f>
        <v>71.64</v>
      </c>
      <c r="C1261" s="3">
        <f>MEDIAN(I1261:L1261)</f>
        <v>71.64</v>
      </c>
      <c r="D1261" s="3">
        <f>ROUND(C1261*(1-Settings!$B$2),2)</f>
        <v>50.15</v>
      </c>
      <c r="E1261" s="3">
        <f>ROUND(C1261*(1-Settings!$B$3),2)</f>
        <v>50.15</v>
      </c>
      <c r="F1261" s="2" t="inlineStr">
        <is>
          <t>Pokemon</t>
        </is>
      </c>
      <c r="G1261" s="2" t="inlineStr">
        <is>
          <t>Coffret</t>
        </is>
      </c>
      <c r="H1261" s="2" t="inlineStr">
        <is>
          <t>ME: 30th Celebration</t>
        </is>
      </c>
      <c r="I1261" s="3" t="n"/>
      <c r="J1261" s="3" t="n">
        <v>71.64</v>
      </c>
      <c r="K1261" s="3" t="n">
        <v>75</v>
      </c>
      <c r="L1261" s="3" t="n">
        <v>67</v>
      </c>
      <c r="M1261" s="2" t="inlineStr">
        <is>
          <t>TCGplayer</t>
        </is>
      </c>
      <c r="O1261" s="4" t="inlineStr">
        <is>
          <t>https://www.tcgplayer.com/product/704147</t>
        </is>
      </c>
    </row>
    <row r="1262">
      <c r="A1262" s="2" t="inlineStr">
        <is>
          <t>30th Celebration Ultra-Premium Collection [Day]</t>
        </is>
      </c>
      <c r="B1262" s="3">
        <f>IF(I1262&lt;&gt;"",I1262,IF(J1262&lt;&gt;"",J1262,IF(K1262&lt;&gt;"",K1262,L1262)))</f>
        <v>564.53</v>
      </c>
      <c r="C1262" s="3">
        <f>MEDIAN(I1262:L1262)</f>
        <v>563.99</v>
      </c>
      <c r="D1262" s="3">
        <f>ROUND(C1262*(1-Settings!$B$2),2)</f>
        <v>394.79</v>
      </c>
      <c r="E1262" s="3">
        <f>ROUND(C1262*(1-Settings!$B$3),2)</f>
        <v>394.79</v>
      </c>
      <c r="F1262" s="2" t="inlineStr">
        <is>
          <t>Pokemon</t>
        </is>
      </c>
      <c r="G1262" s="2" t="inlineStr">
        <is>
          <t>Coffret</t>
        </is>
      </c>
      <c r="H1262" s="2" t="inlineStr">
        <is>
          <t>ME: 30th Celebration</t>
        </is>
      </c>
      <c r="I1262" s="3" t="n">
        <v>564.53</v>
      </c>
      <c r="J1262" s="3" t="n">
        <v>561.55</v>
      </c>
      <c r="K1262" s="3" t="n">
        <v>582.12</v>
      </c>
      <c r="L1262" s="3" t="n">
        <v>563.45</v>
      </c>
      <c r="M1262" s="2" t="inlineStr">
        <is>
          <t>PriceCharting + TCGplayer</t>
        </is>
      </c>
      <c r="N1262" s="4" t="inlineStr">
        <is>
          <t>https://www.pricecharting.com/game/pokemon-30th-celebration/ultra-premium-collection-day</t>
        </is>
      </c>
      <c r="O1262" s="4" t="inlineStr">
        <is>
          <t>https://www.tcgplayer.com/product/704190</t>
        </is>
      </c>
    </row>
    <row r="1263">
      <c r="A1263" s="2" t="inlineStr">
        <is>
          <t>30th Celebration Ultra-Premium Collection [Night]</t>
        </is>
      </c>
      <c r="B1263" s="3">
        <f>IF(I1263&lt;&gt;"",I1263,IF(J1263&lt;&gt;"",J1263,IF(K1263&lt;&gt;"",K1263,L1263)))</f>
        <v>672.68</v>
      </c>
      <c r="C1263" s="3">
        <f>MEDIAN(I1263:L1263)</f>
        <v>678.76</v>
      </c>
      <c r="D1263" s="3">
        <f>ROUND(C1263*(1-Settings!$B$2),2)</f>
        <v>475.13</v>
      </c>
      <c r="E1263" s="3">
        <f>ROUND(C1263*(1-Settings!$B$3),2)</f>
        <v>475.13</v>
      </c>
      <c r="F1263" s="2" t="inlineStr">
        <is>
          <t>Pokemon</t>
        </is>
      </c>
      <c r="G1263" s="2" t="inlineStr">
        <is>
          <t>Coffret</t>
        </is>
      </c>
      <c r="H1263" s="2" t="inlineStr">
        <is>
          <t>ME: 30th Celebration</t>
        </is>
      </c>
      <c r="I1263" s="3" t="n">
        <v>672.6799999999999</v>
      </c>
      <c r="J1263" s="3" t="n">
        <v>690.23</v>
      </c>
      <c r="K1263" s="3" t="n">
        <v>684.84</v>
      </c>
      <c r="L1263" s="3" t="n">
        <v>649.9400000000001</v>
      </c>
      <c r="M1263" s="2" t="inlineStr">
        <is>
          <t>PriceCharting + TCGplayer</t>
        </is>
      </c>
      <c r="N1263" s="4" t="inlineStr">
        <is>
          <t>https://www.pricecharting.com/game/pokemon-30th-celebration/ultra-premium-collection-night</t>
        </is>
      </c>
      <c r="O1263" s="4" t="inlineStr">
        <is>
          <t>https://www.tcgplayer.com/product/704191</t>
        </is>
      </c>
    </row>
    <row r="1264">
      <c r="A1264" s="2" t="inlineStr">
        <is>
          <t>Ascended Heroes Booster Bundle</t>
        </is>
      </c>
      <c r="B1264" s="3">
        <f>IF(I1264&lt;&gt;"",I1264,IF(J1264&lt;&gt;"",J1264,IF(K1264&lt;&gt;"",K1264,L1264)))</f>
        <v>82.5</v>
      </c>
      <c r="C1264" s="3">
        <f>MEDIAN(I1264:L1264)</f>
        <v>81.83</v>
      </c>
      <c r="D1264" s="3">
        <f>ROUND(C1264*(1-Settings!$B$2),2)</f>
        <v>57.28</v>
      </c>
      <c r="E1264" s="3">
        <f>ROUND(C1264*(1-Settings!$B$3),2)</f>
        <v>57.28</v>
      </c>
      <c r="F1264" s="2" t="inlineStr">
        <is>
          <t>Pokemon</t>
        </is>
      </c>
      <c r="G1264" s="2" t="inlineStr">
        <is>
          <t>Coffret</t>
        </is>
      </c>
      <c r="H1264" s="2" t="inlineStr">
        <is>
          <t>ME: Ascended Heroes</t>
        </is>
      </c>
      <c r="I1264" s="3" t="n">
        <v>82.5</v>
      </c>
      <c r="J1264" s="3" t="n">
        <v>81.16</v>
      </c>
      <c r="K1264" s="3" t="n">
        <v>90</v>
      </c>
      <c r="L1264" s="3" t="n">
        <v>74.51000000000001</v>
      </c>
      <c r="M1264" s="2" t="inlineStr">
        <is>
          <t>PriceCharting + TCGplayer</t>
        </is>
      </c>
      <c r="N1264" s="4" t="inlineStr">
        <is>
          <t>https://www.pricecharting.com/game/pokemon-ascended-heroes/booster-bundle</t>
        </is>
      </c>
      <c r="O1264" s="4" t="inlineStr">
        <is>
          <t>https://www.tcgplayer.com/product/668541</t>
        </is>
      </c>
    </row>
    <row r="1265">
      <c r="A1265" s="2" t="inlineStr">
        <is>
          <t>Ascended Heroes Elite Trainer Box</t>
        </is>
      </c>
      <c r="B1265" s="3">
        <f>IF(I1265&lt;&gt;"",I1265,IF(J1265&lt;&gt;"",J1265,IF(K1265&lt;&gt;"",K1265,L1265)))</f>
        <v>150.87</v>
      </c>
      <c r="C1265" s="3">
        <f>MEDIAN(I1265:L1265)</f>
        <v>149.345</v>
      </c>
      <c r="D1265" s="3">
        <f>ROUND(C1265*(1-Settings!$B$2),2)</f>
        <v>104.54</v>
      </c>
      <c r="E1265" s="3">
        <f>ROUND(C1265*(1-Settings!$B$3),2)</f>
        <v>104.54</v>
      </c>
      <c r="F1265" s="2" t="inlineStr">
        <is>
          <t>Pokemon</t>
        </is>
      </c>
      <c r="G1265" s="2" t="inlineStr">
        <is>
          <t>Coffret</t>
        </is>
      </c>
      <c r="H1265" s="2" t="inlineStr">
        <is>
          <t>ME: Ascended Heroes</t>
        </is>
      </c>
      <c r="I1265" s="3" t="n">
        <v>150.87</v>
      </c>
      <c r="J1265" s="3" t="n">
        <v>147.82</v>
      </c>
      <c r="K1265" s="3" t="n">
        <v>179.34</v>
      </c>
      <c r="L1265" s="3" t="n">
        <v>136.01</v>
      </c>
      <c r="M1265" s="2" t="inlineStr">
        <is>
          <t>PriceCharting + TCGplayer</t>
        </is>
      </c>
      <c r="N1265" s="4" t="inlineStr">
        <is>
          <t>https://www.pricecharting.com/game/pokemon-ascended-heroes/elite-trainer-box</t>
        </is>
      </c>
      <c r="O1265" s="4" t="inlineStr">
        <is>
          <t>https://www.tcgplayer.com/product/668496</t>
        </is>
      </c>
    </row>
    <row r="1266">
      <c r="A1266" s="2" t="inlineStr">
        <is>
          <t>Ascended Heroes First Partners Deluxe Pin Collection</t>
        </is>
      </c>
      <c r="B1266" s="3">
        <f>IF(I1266&lt;&gt;"",I1266,IF(J1266&lt;&gt;"",J1266,IF(K1266&lt;&gt;"",K1266,L1266)))</f>
        <v>65.0</v>
      </c>
      <c r="C1266" s="3">
        <f>MEDIAN(I1266:L1266)</f>
        <v>65.965</v>
      </c>
      <c r="D1266" s="3">
        <f>ROUND(C1266*(1-Settings!$B$2),2)</f>
        <v>46.18</v>
      </c>
      <c r="E1266" s="3">
        <f>ROUND(C1266*(1-Settings!$B$3),2)</f>
        <v>46.18</v>
      </c>
      <c r="F1266" s="2" t="inlineStr">
        <is>
          <t>Pokemon</t>
        </is>
      </c>
      <c r="G1266" s="2" t="inlineStr">
        <is>
          <t>Coffret</t>
        </is>
      </c>
      <c r="H1266" s="2" t="inlineStr">
        <is>
          <t>ME: Ascended Heroes</t>
        </is>
      </c>
      <c r="I1266" s="3" t="n">
        <v>65</v>
      </c>
      <c r="J1266" s="3" t="n">
        <v>66.93000000000001</v>
      </c>
      <c r="K1266" s="3" t="n">
        <v>70</v>
      </c>
      <c r="L1266" s="3" t="n">
        <v>1</v>
      </c>
      <c r="M1266" s="2" t="inlineStr">
        <is>
          <t>PriceCharting + TCGplayer</t>
        </is>
      </c>
      <c r="N1266" s="4" t="inlineStr">
        <is>
          <t>https://www.pricecharting.com/game/pokemon-ascended-heroes/first-partners-deluxe-pin-collection</t>
        </is>
      </c>
      <c r="O1266" s="4" t="inlineStr">
        <is>
          <t>https://www.tcgplayer.com/product/672391</t>
        </is>
      </c>
    </row>
    <row r="1267">
      <c r="A1267" s="2" t="inlineStr">
        <is>
          <t>Ascended Heroes Focused Fighters Premium Collection (Sam's Club)</t>
        </is>
      </c>
      <c r="B1267" s="3">
        <f>IF(I1267&lt;&gt;"",I1267,IF(J1267&lt;&gt;"",J1267,IF(K1267&lt;&gt;"",K1267,L1267)))</f>
        <v>162.85</v>
      </c>
      <c r="C1267" s="3">
        <f>MEDIAN(I1267:L1267)</f>
        <v>162.85</v>
      </c>
      <c r="D1267" s="3">
        <f>ROUND(C1267*(1-Settings!$B$2),2)</f>
        <v>114.0</v>
      </c>
      <c r="E1267" s="3">
        <f>ROUND(C1267*(1-Settings!$B$3),2)</f>
        <v>114.0</v>
      </c>
      <c r="F1267" s="2" t="inlineStr">
        <is>
          <t>Pokemon</t>
        </is>
      </c>
      <c r="G1267" s="2" t="inlineStr">
        <is>
          <t>Coffret</t>
        </is>
      </c>
      <c r="H1267" s="2" t="inlineStr">
        <is>
          <t>ME: Ascended Heroes</t>
        </is>
      </c>
      <c r="I1267" s="3" t="n"/>
      <c r="J1267" s="3" t="n">
        <v>162.85</v>
      </c>
      <c r="K1267" s="3" t="n">
        <v>194.99</v>
      </c>
      <c r="L1267" s="3" t="n">
        <v>1.99</v>
      </c>
      <c r="M1267" s="2" t="inlineStr">
        <is>
          <t>TCGplayer</t>
        </is>
      </c>
      <c r="O1267" s="4" t="inlineStr">
        <is>
          <t>https://www.tcgplayer.com/product/706959</t>
        </is>
      </c>
    </row>
    <row r="1268">
      <c r="A1268" s="2" t="inlineStr">
        <is>
          <t>Ascended Heroes Mega Emboar ex Box</t>
        </is>
      </c>
      <c r="B1268" s="3">
        <f>IF(I1268&lt;&gt;"",I1268,IF(J1268&lt;&gt;"",J1268,IF(K1268&lt;&gt;"",K1268,L1268)))</f>
        <v>54.11</v>
      </c>
      <c r="C1268" s="3">
        <f>MEDIAN(I1268:L1268)</f>
        <v>54.995000000000005</v>
      </c>
      <c r="D1268" s="3">
        <f>ROUND(C1268*(1-Settings!$B$2),2)</f>
        <v>38.5</v>
      </c>
      <c r="E1268" s="3">
        <f>ROUND(C1268*(1-Settings!$B$3),2)</f>
        <v>38.5</v>
      </c>
      <c r="F1268" s="2" t="inlineStr">
        <is>
          <t>Pokemon</t>
        </is>
      </c>
      <c r="G1268" s="2" t="inlineStr">
        <is>
          <t>Coffret</t>
        </is>
      </c>
      <c r="H1268" s="2" t="inlineStr">
        <is>
          <t>ME: Ascended Heroes</t>
        </is>
      </c>
      <c r="I1268" s="3" t="n">
        <v>54.11</v>
      </c>
      <c r="J1268" s="3" t="n">
        <v>55.88</v>
      </c>
      <c r="K1268" s="3" t="n">
        <v>59.9</v>
      </c>
      <c r="L1268" s="3" t="n">
        <v>6.99</v>
      </c>
      <c r="M1268" s="2" t="inlineStr">
        <is>
          <t>PriceCharting + TCGplayer</t>
        </is>
      </c>
      <c r="N1268" s="4" t="inlineStr">
        <is>
          <t>https://www.pricecharting.com/game/pokemon-ascended-heroes/mega-emboar-ex-box</t>
        </is>
      </c>
      <c r="O1268" s="4" t="inlineStr">
        <is>
          <t>https://www.tcgplayer.com/product/672734</t>
        </is>
      </c>
    </row>
    <row r="1269">
      <c r="A1269" s="2" t="inlineStr">
        <is>
          <t>Ascended Heroes Mega Feraligatr ex Box</t>
        </is>
      </c>
      <c r="B1269" s="3">
        <f>IF(I1269&lt;&gt;"",I1269,IF(J1269&lt;&gt;"",J1269,IF(K1269&lt;&gt;"",K1269,L1269)))</f>
        <v>56.45</v>
      </c>
      <c r="C1269" s="3">
        <f>MEDIAN(I1269:L1269)</f>
        <v>56.86</v>
      </c>
      <c r="D1269" s="3">
        <f>ROUND(C1269*(1-Settings!$B$2),2)</f>
        <v>39.8</v>
      </c>
      <c r="E1269" s="3">
        <f>ROUND(C1269*(1-Settings!$B$3),2)</f>
        <v>39.8</v>
      </c>
      <c r="F1269" s="2" t="inlineStr">
        <is>
          <t>Pokemon</t>
        </is>
      </c>
      <c r="G1269" s="2" t="inlineStr">
        <is>
          <t>Coffret</t>
        </is>
      </c>
      <c r="H1269" s="2" t="inlineStr">
        <is>
          <t>ME: Ascended Heroes</t>
        </is>
      </c>
      <c r="I1269" s="3" t="n">
        <v>56.45</v>
      </c>
      <c r="J1269" s="3" t="n">
        <v>57.27</v>
      </c>
      <c r="K1269" s="3" t="n">
        <v>60</v>
      </c>
      <c r="L1269" s="3" t="n">
        <v>46.99</v>
      </c>
      <c r="M1269" s="2" t="inlineStr">
        <is>
          <t>PriceCharting + TCGplayer</t>
        </is>
      </c>
      <c r="N1269" s="4" t="inlineStr">
        <is>
          <t>https://www.pricecharting.com/game/pokemon-ascended-heroes/mega-feraligatr-ex-box</t>
        </is>
      </c>
      <c r="O1269" s="4" t="inlineStr">
        <is>
          <t>https://www.tcgplayer.com/product/672735</t>
        </is>
      </c>
    </row>
    <row r="1270">
      <c r="A1270" s="2" t="inlineStr">
        <is>
          <t>Ascended Heroes Mega Meganium ex Box</t>
        </is>
      </c>
      <c r="B1270" s="3">
        <f>IF(I1270&lt;&gt;"",I1270,IF(J1270&lt;&gt;"",J1270,IF(K1270&lt;&gt;"",K1270,L1270)))</f>
        <v>55.41</v>
      </c>
      <c r="C1270" s="3">
        <f>MEDIAN(I1270:L1270)</f>
        <v>55.739999999999995</v>
      </c>
      <c r="D1270" s="3">
        <f>ROUND(C1270*(1-Settings!$B$2),2)</f>
        <v>39.02</v>
      </c>
      <c r="E1270" s="3">
        <f>ROUND(C1270*(1-Settings!$B$3),2)</f>
        <v>39.02</v>
      </c>
      <c r="F1270" s="2" t="inlineStr">
        <is>
          <t>Pokemon</t>
        </is>
      </c>
      <c r="G1270" s="2" t="inlineStr">
        <is>
          <t>Coffret</t>
        </is>
      </c>
      <c r="H1270" s="2" t="inlineStr">
        <is>
          <t>ME: Ascended Heroes</t>
        </is>
      </c>
      <c r="I1270" s="3" t="n">
        <v>55.41</v>
      </c>
      <c r="J1270" s="3" t="n">
        <v>56.07</v>
      </c>
      <c r="K1270" s="3" t="n">
        <v>60</v>
      </c>
      <c r="L1270" s="3" t="n">
        <v>6.99</v>
      </c>
      <c r="M1270" s="2" t="inlineStr">
        <is>
          <t>PriceCharting + TCGplayer</t>
        </is>
      </c>
      <c r="N1270" s="4" t="inlineStr">
        <is>
          <t>https://www.pricecharting.com/game/pokemon-ascended-heroes/mega-meganium-ex-box</t>
        </is>
      </c>
      <c r="O1270" s="4" t="inlineStr">
        <is>
          <t>https://www.tcgplayer.com/product/672733</t>
        </is>
      </c>
    </row>
    <row r="1271">
      <c r="A1271" s="2" t="inlineStr">
        <is>
          <t>Ascended Heroes Mini Tin [Clefairy &amp; Chikorita]</t>
        </is>
      </c>
      <c r="B1271" s="3">
        <f>IF(I1271&lt;&gt;"",I1271,IF(J1271&lt;&gt;"",J1271,IF(K1271&lt;&gt;"",K1271,L1271)))</f>
        <v>30.08</v>
      </c>
      <c r="C1271" s="3">
        <f>MEDIAN(I1271:L1271)</f>
        <v>31.99</v>
      </c>
      <c r="D1271" s="3">
        <f>ROUND(C1271*(1-Settings!$B$2),2)</f>
        <v>22.39</v>
      </c>
      <c r="E1271" s="3">
        <f>ROUND(C1271*(1-Settings!$B$3),2)</f>
        <v>22.39</v>
      </c>
      <c r="F1271" s="2" t="inlineStr">
        <is>
          <t>Pokemon</t>
        </is>
      </c>
      <c r="G1271" s="2" t="inlineStr">
        <is>
          <t>Coffret</t>
        </is>
      </c>
      <c r="H1271" s="2" t="inlineStr">
        <is>
          <t>ME: Ascended Heroes</t>
        </is>
      </c>
      <c r="I1271" s="3" t="n">
        <v>30.08</v>
      </c>
      <c r="J1271" s="3" t="n">
        <v>34.98</v>
      </c>
      <c r="K1271" s="3" t="n">
        <v>33.9</v>
      </c>
      <c r="L1271" s="3" t="n">
        <v>25</v>
      </c>
      <c r="M1271" s="2" t="inlineStr">
        <is>
          <t>PriceCharting + TCGplayer</t>
        </is>
      </c>
      <c r="N1271" s="4" t="inlineStr">
        <is>
          <t>https://www.pricecharting.com/game/pokemon-ascended-heroes/mini-tin-clefairy-&amp;-chikorita</t>
        </is>
      </c>
      <c r="O1271" s="4" t="inlineStr">
        <is>
          <t>https://www.tcgplayer.com/product/668535</t>
        </is>
      </c>
    </row>
    <row r="1272">
      <c r="A1272" s="2" t="inlineStr">
        <is>
          <t>Ascended Heroes Mini Tin [Pikachu &amp; Tepig]</t>
        </is>
      </c>
      <c r="B1272" s="3">
        <f>IF(I1272&lt;&gt;"",I1272,IF(J1272&lt;&gt;"",J1272,IF(K1272&lt;&gt;"",K1272,L1272)))</f>
        <v>31.81</v>
      </c>
      <c r="C1272" s="3">
        <f>MEDIAN(I1272:L1272)</f>
        <v>32.765</v>
      </c>
      <c r="D1272" s="3">
        <f>ROUND(C1272*(1-Settings!$B$2),2)</f>
        <v>22.94</v>
      </c>
      <c r="E1272" s="3">
        <f>ROUND(C1272*(1-Settings!$B$3),2)</f>
        <v>22.94</v>
      </c>
      <c r="F1272" s="2" t="inlineStr">
        <is>
          <t>Pokemon</t>
        </is>
      </c>
      <c r="G1272" s="2" t="inlineStr">
        <is>
          <t>Coffret</t>
        </is>
      </c>
      <c r="H1272" s="2" t="inlineStr">
        <is>
          <t>ME: Ascended Heroes</t>
        </is>
      </c>
      <c r="I1272" s="3" t="n">
        <v>31.81</v>
      </c>
      <c r="J1272" s="3" t="n">
        <v>34.99</v>
      </c>
      <c r="K1272" s="3" t="n">
        <v>33.72</v>
      </c>
      <c r="L1272" s="3" t="n">
        <v>8.99</v>
      </c>
      <c r="M1272" s="2" t="inlineStr">
        <is>
          <t>PriceCharting + TCGplayer</t>
        </is>
      </c>
      <c r="N1272" s="4" t="inlineStr">
        <is>
          <t>https://www.pricecharting.com/game/pokemon-ascended-heroes/mini-tin-pikachu-&amp;-tepig</t>
        </is>
      </c>
      <c r="O1272" s="4" t="inlineStr">
        <is>
          <t>https://www.tcgplayer.com/product/668531</t>
        </is>
      </c>
    </row>
    <row r="1273">
      <c r="A1273" s="2" t="inlineStr">
        <is>
          <t>Ascended Heroes Mini Tin [Riolu &amp; Darumaka]</t>
        </is>
      </c>
      <c r="B1273" s="3">
        <f>IF(I1273&lt;&gt;"",I1273,IF(J1273&lt;&gt;"",J1273,IF(K1273&lt;&gt;"",K1273,L1273)))</f>
        <v>30.99</v>
      </c>
      <c r="C1273" s="3">
        <f>MEDIAN(I1273:L1273)</f>
        <v>31.49</v>
      </c>
      <c r="D1273" s="3">
        <f>ROUND(C1273*(1-Settings!$B$2),2)</f>
        <v>22.04</v>
      </c>
      <c r="E1273" s="3">
        <f>ROUND(C1273*(1-Settings!$B$3),2)</f>
        <v>22.04</v>
      </c>
      <c r="F1273" s="2" t="inlineStr">
        <is>
          <t>Pokemon</t>
        </is>
      </c>
      <c r="G1273" s="2" t="inlineStr">
        <is>
          <t>Coffret</t>
        </is>
      </c>
      <c r="H1273" s="2" t="inlineStr">
        <is>
          <t>ME: Ascended Heroes</t>
        </is>
      </c>
      <c r="I1273" s="3" t="n">
        <v>30.99</v>
      </c>
      <c r="J1273" s="3" t="n">
        <v>31.99</v>
      </c>
      <c r="K1273" s="3" t="n">
        <v>32.44</v>
      </c>
      <c r="L1273" s="3" t="n">
        <v>28</v>
      </c>
      <c r="M1273" s="2" t="inlineStr">
        <is>
          <t>PriceCharting + TCGplayer</t>
        </is>
      </c>
      <c r="N1273" s="4" t="inlineStr">
        <is>
          <t>https://www.pricecharting.com/game/pokemon-ascended-heroes/mini-tin-riolu-&amp;-darumaka</t>
        </is>
      </c>
      <c r="O1273" s="4" t="inlineStr">
        <is>
          <t>https://www.tcgplayer.com/product/668532</t>
        </is>
      </c>
    </row>
    <row r="1274">
      <c r="A1274" s="2" t="inlineStr">
        <is>
          <t>Ascended Heroes Mini Tin [Togepi &amp; Totodile]</t>
        </is>
      </c>
      <c r="B1274" s="3">
        <f>IF(I1274&lt;&gt;"",I1274,IF(J1274&lt;&gt;"",J1274,IF(K1274&lt;&gt;"",K1274,L1274)))</f>
        <v>31.85</v>
      </c>
      <c r="C1274" s="3">
        <f>MEDIAN(I1274:L1274)</f>
        <v>33.92</v>
      </c>
      <c r="D1274" s="3">
        <f>ROUND(C1274*(1-Settings!$B$2),2)</f>
        <v>23.74</v>
      </c>
      <c r="E1274" s="3">
        <f>ROUND(C1274*(1-Settings!$B$3),2)</f>
        <v>23.74</v>
      </c>
      <c r="F1274" s="2" t="inlineStr">
        <is>
          <t>Pokemon</t>
        </is>
      </c>
      <c r="G1274" s="2" t="inlineStr">
        <is>
          <t>Coffret</t>
        </is>
      </c>
      <c r="H1274" s="2" t="inlineStr">
        <is>
          <t>ME: Ascended Heroes</t>
        </is>
      </c>
      <c r="I1274" s="3" t="n">
        <v>31.85</v>
      </c>
      <c r="J1274" s="3" t="n">
        <v>36.11</v>
      </c>
      <c r="K1274" s="3" t="n">
        <v>35.99</v>
      </c>
      <c r="L1274" s="3" t="n">
        <v>25</v>
      </c>
      <c r="M1274" s="2" t="inlineStr">
        <is>
          <t>PriceCharting + TCGplayer</t>
        </is>
      </c>
      <c r="N1274" s="4" t="inlineStr">
        <is>
          <t>https://www.pricecharting.com/game/pokemon-ascended-heroes/mini-tin-togepi-&amp;-totodile</t>
        </is>
      </c>
      <c r="O1274" s="4" t="inlineStr">
        <is>
          <t>https://www.tcgplayer.com/product/668534</t>
        </is>
      </c>
    </row>
    <row r="1275">
      <c r="A1275" s="2" t="inlineStr">
        <is>
          <t>Ascended Heroes Mini Tin [Zorua &amp; Cramorant]</t>
        </is>
      </c>
      <c r="B1275" s="3">
        <f>IF(I1275&lt;&gt;"",I1275,IF(J1275&lt;&gt;"",J1275,IF(K1275&lt;&gt;"",K1275,L1275)))</f>
        <v>31.21</v>
      </c>
      <c r="C1275" s="3">
        <f>MEDIAN(I1275:L1275)</f>
        <v>32.105000000000004</v>
      </c>
      <c r="D1275" s="3">
        <f>ROUND(C1275*(1-Settings!$B$2),2)</f>
        <v>22.47</v>
      </c>
      <c r="E1275" s="3">
        <f>ROUND(C1275*(1-Settings!$B$3),2)</f>
        <v>22.47</v>
      </c>
      <c r="F1275" s="2" t="inlineStr">
        <is>
          <t>Pokemon</t>
        </is>
      </c>
      <c r="G1275" s="2" t="inlineStr">
        <is>
          <t>Coffret</t>
        </is>
      </c>
      <c r="H1275" s="2" t="inlineStr">
        <is>
          <t>ME: Ascended Heroes</t>
        </is>
      </c>
      <c r="I1275" s="3" t="n">
        <v>31.21</v>
      </c>
      <c r="J1275" s="3" t="n">
        <v>34.17</v>
      </c>
      <c r="K1275" s="3" t="n">
        <v>33</v>
      </c>
      <c r="L1275" s="3" t="n">
        <v>24.01</v>
      </c>
      <c r="M1275" s="2" t="inlineStr">
        <is>
          <t>PriceCharting + TCGplayer</t>
        </is>
      </c>
      <c r="N1275" s="4" t="inlineStr">
        <is>
          <t>https://www.pricecharting.com/game/pokemon-ascended-heroes/mini-tin-zorua-&amp;-cramorant</t>
        </is>
      </c>
      <c r="O1275" s="4" t="inlineStr">
        <is>
          <t>https://www.tcgplayer.com/product/668533</t>
        </is>
      </c>
    </row>
    <row r="1276">
      <c r="A1276" s="2" t="inlineStr">
        <is>
          <t>Ascended Heroes Mini Tins 5-Pack</t>
        </is>
      </c>
      <c r="B1276" s="3">
        <f>IF(I1276&lt;&gt;"",I1276,IF(J1276&lt;&gt;"",J1276,IF(K1276&lt;&gt;"",K1276,L1276)))</f>
        <v>157.86</v>
      </c>
      <c r="C1276" s="3">
        <f>MEDIAN(I1276:L1276)</f>
        <v>152.74</v>
      </c>
      <c r="D1276" s="3">
        <f>ROUND(C1276*(1-Settings!$B$2),2)</f>
        <v>106.92</v>
      </c>
      <c r="E1276" s="3">
        <f>ROUND(C1276*(1-Settings!$B$3),2)</f>
        <v>106.92</v>
      </c>
      <c r="F1276" s="2" t="inlineStr">
        <is>
          <t>Pokemon</t>
        </is>
      </c>
      <c r="G1276" s="2" t="inlineStr">
        <is>
          <t>Coffret</t>
        </is>
      </c>
      <c r="H1276" s="2" t="inlineStr">
        <is>
          <t>ME: Ascended Heroes</t>
        </is>
      </c>
      <c r="I1276" s="3" t="n"/>
      <c r="J1276" s="3" t="n">
        <v>157.86</v>
      </c>
      <c r="K1276" s="3" t="n">
        <v>152.74</v>
      </c>
      <c r="L1276" s="3" t="n">
        <v>125</v>
      </c>
      <c r="M1276" s="2" t="inlineStr">
        <is>
          <t>TCGplayer</t>
        </is>
      </c>
      <c r="O1276" s="4" t="inlineStr">
        <is>
          <t>https://www.tcgplayer.com/product/668530</t>
        </is>
      </c>
    </row>
    <row r="1277">
      <c r="A1277" s="2" t="inlineStr">
        <is>
          <t>Ascended Heroes Pokemon Center Elite Trainer Box (Exclusive)</t>
        </is>
      </c>
      <c r="B1277" s="3">
        <f>IF(I1277&lt;&gt;"",I1277,IF(J1277&lt;&gt;"",J1277,IF(K1277&lt;&gt;"",K1277,L1277)))</f>
        <v>334.66</v>
      </c>
      <c r="C1277" s="3">
        <f>MEDIAN(I1277:L1277)</f>
        <v>334.66</v>
      </c>
      <c r="D1277" s="3">
        <f>ROUND(C1277*(1-Settings!$B$2),2)</f>
        <v>234.26</v>
      </c>
      <c r="E1277" s="3">
        <f>ROUND(C1277*(1-Settings!$B$3),2)</f>
        <v>234.26</v>
      </c>
      <c r="F1277" s="2" t="inlineStr">
        <is>
          <t>Pokemon</t>
        </is>
      </c>
      <c r="G1277" s="2" t="inlineStr">
        <is>
          <t>Coffret</t>
        </is>
      </c>
      <c r="H1277" s="2" t="inlineStr">
        <is>
          <t>ME: Ascended Heroes</t>
        </is>
      </c>
      <c r="I1277" s="3" t="n"/>
      <c r="J1277" s="3" t="n">
        <v>334.66</v>
      </c>
      <c r="K1277" s="3" t="n">
        <v>453</v>
      </c>
      <c r="L1277" s="3" t="n">
        <v>315.01</v>
      </c>
      <c r="M1277" s="2" t="inlineStr">
        <is>
          <t>TCGplayer</t>
        </is>
      </c>
      <c r="O1277" s="4" t="inlineStr">
        <is>
          <t>https://www.tcgplayer.com/product/668497</t>
        </is>
      </c>
    </row>
    <row r="1278">
      <c r="A1278" s="2" t="inlineStr">
        <is>
          <t>Ascended Heroes Tin [Mega Emboar ex]</t>
        </is>
      </c>
      <c r="B1278" s="3">
        <f>IF(I1278&lt;&gt;"",I1278,IF(J1278&lt;&gt;"",J1278,IF(K1278&lt;&gt;"",K1278,L1278)))</f>
        <v>43.01</v>
      </c>
      <c r="C1278" s="3">
        <f>MEDIAN(I1278:L1278)</f>
        <v>43.01</v>
      </c>
      <c r="D1278" s="3">
        <f>ROUND(C1278*(1-Settings!$B$2),2)</f>
        <v>30.11</v>
      </c>
      <c r="E1278" s="3">
        <f>ROUND(C1278*(1-Settings!$B$3),2)</f>
        <v>30.11</v>
      </c>
      <c r="F1278" s="2" t="inlineStr">
        <is>
          <t>Pokemon</t>
        </is>
      </c>
      <c r="G1278" s="2" t="inlineStr">
        <is>
          <t>Coffret</t>
        </is>
      </c>
      <c r="H1278" s="2" t="inlineStr">
        <is>
          <t>ME: Ascended Heroes</t>
        </is>
      </c>
      <c r="I1278" s="3" t="n"/>
      <c r="J1278" s="3" t="n">
        <v>43.01</v>
      </c>
      <c r="K1278" s="3" t="n">
        <v>49.64</v>
      </c>
      <c r="L1278" s="3" t="n">
        <v>12.99</v>
      </c>
      <c r="M1278" s="2" t="inlineStr">
        <is>
          <t>TCGplayer</t>
        </is>
      </c>
      <c r="O1278" s="4" t="inlineStr">
        <is>
          <t>https://www.tcgplayer.com/product/702496</t>
        </is>
      </c>
    </row>
    <row r="1279">
      <c r="A1279" s="2" t="inlineStr">
        <is>
          <t>Ascended Heroes Tin [Mega Feraligatr ex]</t>
        </is>
      </c>
      <c r="B1279" s="3">
        <f>IF(I1279&lt;&gt;"",I1279,IF(J1279&lt;&gt;"",J1279,IF(K1279&lt;&gt;"",K1279,L1279)))</f>
        <v>44.48</v>
      </c>
      <c r="C1279" s="3">
        <f>MEDIAN(I1279:L1279)</f>
        <v>44.48</v>
      </c>
      <c r="D1279" s="3">
        <f>ROUND(C1279*(1-Settings!$B$2),2)</f>
        <v>31.14</v>
      </c>
      <c r="E1279" s="3">
        <f>ROUND(C1279*(1-Settings!$B$3),2)</f>
        <v>31.14</v>
      </c>
      <c r="F1279" s="2" t="inlineStr">
        <is>
          <t>Pokemon</t>
        </is>
      </c>
      <c r="G1279" s="2" t="inlineStr">
        <is>
          <t>Coffret</t>
        </is>
      </c>
      <c r="H1279" s="2" t="inlineStr">
        <is>
          <t>ME: Ascended Heroes</t>
        </is>
      </c>
      <c r="I1279" s="3" t="n"/>
      <c r="J1279" s="3" t="n">
        <v>44.48</v>
      </c>
      <c r="K1279" s="3" t="n">
        <v>50</v>
      </c>
      <c r="L1279" s="3" t="n">
        <v>40</v>
      </c>
      <c r="M1279" s="2" t="inlineStr">
        <is>
          <t>TCGplayer</t>
        </is>
      </c>
      <c r="O1279" s="4" t="inlineStr">
        <is>
          <t>https://www.tcgplayer.com/product/702497</t>
        </is>
      </c>
    </row>
    <row r="1280">
      <c r="A1280" s="2" t="inlineStr">
        <is>
          <t>Ascended Heroes Tin [Mega Meganium ex]</t>
        </is>
      </c>
      <c r="B1280" s="3">
        <f>IF(I1280&lt;&gt;"",I1280,IF(J1280&lt;&gt;"",J1280,IF(K1280&lt;&gt;"",K1280,L1280)))</f>
        <v>43.93</v>
      </c>
      <c r="C1280" s="3">
        <f>MEDIAN(I1280:L1280)</f>
        <v>43.93</v>
      </c>
      <c r="D1280" s="3">
        <f>ROUND(C1280*(1-Settings!$B$2),2)</f>
        <v>30.75</v>
      </c>
      <c r="E1280" s="3">
        <f>ROUND(C1280*(1-Settings!$B$3),2)</f>
        <v>30.75</v>
      </c>
      <c r="F1280" s="2" t="inlineStr">
        <is>
          <t>Pokemon</t>
        </is>
      </c>
      <c r="G1280" s="2" t="inlineStr">
        <is>
          <t>Coffret</t>
        </is>
      </c>
      <c r="H1280" s="2" t="inlineStr">
        <is>
          <t>ME: Ascended Heroes</t>
        </is>
      </c>
      <c r="I1280" s="3" t="n"/>
      <c r="J1280" s="3" t="n">
        <v>43.93</v>
      </c>
      <c r="K1280" s="3" t="n">
        <v>50</v>
      </c>
      <c r="L1280" s="3" t="n">
        <v>40</v>
      </c>
      <c r="M1280" s="2" t="inlineStr">
        <is>
          <t>TCGplayer</t>
        </is>
      </c>
      <c r="O1280" s="4" t="inlineStr">
        <is>
          <t>https://www.tcgplayer.com/product/702498</t>
        </is>
      </c>
    </row>
    <row r="1281">
      <c r="A1281" s="2" t="inlineStr">
        <is>
          <t>Ascended Heroes Tin [Set of 3]</t>
        </is>
      </c>
      <c r="B1281" s="3">
        <f>IF(I1281&lt;&gt;"",I1281,IF(J1281&lt;&gt;"",J1281,IF(K1281&lt;&gt;"",K1281,L1281)))</f>
        <v>141.88</v>
      </c>
      <c r="C1281" s="3">
        <f>MEDIAN(I1281:L1281)</f>
        <v>141.88</v>
      </c>
      <c r="D1281" s="3">
        <f>ROUND(C1281*(1-Settings!$B$2),2)</f>
        <v>99.32</v>
      </c>
      <c r="E1281" s="3">
        <f>ROUND(C1281*(1-Settings!$B$3),2)</f>
        <v>99.32</v>
      </c>
      <c r="F1281" s="2" t="inlineStr">
        <is>
          <t>Pokemon</t>
        </is>
      </c>
      <c r="G1281" s="2" t="inlineStr">
        <is>
          <t>Coffret</t>
        </is>
      </c>
      <c r="H1281" s="2" t="inlineStr">
        <is>
          <t>ME: Ascended Heroes</t>
        </is>
      </c>
      <c r="I1281" s="3" t="n"/>
      <c r="J1281" s="3" t="n">
        <v>141.88</v>
      </c>
      <c r="K1281" s="3" t="n">
        <v>149.39</v>
      </c>
      <c r="L1281" s="3" t="n">
        <v>133.99</v>
      </c>
      <c r="M1281" s="2" t="inlineStr">
        <is>
          <t>TCGplayer</t>
        </is>
      </c>
      <c r="O1281" s="4" t="inlineStr">
        <is>
          <t>https://www.tcgplayer.com/product/702500</t>
        </is>
      </c>
    </row>
    <row r="1282">
      <c r="A1282" s="2" t="inlineStr">
        <is>
          <t>Costco Ascended Heroes Mega ex Box Bundle</t>
        </is>
      </c>
      <c r="B1282" s="3">
        <f>IF(I1282&lt;&gt;"",I1282,IF(J1282&lt;&gt;"",J1282,IF(K1282&lt;&gt;"",K1282,L1282)))</f>
        <v>189.63</v>
      </c>
      <c r="C1282" s="3">
        <f>MEDIAN(I1282:L1282)</f>
        <v>189.63</v>
      </c>
      <c r="D1282" s="3">
        <f>ROUND(C1282*(1-Settings!$B$2),2)</f>
        <v>132.74</v>
      </c>
      <c r="E1282" s="3">
        <f>ROUND(C1282*(1-Settings!$B$3),2)</f>
        <v>132.74</v>
      </c>
      <c r="F1282" s="2" t="inlineStr">
        <is>
          <t>Pokemon</t>
        </is>
      </c>
      <c r="G1282" s="2" t="inlineStr">
        <is>
          <t>Coffret</t>
        </is>
      </c>
      <c r="H1282" s="2" t="inlineStr">
        <is>
          <t>ME: Ascended Heroes</t>
        </is>
      </c>
      <c r="I1282" s="3" t="n"/>
      <c r="J1282" s="3" t="n">
        <v>189.63</v>
      </c>
      <c r="K1282" s="3" t="n">
        <v>199.99</v>
      </c>
      <c r="L1282" s="3" t="n">
        <v>175.98</v>
      </c>
      <c r="M1282" s="2" t="inlineStr">
        <is>
          <t>TCGplayer</t>
        </is>
      </c>
      <c r="O1282" s="4" t="inlineStr">
        <is>
          <t>https://www.tcgplayer.com/product/692541</t>
        </is>
      </c>
    </row>
    <row r="1283">
      <c r="A1283" s="2" t="inlineStr">
        <is>
          <t>Mega Evolution: Ascended Heroes Collection - Erika (3-Tab)</t>
        </is>
      </c>
      <c r="B1283" s="3">
        <f>IF(I1283&lt;&gt;"",I1283,IF(J1283&lt;&gt;"",J1283,IF(K1283&lt;&gt;"",K1283,L1283)))</f>
        <v>30.59</v>
      </c>
      <c r="C1283" s="3">
        <f>MEDIAN(I1283:L1283)</f>
        <v>30.59</v>
      </c>
      <c r="D1283" s="3">
        <f>ROUND(C1283*(1-Settings!$B$2),2)</f>
        <v>21.41</v>
      </c>
      <c r="E1283" s="3">
        <f>ROUND(C1283*(1-Settings!$B$3),2)</f>
        <v>21.41</v>
      </c>
      <c r="F1283" s="2" t="inlineStr">
        <is>
          <t>Pokemon</t>
        </is>
      </c>
      <c r="G1283" s="2" t="inlineStr">
        <is>
          <t>Coffret</t>
        </is>
      </c>
      <c r="H1283" s="2" t="inlineStr">
        <is>
          <t>ME: Ascended Heroes</t>
        </is>
      </c>
      <c r="I1283" s="3" t="n"/>
      <c r="J1283" s="3" t="n">
        <v>30.59</v>
      </c>
      <c r="K1283" s="3" t="n">
        <v>31.94</v>
      </c>
      <c r="L1283" s="3" t="n">
        <v>22</v>
      </c>
      <c r="M1283" s="2" t="inlineStr">
        <is>
          <t>TCGplayer</t>
        </is>
      </c>
      <c r="O1283" s="4" t="inlineStr">
        <is>
          <t>https://www.tcgplayer.com/product/666906</t>
        </is>
      </c>
    </row>
    <row r="1284">
      <c r="A1284" s="2" t="inlineStr">
        <is>
          <t>Mega Evolution: Ascended Heroes Collection - Larry (1-Tab)</t>
        </is>
      </c>
      <c r="B1284" s="3">
        <f>IF(I1284&lt;&gt;"",I1284,IF(J1284&lt;&gt;"",J1284,IF(K1284&lt;&gt;"",K1284,L1284)))</f>
        <v>25.09</v>
      </c>
      <c r="C1284" s="3">
        <f>MEDIAN(I1284:L1284)</f>
        <v>39.81</v>
      </c>
      <c r="D1284" s="3">
        <f>ROUND(C1284*(1-Settings!$B$2),2)</f>
        <v>27.87</v>
      </c>
      <c r="E1284" s="3">
        <f>ROUND(C1284*(1-Settings!$B$3),2)</f>
        <v>27.87</v>
      </c>
      <c r="F1284" s="2" t="inlineStr">
        <is>
          <t>Pokemon</t>
        </is>
      </c>
      <c r="G1284" s="2" t="inlineStr">
        <is>
          <t>Coffret</t>
        </is>
      </c>
      <c r="H1284" s="2" t="inlineStr">
        <is>
          <t>ME: Ascended Heroes</t>
        </is>
      </c>
      <c r="I1284" s="3" t="n"/>
      <c r="J1284" s="3" t="n">
        <v>25.09</v>
      </c>
      <c r="K1284" s="3" t="n">
        <v>39.81</v>
      </c>
      <c r="L1284" s="3" t="n">
        <v>39.81</v>
      </c>
      <c r="M1284" s="2" t="inlineStr">
        <is>
          <t>TCGplayer</t>
        </is>
      </c>
      <c r="O1284" s="4" t="inlineStr">
        <is>
          <t>https://www.tcgplayer.com/product/709097</t>
        </is>
      </c>
    </row>
    <row r="1285">
      <c r="A1285" s="2" t="inlineStr">
        <is>
          <t>Mega Evolution: Ascended Heroes Collection - Larry (3-Tab)</t>
        </is>
      </c>
      <c r="B1285" s="3">
        <f>IF(I1285&lt;&gt;"",I1285,IF(J1285&lt;&gt;"",J1285,IF(K1285&lt;&gt;"",K1285,L1285)))</f>
        <v>31.0</v>
      </c>
      <c r="C1285" s="3">
        <f>MEDIAN(I1285:L1285)</f>
        <v>31.0</v>
      </c>
      <c r="D1285" s="3">
        <f>ROUND(C1285*(1-Settings!$B$2),2)</f>
        <v>21.7</v>
      </c>
      <c r="E1285" s="3">
        <f>ROUND(C1285*(1-Settings!$B$3),2)</f>
        <v>21.7</v>
      </c>
      <c r="F1285" s="2" t="inlineStr">
        <is>
          <t>Pokemon</t>
        </is>
      </c>
      <c r="G1285" s="2" t="inlineStr">
        <is>
          <t>Coffret</t>
        </is>
      </c>
      <c r="H1285" s="2" t="inlineStr">
        <is>
          <t>ME: Ascended Heroes</t>
        </is>
      </c>
      <c r="I1285" s="3" t="n"/>
      <c r="J1285" s="3" t="n">
        <v>31</v>
      </c>
      <c r="K1285" s="3" t="n">
        <v>32.65</v>
      </c>
      <c r="L1285" s="3" t="n">
        <v>22.69</v>
      </c>
      <c r="M1285" s="2" t="inlineStr">
        <is>
          <t>TCGplayer</t>
        </is>
      </c>
      <c r="O1285" s="4" t="inlineStr">
        <is>
          <t>https://www.tcgplayer.com/product/666907</t>
        </is>
      </c>
    </row>
    <row r="1286">
      <c r="A1286" s="2" t="inlineStr">
        <is>
          <t>Mega Evolution: Ascended Heroes Collection [Set of 2]</t>
        </is>
      </c>
      <c r="B1286" s="3">
        <f>IF(I1286&lt;&gt;"",I1286,IF(J1286&lt;&gt;"",J1286,IF(K1286&lt;&gt;"",K1286,L1286)))</f>
        <v>57.1</v>
      </c>
      <c r="C1286" s="3">
        <f>MEDIAN(I1286:L1286)</f>
        <v>57.1</v>
      </c>
      <c r="D1286" s="3">
        <f>ROUND(C1286*(1-Settings!$B$2),2)</f>
        <v>39.97</v>
      </c>
      <c r="E1286" s="3">
        <f>ROUND(C1286*(1-Settings!$B$3),2)</f>
        <v>39.97</v>
      </c>
      <c r="F1286" s="2" t="inlineStr">
        <is>
          <t>Pokemon</t>
        </is>
      </c>
      <c r="G1286" s="2" t="inlineStr">
        <is>
          <t>Coffret</t>
        </is>
      </c>
      <c r="H1286" s="2" t="inlineStr">
        <is>
          <t>ME: Ascended Heroes</t>
        </is>
      </c>
      <c r="I1286" s="3" t="n"/>
      <c r="J1286" s="3" t="n">
        <v>57.1</v>
      </c>
      <c r="K1286" s="3" t="n">
        <v>62.95</v>
      </c>
      <c r="L1286" s="3" t="n">
        <v>47</v>
      </c>
      <c r="M1286" s="2" t="inlineStr">
        <is>
          <t>TCGplayer</t>
        </is>
      </c>
      <c r="O1286" s="4" t="inlineStr">
        <is>
          <t>https://www.tcgplayer.com/product/691923</t>
        </is>
      </c>
    </row>
    <row r="1287">
      <c r="A1287" s="2" t="inlineStr">
        <is>
          <t>Mega Evolution: Ascended Heroes Tech Sticker Collection - Charmander</t>
        </is>
      </c>
      <c r="B1287" s="3">
        <f>IF(I1287&lt;&gt;"",I1287,IF(J1287&lt;&gt;"",J1287,IF(K1287&lt;&gt;"",K1287,L1287)))</f>
        <v>36.83</v>
      </c>
      <c r="C1287" s="3">
        <f>MEDIAN(I1287:L1287)</f>
        <v>36.83</v>
      </c>
      <c r="D1287" s="3">
        <f>ROUND(C1287*(1-Settings!$B$2),2)</f>
        <v>25.78</v>
      </c>
      <c r="E1287" s="3">
        <f>ROUND(C1287*(1-Settings!$B$3),2)</f>
        <v>25.78</v>
      </c>
      <c r="F1287" s="2" t="inlineStr">
        <is>
          <t>Pokemon</t>
        </is>
      </c>
      <c r="G1287" s="2" t="inlineStr">
        <is>
          <t>Coffret</t>
        </is>
      </c>
      <c r="H1287" s="2" t="inlineStr">
        <is>
          <t>ME: Ascended Heroes</t>
        </is>
      </c>
      <c r="I1287" s="3" t="n"/>
      <c r="J1287" s="3" t="n">
        <v>36.83</v>
      </c>
      <c r="K1287" s="3" t="n">
        <v>45</v>
      </c>
      <c r="L1287" s="3" t="n">
        <v>4.19</v>
      </c>
      <c r="M1287" s="2" t="inlineStr">
        <is>
          <t>TCGplayer</t>
        </is>
      </c>
      <c r="O1287" s="4" t="inlineStr">
        <is>
          <t>https://www.tcgplayer.com/product/666908</t>
        </is>
      </c>
    </row>
    <row r="1288">
      <c r="A1288" s="2" t="inlineStr">
        <is>
          <t>Mega Evolution: Ascended Heroes Tech Sticker Collection - Gastly</t>
        </is>
      </c>
      <c r="B1288" s="3">
        <f>IF(I1288&lt;&gt;"",I1288,IF(J1288&lt;&gt;"",J1288,IF(K1288&lt;&gt;"",K1288,L1288)))</f>
        <v>35.84</v>
      </c>
      <c r="C1288" s="3">
        <f>MEDIAN(I1288:L1288)</f>
        <v>35.84</v>
      </c>
      <c r="D1288" s="3">
        <f>ROUND(C1288*(1-Settings!$B$2),2)</f>
        <v>25.09</v>
      </c>
      <c r="E1288" s="3">
        <f>ROUND(C1288*(1-Settings!$B$3),2)</f>
        <v>25.09</v>
      </c>
      <c r="F1288" s="2" t="inlineStr">
        <is>
          <t>Pokemon</t>
        </is>
      </c>
      <c r="G1288" s="2" t="inlineStr">
        <is>
          <t>Coffret</t>
        </is>
      </c>
      <c r="H1288" s="2" t="inlineStr">
        <is>
          <t>ME: Ascended Heroes</t>
        </is>
      </c>
      <c r="I1288" s="3" t="n"/>
      <c r="J1288" s="3" t="n">
        <v>35.84</v>
      </c>
      <c r="K1288" s="3" t="n">
        <v>44.65</v>
      </c>
      <c r="L1288" s="3" t="n">
        <v>2</v>
      </c>
      <c r="M1288" s="2" t="inlineStr">
        <is>
          <t>TCGplayer</t>
        </is>
      </c>
      <c r="O1288" s="4" t="inlineStr">
        <is>
          <t>https://www.tcgplayer.com/product/666909</t>
        </is>
      </c>
    </row>
    <row r="1289">
      <c r="A1289" s="2" t="inlineStr">
        <is>
          <t>Premium Poster Collection: Mega Gardevoir</t>
        </is>
      </c>
      <c r="B1289" s="3">
        <f>IF(I1289&lt;&gt;"",I1289,IF(J1289&lt;&gt;"",J1289,IF(K1289&lt;&gt;"",K1289,L1289)))</f>
        <v>139.32</v>
      </c>
      <c r="C1289" s="3">
        <f>MEDIAN(I1289:L1289)</f>
        <v>139.32</v>
      </c>
      <c r="D1289" s="3">
        <f>ROUND(C1289*(1-Settings!$B$2),2)</f>
        <v>97.52</v>
      </c>
      <c r="E1289" s="3">
        <f>ROUND(C1289*(1-Settings!$B$3),2)</f>
        <v>97.52</v>
      </c>
      <c r="F1289" s="2" t="inlineStr">
        <is>
          <t>Pokemon</t>
        </is>
      </c>
      <c r="G1289" s="2" t="inlineStr">
        <is>
          <t>Coffret</t>
        </is>
      </c>
      <c r="H1289" s="2" t="inlineStr">
        <is>
          <t>ME: Ascended Heroes</t>
        </is>
      </c>
      <c r="I1289" s="3" t="n"/>
      <c r="J1289" s="3" t="n">
        <v>139.32</v>
      </c>
      <c r="K1289" s="3" t="n">
        <v>160</v>
      </c>
      <c r="L1289" s="3" t="n">
        <v>9.99</v>
      </c>
      <c r="M1289" s="2" t="inlineStr">
        <is>
          <t>TCGplayer</t>
        </is>
      </c>
      <c r="O1289" s="4" t="inlineStr">
        <is>
          <t>https://www.tcgplayer.com/product/668537</t>
        </is>
      </c>
    </row>
    <row r="1290">
      <c r="A1290" s="2" t="inlineStr">
        <is>
          <t>Premium Poster Collection: Mega Lucario</t>
        </is>
      </c>
      <c r="B1290" s="3">
        <f>IF(I1290&lt;&gt;"",I1290,IF(J1290&lt;&gt;"",J1290,IF(K1290&lt;&gt;"",K1290,L1290)))</f>
        <v>150.0</v>
      </c>
      <c r="C1290" s="3">
        <f>MEDIAN(I1290:L1290)</f>
        <v>149.5</v>
      </c>
      <c r="D1290" s="3">
        <f>ROUND(C1290*(1-Settings!$B$2),2)</f>
        <v>104.65</v>
      </c>
      <c r="E1290" s="3">
        <f>ROUND(C1290*(1-Settings!$B$3),2)</f>
        <v>104.65</v>
      </c>
      <c r="F1290" s="2" t="inlineStr">
        <is>
          <t>Pokemon</t>
        </is>
      </c>
      <c r="G1290" s="2" t="inlineStr">
        <is>
          <t>Coffret</t>
        </is>
      </c>
      <c r="H1290" s="2" t="inlineStr">
        <is>
          <t>ME: Ascended Heroes</t>
        </is>
      </c>
      <c r="I1290" s="3" t="n">
        <v>150</v>
      </c>
      <c r="J1290" s="3" t="n">
        <v>149</v>
      </c>
      <c r="K1290" s="3" t="n">
        <v>167.99</v>
      </c>
      <c r="L1290" s="3" t="n">
        <v>8.99</v>
      </c>
      <c r="M1290" s="2" t="inlineStr">
        <is>
          <t>PriceCharting + TCGplayer</t>
        </is>
      </c>
      <c r="N1290" s="4" t="inlineStr">
        <is>
          <t>https://www.pricecharting.com/game/pokemon-ascended-heroes/premium-poster-collection-mega-lucario</t>
        </is>
      </c>
      <c r="O1290" s="4" t="inlineStr">
        <is>
          <t>https://www.tcgplayer.com/product/668536</t>
        </is>
      </c>
    </row>
    <row r="1291">
      <c r="A1291" s="2" t="inlineStr">
        <is>
          <t>Mega Evolution Booster Bundle</t>
        </is>
      </c>
      <c r="B1291" s="3">
        <f>IF(I1291&lt;&gt;"",I1291,IF(J1291&lt;&gt;"",J1291,IF(K1291&lt;&gt;"",K1291,L1291)))</f>
        <v>63.9</v>
      </c>
      <c r="C1291" s="3">
        <f>MEDIAN(I1291:L1291)</f>
        <v>63.9</v>
      </c>
      <c r="D1291" s="3">
        <f>ROUND(C1291*(1-Settings!$B$2),2)</f>
        <v>44.73</v>
      </c>
      <c r="E1291" s="3">
        <f>ROUND(C1291*(1-Settings!$B$3),2)</f>
        <v>44.73</v>
      </c>
      <c r="F1291" s="2" t="inlineStr">
        <is>
          <t>Pokemon</t>
        </is>
      </c>
      <c r="G1291" s="2" t="inlineStr">
        <is>
          <t>Coffret</t>
        </is>
      </c>
      <c r="H1291" s="2" t="inlineStr">
        <is>
          <t>Mega Evolution</t>
        </is>
      </c>
      <c r="I1291" s="3" t="n">
        <v>63.9</v>
      </c>
      <c r="J1291" s="3" t="n"/>
      <c r="K1291" s="3" t="n"/>
      <c r="L1291" s="3" t="n"/>
      <c r="M1291" s="2" t="inlineStr">
        <is>
          <t>PriceCharting</t>
        </is>
      </c>
      <c r="N1291" s="4" t="inlineStr">
        <is>
          <t>https://www.pricecharting.com/game/pokemon-mega-evolution/booster-bundle</t>
        </is>
      </c>
    </row>
    <row r="1292">
      <c r="A1292" s="2" t="inlineStr">
        <is>
          <t>Mega Evolution Build &amp; Battle Box</t>
        </is>
      </c>
      <c r="B1292" s="3">
        <f>IF(I1292&lt;&gt;"",I1292,IF(J1292&lt;&gt;"",J1292,IF(K1292&lt;&gt;"",K1292,L1292)))</f>
        <v>60.5</v>
      </c>
      <c r="C1292" s="3">
        <f>MEDIAN(I1292:L1292)</f>
        <v>60.5</v>
      </c>
      <c r="D1292" s="3">
        <f>ROUND(C1292*(1-Settings!$B$2),2)</f>
        <v>42.35</v>
      </c>
      <c r="E1292" s="3">
        <f>ROUND(C1292*(1-Settings!$B$3),2)</f>
        <v>42.35</v>
      </c>
      <c r="F1292" s="2" t="inlineStr">
        <is>
          <t>Pokemon</t>
        </is>
      </c>
      <c r="G1292" s="2" t="inlineStr">
        <is>
          <t>Coffret</t>
        </is>
      </c>
      <c r="H1292" s="2" t="inlineStr">
        <is>
          <t>Mega Evolution</t>
        </is>
      </c>
      <c r="I1292" s="3" t="n">
        <v>60.5</v>
      </c>
      <c r="J1292" s="3" t="n"/>
      <c r="K1292" s="3" t="n"/>
      <c r="L1292" s="3" t="n"/>
      <c r="M1292" s="2" t="inlineStr">
        <is>
          <t>PriceCharting</t>
        </is>
      </c>
      <c r="N1292" s="4" t="inlineStr">
        <is>
          <t>https://www.pricecharting.com/game/pokemon-mega-evolution/build-&amp;-battle-box</t>
        </is>
      </c>
    </row>
    <row r="1293">
      <c r="A1293" s="2" t="inlineStr">
        <is>
          <t>Mega Evolution Elite Trainer Box [Mega Gardevoir]</t>
        </is>
      </c>
      <c r="B1293" s="3">
        <f>IF(I1293&lt;&gt;"",I1293,IF(J1293&lt;&gt;"",J1293,IF(K1293&lt;&gt;"",K1293,L1293)))</f>
        <v>116.05</v>
      </c>
      <c r="C1293" s="3">
        <f>MEDIAN(I1293:L1293)</f>
        <v>116.05</v>
      </c>
      <c r="D1293" s="3">
        <f>ROUND(C1293*(1-Settings!$B$2),2)</f>
        <v>81.24</v>
      </c>
      <c r="E1293" s="3">
        <f>ROUND(C1293*(1-Settings!$B$3),2)</f>
        <v>81.24</v>
      </c>
      <c r="F1293" s="2" t="inlineStr">
        <is>
          <t>Pokemon</t>
        </is>
      </c>
      <c r="G1293" s="2" t="inlineStr">
        <is>
          <t>Coffret</t>
        </is>
      </c>
      <c r="H1293" s="2" t="inlineStr">
        <is>
          <t>Mega Evolution</t>
        </is>
      </c>
      <c r="I1293" s="3" t="n">
        <v>116.05</v>
      </c>
      <c r="J1293" s="3" t="n"/>
      <c r="K1293" s="3" t="n"/>
      <c r="L1293" s="3" t="n"/>
      <c r="M1293" s="2" t="inlineStr">
        <is>
          <t>PriceCharting</t>
        </is>
      </c>
      <c r="N1293" s="4" t="inlineStr">
        <is>
          <t>https://www.pricecharting.com/game/pokemon-mega-evolution/elite-trainer-box-mega-gardevoir</t>
        </is>
      </c>
    </row>
    <row r="1294">
      <c r="A1294" s="2" t="inlineStr">
        <is>
          <t>Mega Evolution Elite Trainer Box [Mega Lucario]</t>
        </is>
      </c>
      <c r="B1294" s="3">
        <f>IF(I1294&lt;&gt;"",I1294,IF(J1294&lt;&gt;"",J1294,IF(K1294&lt;&gt;"",K1294,L1294)))</f>
        <v>119.21</v>
      </c>
      <c r="C1294" s="3">
        <f>MEDIAN(I1294:L1294)</f>
        <v>119.21</v>
      </c>
      <c r="D1294" s="3">
        <f>ROUND(C1294*(1-Settings!$B$2),2)</f>
        <v>83.45</v>
      </c>
      <c r="E1294" s="3">
        <f>ROUND(C1294*(1-Settings!$B$3),2)</f>
        <v>83.45</v>
      </c>
      <c r="F1294" s="2" t="inlineStr">
        <is>
          <t>Pokemon</t>
        </is>
      </c>
      <c r="G1294" s="2" t="inlineStr">
        <is>
          <t>Coffret</t>
        </is>
      </c>
      <c r="H1294" s="2" t="inlineStr">
        <is>
          <t>Mega Evolution</t>
        </is>
      </c>
      <c r="I1294" s="3" t="n">
        <v>119.21</v>
      </c>
      <c r="J1294" s="3" t="n"/>
      <c r="K1294" s="3" t="n"/>
      <c r="L1294" s="3" t="n"/>
      <c r="M1294" s="2" t="inlineStr">
        <is>
          <t>PriceCharting</t>
        </is>
      </c>
      <c r="N1294" s="4" t="inlineStr">
        <is>
          <t>https://www.pricecharting.com/game/pokemon-mega-evolution/elite-trainer-box-mega-lucario</t>
        </is>
      </c>
    </row>
    <row r="1295">
      <c r="A1295" s="2" t="inlineStr">
        <is>
          <t>Mega Evolution Elite Trainer Box [Pokemon Center Gardevoir]</t>
        </is>
      </c>
      <c r="B1295" s="3">
        <f>IF(I1295&lt;&gt;"",I1295,IF(J1295&lt;&gt;"",J1295,IF(K1295&lt;&gt;"",K1295,L1295)))</f>
        <v>200.98</v>
      </c>
      <c r="C1295" s="3">
        <f>MEDIAN(I1295:L1295)</f>
        <v>200.98</v>
      </c>
      <c r="D1295" s="3">
        <f>ROUND(C1295*(1-Settings!$B$2),2)</f>
        <v>140.69</v>
      </c>
      <c r="E1295" s="3">
        <f>ROUND(C1295*(1-Settings!$B$3),2)</f>
        <v>140.69</v>
      </c>
      <c r="F1295" s="2" t="inlineStr">
        <is>
          <t>Pokemon</t>
        </is>
      </c>
      <c r="G1295" s="2" t="inlineStr">
        <is>
          <t>Coffret</t>
        </is>
      </c>
      <c r="H1295" s="2" t="inlineStr">
        <is>
          <t>Mega Evolution</t>
        </is>
      </c>
      <c r="I1295" s="3" t="n">
        <v>200.98</v>
      </c>
      <c r="J1295" s="3" t="n"/>
      <c r="K1295" s="3" t="n"/>
      <c r="L1295" s="3" t="n"/>
      <c r="M1295" s="2" t="inlineStr">
        <is>
          <t>PriceCharting</t>
        </is>
      </c>
      <c r="N1295" s="4" t="inlineStr">
        <is>
          <t>https://www.pricecharting.com/game/pokemon-mega-evolution/elite-trainer-box-pokemon-center-gardevoir</t>
        </is>
      </c>
    </row>
    <row r="1296">
      <c r="A1296" s="2" t="inlineStr">
        <is>
          <t>Mega Evolution Elite Trainer Box [Pokemon Center Lucario]</t>
        </is>
      </c>
      <c r="B1296" s="3">
        <f>IF(I1296&lt;&gt;"",I1296,IF(J1296&lt;&gt;"",J1296,IF(K1296&lt;&gt;"",K1296,L1296)))</f>
        <v>208.72</v>
      </c>
      <c r="C1296" s="3">
        <f>MEDIAN(I1296:L1296)</f>
        <v>208.72</v>
      </c>
      <c r="D1296" s="3">
        <f>ROUND(C1296*(1-Settings!$B$2),2)</f>
        <v>146.1</v>
      </c>
      <c r="E1296" s="3">
        <f>ROUND(C1296*(1-Settings!$B$3),2)</f>
        <v>146.1</v>
      </c>
      <c r="F1296" s="2" t="inlineStr">
        <is>
          <t>Pokemon</t>
        </is>
      </c>
      <c r="G1296" s="2" t="inlineStr">
        <is>
          <t>Coffret</t>
        </is>
      </c>
      <c r="H1296" s="2" t="inlineStr">
        <is>
          <t>Mega Evolution</t>
        </is>
      </c>
      <c r="I1296" s="3" t="n">
        <v>208.72</v>
      </c>
      <c r="J1296" s="3" t="n"/>
      <c r="K1296" s="3" t="n"/>
      <c r="L1296" s="3" t="n"/>
      <c r="M1296" s="2" t="inlineStr">
        <is>
          <t>PriceCharting</t>
        </is>
      </c>
      <c r="N1296" s="4" t="inlineStr">
        <is>
          <t>https://www.pricecharting.com/game/pokemon-mega-evolution/elite-trainer-box-pokemon-center-lucario</t>
        </is>
      </c>
    </row>
    <row r="1297">
      <c r="A1297" s="2" t="inlineStr">
        <is>
          <t>Mega Evolution Mega Heroes Mini Tin: Mega Gardevoir</t>
        </is>
      </c>
      <c r="B1297" s="3">
        <f>IF(I1297&lt;&gt;"",I1297,IF(J1297&lt;&gt;"",J1297,IF(K1297&lt;&gt;"",K1297,L1297)))</f>
        <v>19.76</v>
      </c>
      <c r="C1297" s="3">
        <f>MEDIAN(I1297:L1297)</f>
        <v>19.76</v>
      </c>
      <c r="D1297" s="3">
        <f>ROUND(C1297*(1-Settings!$B$2),2)</f>
        <v>13.83</v>
      </c>
      <c r="E1297" s="3">
        <f>ROUND(C1297*(1-Settings!$B$3),2)</f>
        <v>13.83</v>
      </c>
      <c r="F1297" s="2" t="inlineStr">
        <is>
          <t>Pokemon</t>
        </is>
      </c>
      <c r="G1297" s="2" t="inlineStr">
        <is>
          <t>Coffret</t>
        </is>
      </c>
      <c r="H1297" s="2" t="inlineStr">
        <is>
          <t>Mega Evolution</t>
        </is>
      </c>
      <c r="I1297" s="3" t="n">
        <v>19.76</v>
      </c>
      <c r="J1297" s="3" t="n"/>
      <c r="K1297" s="3" t="n"/>
      <c r="L1297" s="3" t="n"/>
      <c r="M1297" s="2" t="inlineStr">
        <is>
          <t>PriceCharting</t>
        </is>
      </c>
      <c r="N1297" s="4" t="inlineStr">
        <is>
          <t>https://www.pricecharting.com/game/pokemon-mega-evolution/mega-heroes-mini-tin-mega-gardevoir</t>
        </is>
      </c>
    </row>
    <row r="1298">
      <c r="A1298" s="2" t="inlineStr">
        <is>
          <t>Mega Evolution Mega Heroes Mini Tin: Mega Kangaskhan</t>
        </is>
      </c>
      <c r="B1298" s="3">
        <f>IF(I1298&lt;&gt;"",I1298,IF(J1298&lt;&gt;"",J1298,IF(K1298&lt;&gt;"",K1298,L1298)))</f>
        <v>21.69</v>
      </c>
      <c r="C1298" s="3">
        <f>MEDIAN(I1298:L1298)</f>
        <v>21.69</v>
      </c>
      <c r="D1298" s="3">
        <f>ROUND(C1298*(1-Settings!$B$2),2)</f>
        <v>15.18</v>
      </c>
      <c r="E1298" s="3">
        <f>ROUND(C1298*(1-Settings!$B$3),2)</f>
        <v>15.18</v>
      </c>
      <c r="F1298" s="2" t="inlineStr">
        <is>
          <t>Pokemon</t>
        </is>
      </c>
      <c r="G1298" s="2" t="inlineStr">
        <is>
          <t>Coffret</t>
        </is>
      </c>
      <c r="H1298" s="2" t="inlineStr">
        <is>
          <t>Mega Evolution</t>
        </is>
      </c>
      <c r="I1298" s="3" t="n">
        <v>21.69</v>
      </c>
      <c r="J1298" s="3" t="n"/>
      <c r="K1298" s="3" t="n"/>
      <c r="L1298" s="3" t="n"/>
      <c r="M1298" s="2" t="inlineStr">
        <is>
          <t>PriceCharting</t>
        </is>
      </c>
      <c r="N1298" s="4" t="inlineStr">
        <is>
          <t>https://www.pricecharting.com/game/pokemon-mega-evolution/mega-heroes-mini-tin-mega-kangaskhan</t>
        </is>
      </c>
    </row>
    <row r="1299">
      <c r="A1299" s="2" t="inlineStr">
        <is>
          <t>Mega Evolution Mega Heroes Mini Tin: Mega Latias</t>
        </is>
      </c>
      <c r="B1299" s="3">
        <f>IF(I1299&lt;&gt;"",I1299,IF(J1299&lt;&gt;"",J1299,IF(K1299&lt;&gt;"",K1299,L1299)))</f>
        <v>23.73</v>
      </c>
      <c r="C1299" s="3">
        <f>MEDIAN(I1299:L1299)</f>
        <v>23.73</v>
      </c>
      <c r="D1299" s="3">
        <f>ROUND(C1299*(1-Settings!$B$2),2)</f>
        <v>16.61</v>
      </c>
      <c r="E1299" s="3">
        <f>ROUND(C1299*(1-Settings!$B$3),2)</f>
        <v>16.61</v>
      </c>
      <c r="F1299" s="2" t="inlineStr">
        <is>
          <t>Pokemon</t>
        </is>
      </c>
      <c r="G1299" s="2" t="inlineStr">
        <is>
          <t>Coffret</t>
        </is>
      </c>
      <c r="H1299" s="2" t="inlineStr">
        <is>
          <t>Mega Evolution</t>
        </is>
      </c>
      <c r="I1299" s="3" t="n">
        <v>23.73</v>
      </c>
      <c r="J1299" s="3" t="n"/>
      <c r="K1299" s="3" t="n"/>
      <c r="L1299" s="3" t="n"/>
      <c r="M1299" s="2" t="inlineStr">
        <is>
          <t>PriceCharting</t>
        </is>
      </c>
      <c r="N1299" s="4" t="inlineStr">
        <is>
          <t>https://www.pricecharting.com/game/pokemon-mega-evolution/mega-heroes-mini-tin-mega-latias</t>
        </is>
      </c>
    </row>
    <row r="1300">
      <c r="A1300" s="2" t="inlineStr">
        <is>
          <t>Mega Evolution Mega Heroes Mini Tin: Mega Lucario</t>
        </is>
      </c>
      <c r="B1300" s="3">
        <f>IF(I1300&lt;&gt;"",I1300,IF(J1300&lt;&gt;"",J1300,IF(K1300&lt;&gt;"",K1300,L1300)))</f>
        <v>22.99</v>
      </c>
      <c r="C1300" s="3">
        <f>MEDIAN(I1300:L1300)</f>
        <v>22.99</v>
      </c>
      <c r="D1300" s="3">
        <f>ROUND(C1300*(1-Settings!$B$2),2)</f>
        <v>16.09</v>
      </c>
      <c r="E1300" s="3">
        <f>ROUND(C1300*(1-Settings!$B$3),2)</f>
        <v>16.09</v>
      </c>
      <c r="F1300" s="2" t="inlineStr">
        <is>
          <t>Pokemon</t>
        </is>
      </c>
      <c r="G1300" s="2" t="inlineStr">
        <is>
          <t>Coffret</t>
        </is>
      </c>
      <c r="H1300" s="2" t="inlineStr">
        <is>
          <t>Mega Evolution</t>
        </is>
      </c>
      <c r="I1300" s="3" t="n">
        <v>22.99</v>
      </c>
      <c r="J1300" s="3" t="n"/>
      <c r="K1300" s="3" t="n"/>
      <c r="L1300" s="3" t="n"/>
      <c r="M1300" s="2" t="inlineStr">
        <is>
          <t>PriceCharting</t>
        </is>
      </c>
      <c r="N1300" s="4" t="inlineStr">
        <is>
          <t>https://www.pricecharting.com/game/pokemon-mega-evolution/mega-heroes-mini-tin-mega-lucario</t>
        </is>
      </c>
    </row>
    <row r="1301">
      <c r="A1301" s="2" t="inlineStr">
        <is>
          <t>Mega Evolution Mega Heroes Mini Tin: Mega Venusaur</t>
        </is>
      </c>
      <c r="B1301" s="3">
        <f>IF(I1301&lt;&gt;"",I1301,IF(J1301&lt;&gt;"",J1301,IF(K1301&lt;&gt;"",K1301,L1301)))</f>
        <v>20.87</v>
      </c>
      <c r="C1301" s="3">
        <f>MEDIAN(I1301:L1301)</f>
        <v>20.87</v>
      </c>
      <c r="D1301" s="3">
        <f>ROUND(C1301*(1-Settings!$B$2),2)</f>
        <v>14.61</v>
      </c>
      <c r="E1301" s="3">
        <f>ROUND(C1301*(1-Settings!$B$3),2)</f>
        <v>14.61</v>
      </c>
      <c r="F1301" s="2" t="inlineStr">
        <is>
          <t>Pokemon</t>
        </is>
      </c>
      <c r="G1301" s="2" t="inlineStr">
        <is>
          <t>Coffret</t>
        </is>
      </c>
      <c r="H1301" s="2" t="inlineStr">
        <is>
          <t>Mega Evolution</t>
        </is>
      </c>
      <c r="I1301" s="3" t="n">
        <v>20.87</v>
      </c>
      <c r="J1301" s="3" t="n"/>
      <c r="K1301" s="3" t="n"/>
      <c r="L1301" s="3" t="n"/>
      <c r="M1301" s="2" t="inlineStr">
        <is>
          <t>PriceCharting</t>
        </is>
      </c>
      <c r="N1301" s="4" t="inlineStr">
        <is>
          <t>https://www.pricecharting.com/game/pokemon-mega-evolution/mega-heroes-mini-tin-mega-venusaur</t>
        </is>
      </c>
    </row>
    <row r="1302">
      <c r="A1302" s="2" t="inlineStr">
        <is>
          <t>Mega Evolution Mega Lucario Ex Premium Figure Collection</t>
        </is>
      </c>
      <c r="B1302" s="3">
        <f>IF(I1302&lt;&gt;"",I1302,IF(J1302&lt;&gt;"",J1302,IF(K1302&lt;&gt;"",K1302,L1302)))</f>
        <v>54.85</v>
      </c>
      <c r="C1302" s="3">
        <f>MEDIAN(I1302:L1302)</f>
        <v>54.85</v>
      </c>
      <c r="D1302" s="3">
        <f>ROUND(C1302*(1-Settings!$B$2),2)</f>
        <v>38.4</v>
      </c>
      <c r="E1302" s="3">
        <f>ROUND(C1302*(1-Settings!$B$3),2)</f>
        <v>38.4</v>
      </c>
      <c r="F1302" s="2" t="inlineStr">
        <is>
          <t>Pokemon</t>
        </is>
      </c>
      <c r="G1302" s="2" t="inlineStr">
        <is>
          <t>Coffret</t>
        </is>
      </c>
      <c r="H1302" s="2" t="inlineStr">
        <is>
          <t>Mega Evolution</t>
        </is>
      </c>
      <c r="I1302" s="3" t="n">
        <v>54.85</v>
      </c>
      <c r="J1302" s="3" t="n"/>
      <c r="K1302" s="3" t="n"/>
      <c r="L1302" s="3" t="n"/>
      <c r="M1302" s="2" t="inlineStr">
        <is>
          <t>PriceCharting</t>
        </is>
      </c>
      <c r="N1302" s="4" t="inlineStr">
        <is>
          <t>https://www.pricecharting.com/game/pokemon-mega-evolution/mega-lucario-ex-premium-figure-collection</t>
        </is>
      </c>
    </row>
    <row r="1303">
      <c r="A1303" s="2" t="inlineStr">
        <is>
          <t>2-Pack Blister [Raikou] (1-tab)</t>
        </is>
      </c>
      <c r="B1303" s="3">
        <f>IF(I1303&lt;&gt;"",I1303,IF(J1303&lt;&gt;"",J1303,IF(K1303&lt;&gt;"",K1303,L1303)))</f>
        <v>17.31</v>
      </c>
      <c r="C1303" s="3">
        <f>MEDIAN(I1303:L1303)</f>
        <v>17.31</v>
      </c>
      <c r="D1303" s="3">
        <f>ROUND(C1303*(1-Settings!$B$2),2)</f>
        <v>12.12</v>
      </c>
      <c r="E1303" s="3">
        <f>ROUND(C1303*(1-Settings!$B$3),2)</f>
        <v>12.12</v>
      </c>
      <c r="F1303" s="2" t="inlineStr">
        <is>
          <t>Pokemon</t>
        </is>
      </c>
      <c r="G1303" s="2" t="inlineStr">
        <is>
          <t>Coffret</t>
        </is>
      </c>
      <c r="H1303" s="2" t="inlineStr">
        <is>
          <t>Miscellaneous Cards &amp; Products</t>
        </is>
      </c>
      <c r="I1303" s="3" t="n"/>
      <c r="J1303" s="3" t="n">
        <v>17.31</v>
      </c>
      <c r="K1303" s="3" t="n">
        <v>20</v>
      </c>
      <c r="L1303" s="3" t="n">
        <v>17</v>
      </c>
      <c r="M1303" s="2" t="inlineStr">
        <is>
          <t>TCGplayer</t>
        </is>
      </c>
      <c r="O1303" s="4" t="inlineStr">
        <is>
          <t>https://www.tcgplayer.com/product/671274</t>
        </is>
      </c>
    </row>
    <row r="1304">
      <c r="A1304" s="2" t="inlineStr">
        <is>
          <t>2-Pack Blister [Raikou] (3-tab)</t>
        </is>
      </c>
      <c r="B1304" s="3">
        <f>IF(I1304&lt;&gt;"",I1304,IF(J1304&lt;&gt;"",J1304,IF(K1304&lt;&gt;"",K1304,L1304)))</f>
        <v>20.38</v>
      </c>
      <c r="C1304" s="3">
        <f>MEDIAN(I1304:L1304)</f>
        <v>20.38</v>
      </c>
      <c r="D1304" s="3">
        <f>ROUND(C1304*(1-Settings!$B$2),2)</f>
        <v>14.27</v>
      </c>
      <c r="E1304" s="3">
        <f>ROUND(C1304*(1-Settings!$B$3),2)</f>
        <v>14.27</v>
      </c>
      <c r="F1304" s="2" t="inlineStr">
        <is>
          <t>Pokemon</t>
        </is>
      </c>
      <c r="G1304" s="2" t="inlineStr">
        <is>
          <t>Coffret</t>
        </is>
      </c>
      <c r="H1304" s="2" t="inlineStr">
        <is>
          <t>Miscellaneous Cards &amp; Products</t>
        </is>
      </c>
      <c r="I1304" s="3" t="n"/>
      <c r="J1304" s="3" t="n">
        <v>20.38</v>
      </c>
      <c r="K1304" s="3" t="n">
        <v>20.41</v>
      </c>
      <c r="L1304" s="3" t="n">
        <v>17</v>
      </c>
      <c r="M1304" s="2" t="inlineStr">
        <is>
          <t>TCGplayer</t>
        </is>
      </c>
      <c r="O1304" s="4" t="inlineStr">
        <is>
          <t>https://www.tcgplayer.com/product/671271</t>
        </is>
      </c>
    </row>
    <row r="1305">
      <c r="A1305" s="2" t="inlineStr">
        <is>
          <t>2-Pack Blister [Zarude] (1-Tab)</t>
        </is>
      </c>
      <c r="B1305" s="3">
        <f>IF(I1305&lt;&gt;"",I1305,IF(J1305&lt;&gt;"",J1305,IF(K1305&lt;&gt;"",K1305,L1305)))</f>
        <v>19.27</v>
      </c>
      <c r="C1305" s="3">
        <f>MEDIAN(I1305:L1305)</f>
        <v>18.12</v>
      </c>
      <c r="D1305" s="3">
        <f>ROUND(C1305*(1-Settings!$B$2),2)</f>
        <v>12.68</v>
      </c>
      <c r="E1305" s="3">
        <f>ROUND(C1305*(1-Settings!$B$3),2)</f>
        <v>12.68</v>
      </c>
      <c r="F1305" s="2" t="inlineStr">
        <is>
          <t>Pokemon</t>
        </is>
      </c>
      <c r="G1305" s="2" t="inlineStr">
        <is>
          <t>Coffret</t>
        </is>
      </c>
      <c r="H1305" s="2" t="inlineStr">
        <is>
          <t>Miscellaneous Cards &amp; Products</t>
        </is>
      </c>
      <c r="I1305" s="3" t="n"/>
      <c r="J1305" s="3" t="n">
        <v>19.27</v>
      </c>
      <c r="K1305" s="3" t="n">
        <v>18.12</v>
      </c>
      <c r="L1305" s="3" t="n">
        <v>14.2</v>
      </c>
      <c r="M1305" s="2" t="inlineStr">
        <is>
          <t>TCGplayer</t>
        </is>
      </c>
      <c r="O1305" s="4" t="inlineStr">
        <is>
          <t>https://www.tcgplayer.com/product/714504</t>
        </is>
      </c>
    </row>
    <row r="1306">
      <c r="A1306" s="2" t="inlineStr">
        <is>
          <t>2-Pack Blister [Zarude] (3-Tab)</t>
        </is>
      </c>
      <c r="B1306" s="3">
        <f>IF(I1306&lt;&gt;"",I1306,IF(J1306&lt;&gt;"",J1306,IF(K1306&lt;&gt;"",K1306,L1306)))</f>
        <v>18.73</v>
      </c>
      <c r="C1306" s="3">
        <f>MEDIAN(I1306:L1306)</f>
        <v>18.73</v>
      </c>
      <c r="D1306" s="3">
        <f>ROUND(C1306*(1-Settings!$B$2),2)</f>
        <v>13.11</v>
      </c>
      <c r="E1306" s="3">
        <f>ROUND(C1306*(1-Settings!$B$3),2)</f>
        <v>13.11</v>
      </c>
      <c r="F1306" s="2" t="inlineStr">
        <is>
          <t>Pokemon</t>
        </is>
      </c>
      <c r="G1306" s="2" t="inlineStr">
        <is>
          <t>Coffret</t>
        </is>
      </c>
      <c r="H1306" s="2" t="inlineStr">
        <is>
          <t>Miscellaneous Cards &amp; Products</t>
        </is>
      </c>
      <c r="I1306" s="3" t="n"/>
      <c r="J1306" s="3" t="n">
        <v>18.73</v>
      </c>
      <c r="K1306" s="3" t="n">
        <v>18.96</v>
      </c>
      <c r="L1306" s="3" t="n">
        <v>12.47</v>
      </c>
      <c r="M1306" s="2" t="inlineStr">
        <is>
          <t>TCGplayer</t>
        </is>
      </c>
      <c r="O1306" s="4" t="inlineStr">
        <is>
          <t>https://www.tcgplayer.com/product/706250</t>
        </is>
      </c>
    </row>
    <row r="1307">
      <c r="A1307" s="2" t="inlineStr">
        <is>
          <t>2-Pack Blister Pack [Meganium, Typhlosion &amp; Feraligatr]</t>
        </is>
      </c>
      <c r="B1307" s="3">
        <f>IF(I1307&lt;&gt;"",I1307,IF(J1307&lt;&gt;"",J1307,IF(K1307&lt;&gt;"",K1307,L1307)))</f>
        <v>116.74</v>
      </c>
      <c r="C1307" s="3">
        <f>MEDIAN(I1307:L1307)</f>
        <v>160.0</v>
      </c>
      <c r="D1307" s="3">
        <f>ROUND(C1307*(1-Settings!$B$2),2)</f>
        <v>112.0</v>
      </c>
      <c r="E1307" s="3">
        <f>ROUND(C1307*(1-Settings!$B$3),2)</f>
        <v>112.0</v>
      </c>
      <c r="F1307" s="2" t="inlineStr">
        <is>
          <t>Pokemon</t>
        </is>
      </c>
      <c r="G1307" s="2" t="inlineStr">
        <is>
          <t>Coffret</t>
        </is>
      </c>
      <c r="H1307" s="2" t="inlineStr">
        <is>
          <t>Miscellaneous Cards &amp; Products</t>
        </is>
      </c>
      <c r="I1307" s="3" t="n"/>
      <c r="J1307" s="3" t="n">
        <v>116.74</v>
      </c>
      <c r="K1307" s="3" t="n">
        <v>163.99</v>
      </c>
      <c r="L1307" s="3" t="n">
        <v>160</v>
      </c>
      <c r="M1307" s="2" t="inlineStr">
        <is>
          <t>TCGplayer</t>
        </is>
      </c>
      <c r="O1307" s="4" t="inlineStr">
        <is>
          <t>https://www.tcgplayer.com/product/482320</t>
        </is>
      </c>
    </row>
    <row r="1308">
      <c r="A1308" s="2" t="inlineStr">
        <is>
          <t>2-Pack Blister Pack [Oddish, Gloom, &amp; Vileplume]</t>
        </is>
      </c>
      <c r="B1308" s="3">
        <f>IF(I1308&lt;&gt;"",I1308,IF(J1308&lt;&gt;"",J1308,IF(K1308&lt;&gt;"",K1308,L1308)))</f>
        <v>18.89</v>
      </c>
      <c r="C1308" s="3">
        <f>MEDIAN(I1308:L1308)</f>
        <v>18.89</v>
      </c>
      <c r="D1308" s="3">
        <f>ROUND(C1308*(1-Settings!$B$2),2)</f>
        <v>13.22</v>
      </c>
      <c r="E1308" s="3">
        <f>ROUND(C1308*(1-Settings!$B$3),2)</f>
        <v>13.22</v>
      </c>
      <c r="F1308" s="2" t="inlineStr">
        <is>
          <t>Pokemon</t>
        </is>
      </c>
      <c r="G1308" s="2" t="inlineStr">
        <is>
          <t>Coffret</t>
        </is>
      </c>
      <c r="H1308" s="2" t="inlineStr">
        <is>
          <t>Miscellaneous Cards &amp; Products</t>
        </is>
      </c>
      <c r="I1308" s="3" t="n"/>
      <c r="J1308" s="3" t="n">
        <v>18.89</v>
      </c>
      <c r="K1308" s="3" t="n">
        <v>20</v>
      </c>
      <c r="L1308" s="3" t="n">
        <v>15</v>
      </c>
      <c r="M1308" s="2" t="inlineStr">
        <is>
          <t>TCGplayer</t>
        </is>
      </c>
      <c r="O1308" s="4" t="inlineStr">
        <is>
          <t>https://www.tcgplayer.com/product/683264</t>
        </is>
      </c>
    </row>
    <row r="1309">
      <c r="A1309" s="2" t="inlineStr">
        <is>
          <t>2-Pack Blister Pack [Raikou, Entei, &amp; Suicune]</t>
        </is>
      </c>
      <c r="B1309" s="3">
        <f>IF(I1309&lt;&gt;"",I1309,IF(J1309&lt;&gt;"",J1309,IF(K1309&lt;&gt;"",K1309,L1309)))</f>
        <v>250.0</v>
      </c>
      <c r="C1309" s="3">
        <f>MEDIAN(I1309:L1309)</f>
        <v>250.0</v>
      </c>
      <c r="D1309" s="3">
        <f>ROUND(C1309*(1-Settings!$B$2),2)</f>
        <v>175.0</v>
      </c>
      <c r="E1309" s="3">
        <f>ROUND(C1309*(1-Settings!$B$3),2)</f>
        <v>175.0</v>
      </c>
      <c r="F1309" s="2" t="inlineStr">
        <is>
          <t>Pokemon</t>
        </is>
      </c>
      <c r="G1309" s="2" t="inlineStr">
        <is>
          <t>Coffret</t>
        </is>
      </c>
      <c r="H1309" s="2" t="inlineStr">
        <is>
          <t>Miscellaneous Cards &amp; Products</t>
        </is>
      </c>
      <c r="I1309" s="3" t="n"/>
      <c r="J1309" s="3" t="n"/>
      <c r="K1309" s="3" t="n">
        <v>250</v>
      </c>
      <c r="L1309" s="3" t="n">
        <v>250</v>
      </c>
      <c r="M1309" s="2" t="inlineStr">
        <is>
          <t>TCGplayer</t>
        </is>
      </c>
      <c r="O1309" s="4" t="inlineStr">
        <is>
          <t>https://www.tcgplayer.com/product/477178</t>
        </is>
      </c>
    </row>
    <row r="1310">
      <c r="A1310" s="2" t="inlineStr">
        <is>
          <t>2-Pack Blister Pack [Team Rocket's Articuno, Zapdos &amp; Tyranitar]</t>
        </is>
      </c>
      <c r="B1310" s="3">
        <f>IF(I1310&lt;&gt;"",I1310,IF(J1310&lt;&gt;"",J1310,IF(K1310&lt;&gt;"",K1310,L1310)))</f>
        <v>21.65</v>
      </c>
      <c r="C1310" s="3">
        <f>MEDIAN(I1310:L1310)</f>
        <v>21.65</v>
      </c>
      <c r="D1310" s="3">
        <f>ROUND(C1310*(1-Settings!$B$2),2)</f>
        <v>15.16</v>
      </c>
      <c r="E1310" s="3">
        <f>ROUND(C1310*(1-Settings!$B$3),2)</f>
        <v>15.16</v>
      </c>
      <c r="F1310" s="2" t="inlineStr">
        <is>
          <t>Pokemon</t>
        </is>
      </c>
      <c r="G1310" s="2" t="inlineStr">
        <is>
          <t>Coffret</t>
        </is>
      </c>
      <c r="H1310" s="2" t="inlineStr">
        <is>
          <t>Miscellaneous Cards &amp; Products</t>
        </is>
      </c>
      <c r="I1310" s="3" t="n"/>
      <c r="J1310" s="3" t="n">
        <v>21.65</v>
      </c>
      <c r="K1310" s="3" t="n">
        <v>21.99</v>
      </c>
      <c r="L1310" s="3" t="n">
        <v>12.99</v>
      </c>
      <c r="M1310" s="2" t="inlineStr">
        <is>
          <t>TCGplayer</t>
        </is>
      </c>
      <c r="O1310" s="4" t="inlineStr">
        <is>
          <t>https://www.tcgplayer.com/product/656995</t>
        </is>
      </c>
    </row>
    <row r="1311">
      <c r="A1311" s="2" t="inlineStr">
        <is>
          <t>Alolan Raichu Box</t>
        </is>
      </c>
      <c r="B1311" s="3">
        <f>IF(I1311&lt;&gt;"",I1311,IF(J1311&lt;&gt;"",J1311,IF(K1311&lt;&gt;"",K1311,L1311)))</f>
        <v>159.48</v>
      </c>
      <c r="C1311" s="3">
        <f>MEDIAN(I1311:L1311)</f>
        <v>214.95</v>
      </c>
      <c r="D1311" s="3">
        <f>ROUND(C1311*(1-Settings!$B$2),2)</f>
        <v>150.47</v>
      </c>
      <c r="E1311" s="3">
        <f>ROUND(C1311*(1-Settings!$B$3),2)</f>
        <v>150.47</v>
      </c>
      <c r="F1311" s="2" t="inlineStr">
        <is>
          <t>Pokemon</t>
        </is>
      </c>
      <c r="G1311" s="2" t="inlineStr">
        <is>
          <t>Coffret</t>
        </is>
      </c>
      <c r="H1311" s="2" t="inlineStr">
        <is>
          <t>Miscellaneous Cards &amp; Products</t>
        </is>
      </c>
      <c r="I1311" s="3" t="n"/>
      <c r="J1311" s="3" t="n">
        <v>159.48</v>
      </c>
      <c r="K1311" s="3" t="n">
        <v>214.95</v>
      </c>
      <c r="L1311" s="3" t="n">
        <v>214.95</v>
      </c>
      <c r="M1311" s="2" t="inlineStr">
        <is>
          <t>TCGplayer</t>
        </is>
      </c>
      <c r="O1311" s="4" t="inlineStr">
        <is>
          <t>https://www.tcgplayer.com/product/264259</t>
        </is>
      </c>
    </row>
    <row r="1312">
      <c r="A1312" s="2" t="inlineStr">
        <is>
          <t>Annihilape ex Box</t>
        </is>
      </c>
      <c r="B1312" s="3">
        <f>IF(I1312&lt;&gt;"",I1312,IF(J1312&lt;&gt;"",J1312,IF(K1312&lt;&gt;"",K1312,L1312)))</f>
        <v>53.11</v>
      </c>
      <c r="C1312" s="3">
        <f>MEDIAN(I1312:L1312)</f>
        <v>53.11</v>
      </c>
      <c r="D1312" s="3">
        <f>ROUND(C1312*(1-Settings!$B$2),2)</f>
        <v>37.18</v>
      </c>
      <c r="E1312" s="3">
        <f>ROUND(C1312*(1-Settings!$B$3),2)</f>
        <v>37.18</v>
      </c>
      <c r="F1312" s="2" t="inlineStr">
        <is>
          <t>Pokemon</t>
        </is>
      </c>
      <c r="G1312" s="2" t="inlineStr">
        <is>
          <t>Coffret</t>
        </is>
      </c>
      <c r="H1312" s="2" t="inlineStr">
        <is>
          <t>Miscellaneous Cards &amp; Products</t>
        </is>
      </c>
      <c r="I1312" s="3" t="n"/>
      <c r="J1312" s="3" t="n">
        <v>53.11</v>
      </c>
      <c r="K1312" s="3" t="n">
        <v>74.98999999999999</v>
      </c>
      <c r="L1312" s="3" t="n">
        <v>52.49</v>
      </c>
      <c r="M1312" s="2" t="inlineStr">
        <is>
          <t>TCGplayer</t>
        </is>
      </c>
      <c r="O1312" s="4" t="inlineStr">
        <is>
          <t>https://www.tcgplayer.com/product/497177</t>
        </is>
      </c>
    </row>
    <row r="1313">
      <c r="A1313" s="2" t="inlineStr">
        <is>
          <t>Archaludon ex Box</t>
        </is>
      </c>
      <c r="B1313" s="3">
        <f>IF(I1313&lt;&gt;"",I1313,IF(J1313&lt;&gt;"",J1313,IF(K1313&lt;&gt;"",K1313,L1313)))</f>
        <v>39.4</v>
      </c>
      <c r="C1313" s="3">
        <f>MEDIAN(I1313:L1313)</f>
        <v>40.0</v>
      </c>
      <c r="D1313" s="3">
        <f>ROUND(C1313*(1-Settings!$B$2),2)</f>
        <v>28.0</v>
      </c>
      <c r="E1313" s="3">
        <f>ROUND(C1313*(1-Settings!$B$3),2)</f>
        <v>28.0</v>
      </c>
      <c r="F1313" s="2" t="inlineStr">
        <is>
          <t>Pokemon</t>
        </is>
      </c>
      <c r="G1313" s="2" t="inlineStr">
        <is>
          <t>Coffret</t>
        </is>
      </c>
      <c r="H1313" s="2" t="inlineStr">
        <is>
          <t>Miscellaneous Cards &amp; Products</t>
        </is>
      </c>
      <c r="I1313" s="3" t="n"/>
      <c r="J1313" s="3" t="n">
        <v>39.4</v>
      </c>
      <c r="K1313" s="3" t="n">
        <v>54.66</v>
      </c>
      <c r="L1313" s="3" t="n">
        <v>40</v>
      </c>
      <c r="M1313" s="2" t="inlineStr">
        <is>
          <t>TCGplayer</t>
        </is>
      </c>
      <c r="O1313" s="4" t="inlineStr">
        <is>
          <t>https://www.tcgplayer.com/product/656955</t>
        </is>
      </c>
    </row>
    <row r="1314">
      <c r="A1314" s="2" t="inlineStr">
        <is>
          <t>Armarouge ex Premium Collection</t>
        </is>
      </c>
      <c r="B1314" s="3">
        <f>IF(I1314&lt;&gt;"",I1314,IF(J1314&lt;&gt;"",J1314,IF(K1314&lt;&gt;"",K1314,L1314)))</f>
        <v>60.56</v>
      </c>
      <c r="C1314" s="3">
        <f>MEDIAN(I1314:L1314)</f>
        <v>64.0</v>
      </c>
      <c r="D1314" s="3">
        <f>ROUND(C1314*(1-Settings!$B$2),2)</f>
        <v>44.8</v>
      </c>
      <c r="E1314" s="3">
        <f>ROUND(C1314*(1-Settings!$B$3),2)</f>
        <v>44.8</v>
      </c>
      <c r="F1314" s="2" t="inlineStr">
        <is>
          <t>Pokemon</t>
        </is>
      </c>
      <c r="G1314" s="2" t="inlineStr">
        <is>
          <t>Coffret</t>
        </is>
      </c>
      <c r="H1314" s="2" t="inlineStr">
        <is>
          <t>Miscellaneous Cards &amp; Products</t>
        </is>
      </c>
      <c r="I1314" s="3" t="n"/>
      <c r="J1314" s="3" t="n">
        <v>60.56</v>
      </c>
      <c r="K1314" s="3" t="n">
        <v>75</v>
      </c>
      <c r="L1314" s="3" t="n">
        <v>64</v>
      </c>
      <c r="M1314" s="2" t="inlineStr">
        <is>
          <t>TCGplayer</t>
        </is>
      </c>
      <c r="O1314" s="4" t="inlineStr">
        <is>
          <t>https://www.tcgplayer.com/product/539305</t>
        </is>
      </c>
    </row>
    <row r="1315">
      <c r="A1315" s="2" t="inlineStr">
        <is>
          <t>Ascended Heroes Elite Trainer Box and Pokeball (Sam's Club)</t>
        </is>
      </c>
      <c r="B1315" s="3">
        <f>IF(I1315&lt;&gt;"",I1315,IF(J1315&lt;&gt;"",J1315,IF(K1315&lt;&gt;"",K1315,L1315)))</f>
        <v>159.66</v>
      </c>
      <c r="C1315" s="3">
        <f>MEDIAN(I1315:L1315)</f>
        <v>153.5</v>
      </c>
      <c r="D1315" s="3">
        <f>ROUND(C1315*(1-Settings!$B$2),2)</f>
        <v>107.45</v>
      </c>
      <c r="E1315" s="3">
        <f>ROUND(C1315*(1-Settings!$B$3),2)</f>
        <v>107.45</v>
      </c>
      <c r="F1315" s="2" t="inlineStr">
        <is>
          <t>Pokemon</t>
        </is>
      </c>
      <c r="G1315" s="2" t="inlineStr">
        <is>
          <t>Coffret</t>
        </is>
      </c>
      <c r="H1315" s="2" t="inlineStr">
        <is>
          <t>Miscellaneous Cards &amp; Products</t>
        </is>
      </c>
      <c r="I1315" s="3" t="n"/>
      <c r="J1315" s="3" t="n">
        <v>159.66</v>
      </c>
      <c r="K1315" s="3" t="n">
        <v>153.5</v>
      </c>
      <c r="L1315" s="3" t="n">
        <v>137</v>
      </c>
      <c r="M1315" s="2" t="inlineStr">
        <is>
          <t>TCGplayer</t>
        </is>
      </c>
      <c r="O1315" s="4" t="inlineStr">
        <is>
          <t>https://www.tcgplayer.com/product/723301</t>
        </is>
      </c>
    </row>
    <row r="1316">
      <c r="A1316" s="2" t="inlineStr">
        <is>
          <t>Azure Legends Tin [Dialga ex]</t>
        </is>
      </c>
      <c r="B1316" s="3">
        <f>IF(I1316&lt;&gt;"",I1316,IF(J1316&lt;&gt;"",J1316,IF(K1316&lt;&gt;"",K1316,L1316)))</f>
        <v>40.46</v>
      </c>
      <c r="C1316" s="3">
        <f>MEDIAN(I1316:L1316)</f>
        <v>40.46</v>
      </c>
      <c r="D1316" s="3">
        <f>ROUND(C1316*(1-Settings!$B$2),2)</f>
        <v>28.32</v>
      </c>
      <c r="E1316" s="3">
        <f>ROUND(C1316*(1-Settings!$B$3),2)</f>
        <v>28.32</v>
      </c>
      <c r="F1316" s="2" t="inlineStr">
        <is>
          <t>Pokemon</t>
        </is>
      </c>
      <c r="G1316" s="2" t="inlineStr">
        <is>
          <t>Coffret</t>
        </is>
      </c>
      <c r="H1316" s="2" t="inlineStr">
        <is>
          <t>Miscellaneous Cards &amp; Products</t>
        </is>
      </c>
      <c r="I1316" s="3" t="n"/>
      <c r="J1316" s="3" t="n">
        <v>40.46</v>
      </c>
      <c r="K1316" s="3" t="n">
        <v>54.94</v>
      </c>
      <c r="L1316" s="3" t="n">
        <v>39.86</v>
      </c>
      <c r="M1316" s="2" t="inlineStr">
        <is>
          <t>TCGplayer</t>
        </is>
      </c>
      <c r="O1316" s="4" t="inlineStr">
        <is>
          <t>https://www.tcgplayer.com/product/616291</t>
        </is>
      </c>
    </row>
    <row r="1317">
      <c r="A1317" s="2" t="inlineStr">
        <is>
          <t>Azure Legends Tin [Dialga ex] (International Version)</t>
        </is>
      </c>
      <c r="B1317" s="3">
        <f>IF(I1317&lt;&gt;"",I1317,IF(J1317&lt;&gt;"",J1317,IF(K1317&lt;&gt;"",K1317,L1317)))</f>
        <v>33.48</v>
      </c>
      <c r="C1317" s="3">
        <f>MEDIAN(I1317:L1317)</f>
        <v>33.48</v>
      </c>
      <c r="D1317" s="3">
        <f>ROUND(C1317*(1-Settings!$B$2),2)</f>
        <v>23.44</v>
      </c>
      <c r="E1317" s="3">
        <f>ROUND(C1317*(1-Settings!$B$3),2)</f>
        <v>23.44</v>
      </c>
      <c r="F1317" s="2" t="inlineStr">
        <is>
          <t>Pokemon</t>
        </is>
      </c>
      <c r="G1317" s="2" t="inlineStr">
        <is>
          <t>Coffret</t>
        </is>
      </c>
      <c r="H1317" s="2" t="inlineStr">
        <is>
          <t>Miscellaneous Cards &amp; Products</t>
        </is>
      </c>
      <c r="I1317" s="3" t="n"/>
      <c r="J1317" s="3" t="n">
        <v>33.48</v>
      </c>
      <c r="K1317" s="3" t="n">
        <v>43.5</v>
      </c>
      <c r="L1317" s="3" t="n">
        <v>5.99</v>
      </c>
      <c r="M1317" s="2" t="inlineStr">
        <is>
          <t>TCGplayer</t>
        </is>
      </c>
      <c r="O1317" s="4" t="inlineStr">
        <is>
          <t>https://www.tcgplayer.com/product/628094</t>
        </is>
      </c>
    </row>
    <row r="1318">
      <c r="A1318" s="2" t="inlineStr">
        <is>
          <t>Azure Legends Tin [Kyogre ex]</t>
        </is>
      </c>
      <c r="B1318" s="3">
        <f>IF(I1318&lt;&gt;"",I1318,IF(J1318&lt;&gt;"",J1318,IF(K1318&lt;&gt;"",K1318,L1318)))</f>
        <v>46.98</v>
      </c>
      <c r="C1318" s="3">
        <f>MEDIAN(I1318:L1318)</f>
        <v>51.0</v>
      </c>
      <c r="D1318" s="3">
        <f>ROUND(C1318*(1-Settings!$B$2),2)</f>
        <v>35.7</v>
      </c>
      <c r="E1318" s="3">
        <f>ROUND(C1318*(1-Settings!$B$3),2)</f>
        <v>35.7</v>
      </c>
      <c r="F1318" s="2" t="inlineStr">
        <is>
          <t>Pokemon</t>
        </is>
      </c>
      <c r="G1318" s="2" t="inlineStr">
        <is>
          <t>Coffret</t>
        </is>
      </c>
      <c r="H1318" s="2" t="inlineStr">
        <is>
          <t>Miscellaneous Cards &amp; Products</t>
        </is>
      </c>
      <c r="I1318" s="3" t="n"/>
      <c r="J1318" s="3" t="n">
        <v>46.98</v>
      </c>
      <c r="K1318" s="3" t="n">
        <v>60</v>
      </c>
      <c r="L1318" s="3" t="n">
        <v>51</v>
      </c>
      <c r="M1318" s="2" t="inlineStr">
        <is>
          <t>TCGplayer</t>
        </is>
      </c>
      <c r="O1318" s="4" t="inlineStr">
        <is>
          <t>https://www.tcgplayer.com/product/616292</t>
        </is>
      </c>
    </row>
    <row r="1319">
      <c r="A1319" s="2" t="inlineStr">
        <is>
          <t>Azure Legends Tin [Kyogre ex] (International Version)</t>
        </is>
      </c>
      <c r="B1319" s="3">
        <f>IF(I1319&lt;&gt;"",I1319,IF(J1319&lt;&gt;"",J1319,IF(K1319&lt;&gt;"",K1319,L1319)))</f>
        <v>36.02</v>
      </c>
      <c r="C1319" s="3">
        <f>MEDIAN(I1319:L1319)</f>
        <v>36.02</v>
      </c>
      <c r="D1319" s="3">
        <f>ROUND(C1319*(1-Settings!$B$2),2)</f>
        <v>25.21</v>
      </c>
      <c r="E1319" s="3">
        <f>ROUND(C1319*(1-Settings!$B$3),2)</f>
        <v>25.21</v>
      </c>
      <c r="F1319" s="2" t="inlineStr">
        <is>
          <t>Pokemon</t>
        </is>
      </c>
      <c r="G1319" s="2" t="inlineStr">
        <is>
          <t>Coffret</t>
        </is>
      </c>
      <c r="H1319" s="2" t="inlineStr">
        <is>
          <t>Miscellaneous Cards &amp; Products</t>
        </is>
      </c>
      <c r="I1319" s="3" t="n"/>
      <c r="J1319" s="3" t="n">
        <v>36.02</v>
      </c>
      <c r="K1319" s="3" t="n">
        <v>44</v>
      </c>
      <c r="L1319" s="3" t="n">
        <v>34.8</v>
      </c>
      <c r="M1319" s="2" t="inlineStr">
        <is>
          <t>TCGplayer</t>
        </is>
      </c>
      <c r="O1319" s="4" t="inlineStr">
        <is>
          <t>https://www.tcgplayer.com/product/633082</t>
        </is>
      </c>
    </row>
    <row r="1320">
      <c r="A1320" s="2" t="inlineStr">
        <is>
          <t>Azure Legends Tin [Xerneas ex]</t>
        </is>
      </c>
      <c r="B1320" s="3">
        <f>IF(I1320&lt;&gt;"",I1320,IF(J1320&lt;&gt;"",J1320,IF(K1320&lt;&gt;"",K1320,L1320)))</f>
        <v>38.87</v>
      </c>
      <c r="C1320" s="3">
        <f>MEDIAN(I1320:L1320)</f>
        <v>40.45</v>
      </c>
      <c r="D1320" s="3">
        <f>ROUND(C1320*(1-Settings!$B$2),2)</f>
        <v>28.32</v>
      </c>
      <c r="E1320" s="3">
        <f>ROUND(C1320*(1-Settings!$B$3),2)</f>
        <v>28.32</v>
      </c>
      <c r="F1320" s="2" t="inlineStr">
        <is>
          <t>Pokemon</t>
        </is>
      </c>
      <c r="G1320" s="2" t="inlineStr">
        <is>
          <t>Coffret</t>
        </is>
      </c>
      <c r="H1320" s="2" t="inlineStr">
        <is>
          <t>Miscellaneous Cards &amp; Products</t>
        </is>
      </c>
      <c r="I1320" s="3" t="n"/>
      <c r="J1320" s="3" t="n">
        <v>38.87</v>
      </c>
      <c r="K1320" s="3" t="n">
        <v>60.44</v>
      </c>
      <c r="L1320" s="3" t="n">
        <v>40.45</v>
      </c>
      <c r="M1320" s="2" t="inlineStr">
        <is>
          <t>TCGplayer</t>
        </is>
      </c>
      <c r="O1320" s="4" t="inlineStr">
        <is>
          <t>https://www.tcgplayer.com/product/616293</t>
        </is>
      </c>
    </row>
    <row r="1321">
      <c r="A1321" s="2" t="inlineStr">
        <is>
          <t>Azure Legends Tin [Xerneas ex] (International Version)</t>
        </is>
      </c>
      <c r="B1321" s="3">
        <f>IF(I1321&lt;&gt;"",I1321,IF(J1321&lt;&gt;"",J1321,IF(K1321&lt;&gt;"",K1321,L1321)))</f>
        <v>33.49</v>
      </c>
      <c r="C1321" s="3">
        <f>MEDIAN(I1321:L1321)</f>
        <v>33.49</v>
      </c>
      <c r="D1321" s="3">
        <f>ROUND(C1321*(1-Settings!$B$2),2)</f>
        <v>23.44</v>
      </c>
      <c r="E1321" s="3">
        <f>ROUND(C1321*(1-Settings!$B$3),2)</f>
        <v>23.44</v>
      </c>
      <c r="F1321" s="2" t="inlineStr">
        <is>
          <t>Pokemon</t>
        </is>
      </c>
      <c r="G1321" s="2" t="inlineStr">
        <is>
          <t>Coffret</t>
        </is>
      </c>
      <c r="H1321" s="2" t="inlineStr">
        <is>
          <t>Miscellaneous Cards &amp; Products</t>
        </is>
      </c>
      <c r="I1321" s="3" t="n"/>
      <c r="J1321" s="3" t="n">
        <v>33.49</v>
      </c>
      <c r="K1321" s="3" t="n">
        <v>40.48</v>
      </c>
      <c r="L1321" s="3" t="n">
        <v>5.99</v>
      </c>
      <c r="M1321" s="2" t="inlineStr">
        <is>
          <t>TCGplayer</t>
        </is>
      </c>
      <c r="O1321" s="4" t="inlineStr">
        <is>
          <t>https://www.tcgplayer.com/product/633083</t>
        </is>
      </c>
    </row>
    <row r="1322">
      <c r="A1322" s="2" t="inlineStr">
        <is>
          <t>Azure Legends Tins [Set of 3] (International Version)</t>
        </is>
      </c>
      <c r="B1322" s="3">
        <f>IF(I1322&lt;&gt;"",I1322,IF(J1322&lt;&gt;"",J1322,IF(K1322&lt;&gt;"",K1322,L1322)))</f>
        <v>106.07</v>
      </c>
      <c r="C1322" s="3">
        <f>MEDIAN(I1322:L1322)</f>
        <v>106.07</v>
      </c>
      <c r="D1322" s="3">
        <f>ROUND(C1322*(1-Settings!$B$2),2)</f>
        <v>74.25</v>
      </c>
      <c r="E1322" s="3">
        <f>ROUND(C1322*(1-Settings!$B$3),2)</f>
        <v>74.25</v>
      </c>
      <c r="F1322" s="2" t="inlineStr">
        <is>
          <t>Pokemon</t>
        </is>
      </c>
      <c r="G1322" s="2" t="inlineStr">
        <is>
          <t>Coffret</t>
        </is>
      </c>
      <c r="H1322" s="2" t="inlineStr">
        <is>
          <t>Miscellaneous Cards &amp; Products</t>
        </is>
      </c>
      <c r="I1322" s="3" t="n"/>
      <c r="J1322" s="3" t="n">
        <v>106.07</v>
      </c>
      <c r="K1322" s="3" t="n">
        <v>106.81</v>
      </c>
      <c r="L1322" s="3" t="n">
        <v>98</v>
      </c>
      <c r="M1322" s="2" t="inlineStr">
        <is>
          <t>TCGplayer</t>
        </is>
      </c>
      <c r="O1322" s="4" t="inlineStr">
        <is>
          <t>https://www.tcgplayer.com/product/633084</t>
        </is>
      </c>
    </row>
    <row r="1323">
      <c r="A1323" s="2" t="inlineStr">
        <is>
          <t>Back-to-School 2024 Collector Chest</t>
        </is>
      </c>
      <c r="B1323" s="3">
        <f>IF(I1323&lt;&gt;"",I1323,IF(J1323&lt;&gt;"",J1323,IF(K1323&lt;&gt;"",K1323,L1323)))</f>
        <v>50.6</v>
      </c>
      <c r="C1323" s="3">
        <f>MEDIAN(I1323:L1323)</f>
        <v>50.6</v>
      </c>
      <c r="D1323" s="3">
        <f>ROUND(C1323*(1-Settings!$B$2),2)</f>
        <v>35.42</v>
      </c>
      <c r="E1323" s="3">
        <f>ROUND(C1323*(1-Settings!$B$3),2)</f>
        <v>35.42</v>
      </c>
      <c r="F1323" s="2" t="inlineStr">
        <is>
          <t>Pokemon</t>
        </is>
      </c>
      <c r="G1323" s="2" t="inlineStr">
        <is>
          <t>Coffret</t>
        </is>
      </c>
      <c r="H1323" s="2" t="inlineStr">
        <is>
          <t>Miscellaneous Cards &amp; Products</t>
        </is>
      </c>
      <c r="I1323" s="3" t="n"/>
      <c r="J1323" s="3" t="n">
        <v>50.6</v>
      </c>
      <c r="K1323" s="3" t="n">
        <v>52.75</v>
      </c>
      <c r="L1323" s="3" t="n">
        <v>43.89</v>
      </c>
      <c r="M1323" s="2" t="inlineStr">
        <is>
          <t>TCGplayer</t>
        </is>
      </c>
      <c r="O1323" s="4" t="inlineStr">
        <is>
          <t>https://www.tcgplayer.com/product/549454</t>
        </is>
      </c>
    </row>
    <row r="1324">
      <c r="A1324" s="2" t="inlineStr">
        <is>
          <t>Black Kyurem ex Box</t>
        </is>
      </c>
      <c r="B1324" s="3">
        <f>IF(I1324&lt;&gt;"",I1324,IF(J1324&lt;&gt;"",J1324,IF(K1324&lt;&gt;"",K1324,L1324)))</f>
        <v>38.79</v>
      </c>
      <c r="C1324" s="3">
        <f>MEDIAN(I1324:L1324)</f>
        <v>39.99</v>
      </c>
      <c r="D1324" s="3">
        <f>ROUND(C1324*(1-Settings!$B$2),2)</f>
        <v>27.99</v>
      </c>
      <c r="E1324" s="3">
        <f>ROUND(C1324*(1-Settings!$B$3),2)</f>
        <v>27.99</v>
      </c>
      <c r="F1324" s="2" t="inlineStr">
        <is>
          <t>Pokemon</t>
        </is>
      </c>
      <c r="G1324" s="2" t="inlineStr">
        <is>
          <t>Coffret</t>
        </is>
      </c>
      <c r="H1324" s="2" t="inlineStr">
        <is>
          <t>Miscellaneous Cards &amp; Products</t>
        </is>
      </c>
      <c r="I1324" s="3" t="n"/>
      <c r="J1324" s="3" t="n">
        <v>38.79</v>
      </c>
      <c r="K1324" s="3" t="n">
        <v>44.99</v>
      </c>
      <c r="L1324" s="3" t="n">
        <v>39.99</v>
      </c>
      <c r="M1324" s="2" t="inlineStr">
        <is>
          <t>TCGplayer</t>
        </is>
      </c>
      <c r="O1324" s="4" t="inlineStr">
        <is>
          <t>https://www.tcgplayer.com/product/662745</t>
        </is>
      </c>
    </row>
    <row r="1325">
      <c r="A1325" s="2" t="inlineStr">
        <is>
          <t>Blastoise VMAX Battle Box</t>
        </is>
      </c>
      <c r="B1325" s="3">
        <f>IF(I1325&lt;&gt;"",I1325,IF(J1325&lt;&gt;"",J1325,IF(K1325&lt;&gt;"",K1325,L1325)))</f>
        <v>105.99</v>
      </c>
      <c r="C1325" s="3">
        <f>MEDIAN(I1325:L1325)</f>
        <v>110.0</v>
      </c>
      <c r="D1325" s="3">
        <f>ROUND(C1325*(1-Settings!$B$2),2)</f>
        <v>77.0</v>
      </c>
      <c r="E1325" s="3">
        <f>ROUND(C1325*(1-Settings!$B$3),2)</f>
        <v>77.0</v>
      </c>
      <c r="F1325" s="2" t="inlineStr">
        <is>
          <t>Pokemon</t>
        </is>
      </c>
      <c r="G1325" s="2" t="inlineStr">
        <is>
          <t>Coffret</t>
        </is>
      </c>
      <c r="H1325" s="2" t="inlineStr">
        <is>
          <t>Miscellaneous Cards &amp; Products</t>
        </is>
      </c>
      <c r="I1325" s="3" t="n"/>
      <c r="J1325" s="3" t="n">
        <v>105.99</v>
      </c>
      <c r="K1325" s="3" t="n">
        <v>129</v>
      </c>
      <c r="L1325" s="3" t="n">
        <v>110</v>
      </c>
      <c r="M1325" s="2" t="inlineStr">
        <is>
          <t>TCGplayer</t>
        </is>
      </c>
      <c r="O1325" s="4" t="inlineStr">
        <is>
          <t>https://www.tcgplayer.com/product/231295</t>
        </is>
      </c>
    </row>
    <row r="1326">
      <c r="A1326" s="2" t="inlineStr">
        <is>
          <t>Blaziken ex &amp; Volcanion ex Premium Collection</t>
        </is>
      </c>
      <c r="B1326" s="3">
        <f>IF(I1326&lt;&gt;"",I1326,IF(J1326&lt;&gt;"",J1326,IF(K1326&lt;&gt;"",K1326,L1326)))</f>
        <v>88.37</v>
      </c>
      <c r="C1326" s="3">
        <f>MEDIAN(I1326:L1326)</f>
        <v>88.37</v>
      </c>
      <c r="D1326" s="3">
        <f>ROUND(C1326*(1-Settings!$B$2),2)</f>
        <v>61.86</v>
      </c>
      <c r="E1326" s="3">
        <f>ROUND(C1326*(1-Settings!$B$3),2)</f>
        <v>61.86</v>
      </c>
      <c r="F1326" s="2" t="inlineStr">
        <is>
          <t>Pokemon</t>
        </is>
      </c>
      <c r="G1326" s="2" t="inlineStr">
        <is>
          <t>Coffret</t>
        </is>
      </c>
      <c r="H1326" s="2" t="inlineStr">
        <is>
          <t>Miscellaneous Cards &amp; Products</t>
        </is>
      </c>
      <c r="I1326" s="3" t="n"/>
      <c r="J1326" s="3" t="n">
        <v>88.37</v>
      </c>
      <c r="K1326" s="3" t="n">
        <v>91</v>
      </c>
      <c r="L1326" s="3" t="n">
        <v>85</v>
      </c>
      <c r="M1326" s="2" t="inlineStr">
        <is>
          <t>TCGplayer</t>
        </is>
      </c>
      <c r="O1326" s="4" t="inlineStr">
        <is>
          <t>https://www.tcgplayer.com/product/650229</t>
        </is>
      </c>
    </row>
    <row r="1327">
      <c r="A1327" s="2" t="inlineStr">
        <is>
          <t>Bloodmoon Ursaluna ex Box</t>
        </is>
      </c>
      <c r="B1327" s="3">
        <f>IF(I1327&lt;&gt;"",I1327,IF(J1327&lt;&gt;"",J1327,IF(K1327&lt;&gt;"",K1327,L1327)))</f>
        <v>38.58</v>
      </c>
      <c r="C1327" s="3">
        <f>MEDIAN(I1327:L1327)</f>
        <v>38.58</v>
      </c>
      <c r="D1327" s="3">
        <f>ROUND(C1327*(1-Settings!$B$2),2)</f>
        <v>27.01</v>
      </c>
      <c r="E1327" s="3">
        <f>ROUND(C1327*(1-Settings!$B$3),2)</f>
        <v>27.01</v>
      </c>
      <c r="F1327" s="2" t="inlineStr">
        <is>
          <t>Pokemon</t>
        </is>
      </c>
      <c r="G1327" s="2" t="inlineStr">
        <is>
          <t>Coffret</t>
        </is>
      </c>
      <c r="H1327" s="2" t="inlineStr">
        <is>
          <t>Miscellaneous Cards &amp; Products</t>
        </is>
      </c>
      <c r="I1327" s="3" t="n"/>
      <c r="J1327" s="3" t="n">
        <v>38.58</v>
      </c>
      <c r="K1327" s="3" t="n">
        <v>45.99</v>
      </c>
      <c r="L1327" s="3" t="n">
        <v>5.99</v>
      </c>
      <c r="M1327" s="2" t="inlineStr">
        <is>
          <t>TCGplayer</t>
        </is>
      </c>
      <c r="O1327" s="4" t="inlineStr">
        <is>
          <t>https://www.tcgplayer.com/product/575897</t>
        </is>
      </c>
    </row>
    <row r="1328">
      <c r="A1328" s="2" t="inlineStr">
        <is>
          <t>Boltund V Box</t>
        </is>
      </c>
      <c r="B1328" s="3">
        <f>IF(I1328&lt;&gt;"",I1328,IF(J1328&lt;&gt;"",J1328,IF(K1328&lt;&gt;"",K1328,L1328)))</f>
        <v>77.22</v>
      </c>
      <c r="C1328" s="3">
        <f>MEDIAN(I1328:L1328)</f>
        <v>77.22</v>
      </c>
      <c r="D1328" s="3">
        <f>ROUND(C1328*(1-Settings!$B$2),2)</f>
        <v>54.05</v>
      </c>
      <c r="E1328" s="3">
        <f>ROUND(C1328*(1-Settings!$B$3),2)</f>
        <v>54.05</v>
      </c>
      <c r="F1328" s="2" t="inlineStr">
        <is>
          <t>Pokemon</t>
        </is>
      </c>
      <c r="G1328" s="2" t="inlineStr">
        <is>
          <t>Coffret</t>
        </is>
      </c>
      <c r="H1328" s="2" t="inlineStr">
        <is>
          <t>Miscellaneous Cards &amp; Products</t>
        </is>
      </c>
      <c r="I1328" s="3" t="n"/>
      <c r="J1328" s="3" t="n">
        <v>77.22</v>
      </c>
      <c r="K1328" s="3" t="n">
        <v>96.89</v>
      </c>
      <c r="L1328" s="3" t="n">
        <v>74.98</v>
      </c>
      <c r="M1328" s="2" t="inlineStr">
        <is>
          <t>TCGplayer</t>
        </is>
      </c>
      <c r="O1328" s="4" t="inlineStr">
        <is>
          <t>https://www.tcgplayer.com/product/262968</t>
        </is>
      </c>
    </row>
    <row r="1329">
      <c r="A1329" s="2" t="inlineStr">
        <is>
          <t>Charizard ex Premium Collection</t>
        </is>
      </c>
      <c r="B1329" s="3">
        <f>IF(I1329&lt;&gt;"",I1329,IF(J1329&lt;&gt;"",J1329,IF(K1329&lt;&gt;"",K1329,L1329)))</f>
        <v>108.84</v>
      </c>
      <c r="C1329" s="3">
        <f>MEDIAN(I1329:L1329)</f>
        <v>108.84</v>
      </c>
      <c r="D1329" s="3">
        <f>ROUND(C1329*(1-Settings!$B$2),2)</f>
        <v>76.19</v>
      </c>
      <c r="E1329" s="3">
        <f>ROUND(C1329*(1-Settings!$B$3),2)</f>
        <v>76.19</v>
      </c>
      <c r="F1329" s="2" t="inlineStr">
        <is>
          <t>Pokemon</t>
        </is>
      </c>
      <c r="G1329" s="2" t="inlineStr">
        <is>
          <t>Coffret</t>
        </is>
      </c>
      <c r="H1329" s="2" t="inlineStr">
        <is>
          <t>Miscellaneous Cards &amp; Products</t>
        </is>
      </c>
      <c r="I1329" s="3" t="n"/>
      <c r="J1329" s="3" t="n">
        <v>108.84</v>
      </c>
      <c r="K1329" s="3" t="n">
        <v>129.99</v>
      </c>
      <c r="L1329" s="3" t="n">
        <v>100</v>
      </c>
      <c r="M1329" s="2" t="inlineStr">
        <is>
          <t>TCGplayer</t>
        </is>
      </c>
      <c r="O1329" s="4" t="inlineStr">
        <is>
          <t>https://www.tcgplayer.com/product/516576</t>
        </is>
      </c>
    </row>
    <row r="1330">
      <c r="A1330" s="2" t="inlineStr">
        <is>
          <t>Charizard ex Special Collection</t>
        </is>
      </c>
      <c r="B1330" s="3">
        <f>IF(I1330&lt;&gt;"",I1330,IF(J1330&lt;&gt;"",J1330,IF(K1330&lt;&gt;"",K1330,L1330)))</f>
        <v>60.36</v>
      </c>
      <c r="C1330" s="3">
        <f>MEDIAN(I1330:L1330)</f>
        <v>60.36</v>
      </c>
      <c r="D1330" s="3">
        <f>ROUND(C1330*(1-Settings!$B$2),2)</f>
        <v>42.25</v>
      </c>
      <c r="E1330" s="3">
        <f>ROUND(C1330*(1-Settings!$B$3),2)</f>
        <v>42.25</v>
      </c>
      <c r="F1330" s="2" t="inlineStr">
        <is>
          <t>Pokemon</t>
        </is>
      </c>
      <c r="G1330" s="2" t="inlineStr">
        <is>
          <t>Coffret</t>
        </is>
      </c>
      <c r="H1330" s="2" t="inlineStr">
        <is>
          <t>Miscellaneous Cards &amp; Products</t>
        </is>
      </c>
      <c r="I1330" s="3" t="n"/>
      <c r="J1330" s="3" t="n">
        <v>60.36</v>
      </c>
      <c r="K1330" s="3" t="n">
        <v>68</v>
      </c>
      <c r="L1330" s="3" t="n">
        <v>55.99</v>
      </c>
      <c r="M1330" s="2" t="inlineStr">
        <is>
          <t>TCGplayer</t>
        </is>
      </c>
      <c r="O1330" s="4" t="inlineStr">
        <is>
          <t>https://www.tcgplayer.com/product/616305</t>
        </is>
      </c>
    </row>
    <row r="1331">
      <c r="A1331" s="2" t="inlineStr">
        <is>
          <t>Charizard ex Super-Premium Collection</t>
        </is>
      </c>
      <c r="B1331" s="3">
        <f>IF(I1331&lt;&gt;"",I1331,IF(J1331&lt;&gt;"",J1331,IF(K1331&lt;&gt;"",K1331,L1331)))</f>
        <v>124.54</v>
      </c>
      <c r="C1331" s="3">
        <f>MEDIAN(I1331:L1331)</f>
        <v>124.54</v>
      </c>
      <c r="D1331" s="3">
        <f>ROUND(C1331*(1-Settings!$B$2),2)</f>
        <v>87.18</v>
      </c>
      <c r="E1331" s="3">
        <f>ROUND(C1331*(1-Settings!$B$3),2)</f>
        <v>87.18</v>
      </c>
      <c r="F1331" s="2" t="inlineStr">
        <is>
          <t>Pokemon</t>
        </is>
      </c>
      <c r="G1331" s="2" t="inlineStr">
        <is>
          <t>Coffret</t>
        </is>
      </c>
      <c r="H1331" s="2" t="inlineStr">
        <is>
          <t>Miscellaneous Cards &amp; Products</t>
        </is>
      </c>
      <c r="I1331" s="3" t="n"/>
      <c r="J1331" s="3" t="n">
        <v>124.54</v>
      </c>
      <c r="K1331" s="3" t="n">
        <v>143.96</v>
      </c>
      <c r="L1331" s="3" t="n">
        <v>109.95</v>
      </c>
      <c r="M1331" s="2" t="inlineStr">
        <is>
          <t>TCGplayer</t>
        </is>
      </c>
      <c r="O1331" s="4" t="inlineStr">
        <is>
          <t>https://www.tcgplayer.com/product/560625</t>
        </is>
      </c>
    </row>
    <row r="1332">
      <c r="A1332" s="2" t="inlineStr">
        <is>
          <t>Checklane 2-Pack Blister [Pawmot] (1-tab)</t>
        </is>
      </c>
      <c r="B1332" s="3">
        <f>IF(I1332&lt;&gt;"",I1332,IF(J1332&lt;&gt;"",J1332,IF(K1332&lt;&gt;"",K1332,L1332)))</f>
        <v>14.86</v>
      </c>
      <c r="C1332" s="3">
        <f>MEDIAN(I1332:L1332)</f>
        <v>14.86</v>
      </c>
      <c r="D1332" s="3">
        <f>ROUND(C1332*(1-Settings!$B$2),2)</f>
        <v>10.4</v>
      </c>
      <c r="E1332" s="3">
        <f>ROUND(C1332*(1-Settings!$B$3),2)</f>
        <v>10.4</v>
      </c>
      <c r="F1332" s="2" t="inlineStr">
        <is>
          <t>Pokemon</t>
        </is>
      </c>
      <c r="G1332" s="2" t="inlineStr">
        <is>
          <t>Coffret</t>
        </is>
      </c>
      <c r="H1332" s="2" t="inlineStr">
        <is>
          <t>Miscellaneous Cards &amp; Products</t>
        </is>
      </c>
      <c r="I1332" s="3" t="n"/>
      <c r="J1332" s="3" t="n">
        <v>14.86</v>
      </c>
      <c r="K1332" s="3" t="n">
        <v>89.98999999999999</v>
      </c>
      <c r="L1332" s="3" t="n">
        <v>0.99</v>
      </c>
      <c r="M1332" s="2" t="inlineStr">
        <is>
          <t>TCGplayer</t>
        </is>
      </c>
      <c r="O1332" s="4" t="inlineStr">
        <is>
          <t>https://www.tcgplayer.com/product/598499</t>
        </is>
      </c>
    </row>
    <row r="1333">
      <c r="A1333" s="2" t="inlineStr">
        <is>
          <t>Checklane 2-Pack Blister [Pawmot] (3-tab)</t>
        </is>
      </c>
      <c r="B1333" s="3">
        <f>IF(I1333&lt;&gt;"",I1333,IF(J1333&lt;&gt;"",J1333,IF(K1333&lt;&gt;"",K1333,L1333)))</f>
        <v>22.01</v>
      </c>
      <c r="C1333" s="3">
        <f>MEDIAN(I1333:L1333)</f>
        <v>30.0</v>
      </c>
      <c r="D1333" s="3">
        <f>ROUND(C1333*(1-Settings!$B$2),2)</f>
        <v>21.0</v>
      </c>
      <c r="E1333" s="3">
        <f>ROUND(C1333*(1-Settings!$B$3),2)</f>
        <v>21.0</v>
      </c>
      <c r="F1333" s="2" t="inlineStr">
        <is>
          <t>Pokemon</t>
        </is>
      </c>
      <c r="G1333" s="2" t="inlineStr">
        <is>
          <t>Coffret</t>
        </is>
      </c>
      <c r="H1333" s="2" t="inlineStr">
        <is>
          <t>Miscellaneous Cards &amp; Products</t>
        </is>
      </c>
      <c r="I1333" s="3" t="n"/>
      <c r="J1333" s="3" t="n">
        <v>22.01</v>
      </c>
      <c r="K1333" s="3" t="n">
        <v>60.48</v>
      </c>
      <c r="L1333" s="3" t="n">
        <v>30</v>
      </c>
      <c r="M1333" s="2" t="inlineStr">
        <is>
          <t>TCGplayer</t>
        </is>
      </c>
      <c r="O1333" s="4" t="inlineStr">
        <is>
          <t>https://www.tcgplayer.com/product/653625</t>
        </is>
      </c>
    </row>
    <row r="1334">
      <c r="A1334" s="2" t="inlineStr">
        <is>
          <t>Checklane 2-Pack Pin Blister [Arceus]</t>
        </is>
      </c>
      <c r="B1334" s="3">
        <f>IF(I1334&lt;&gt;"",I1334,IF(J1334&lt;&gt;"",J1334,IF(K1334&lt;&gt;"",K1334,L1334)))</f>
        <v>43.67</v>
      </c>
      <c r="C1334" s="3">
        <f>MEDIAN(I1334:L1334)</f>
        <v>43.67</v>
      </c>
      <c r="D1334" s="3">
        <f>ROUND(C1334*(1-Settings!$B$2),2)</f>
        <v>30.57</v>
      </c>
      <c r="E1334" s="3">
        <f>ROUND(C1334*(1-Settings!$B$3),2)</f>
        <v>30.57</v>
      </c>
      <c r="F1334" s="2" t="inlineStr">
        <is>
          <t>Pokemon</t>
        </is>
      </c>
      <c r="G1334" s="2" t="inlineStr">
        <is>
          <t>Coffret</t>
        </is>
      </c>
      <c r="H1334" s="2" t="inlineStr">
        <is>
          <t>Miscellaneous Cards &amp; Products</t>
        </is>
      </c>
      <c r="I1334" s="3" t="n"/>
      <c r="J1334" s="3" t="n">
        <v>43.67</v>
      </c>
      <c r="K1334" s="3" t="n"/>
      <c r="L1334" s="3" t="n"/>
      <c r="M1334" s="2" t="inlineStr">
        <is>
          <t>TCGplayer</t>
        </is>
      </c>
      <c r="O1334" s="4" t="inlineStr">
        <is>
          <t>https://www.tcgplayer.com/product/650144</t>
        </is>
      </c>
    </row>
    <row r="1335">
      <c r="A1335" s="2" t="inlineStr">
        <is>
          <t>Checklane 2-Pack Pin Blister [Celebi]</t>
        </is>
      </c>
      <c r="B1335" s="3">
        <f>IF(I1335&lt;&gt;"",I1335,IF(J1335&lt;&gt;"",J1335,IF(K1335&lt;&gt;"",K1335,L1335)))</f>
        <v>84.65</v>
      </c>
      <c r="C1335" s="3">
        <f>MEDIAN(I1335:L1335)</f>
        <v>95.99</v>
      </c>
      <c r="D1335" s="3">
        <f>ROUND(C1335*(1-Settings!$B$2),2)</f>
        <v>67.19</v>
      </c>
      <c r="E1335" s="3">
        <f>ROUND(C1335*(1-Settings!$B$3),2)</f>
        <v>67.19</v>
      </c>
      <c r="F1335" s="2" t="inlineStr">
        <is>
          <t>Pokemon</t>
        </is>
      </c>
      <c r="G1335" s="2" t="inlineStr">
        <is>
          <t>Coffret</t>
        </is>
      </c>
      <c r="H1335" s="2" t="inlineStr">
        <is>
          <t>Miscellaneous Cards &amp; Products</t>
        </is>
      </c>
      <c r="I1335" s="3" t="n"/>
      <c r="J1335" s="3" t="n">
        <v>84.65000000000001</v>
      </c>
      <c r="K1335" s="3" t="n">
        <v>103</v>
      </c>
      <c r="L1335" s="3" t="n">
        <v>95.98999999999999</v>
      </c>
      <c r="M1335" s="2" t="inlineStr">
        <is>
          <t>TCGplayer</t>
        </is>
      </c>
      <c r="O1335" s="4" t="inlineStr">
        <is>
          <t>https://www.tcgplayer.com/product/489632</t>
        </is>
      </c>
    </row>
    <row r="1336">
      <c r="A1336" s="2" t="inlineStr">
        <is>
          <t>Checklane 2-Pack Pin Blister [Latias]</t>
        </is>
      </c>
      <c r="B1336" s="3">
        <f>IF(I1336&lt;&gt;"",I1336,IF(J1336&lt;&gt;"",J1336,IF(K1336&lt;&gt;"",K1336,L1336)))</f>
        <v>95.0</v>
      </c>
      <c r="C1336" s="3">
        <f>MEDIAN(I1336:L1336)</f>
        <v>95.0</v>
      </c>
      <c r="D1336" s="3">
        <f>ROUND(C1336*(1-Settings!$B$2),2)</f>
        <v>66.5</v>
      </c>
      <c r="E1336" s="3">
        <f>ROUND(C1336*(1-Settings!$B$3),2)</f>
        <v>66.5</v>
      </c>
      <c r="F1336" s="2" t="inlineStr">
        <is>
          <t>Pokemon</t>
        </is>
      </c>
      <c r="G1336" s="2" t="inlineStr">
        <is>
          <t>Coffret</t>
        </is>
      </c>
      <c r="H1336" s="2" t="inlineStr">
        <is>
          <t>Miscellaneous Cards &amp; Products</t>
        </is>
      </c>
      <c r="I1336" s="3" t="n"/>
      <c r="J1336" s="3" t="n">
        <v>95</v>
      </c>
      <c r="K1336" s="3" t="n">
        <v>104</v>
      </c>
      <c r="L1336" s="3" t="n">
        <v>84.98999999999999</v>
      </c>
      <c r="M1336" s="2" t="inlineStr">
        <is>
          <t>TCGplayer</t>
        </is>
      </c>
      <c r="O1336" s="4" t="inlineStr">
        <is>
          <t>https://www.tcgplayer.com/product/456111</t>
        </is>
      </c>
    </row>
    <row r="1337">
      <c r="A1337" s="2" t="inlineStr">
        <is>
          <t>Checklane 2-Pack Pin Blister [Latios]</t>
        </is>
      </c>
      <c r="B1337" s="3">
        <f>IF(I1337&lt;&gt;"",I1337,IF(J1337&lt;&gt;"",J1337,IF(K1337&lt;&gt;"",K1337,L1337)))</f>
        <v>104.0</v>
      </c>
      <c r="C1337" s="3">
        <f>MEDIAN(I1337:L1337)</f>
        <v>91.995</v>
      </c>
      <c r="D1337" s="3">
        <f>ROUND(C1337*(1-Settings!$B$2),2)</f>
        <v>64.4</v>
      </c>
      <c r="E1337" s="3">
        <f>ROUND(C1337*(1-Settings!$B$3),2)</f>
        <v>64.4</v>
      </c>
      <c r="F1337" s="2" t="inlineStr">
        <is>
          <t>Pokemon</t>
        </is>
      </c>
      <c r="G1337" s="2" t="inlineStr">
        <is>
          <t>Coffret</t>
        </is>
      </c>
      <c r="H1337" s="2" t="inlineStr">
        <is>
          <t>Miscellaneous Cards &amp; Products</t>
        </is>
      </c>
      <c r="I1337" s="3" t="n"/>
      <c r="J1337" s="3" t="n"/>
      <c r="K1337" s="3" t="n">
        <v>104</v>
      </c>
      <c r="L1337" s="3" t="n">
        <v>79.98999999999999</v>
      </c>
      <c r="M1337" s="2" t="inlineStr">
        <is>
          <t>TCGplayer</t>
        </is>
      </c>
      <c r="O1337" s="4" t="inlineStr">
        <is>
          <t>https://www.tcgplayer.com/product/456118</t>
        </is>
      </c>
    </row>
    <row r="1338">
      <c r="A1338" s="2" t="inlineStr">
        <is>
          <t>Checklane 2-Pack Pin Blister [Mega Alakazam]</t>
        </is>
      </c>
      <c r="B1338" s="3">
        <f>IF(I1338&lt;&gt;"",I1338,IF(J1338&lt;&gt;"",J1338,IF(K1338&lt;&gt;"",K1338,L1338)))</f>
        <v>249.99</v>
      </c>
      <c r="C1338" s="3">
        <f>MEDIAN(I1338:L1338)</f>
        <v>249.99</v>
      </c>
      <c r="D1338" s="3">
        <f>ROUND(C1338*(1-Settings!$B$2),2)</f>
        <v>174.99</v>
      </c>
      <c r="E1338" s="3">
        <f>ROUND(C1338*(1-Settings!$B$3),2)</f>
        <v>174.99</v>
      </c>
      <c r="F1338" s="2" t="inlineStr">
        <is>
          <t>Pokemon</t>
        </is>
      </c>
      <c r="G1338" s="2" t="inlineStr">
        <is>
          <t>Coffret</t>
        </is>
      </c>
      <c r="H1338" s="2" t="inlineStr">
        <is>
          <t>Miscellaneous Cards &amp; Products</t>
        </is>
      </c>
      <c r="I1338" s="3" t="n"/>
      <c r="J1338" s="3" t="n"/>
      <c r="K1338" s="3" t="n">
        <v>249.99</v>
      </c>
      <c r="L1338" s="3" t="n">
        <v>249.99</v>
      </c>
      <c r="M1338" s="2" t="inlineStr">
        <is>
          <t>TCGplayer</t>
        </is>
      </c>
      <c r="O1338" s="4" t="inlineStr">
        <is>
          <t>https://www.tcgplayer.com/product/713198</t>
        </is>
      </c>
    </row>
    <row r="1339">
      <c r="A1339" s="2" t="inlineStr">
        <is>
          <t>Combined Powers Premium Collection</t>
        </is>
      </c>
      <c r="B1339" s="3">
        <f>IF(I1339&lt;&gt;"",I1339,IF(J1339&lt;&gt;"",J1339,IF(K1339&lt;&gt;"",K1339,L1339)))</f>
        <v>124.03</v>
      </c>
      <c r="C1339" s="3">
        <f>MEDIAN(I1339:L1339)</f>
        <v>124.03</v>
      </c>
      <c r="D1339" s="3">
        <f>ROUND(C1339*(1-Settings!$B$2),2)</f>
        <v>86.82</v>
      </c>
      <c r="E1339" s="3">
        <f>ROUND(C1339*(1-Settings!$B$3),2)</f>
        <v>86.82</v>
      </c>
      <c r="F1339" s="2" t="inlineStr">
        <is>
          <t>Pokemon</t>
        </is>
      </c>
      <c r="G1339" s="2" t="inlineStr">
        <is>
          <t>Coffret</t>
        </is>
      </c>
      <c r="H1339" s="2" t="inlineStr">
        <is>
          <t>Miscellaneous Cards &amp; Products</t>
        </is>
      </c>
      <c r="I1339" s="3" t="n"/>
      <c r="J1339" s="3" t="n">
        <v>124.03</v>
      </c>
      <c r="K1339" s="3" t="n">
        <v>124.99</v>
      </c>
      <c r="L1339" s="3" t="n">
        <v>90</v>
      </c>
      <c r="M1339" s="2" t="inlineStr">
        <is>
          <t>TCGplayer</t>
        </is>
      </c>
      <c r="O1339" s="4" t="inlineStr">
        <is>
          <t>https://www.tcgplayer.com/product/532385</t>
        </is>
      </c>
    </row>
    <row r="1340">
      <c r="A1340" s="2" t="inlineStr">
        <is>
          <t>Costco 6-Pack Poke balls</t>
        </is>
      </c>
      <c r="B1340" s="3">
        <f>IF(I1340&lt;&gt;"",I1340,IF(J1340&lt;&gt;"",J1340,IF(K1340&lt;&gt;"",K1340,L1340)))</f>
        <v>121.87</v>
      </c>
      <c r="C1340" s="3">
        <f>MEDIAN(I1340:L1340)</f>
        <v>121.87</v>
      </c>
      <c r="D1340" s="3">
        <f>ROUND(C1340*(1-Settings!$B$2),2)</f>
        <v>85.31</v>
      </c>
      <c r="E1340" s="3">
        <f>ROUND(C1340*(1-Settings!$B$3),2)</f>
        <v>85.31</v>
      </c>
      <c r="F1340" s="2" t="inlineStr">
        <is>
          <t>Pokemon</t>
        </is>
      </c>
      <c r="G1340" s="2" t="inlineStr">
        <is>
          <t>Coffret</t>
        </is>
      </c>
      <c r="H1340" s="2" t="inlineStr">
        <is>
          <t>Miscellaneous Cards &amp; Products</t>
        </is>
      </c>
      <c r="I1340" s="3" t="n"/>
      <c r="J1340" s="3" t="n">
        <v>121.87</v>
      </c>
      <c r="K1340" s="3" t="n">
        <v>138.99</v>
      </c>
      <c r="L1340" s="3" t="n">
        <v>115</v>
      </c>
      <c r="M1340" s="2" t="inlineStr">
        <is>
          <t>TCGplayer</t>
        </is>
      </c>
      <c r="O1340" s="4" t="inlineStr">
        <is>
          <t>https://www.tcgplayer.com/product/685924</t>
        </is>
      </c>
    </row>
    <row r="1341">
      <c r="A1341" s="2" t="inlineStr">
        <is>
          <t>Costco Ascended Heroes Mini Tins 5-Pack</t>
        </is>
      </c>
      <c r="B1341" s="3">
        <f>IF(I1341&lt;&gt;"",I1341,IF(J1341&lt;&gt;"",J1341,IF(K1341&lt;&gt;"",K1341,L1341)))</f>
        <v>103.07</v>
      </c>
      <c r="C1341" s="3">
        <f>MEDIAN(I1341:L1341)</f>
        <v>103.07</v>
      </c>
      <c r="D1341" s="3">
        <f>ROUND(C1341*(1-Settings!$B$2),2)</f>
        <v>72.15</v>
      </c>
      <c r="E1341" s="3">
        <f>ROUND(C1341*(1-Settings!$B$3),2)</f>
        <v>72.15</v>
      </c>
      <c r="F1341" s="2" t="inlineStr">
        <is>
          <t>Pokemon</t>
        </is>
      </c>
      <c r="G1341" s="2" t="inlineStr">
        <is>
          <t>Coffret</t>
        </is>
      </c>
      <c r="H1341" s="2" t="inlineStr">
        <is>
          <t>Miscellaneous Cards &amp; Products</t>
        </is>
      </c>
      <c r="I1341" s="3" t="n"/>
      <c r="J1341" s="3" t="n">
        <v>103.07</v>
      </c>
      <c r="K1341" s="3" t="n">
        <v>120</v>
      </c>
      <c r="L1341" s="3" t="n">
        <v>100</v>
      </c>
      <c r="M1341" s="2" t="inlineStr">
        <is>
          <t>TCGplayer</t>
        </is>
      </c>
      <c r="O1341" s="4" t="inlineStr">
        <is>
          <t>https://www.tcgplayer.com/product/719650</t>
        </is>
      </c>
    </row>
    <row r="1342">
      <c r="A1342" s="2" t="inlineStr">
        <is>
          <t>Costco Exclusive 4-Tin Bundle: V Heroes Tin [Set of 3] + V Strikers [Empoleon]</t>
        </is>
      </c>
      <c r="B1342" s="3">
        <f>IF(I1342&lt;&gt;"",I1342,IF(J1342&lt;&gt;"",J1342,IF(K1342&lt;&gt;"",K1342,L1342)))</f>
        <v>650.0</v>
      </c>
      <c r="C1342" s="3">
        <f>MEDIAN(I1342:L1342)</f>
        <v>650.0</v>
      </c>
      <c r="D1342" s="3">
        <f>ROUND(C1342*(1-Settings!$B$2),2)</f>
        <v>455.0</v>
      </c>
      <c r="E1342" s="3">
        <f>ROUND(C1342*(1-Settings!$B$3),2)</f>
        <v>455.0</v>
      </c>
      <c r="F1342" s="2" t="inlineStr">
        <is>
          <t>Pokemon</t>
        </is>
      </c>
      <c r="G1342" s="2" t="inlineStr">
        <is>
          <t>Coffret</t>
        </is>
      </c>
      <c r="H1342" s="2" t="inlineStr">
        <is>
          <t>Miscellaneous Cards &amp; Products</t>
        </is>
      </c>
      <c r="I1342" s="3" t="n"/>
      <c r="J1342" s="3" t="n"/>
      <c r="K1342" s="3" t="n">
        <v>650</v>
      </c>
      <c r="L1342" s="3" t="n">
        <v>650</v>
      </c>
      <c r="M1342" s="2" t="inlineStr">
        <is>
          <t>TCGplayer</t>
        </is>
      </c>
      <c r="O1342" s="4" t="inlineStr">
        <is>
          <t>https://www.tcgplayer.com/product/702637</t>
        </is>
      </c>
    </row>
    <row r="1343">
      <c r="A1343" s="2" t="inlineStr">
        <is>
          <t>Costco Exclusive 4-Tin Bundle: V Powers Tin [Set of 3] + V Strikers [Tyranitar]</t>
        </is>
      </c>
      <c r="B1343" s="3">
        <f>IF(I1343&lt;&gt;"",I1343,IF(J1343&lt;&gt;"",J1343,IF(K1343&lt;&gt;"",K1343,L1343)))</f>
        <v>650.0</v>
      </c>
      <c r="C1343" s="3">
        <f>MEDIAN(I1343:L1343)</f>
        <v>575.0</v>
      </c>
      <c r="D1343" s="3">
        <f>ROUND(C1343*(1-Settings!$B$2),2)</f>
        <v>402.5</v>
      </c>
      <c r="E1343" s="3">
        <f>ROUND(C1343*(1-Settings!$B$3),2)</f>
        <v>402.5</v>
      </c>
      <c r="F1343" s="2" t="inlineStr">
        <is>
          <t>Pokemon</t>
        </is>
      </c>
      <c r="G1343" s="2" t="inlineStr">
        <is>
          <t>Coffret</t>
        </is>
      </c>
      <c r="H1343" s="2" t="inlineStr">
        <is>
          <t>Miscellaneous Cards &amp; Products</t>
        </is>
      </c>
      <c r="I1343" s="3" t="n"/>
      <c r="J1343" s="3" t="n"/>
      <c r="K1343" s="3" t="n">
        <v>650</v>
      </c>
      <c r="L1343" s="3" t="n">
        <v>500</v>
      </c>
      <c r="M1343" s="2" t="inlineStr">
        <is>
          <t>TCGplayer</t>
        </is>
      </c>
      <c r="O1343" s="4" t="inlineStr">
        <is>
          <t>https://www.tcgplayer.com/product/701600</t>
        </is>
      </c>
    </row>
    <row r="1344">
      <c r="A1344" s="2" t="inlineStr">
        <is>
          <t>Costco Galar Pals Mini Tins 5-Pack</t>
        </is>
      </c>
      <c r="B1344" s="3">
        <f>IF(I1344&lt;&gt;"",I1344,IF(J1344&lt;&gt;"",J1344,IF(K1344&lt;&gt;"",K1344,L1344)))</f>
        <v>250.66</v>
      </c>
      <c r="C1344" s="3">
        <f>MEDIAN(I1344:L1344)</f>
        <v>325.0</v>
      </c>
      <c r="D1344" s="3">
        <f>ROUND(C1344*(1-Settings!$B$2),2)</f>
        <v>227.5</v>
      </c>
      <c r="E1344" s="3">
        <f>ROUND(C1344*(1-Settings!$B$3),2)</f>
        <v>227.5</v>
      </c>
      <c r="F1344" s="2" t="inlineStr">
        <is>
          <t>Pokemon</t>
        </is>
      </c>
      <c r="G1344" s="2" t="inlineStr">
        <is>
          <t>Coffret</t>
        </is>
      </c>
      <c r="H1344" s="2" t="inlineStr">
        <is>
          <t>Miscellaneous Cards &amp; Products</t>
        </is>
      </c>
      <c r="I1344" s="3" t="n"/>
      <c r="J1344" s="3" t="n">
        <v>250.66</v>
      </c>
      <c r="K1344" s="3" t="n">
        <v>325</v>
      </c>
      <c r="L1344" s="3" t="n">
        <v>325</v>
      </c>
      <c r="M1344" s="2" t="inlineStr">
        <is>
          <t>TCGplayer</t>
        </is>
      </c>
      <c r="O1344" s="4" t="inlineStr">
        <is>
          <t>https://www.tcgplayer.com/product/551456</t>
        </is>
      </c>
    </row>
    <row r="1345">
      <c r="A1345" s="2" t="inlineStr">
        <is>
          <t>Costco Pokemon Collector 3-Pack: Eevee Treasure Chest + 2 Poke Ball Tins</t>
        </is>
      </c>
      <c r="B1345" s="3">
        <f>IF(I1345&lt;&gt;"",I1345,IF(J1345&lt;&gt;"",J1345,IF(K1345&lt;&gt;"",K1345,L1345)))</f>
        <v>212.43</v>
      </c>
      <c r="C1345" s="3">
        <f>MEDIAN(I1345:L1345)</f>
        <v>240.0</v>
      </c>
      <c r="D1345" s="3">
        <f>ROUND(C1345*(1-Settings!$B$2),2)</f>
        <v>168.0</v>
      </c>
      <c r="E1345" s="3">
        <f>ROUND(C1345*(1-Settings!$B$3),2)</f>
        <v>168.0</v>
      </c>
      <c r="F1345" s="2" t="inlineStr">
        <is>
          <t>Pokemon</t>
        </is>
      </c>
      <c r="G1345" s="2" t="inlineStr">
        <is>
          <t>Coffret</t>
        </is>
      </c>
      <c r="H1345" s="2" t="inlineStr">
        <is>
          <t>Miscellaneous Cards &amp; Products</t>
        </is>
      </c>
      <c r="I1345" s="3" t="n"/>
      <c r="J1345" s="3" t="n">
        <v>212.43</v>
      </c>
      <c r="K1345" s="3" t="n">
        <v>300</v>
      </c>
      <c r="L1345" s="3" t="n">
        <v>240</v>
      </c>
      <c r="M1345" s="2" t="inlineStr">
        <is>
          <t>TCGplayer</t>
        </is>
      </c>
      <c r="O1345" s="4" t="inlineStr">
        <is>
          <t>https://www.tcgplayer.com/product/256408</t>
        </is>
      </c>
    </row>
    <row r="1346">
      <c r="A1346" s="2" t="inlineStr">
        <is>
          <t>Costco Pokemon Collector 3-Pack: Scarlet &amp; Violet 151 ETB + Paldea Legends Tins</t>
        </is>
      </c>
      <c r="B1346" s="3">
        <f>IF(I1346&lt;&gt;"",I1346,IF(J1346&lt;&gt;"",J1346,IF(K1346&lt;&gt;"",K1346,L1346)))</f>
        <v>1003.69</v>
      </c>
      <c r="C1346" s="3">
        <f>MEDIAN(I1346:L1346)</f>
        <v>1003.69</v>
      </c>
      <c r="D1346" s="3">
        <f>ROUND(C1346*(1-Settings!$B$2),2)</f>
        <v>702.58</v>
      </c>
      <c r="E1346" s="3">
        <f>ROUND(C1346*(1-Settings!$B$3),2)</f>
        <v>702.58</v>
      </c>
      <c r="F1346" s="2" t="inlineStr">
        <is>
          <t>Pokemon</t>
        </is>
      </c>
      <c r="G1346" s="2" t="inlineStr">
        <is>
          <t>Coffret</t>
        </is>
      </c>
      <c r="H1346" s="2" t="inlineStr">
        <is>
          <t>Miscellaneous Cards &amp; Products</t>
        </is>
      </c>
      <c r="I1346" s="3" t="n"/>
      <c r="J1346" s="3" t="n">
        <v>1003.69</v>
      </c>
      <c r="K1346" s="3" t="n">
        <v>1005.98</v>
      </c>
      <c r="L1346" s="3" t="n">
        <v>995</v>
      </c>
      <c r="M1346" s="2" t="inlineStr">
        <is>
          <t>TCGplayer</t>
        </is>
      </c>
      <c r="O1346" s="4" t="inlineStr">
        <is>
          <t>https://www.tcgplayer.com/product/587750</t>
        </is>
      </c>
    </row>
    <row r="1347">
      <c r="A1347" s="2" t="inlineStr">
        <is>
          <t>Costco Pokemon Evolving Skies Elite Trainer Box and Tin</t>
        </is>
      </c>
      <c r="B1347" s="3">
        <f>IF(I1347&lt;&gt;"",I1347,IF(J1347&lt;&gt;"",J1347,IF(K1347&lt;&gt;"",K1347,L1347)))</f>
        <v>630.0</v>
      </c>
      <c r="C1347" s="3">
        <f>MEDIAN(I1347:L1347)</f>
        <v>615.0</v>
      </c>
      <c r="D1347" s="3">
        <f>ROUND(C1347*(1-Settings!$B$2),2)</f>
        <v>430.5</v>
      </c>
      <c r="E1347" s="3">
        <f>ROUND(C1347*(1-Settings!$B$3),2)</f>
        <v>430.5</v>
      </c>
      <c r="F1347" s="2" t="inlineStr">
        <is>
          <t>Pokemon</t>
        </is>
      </c>
      <c r="G1347" s="2" t="inlineStr">
        <is>
          <t>Coffret</t>
        </is>
      </c>
      <c r="H1347" s="2" t="inlineStr">
        <is>
          <t>Miscellaneous Cards &amp; Products</t>
        </is>
      </c>
      <c r="I1347" s="3" t="n"/>
      <c r="J1347" s="3" t="n">
        <v>630</v>
      </c>
      <c r="K1347" s="3" t="n">
        <v>615</v>
      </c>
      <c r="L1347" s="3" t="n">
        <v>569.99</v>
      </c>
      <c r="M1347" s="2" t="inlineStr">
        <is>
          <t>TCGplayer</t>
        </is>
      </c>
      <c r="O1347" s="4" t="inlineStr">
        <is>
          <t>https://www.tcgplayer.com/product/610741</t>
        </is>
      </c>
    </row>
    <row r="1348">
      <c r="A1348" s="2" t="inlineStr">
        <is>
          <t>Costco Pokemon Pokemon Holiday Calendar and Great Ball Bundle</t>
        </is>
      </c>
      <c r="B1348" s="3">
        <f>IF(I1348&lt;&gt;"",I1348,IF(J1348&lt;&gt;"",J1348,IF(K1348&lt;&gt;"",K1348,L1348)))</f>
        <v>95.09</v>
      </c>
      <c r="C1348" s="3">
        <f>MEDIAN(I1348:L1348)</f>
        <v>100.0</v>
      </c>
      <c r="D1348" s="3">
        <f>ROUND(C1348*(1-Settings!$B$2),2)</f>
        <v>70.0</v>
      </c>
      <c r="E1348" s="3">
        <f>ROUND(C1348*(1-Settings!$B$3),2)</f>
        <v>70.0</v>
      </c>
      <c r="F1348" s="2" t="inlineStr">
        <is>
          <t>Pokemon</t>
        </is>
      </c>
      <c r="G1348" s="2" t="inlineStr">
        <is>
          <t>Coffret</t>
        </is>
      </c>
      <c r="H1348" s="2" t="inlineStr">
        <is>
          <t>Miscellaneous Cards &amp; Products</t>
        </is>
      </c>
      <c r="I1348" s="3" t="n"/>
      <c r="J1348" s="3" t="n">
        <v>95.09</v>
      </c>
      <c r="K1348" s="3" t="n">
        <v>159.83</v>
      </c>
      <c r="L1348" s="3" t="n">
        <v>100</v>
      </c>
      <c r="M1348" s="2" t="inlineStr">
        <is>
          <t>TCGplayer</t>
        </is>
      </c>
      <c r="O1348" s="4" t="inlineStr">
        <is>
          <t>https://www.tcgplayer.com/product/650885</t>
        </is>
      </c>
    </row>
    <row r="1349">
      <c r="A1349" s="2" t="inlineStr">
        <is>
          <t>Costco Pokemon Prismatic Evolutions 2-Pack Trainer Box and Booster Bundle</t>
        </is>
      </c>
      <c r="B1349" s="3">
        <f>IF(I1349&lt;&gt;"",I1349,IF(J1349&lt;&gt;"",J1349,IF(K1349&lt;&gt;"",K1349,L1349)))</f>
        <v>269.14</v>
      </c>
      <c r="C1349" s="3">
        <f>MEDIAN(I1349:L1349)</f>
        <v>269.14</v>
      </c>
      <c r="D1349" s="3">
        <f>ROUND(C1349*(1-Settings!$B$2),2)</f>
        <v>188.4</v>
      </c>
      <c r="E1349" s="3">
        <f>ROUND(C1349*(1-Settings!$B$3),2)</f>
        <v>188.4</v>
      </c>
      <c r="F1349" s="2" t="inlineStr">
        <is>
          <t>Pokemon</t>
        </is>
      </c>
      <c r="G1349" s="2" t="inlineStr">
        <is>
          <t>Coffret</t>
        </is>
      </c>
      <c r="H1349" s="2" t="inlineStr">
        <is>
          <t>Miscellaneous Cards &amp; Products</t>
        </is>
      </c>
      <c r="I1349" s="3" t="n"/>
      <c r="J1349" s="3" t="n">
        <v>269.14</v>
      </c>
      <c r="K1349" s="3" t="n">
        <v>299.98</v>
      </c>
      <c r="L1349" s="3" t="n">
        <v>235</v>
      </c>
      <c r="M1349" s="2" t="inlineStr">
        <is>
          <t>TCGplayer</t>
        </is>
      </c>
      <c r="O1349" s="4" t="inlineStr">
        <is>
          <t>https://www.tcgplayer.com/product/636740</t>
        </is>
      </c>
    </row>
    <row r="1350">
      <c r="A1350" s="2" t="inlineStr">
        <is>
          <t>Costco Pokemon Scarlet &amp; Violet 151 Mini Tin 5-pack (Magneton)</t>
        </is>
      </c>
      <c r="B1350" s="3">
        <f>IF(I1350&lt;&gt;"",I1350,IF(J1350&lt;&gt;"",J1350,IF(K1350&lt;&gt;"",K1350,L1350)))</f>
        <v>279.35</v>
      </c>
      <c r="C1350" s="3">
        <f>MEDIAN(I1350:L1350)</f>
        <v>279.35</v>
      </c>
      <c r="D1350" s="3">
        <f>ROUND(C1350*(1-Settings!$B$2),2)</f>
        <v>195.55</v>
      </c>
      <c r="E1350" s="3">
        <f>ROUND(C1350*(1-Settings!$B$3),2)</f>
        <v>195.55</v>
      </c>
      <c r="F1350" s="2" t="inlineStr">
        <is>
          <t>Pokemon</t>
        </is>
      </c>
      <c r="G1350" s="2" t="inlineStr">
        <is>
          <t>Coffret</t>
        </is>
      </c>
      <c r="H1350" s="2" t="inlineStr">
        <is>
          <t>Miscellaneous Cards &amp; Products</t>
        </is>
      </c>
      <c r="I1350" s="3" t="n"/>
      <c r="J1350" s="3" t="n">
        <v>279.35</v>
      </c>
      <c r="K1350" s="3" t="n">
        <v>299.97</v>
      </c>
      <c r="L1350" s="3" t="n">
        <v>269.99</v>
      </c>
      <c r="M1350" s="2" t="inlineStr">
        <is>
          <t>TCGplayer</t>
        </is>
      </c>
      <c r="O1350" s="4" t="inlineStr">
        <is>
          <t>https://www.tcgplayer.com/product/587747</t>
        </is>
      </c>
    </row>
    <row r="1351">
      <c r="A1351" s="2" t="inlineStr">
        <is>
          <t>Costco Pokemon Scarlet &amp; Violet 151 Mini Tin 5-pack (Meowth)</t>
        </is>
      </c>
      <c r="B1351" s="3">
        <f>IF(I1351&lt;&gt;"",I1351,IF(J1351&lt;&gt;"",J1351,IF(K1351&lt;&gt;"",K1351,L1351)))</f>
        <v>274.79</v>
      </c>
      <c r="C1351" s="3">
        <f>MEDIAN(I1351:L1351)</f>
        <v>274.79</v>
      </c>
      <c r="D1351" s="3">
        <f>ROUND(C1351*(1-Settings!$B$2),2)</f>
        <v>192.35</v>
      </c>
      <c r="E1351" s="3">
        <f>ROUND(C1351*(1-Settings!$B$3),2)</f>
        <v>192.35</v>
      </c>
      <c r="F1351" s="2" t="inlineStr">
        <is>
          <t>Pokemon</t>
        </is>
      </c>
      <c r="G1351" s="2" t="inlineStr">
        <is>
          <t>Coffret</t>
        </is>
      </c>
      <c r="H1351" s="2" t="inlineStr">
        <is>
          <t>Miscellaneous Cards &amp; Products</t>
        </is>
      </c>
      <c r="I1351" s="3" t="n"/>
      <c r="J1351" s="3" t="n">
        <v>274.79</v>
      </c>
      <c r="K1351" s="3" t="n">
        <v>300</v>
      </c>
      <c r="L1351" s="3" t="n">
        <v>260</v>
      </c>
      <c r="M1351" s="2" t="inlineStr">
        <is>
          <t>TCGplayer</t>
        </is>
      </c>
      <c r="O1351" s="4" t="inlineStr">
        <is>
          <t>https://www.tcgplayer.com/product/587746</t>
        </is>
      </c>
    </row>
    <row r="1352">
      <c r="A1352" s="2" t="inlineStr">
        <is>
          <t>Costco Pokemon Scarlet &amp; Violet Paldean Fates Mini Tin 5-pack</t>
        </is>
      </c>
      <c r="B1352" s="3">
        <f>IF(I1352&lt;&gt;"",I1352,IF(J1352&lt;&gt;"",J1352,IF(K1352&lt;&gt;"",K1352,L1352)))</f>
        <v>389.16</v>
      </c>
      <c r="C1352" s="3">
        <f>MEDIAN(I1352:L1352)</f>
        <v>399.9</v>
      </c>
      <c r="D1352" s="3">
        <f>ROUND(C1352*(1-Settings!$B$2),2)</f>
        <v>279.93</v>
      </c>
      <c r="E1352" s="3">
        <f>ROUND(C1352*(1-Settings!$B$3),2)</f>
        <v>279.93</v>
      </c>
      <c r="F1352" s="2" t="inlineStr">
        <is>
          <t>Pokemon</t>
        </is>
      </c>
      <c r="G1352" s="2" t="inlineStr">
        <is>
          <t>Coffret</t>
        </is>
      </c>
      <c r="H1352" s="2" t="inlineStr">
        <is>
          <t>Miscellaneous Cards &amp; Products</t>
        </is>
      </c>
      <c r="I1352" s="3" t="n"/>
      <c r="J1352" s="3" t="n">
        <v>389.16</v>
      </c>
      <c r="K1352" s="3" t="n">
        <v>447.49</v>
      </c>
      <c r="L1352" s="3" t="n">
        <v>399.9</v>
      </c>
      <c r="M1352" s="2" t="inlineStr">
        <is>
          <t>TCGplayer</t>
        </is>
      </c>
      <c r="O1352" s="4" t="inlineStr">
        <is>
          <t>https://www.tcgplayer.com/product/594729</t>
        </is>
      </c>
    </row>
    <row r="1353">
      <c r="A1353" s="2" t="inlineStr">
        <is>
          <t>Costco Pokemon Surging Sparks 2-Pack Trainer Box and Booster Bundle</t>
        </is>
      </c>
      <c r="B1353" s="3">
        <f>IF(I1353&lt;&gt;"",I1353,IF(J1353&lt;&gt;"",J1353,IF(K1353&lt;&gt;"",K1353,L1353)))</f>
        <v>184.58</v>
      </c>
      <c r="C1353" s="3">
        <f>MEDIAN(I1353:L1353)</f>
        <v>184.58</v>
      </c>
      <c r="D1353" s="3">
        <f>ROUND(C1353*(1-Settings!$B$2),2)</f>
        <v>129.21</v>
      </c>
      <c r="E1353" s="3">
        <f>ROUND(C1353*(1-Settings!$B$3),2)</f>
        <v>129.21</v>
      </c>
      <c r="F1353" s="2" t="inlineStr">
        <is>
          <t>Pokemon</t>
        </is>
      </c>
      <c r="G1353" s="2" t="inlineStr">
        <is>
          <t>Coffret</t>
        </is>
      </c>
      <c r="H1353" s="2" t="inlineStr">
        <is>
          <t>Miscellaneous Cards &amp; Products</t>
        </is>
      </c>
      <c r="I1353" s="3" t="n"/>
      <c r="J1353" s="3" t="n">
        <v>184.58</v>
      </c>
      <c r="K1353" s="3" t="n">
        <v>190</v>
      </c>
      <c r="L1353" s="3" t="n">
        <v>155</v>
      </c>
      <c r="M1353" s="2" t="inlineStr">
        <is>
          <t>TCGplayer</t>
        </is>
      </c>
      <c r="O1353" s="4" t="inlineStr">
        <is>
          <t>https://www.tcgplayer.com/product/650397</t>
        </is>
      </c>
    </row>
    <row r="1354">
      <c r="A1354" s="2" t="inlineStr">
        <is>
          <t>Costco Prismatic Evolutions 8-Pack Mini Tins</t>
        </is>
      </c>
      <c r="B1354" s="3">
        <f>IF(I1354&lt;&gt;"",I1354,IF(J1354&lt;&gt;"",J1354,IF(K1354&lt;&gt;"",K1354,L1354)))</f>
        <v>274.68</v>
      </c>
      <c r="C1354" s="3">
        <f>MEDIAN(I1354:L1354)</f>
        <v>274.68</v>
      </c>
      <c r="D1354" s="3">
        <f>ROUND(C1354*(1-Settings!$B$2),2)</f>
        <v>192.28</v>
      </c>
      <c r="E1354" s="3">
        <f>ROUND(C1354*(1-Settings!$B$3),2)</f>
        <v>192.28</v>
      </c>
      <c r="F1354" s="2" t="inlineStr">
        <is>
          <t>Pokemon</t>
        </is>
      </c>
      <c r="G1354" s="2" t="inlineStr">
        <is>
          <t>Coffret</t>
        </is>
      </c>
      <c r="H1354" s="2" t="inlineStr">
        <is>
          <t>Miscellaneous Cards &amp; Products</t>
        </is>
      </c>
      <c r="I1354" s="3" t="n"/>
      <c r="J1354" s="3" t="n">
        <v>274.68</v>
      </c>
      <c r="K1354" s="3" t="n">
        <v>306.97</v>
      </c>
      <c r="L1354" s="3" t="n">
        <v>265</v>
      </c>
      <c r="M1354" s="2" t="inlineStr">
        <is>
          <t>TCGplayer</t>
        </is>
      </c>
      <c r="O1354" s="4" t="inlineStr">
        <is>
          <t>https://www.tcgplayer.com/product/653892</t>
        </is>
      </c>
    </row>
    <row r="1355">
      <c r="A1355" s="2" t="inlineStr">
        <is>
          <t>Cyclizar ex Box</t>
        </is>
      </c>
      <c r="B1355" s="3">
        <f>IF(I1355&lt;&gt;"",I1355,IF(J1355&lt;&gt;"",J1355,IF(K1355&lt;&gt;"",K1355,L1355)))</f>
        <v>47.15</v>
      </c>
      <c r="C1355" s="3">
        <f>MEDIAN(I1355:L1355)</f>
        <v>47.15</v>
      </c>
      <c r="D1355" s="3">
        <f>ROUND(C1355*(1-Settings!$B$2),2)</f>
        <v>33.01</v>
      </c>
      <c r="E1355" s="3">
        <f>ROUND(C1355*(1-Settings!$B$3),2)</f>
        <v>33.01</v>
      </c>
      <c r="F1355" s="2" t="inlineStr">
        <is>
          <t>Pokemon</t>
        </is>
      </c>
      <c r="G1355" s="2" t="inlineStr">
        <is>
          <t>Coffret</t>
        </is>
      </c>
      <c r="H1355" s="2" t="inlineStr">
        <is>
          <t>Miscellaneous Cards &amp; Products</t>
        </is>
      </c>
      <c r="I1355" s="3" t="n"/>
      <c r="J1355" s="3" t="n">
        <v>47.15</v>
      </c>
      <c r="K1355" s="3" t="n">
        <v>61.99</v>
      </c>
      <c r="L1355" s="3" t="n">
        <v>40.22</v>
      </c>
      <c r="M1355" s="2" t="inlineStr">
        <is>
          <t>TCGplayer</t>
        </is>
      </c>
      <c r="O1355" s="4" t="inlineStr">
        <is>
          <t>https://www.tcgplayer.com/product/484372</t>
        </is>
      </c>
    </row>
    <row r="1356">
      <c r="A1356" s="2" t="inlineStr">
        <is>
          <t>Cynthia's Garchomp ex Premium Collection</t>
        </is>
      </c>
      <c r="B1356" s="3">
        <f>IF(I1356&lt;&gt;"",I1356,IF(J1356&lt;&gt;"",J1356,IF(K1356&lt;&gt;"",K1356,L1356)))</f>
        <v>75.22</v>
      </c>
      <c r="C1356" s="3">
        <f>MEDIAN(I1356:L1356)</f>
        <v>75.22</v>
      </c>
      <c r="D1356" s="3">
        <f>ROUND(C1356*(1-Settings!$B$2),2)</f>
        <v>52.65</v>
      </c>
      <c r="E1356" s="3">
        <f>ROUND(C1356*(1-Settings!$B$3),2)</f>
        <v>52.65</v>
      </c>
      <c r="F1356" s="2" t="inlineStr">
        <is>
          <t>Pokemon</t>
        </is>
      </c>
      <c r="G1356" s="2" t="inlineStr">
        <is>
          <t>Coffret</t>
        </is>
      </c>
      <c r="H1356" s="2" t="inlineStr">
        <is>
          <t>Miscellaneous Cards &amp; Products</t>
        </is>
      </c>
      <c r="I1356" s="3" t="n"/>
      <c r="J1356" s="3" t="n">
        <v>75.22</v>
      </c>
      <c r="K1356" s="3" t="n">
        <v>85</v>
      </c>
      <c r="L1356" s="3" t="n">
        <v>65</v>
      </c>
      <c r="M1356" s="2" t="inlineStr">
        <is>
          <t>TCGplayer</t>
        </is>
      </c>
      <c r="O1356" s="4" t="inlineStr">
        <is>
          <t>https://www.tcgplayer.com/product/625952</t>
        </is>
      </c>
    </row>
    <row r="1357">
      <c r="A1357" s="2" t="inlineStr">
        <is>
          <t>Cyrus Premium Tournament Collection Box</t>
        </is>
      </c>
      <c r="B1357" s="3">
        <f>IF(I1357&lt;&gt;"",I1357,IF(J1357&lt;&gt;"",J1357,IF(K1357&lt;&gt;"",K1357,L1357)))</f>
        <v>84.53</v>
      </c>
      <c r="C1357" s="3">
        <f>MEDIAN(I1357:L1357)</f>
        <v>84.53</v>
      </c>
      <c r="D1357" s="3">
        <f>ROUND(C1357*(1-Settings!$B$2),2)</f>
        <v>59.17</v>
      </c>
      <c r="E1357" s="3">
        <f>ROUND(C1357*(1-Settings!$B$3),2)</f>
        <v>59.17</v>
      </c>
      <c r="F1357" s="2" t="inlineStr">
        <is>
          <t>Pokemon</t>
        </is>
      </c>
      <c r="G1357" s="2" t="inlineStr">
        <is>
          <t>Coffret</t>
        </is>
      </c>
      <c r="H1357" s="2" t="inlineStr">
        <is>
          <t>Miscellaneous Cards &amp; Products</t>
        </is>
      </c>
      <c r="I1357" s="3" t="n"/>
      <c r="J1357" s="3" t="n">
        <v>84.53</v>
      </c>
      <c r="K1357" s="3" t="n">
        <v>90</v>
      </c>
      <c r="L1357" s="3" t="n">
        <v>72</v>
      </c>
      <c r="M1357" s="2" t="inlineStr">
        <is>
          <t>TCGplayer</t>
        </is>
      </c>
      <c r="O1357" s="4" t="inlineStr">
        <is>
          <t>https://www.tcgplayer.com/product/477286</t>
        </is>
      </c>
    </row>
    <row r="1358">
      <c r="A1358" s="2" t="inlineStr">
        <is>
          <t>Cyrus/Klara Premium Tournament Collection Box [Set of 2]</t>
        </is>
      </c>
      <c r="B1358" s="3">
        <f>IF(I1358&lt;&gt;"",I1358,IF(J1358&lt;&gt;"",J1358,IF(K1358&lt;&gt;"",K1358,L1358)))</f>
        <v>163.4</v>
      </c>
      <c r="C1358" s="3">
        <f>MEDIAN(I1358:L1358)</f>
        <v>174.0</v>
      </c>
      <c r="D1358" s="3">
        <f>ROUND(C1358*(1-Settings!$B$2),2)</f>
        <v>121.8</v>
      </c>
      <c r="E1358" s="3">
        <f>ROUND(C1358*(1-Settings!$B$3),2)</f>
        <v>121.8</v>
      </c>
      <c r="F1358" s="2" t="inlineStr">
        <is>
          <t>Pokemon</t>
        </is>
      </c>
      <c r="G1358" s="2" t="inlineStr">
        <is>
          <t>Coffret</t>
        </is>
      </c>
      <c r="H1358" s="2" t="inlineStr">
        <is>
          <t>Miscellaneous Cards &amp; Products</t>
        </is>
      </c>
      <c r="I1358" s="3" t="n"/>
      <c r="J1358" s="3" t="n">
        <v>163.4</v>
      </c>
      <c r="K1358" s="3" t="n">
        <v>214.79</v>
      </c>
      <c r="L1358" s="3" t="n">
        <v>174</v>
      </c>
      <c r="M1358" s="2" t="inlineStr">
        <is>
          <t>TCGplayer</t>
        </is>
      </c>
      <c r="O1358" s="4" t="inlineStr">
        <is>
          <t>https://www.tcgplayer.com/product/477288</t>
        </is>
      </c>
    </row>
    <row r="1359">
      <c r="A1359" s="2" t="inlineStr">
        <is>
          <t>Dark Powers ex Special Collection</t>
        </is>
      </c>
      <c r="B1359" s="3">
        <f>IF(I1359&lt;&gt;"",I1359,IF(J1359&lt;&gt;"",J1359,IF(K1359&lt;&gt;"",K1359,L1359)))</f>
        <v>113.87</v>
      </c>
      <c r="C1359" s="3">
        <f>MEDIAN(I1359:L1359)</f>
        <v>170.0</v>
      </c>
      <c r="D1359" s="3">
        <f>ROUND(C1359*(1-Settings!$B$2),2)</f>
        <v>119.0</v>
      </c>
      <c r="E1359" s="3">
        <f>ROUND(C1359*(1-Settings!$B$3),2)</f>
        <v>119.0</v>
      </c>
      <c r="F1359" s="2" t="inlineStr">
        <is>
          <t>Pokemon</t>
        </is>
      </c>
      <c r="G1359" s="2" t="inlineStr">
        <is>
          <t>Coffret</t>
        </is>
      </c>
      <c r="H1359" s="2" t="inlineStr">
        <is>
          <t>Miscellaneous Cards &amp; Products</t>
        </is>
      </c>
      <c r="I1359" s="3" t="n"/>
      <c r="J1359" s="3" t="n">
        <v>113.87</v>
      </c>
      <c r="K1359" s="3" t="n">
        <v>187.48</v>
      </c>
      <c r="L1359" s="3" t="n">
        <v>170</v>
      </c>
      <c r="M1359" s="2" t="inlineStr">
        <is>
          <t>TCGplayer</t>
        </is>
      </c>
      <c r="O1359" s="4" t="inlineStr">
        <is>
          <t>https://www.tcgplayer.com/product/558746</t>
        </is>
      </c>
    </row>
    <row r="1360">
      <c r="A1360" s="2" t="inlineStr">
        <is>
          <t>Darkrai VSTAR Premium Collection</t>
        </is>
      </c>
      <c r="B1360" s="3">
        <f>IF(I1360&lt;&gt;"",I1360,IF(J1360&lt;&gt;"",J1360,IF(K1360&lt;&gt;"",K1360,L1360)))</f>
        <v>151.4</v>
      </c>
      <c r="C1360" s="3">
        <f>MEDIAN(I1360:L1360)</f>
        <v>151.4</v>
      </c>
      <c r="D1360" s="3">
        <f>ROUND(C1360*(1-Settings!$B$2),2)</f>
        <v>105.98</v>
      </c>
      <c r="E1360" s="3">
        <f>ROUND(C1360*(1-Settings!$B$3),2)</f>
        <v>105.98</v>
      </c>
      <c r="F1360" s="2" t="inlineStr">
        <is>
          <t>Pokemon</t>
        </is>
      </c>
      <c r="G1360" s="2" t="inlineStr">
        <is>
          <t>Coffret</t>
        </is>
      </c>
      <c r="H1360" s="2" t="inlineStr">
        <is>
          <t>Miscellaneous Cards &amp; Products</t>
        </is>
      </c>
      <c r="I1360" s="3" t="n"/>
      <c r="J1360" s="3" t="n">
        <v>151.4</v>
      </c>
      <c r="K1360" s="3" t="n">
        <v>179.99</v>
      </c>
      <c r="L1360" s="3" t="n">
        <v>137.99</v>
      </c>
      <c r="M1360" s="2" t="inlineStr">
        <is>
          <t>TCGplayer</t>
        </is>
      </c>
      <c r="O1360" s="4" t="inlineStr">
        <is>
          <t>https://www.tcgplayer.com/product/286618</t>
        </is>
      </c>
    </row>
    <row r="1361">
      <c r="A1361" s="2" t="inlineStr">
        <is>
          <t>Darkrai VSTAR/Shaymin VSTAR Premium Collection [Set of 2]</t>
        </is>
      </c>
      <c r="B1361" s="3">
        <f>IF(I1361&lt;&gt;"",I1361,IF(J1361&lt;&gt;"",J1361,IF(K1361&lt;&gt;"",K1361,L1361)))</f>
        <v>399.99</v>
      </c>
      <c r="C1361" s="3">
        <f>MEDIAN(I1361:L1361)</f>
        <v>399.99</v>
      </c>
      <c r="D1361" s="3">
        <f>ROUND(C1361*(1-Settings!$B$2),2)</f>
        <v>279.99</v>
      </c>
      <c r="E1361" s="3">
        <f>ROUND(C1361*(1-Settings!$B$3),2)</f>
        <v>279.99</v>
      </c>
      <c r="F1361" s="2" t="inlineStr">
        <is>
          <t>Pokemon</t>
        </is>
      </c>
      <c r="G1361" s="2" t="inlineStr">
        <is>
          <t>Coffret</t>
        </is>
      </c>
      <c r="H1361" s="2" t="inlineStr">
        <is>
          <t>Miscellaneous Cards &amp; Products</t>
        </is>
      </c>
      <c r="I1361" s="3" t="n"/>
      <c r="J1361" s="3" t="n"/>
      <c r="K1361" s="3" t="n">
        <v>399.99</v>
      </c>
      <c r="L1361" s="3" t="n">
        <v>399.99</v>
      </c>
      <c r="M1361" s="2" t="inlineStr">
        <is>
          <t>TCGplayer</t>
        </is>
      </c>
      <c r="O1361" s="4" t="inlineStr">
        <is>
          <t>https://www.tcgplayer.com/product/450103</t>
        </is>
      </c>
    </row>
    <row r="1362">
      <c r="A1362" s="2" t="inlineStr">
        <is>
          <t>Decidueye ex Box</t>
        </is>
      </c>
      <c r="B1362" s="3">
        <f>IF(I1362&lt;&gt;"",I1362,IF(J1362&lt;&gt;"",J1362,IF(K1362&lt;&gt;"",K1362,L1362)))</f>
        <v>80.0</v>
      </c>
      <c r="C1362" s="3">
        <f>MEDIAN(I1362:L1362)</f>
        <v>80.0</v>
      </c>
      <c r="D1362" s="3">
        <f>ROUND(C1362*(1-Settings!$B$2),2)</f>
        <v>56.0</v>
      </c>
      <c r="E1362" s="3">
        <f>ROUND(C1362*(1-Settings!$B$3),2)</f>
        <v>56.0</v>
      </c>
      <c r="F1362" s="2" t="inlineStr">
        <is>
          <t>Pokemon</t>
        </is>
      </c>
      <c r="G1362" s="2" t="inlineStr">
        <is>
          <t>Coffret</t>
        </is>
      </c>
      <c r="H1362" s="2" t="inlineStr">
        <is>
          <t>Miscellaneous Cards &amp; Products</t>
        </is>
      </c>
      <c r="I1362" s="3" t="n"/>
      <c r="J1362" s="3" t="n">
        <v>80</v>
      </c>
      <c r="K1362" s="3" t="n"/>
      <c r="L1362" s="3" t="n"/>
      <c r="M1362" s="2" t="inlineStr">
        <is>
          <t>TCGplayer</t>
        </is>
      </c>
      <c r="O1362" s="4" t="inlineStr">
        <is>
          <t>https://www.tcgplayer.com/product/604493</t>
        </is>
      </c>
    </row>
    <row r="1363">
      <c r="A1363" s="2" t="inlineStr">
        <is>
          <t>Deoxys VMAX &amp; VSTAR Battle Box</t>
        </is>
      </c>
      <c r="B1363" s="3">
        <f>IF(I1363&lt;&gt;"",I1363,IF(J1363&lt;&gt;"",J1363,IF(K1363&lt;&gt;"",K1363,L1363)))</f>
        <v>103.67</v>
      </c>
      <c r="C1363" s="3">
        <f>MEDIAN(I1363:L1363)</f>
        <v>136.5</v>
      </c>
      <c r="D1363" s="3">
        <f>ROUND(C1363*(1-Settings!$B$2),2)</f>
        <v>95.55</v>
      </c>
      <c r="E1363" s="3">
        <f>ROUND(C1363*(1-Settings!$B$3),2)</f>
        <v>95.55</v>
      </c>
      <c r="F1363" s="2" t="inlineStr">
        <is>
          <t>Pokemon</t>
        </is>
      </c>
      <c r="G1363" s="2" t="inlineStr">
        <is>
          <t>Coffret</t>
        </is>
      </c>
      <c r="H1363" s="2" t="inlineStr">
        <is>
          <t>Miscellaneous Cards &amp; Products</t>
        </is>
      </c>
      <c r="I1363" s="3" t="n"/>
      <c r="J1363" s="3" t="n">
        <v>103.67</v>
      </c>
      <c r="K1363" s="3" t="n">
        <v>145</v>
      </c>
      <c r="L1363" s="3" t="n">
        <v>136.5</v>
      </c>
      <c r="M1363" s="2" t="inlineStr">
        <is>
          <t>TCGplayer</t>
        </is>
      </c>
      <c r="O1363" s="4" t="inlineStr">
        <is>
          <t>https://www.tcgplayer.com/product/282002</t>
        </is>
      </c>
    </row>
    <row r="1364">
      <c r="A1364" s="2" t="inlineStr">
        <is>
          <t>Deoxys/Zeraora VMAX &amp; VSTAR Battle Box [Set of 2]</t>
        </is>
      </c>
      <c r="B1364" s="3">
        <f>IF(I1364&lt;&gt;"",I1364,IF(J1364&lt;&gt;"",J1364,IF(K1364&lt;&gt;"",K1364,L1364)))</f>
        <v>140.0</v>
      </c>
      <c r="C1364" s="3">
        <f>MEDIAN(I1364:L1364)</f>
        <v>350.0</v>
      </c>
      <c r="D1364" s="3">
        <f>ROUND(C1364*(1-Settings!$B$2),2)</f>
        <v>245.0</v>
      </c>
      <c r="E1364" s="3">
        <f>ROUND(C1364*(1-Settings!$B$3),2)</f>
        <v>245.0</v>
      </c>
      <c r="F1364" s="2" t="inlineStr">
        <is>
          <t>Pokemon</t>
        </is>
      </c>
      <c r="G1364" s="2" t="inlineStr">
        <is>
          <t>Coffret</t>
        </is>
      </c>
      <c r="H1364" s="2" t="inlineStr">
        <is>
          <t>Miscellaneous Cards &amp; Products</t>
        </is>
      </c>
      <c r="I1364" s="3" t="n"/>
      <c r="J1364" s="3" t="n">
        <v>140</v>
      </c>
      <c r="K1364" s="3" t="n">
        <v>350</v>
      </c>
      <c r="L1364" s="3" t="n">
        <v>350</v>
      </c>
      <c r="M1364" s="2" t="inlineStr">
        <is>
          <t>TCGplayer</t>
        </is>
      </c>
      <c r="O1364" s="4" t="inlineStr">
        <is>
          <t>https://www.tcgplayer.com/product/282004</t>
        </is>
      </c>
    </row>
    <row r="1365">
      <c r="A1365" s="2" t="inlineStr">
        <is>
          <t>Divergent Powers Tin [Hisuian Decidueye V]</t>
        </is>
      </c>
      <c r="B1365" s="3">
        <f>IF(I1365&lt;&gt;"",I1365,IF(J1365&lt;&gt;"",J1365,IF(K1365&lt;&gt;"",K1365,L1365)))</f>
        <v>107.74</v>
      </c>
      <c r="C1365" s="3">
        <f>MEDIAN(I1365:L1365)</f>
        <v>110.0</v>
      </c>
      <c r="D1365" s="3">
        <f>ROUND(C1365*(1-Settings!$B$2),2)</f>
        <v>77.0</v>
      </c>
      <c r="E1365" s="3">
        <f>ROUND(C1365*(1-Settings!$B$3),2)</f>
        <v>77.0</v>
      </c>
      <c r="F1365" s="2" t="inlineStr">
        <is>
          <t>Pokemon</t>
        </is>
      </c>
      <c r="G1365" s="2" t="inlineStr">
        <is>
          <t>Coffret</t>
        </is>
      </c>
      <c r="H1365" s="2" t="inlineStr">
        <is>
          <t>Miscellaneous Cards &amp; Products</t>
        </is>
      </c>
      <c r="I1365" s="3" t="n"/>
      <c r="J1365" s="3" t="n">
        <v>107.74</v>
      </c>
      <c r="K1365" s="3" t="n">
        <v>121.69</v>
      </c>
      <c r="L1365" s="3" t="n">
        <v>110</v>
      </c>
      <c r="M1365" s="2" t="inlineStr">
        <is>
          <t>TCGplayer</t>
        </is>
      </c>
      <c r="O1365" s="4" t="inlineStr">
        <is>
          <t>https://www.tcgplayer.com/product/271941</t>
        </is>
      </c>
    </row>
    <row r="1366">
      <c r="A1366" s="2" t="inlineStr">
        <is>
          <t>Divergent Powers Tin [Hisuian Samurott V]</t>
        </is>
      </c>
      <c r="B1366" s="3">
        <f>IF(I1366&lt;&gt;"",I1366,IF(J1366&lt;&gt;"",J1366,IF(K1366&lt;&gt;"",K1366,L1366)))</f>
        <v>105.74</v>
      </c>
      <c r="C1366" s="3">
        <f>MEDIAN(I1366:L1366)</f>
        <v>117.5</v>
      </c>
      <c r="D1366" s="3">
        <f>ROUND(C1366*(1-Settings!$B$2),2)</f>
        <v>82.25</v>
      </c>
      <c r="E1366" s="3">
        <f>ROUND(C1366*(1-Settings!$B$3),2)</f>
        <v>82.25</v>
      </c>
      <c r="F1366" s="2" t="inlineStr">
        <is>
          <t>Pokemon</t>
        </is>
      </c>
      <c r="G1366" s="2" t="inlineStr">
        <is>
          <t>Coffret</t>
        </is>
      </c>
      <c r="H1366" s="2" t="inlineStr">
        <is>
          <t>Miscellaneous Cards &amp; Products</t>
        </is>
      </c>
      <c r="I1366" s="3" t="n"/>
      <c r="J1366" s="3" t="n">
        <v>105.74</v>
      </c>
      <c r="K1366" s="3" t="n">
        <v>125</v>
      </c>
      <c r="L1366" s="3" t="n">
        <v>117.5</v>
      </c>
      <c r="M1366" s="2" t="inlineStr">
        <is>
          <t>TCGplayer</t>
        </is>
      </c>
      <c r="O1366" s="4" t="inlineStr">
        <is>
          <t>https://www.tcgplayer.com/product/271939</t>
        </is>
      </c>
    </row>
    <row r="1367">
      <c r="A1367" s="2" t="inlineStr">
        <is>
          <t>Divergent Powers Tin [Hisuian Samurott V] (International Version)</t>
        </is>
      </c>
      <c r="B1367" s="3">
        <f>IF(I1367&lt;&gt;"",I1367,IF(J1367&lt;&gt;"",J1367,IF(K1367&lt;&gt;"",K1367,L1367)))</f>
        <v>72.96</v>
      </c>
      <c r="C1367" s="3">
        <f>MEDIAN(I1367:L1367)</f>
        <v>79.98</v>
      </c>
      <c r="D1367" s="3">
        <f>ROUND(C1367*(1-Settings!$B$2),2)</f>
        <v>55.99</v>
      </c>
      <c r="E1367" s="3">
        <f>ROUND(C1367*(1-Settings!$B$3),2)</f>
        <v>55.99</v>
      </c>
      <c r="F1367" s="2" t="inlineStr">
        <is>
          <t>Pokemon</t>
        </is>
      </c>
      <c r="G1367" s="2" t="inlineStr">
        <is>
          <t>Coffret</t>
        </is>
      </c>
      <c r="H1367" s="2" t="inlineStr">
        <is>
          <t>Miscellaneous Cards &amp; Products</t>
        </is>
      </c>
      <c r="I1367" s="3" t="n"/>
      <c r="J1367" s="3" t="n">
        <v>72.95999999999999</v>
      </c>
      <c r="K1367" s="3" t="n">
        <v>79.98</v>
      </c>
      <c r="L1367" s="3" t="n">
        <v>79.98</v>
      </c>
      <c r="M1367" s="2" t="inlineStr">
        <is>
          <t>TCGplayer</t>
        </is>
      </c>
      <c r="O1367" s="4" t="inlineStr">
        <is>
          <t>https://www.tcgplayer.com/product/271943</t>
        </is>
      </c>
    </row>
    <row r="1368">
      <c r="A1368" s="2" t="inlineStr">
        <is>
          <t>Divergent Powers Tin [Hisuian Typhlosion V]</t>
        </is>
      </c>
      <c r="B1368" s="3">
        <f>IF(I1368&lt;&gt;"",I1368,IF(J1368&lt;&gt;"",J1368,IF(K1368&lt;&gt;"",K1368,L1368)))</f>
        <v>110.75</v>
      </c>
      <c r="C1368" s="3">
        <f>MEDIAN(I1368:L1368)</f>
        <v>130.0</v>
      </c>
      <c r="D1368" s="3">
        <f>ROUND(C1368*(1-Settings!$B$2),2)</f>
        <v>91.0</v>
      </c>
      <c r="E1368" s="3">
        <f>ROUND(C1368*(1-Settings!$B$3),2)</f>
        <v>91.0</v>
      </c>
      <c r="F1368" s="2" t="inlineStr">
        <is>
          <t>Pokemon</t>
        </is>
      </c>
      <c r="G1368" s="2" t="inlineStr">
        <is>
          <t>Coffret</t>
        </is>
      </c>
      <c r="H1368" s="2" t="inlineStr">
        <is>
          <t>Miscellaneous Cards &amp; Products</t>
        </is>
      </c>
      <c r="I1368" s="3" t="n"/>
      <c r="J1368" s="3" t="n">
        <v>110.75</v>
      </c>
      <c r="K1368" s="3" t="n">
        <v>139.94</v>
      </c>
      <c r="L1368" s="3" t="n">
        <v>130</v>
      </c>
      <c r="M1368" s="2" t="inlineStr">
        <is>
          <t>TCGplayer</t>
        </is>
      </c>
      <c r="O1368" s="4" t="inlineStr">
        <is>
          <t>https://www.tcgplayer.com/product/271940</t>
        </is>
      </c>
    </row>
    <row r="1369">
      <c r="A1369" s="2" t="inlineStr">
        <is>
          <t>Divergent Powers Tin [Hisuian Typhlosion V] (International Version)</t>
        </is>
      </c>
      <c r="B1369" s="3">
        <f>IF(I1369&lt;&gt;"",I1369,IF(J1369&lt;&gt;"",J1369,IF(K1369&lt;&gt;"",K1369,L1369)))</f>
        <v>69.69</v>
      </c>
      <c r="C1369" s="3">
        <f>MEDIAN(I1369:L1369)</f>
        <v>69.69</v>
      </c>
      <c r="D1369" s="3">
        <f>ROUND(C1369*(1-Settings!$B$2),2)</f>
        <v>48.78</v>
      </c>
      <c r="E1369" s="3">
        <f>ROUND(C1369*(1-Settings!$B$3),2)</f>
        <v>48.78</v>
      </c>
      <c r="F1369" s="2" t="inlineStr">
        <is>
          <t>Pokemon</t>
        </is>
      </c>
      <c r="G1369" s="2" t="inlineStr">
        <is>
          <t>Coffret</t>
        </is>
      </c>
      <c r="H1369" s="2" t="inlineStr">
        <is>
          <t>Miscellaneous Cards &amp; Products</t>
        </is>
      </c>
      <c r="I1369" s="3" t="n"/>
      <c r="J1369" s="3" t="n">
        <v>69.69</v>
      </c>
      <c r="K1369" s="3" t="n">
        <v>94</v>
      </c>
      <c r="L1369" s="3" t="n">
        <v>58</v>
      </c>
      <c r="M1369" s="2" t="inlineStr">
        <is>
          <t>TCGplayer</t>
        </is>
      </c>
      <c r="O1369" s="4" t="inlineStr">
        <is>
          <t>https://www.tcgplayer.com/product/271944</t>
        </is>
      </c>
    </row>
    <row r="1370">
      <c r="A1370" s="2" t="inlineStr">
        <is>
          <t>Divergent Powers Tin [Set of 3]</t>
        </is>
      </c>
      <c r="B1370" s="3">
        <f>IF(I1370&lt;&gt;"",I1370,IF(J1370&lt;&gt;"",J1370,IF(K1370&lt;&gt;"",K1370,L1370)))</f>
        <v>286.0</v>
      </c>
      <c r="C1370" s="3">
        <f>MEDIAN(I1370:L1370)</f>
        <v>349.9</v>
      </c>
      <c r="D1370" s="3">
        <f>ROUND(C1370*(1-Settings!$B$2),2)</f>
        <v>244.93</v>
      </c>
      <c r="E1370" s="3">
        <f>ROUND(C1370*(1-Settings!$B$3),2)</f>
        <v>244.93</v>
      </c>
      <c r="F1370" s="2" t="inlineStr">
        <is>
          <t>Pokemon</t>
        </is>
      </c>
      <c r="G1370" s="2" t="inlineStr">
        <is>
          <t>Coffret</t>
        </is>
      </c>
      <c r="H1370" s="2" t="inlineStr">
        <is>
          <t>Miscellaneous Cards &amp; Products</t>
        </is>
      </c>
      <c r="I1370" s="3" t="n"/>
      <c r="J1370" s="3" t="n">
        <v>286</v>
      </c>
      <c r="K1370" s="3" t="n">
        <v>349.97</v>
      </c>
      <c r="L1370" s="3" t="n">
        <v>349.9</v>
      </c>
      <c r="M1370" s="2" t="inlineStr">
        <is>
          <t>TCGplayer</t>
        </is>
      </c>
      <c r="O1370" s="4" t="inlineStr">
        <is>
          <t>https://www.tcgplayer.com/product/272521</t>
        </is>
      </c>
    </row>
    <row r="1371">
      <c r="A1371" s="2" t="inlineStr">
        <is>
          <t>Eevee Evolution VMAX Premium Collection [Set of 3]</t>
        </is>
      </c>
      <c r="B1371" s="3">
        <f>IF(I1371&lt;&gt;"",I1371,IF(J1371&lt;&gt;"",J1371,IF(K1371&lt;&gt;"",K1371,L1371)))</f>
        <v>938.49</v>
      </c>
      <c r="C1371" s="3">
        <f>MEDIAN(I1371:L1371)</f>
        <v>1249.98</v>
      </c>
      <c r="D1371" s="3">
        <f>ROUND(C1371*(1-Settings!$B$2),2)</f>
        <v>874.99</v>
      </c>
      <c r="E1371" s="3">
        <f>ROUND(C1371*(1-Settings!$B$3),2)</f>
        <v>874.99</v>
      </c>
      <c r="F1371" s="2" t="inlineStr">
        <is>
          <t>Pokemon</t>
        </is>
      </c>
      <c r="G1371" s="2" t="inlineStr">
        <is>
          <t>Coffret</t>
        </is>
      </c>
      <c r="H1371" s="2" t="inlineStr">
        <is>
          <t>Miscellaneous Cards &amp; Products</t>
        </is>
      </c>
      <c r="I1371" s="3" t="n"/>
      <c r="J1371" s="3" t="n">
        <v>938.49</v>
      </c>
      <c r="K1371" s="3" t="n">
        <v>1626.81</v>
      </c>
      <c r="L1371" s="3" t="n">
        <v>1249.98</v>
      </c>
      <c r="M1371" s="2" t="inlineStr">
        <is>
          <t>TCGplayer</t>
        </is>
      </c>
      <c r="O1371" s="4" t="inlineStr">
        <is>
          <t>https://www.tcgplayer.com/product/249713</t>
        </is>
      </c>
    </row>
    <row r="1372">
      <c r="A1372" s="2" t="inlineStr">
        <is>
          <t>Eevee Evolutions Premium Collection</t>
        </is>
      </c>
      <c r="B1372" s="3">
        <f>IF(I1372&lt;&gt;"",I1372,IF(J1372&lt;&gt;"",J1372,IF(K1372&lt;&gt;"",K1372,L1372)))</f>
        <v>282.73</v>
      </c>
      <c r="C1372" s="3">
        <f>MEDIAN(I1372:L1372)</f>
        <v>282.73</v>
      </c>
      <c r="D1372" s="3">
        <f>ROUND(C1372*(1-Settings!$B$2),2)</f>
        <v>197.91</v>
      </c>
      <c r="E1372" s="3">
        <f>ROUND(C1372*(1-Settings!$B$3),2)</f>
        <v>197.91</v>
      </c>
      <c r="F1372" s="2" t="inlineStr">
        <is>
          <t>Pokemon</t>
        </is>
      </c>
      <c r="G1372" s="2" t="inlineStr">
        <is>
          <t>Coffret</t>
        </is>
      </c>
      <c r="H1372" s="2" t="inlineStr">
        <is>
          <t>Miscellaneous Cards &amp; Products</t>
        </is>
      </c>
      <c r="I1372" s="3" t="n"/>
      <c r="J1372" s="3" t="n">
        <v>282.73</v>
      </c>
      <c r="K1372" s="3" t="n">
        <v>299.99</v>
      </c>
      <c r="L1372" s="3" t="n">
        <v>279.89</v>
      </c>
      <c r="M1372" s="2" t="inlineStr">
        <is>
          <t>TCGplayer</t>
        </is>
      </c>
      <c r="O1372" s="4" t="inlineStr">
        <is>
          <t>https://www.tcgplayer.com/product/286470</t>
        </is>
      </c>
    </row>
    <row r="1373">
      <c r="A1373" s="2" t="inlineStr">
        <is>
          <t>Eevee Evolutions Tin [Flareon V]</t>
        </is>
      </c>
      <c r="B1373" s="3">
        <f>IF(I1373&lt;&gt;"",I1373,IF(J1373&lt;&gt;"",J1373,IF(K1373&lt;&gt;"",K1373,L1373)))</f>
        <v>71.83</v>
      </c>
      <c r="C1373" s="3">
        <f>MEDIAN(I1373:L1373)</f>
        <v>71.83</v>
      </c>
      <c r="D1373" s="3">
        <f>ROUND(C1373*(1-Settings!$B$2),2)</f>
        <v>50.28</v>
      </c>
      <c r="E1373" s="3">
        <f>ROUND(C1373*(1-Settings!$B$3),2)</f>
        <v>50.28</v>
      </c>
      <c r="F1373" s="2" t="inlineStr">
        <is>
          <t>Pokemon</t>
        </is>
      </c>
      <c r="G1373" s="2" t="inlineStr">
        <is>
          <t>Coffret</t>
        </is>
      </c>
      <c r="H1373" s="2" t="inlineStr">
        <is>
          <t>Miscellaneous Cards &amp; Products</t>
        </is>
      </c>
      <c r="I1373" s="3" t="n"/>
      <c r="J1373" s="3" t="n">
        <v>71.83</v>
      </c>
      <c r="K1373" s="3" t="n">
        <v>80.94</v>
      </c>
      <c r="L1373" s="3" t="n">
        <v>12.99</v>
      </c>
      <c r="M1373" s="2" t="inlineStr">
        <is>
          <t>TCGplayer</t>
        </is>
      </c>
      <c r="O1373" s="4" t="inlineStr">
        <is>
          <t>https://www.tcgplayer.com/product/243562</t>
        </is>
      </c>
    </row>
    <row r="1374">
      <c r="A1374" s="2" t="inlineStr">
        <is>
          <t>Eevee Evolutions Tin [Set of 3]</t>
        </is>
      </c>
      <c r="B1374" s="3">
        <f>IF(I1374&lt;&gt;"",I1374,IF(J1374&lt;&gt;"",J1374,IF(K1374&lt;&gt;"",K1374,L1374)))</f>
        <v>290.0</v>
      </c>
      <c r="C1374" s="3">
        <f>MEDIAN(I1374:L1374)</f>
        <v>267.5</v>
      </c>
      <c r="D1374" s="3">
        <f>ROUND(C1374*(1-Settings!$B$2),2)</f>
        <v>187.25</v>
      </c>
      <c r="E1374" s="3">
        <f>ROUND(C1374*(1-Settings!$B$3),2)</f>
        <v>187.25</v>
      </c>
      <c r="F1374" s="2" t="inlineStr">
        <is>
          <t>Pokemon</t>
        </is>
      </c>
      <c r="G1374" s="2" t="inlineStr">
        <is>
          <t>Coffret</t>
        </is>
      </c>
      <c r="H1374" s="2" t="inlineStr">
        <is>
          <t>Miscellaneous Cards &amp; Products</t>
        </is>
      </c>
      <c r="I1374" s="3" t="n"/>
      <c r="J1374" s="3" t="n"/>
      <c r="K1374" s="3" t="n">
        <v>290</v>
      </c>
      <c r="L1374" s="3" t="n">
        <v>245</v>
      </c>
      <c r="M1374" s="2" t="inlineStr">
        <is>
          <t>TCGplayer</t>
        </is>
      </c>
      <c r="O1374" s="4" t="inlineStr">
        <is>
          <t>https://www.tcgplayer.com/product/243571</t>
        </is>
      </c>
    </row>
    <row r="1375">
      <c r="A1375" s="2" t="inlineStr">
        <is>
          <t>Eevee Evolutions Tin [Vaporeon V]</t>
        </is>
      </c>
      <c r="B1375" s="3">
        <f>IF(I1375&lt;&gt;"",I1375,IF(J1375&lt;&gt;"",J1375,IF(K1375&lt;&gt;"",K1375,L1375)))</f>
        <v>70.19</v>
      </c>
      <c r="C1375" s="3">
        <f>MEDIAN(I1375:L1375)</f>
        <v>70.19</v>
      </c>
      <c r="D1375" s="3">
        <f>ROUND(C1375*(1-Settings!$B$2),2)</f>
        <v>49.13</v>
      </c>
      <c r="E1375" s="3">
        <f>ROUND(C1375*(1-Settings!$B$3),2)</f>
        <v>49.13</v>
      </c>
      <c r="F1375" s="2" t="inlineStr">
        <is>
          <t>Pokemon</t>
        </is>
      </c>
      <c r="G1375" s="2" t="inlineStr">
        <is>
          <t>Coffret</t>
        </is>
      </c>
      <c r="H1375" s="2" t="inlineStr">
        <is>
          <t>Miscellaneous Cards &amp; Products</t>
        </is>
      </c>
      <c r="I1375" s="3" t="n"/>
      <c r="J1375" s="3" t="n">
        <v>70.19</v>
      </c>
      <c r="K1375" s="3" t="n">
        <v>72</v>
      </c>
      <c r="L1375" s="3" t="n">
        <v>50</v>
      </c>
      <c r="M1375" s="2" t="inlineStr">
        <is>
          <t>TCGplayer</t>
        </is>
      </c>
      <c r="O1375" s="4" t="inlineStr">
        <is>
          <t>https://www.tcgplayer.com/product/243559</t>
        </is>
      </c>
    </row>
    <row r="1376">
      <c r="A1376" s="2" t="inlineStr">
        <is>
          <t>Elemental Power Tin [Flareon GX]</t>
        </is>
      </c>
      <c r="B1376" s="3">
        <f>IF(I1376&lt;&gt;"",I1376,IF(J1376&lt;&gt;"",J1376,IF(K1376&lt;&gt;"",K1376,L1376)))</f>
        <v>154.97</v>
      </c>
      <c r="C1376" s="3">
        <f>MEDIAN(I1376:L1376)</f>
        <v>212.99</v>
      </c>
      <c r="D1376" s="3">
        <f>ROUND(C1376*(1-Settings!$B$2),2)</f>
        <v>149.09</v>
      </c>
      <c r="E1376" s="3">
        <f>ROUND(C1376*(1-Settings!$B$3),2)</f>
        <v>149.09</v>
      </c>
      <c r="F1376" s="2" t="inlineStr">
        <is>
          <t>Pokemon</t>
        </is>
      </c>
      <c r="G1376" s="2" t="inlineStr">
        <is>
          <t>Coffret</t>
        </is>
      </c>
      <c r="H1376" s="2" t="inlineStr">
        <is>
          <t>Miscellaneous Cards &amp; Products</t>
        </is>
      </c>
      <c r="I1376" s="3" t="n"/>
      <c r="J1376" s="3" t="n">
        <v>154.97</v>
      </c>
      <c r="K1376" s="3" t="n">
        <v>216.5</v>
      </c>
      <c r="L1376" s="3" t="n">
        <v>212.99</v>
      </c>
      <c r="M1376" s="2" t="inlineStr">
        <is>
          <t>TCGplayer</t>
        </is>
      </c>
      <c r="O1376" s="4" t="inlineStr">
        <is>
          <t>https://www.tcgplayer.com/product/199787</t>
        </is>
      </c>
    </row>
    <row r="1377">
      <c r="A1377" s="2" t="inlineStr">
        <is>
          <t>Elemental Power Tin [Jolteon GX]</t>
        </is>
      </c>
      <c r="B1377" s="3">
        <f>IF(I1377&lt;&gt;"",I1377,IF(J1377&lt;&gt;"",J1377,IF(K1377&lt;&gt;"",K1377,L1377)))</f>
        <v>150.75</v>
      </c>
      <c r="C1377" s="3">
        <f>MEDIAN(I1377:L1377)</f>
        <v>200.0</v>
      </c>
      <c r="D1377" s="3">
        <f>ROUND(C1377*(1-Settings!$B$2),2)</f>
        <v>140.0</v>
      </c>
      <c r="E1377" s="3">
        <f>ROUND(C1377*(1-Settings!$B$3),2)</f>
        <v>140.0</v>
      </c>
      <c r="F1377" s="2" t="inlineStr">
        <is>
          <t>Pokemon</t>
        </is>
      </c>
      <c r="G1377" s="2" t="inlineStr">
        <is>
          <t>Coffret</t>
        </is>
      </c>
      <c r="H1377" s="2" t="inlineStr">
        <is>
          <t>Miscellaneous Cards &amp; Products</t>
        </is>
      </c>
      <c r="I1377" s="3" t="n"/>
      <c r="J1377" s="3" t="n">
        <v>150.75</v>
      </c>
      <c r="K1377" s="3" t="n">
        <v>206.5</v>
      </c>
      <c r="L1377" s="3" t="n">
        <v>200</v>
      </c>
      <c r="M1377" s="2" t="inlineStr">
        <is>
          <t>TCGplayer</t>
        </is>
      </c>
      <c r="O1377" s="4" t="inlineStr">
        <is>
          <t>https://www.tcgplayer.com/product/199789</t>
        </is>
      </c>
    </row>
    <row r="1378">
      <c r="A1378" s="2" t="inlineStr">
        <is>
          <t>Elemental Power Tin [Vaporeon GX]</t>
        </is>
      </c>
      <c r="B1378" s="3">
        <f>IF(I1378&lt;&gt;"",I1378,IF(J1378&lt;&gt;"",J1378,IF(K1378&lt;&gt;"",K1378,L1378)))</f>
        <v>145.64</v>
      </c>
      <c r="C1378" s="3">
        <f>MEDIAN(I1378:L1378)</f>
        <v>210.0</v>
      </c>
      <c r="D1378" s="3">
        <f>ROUND(C1378*(1-Settings!$B$2),2)</f>
        <v>147.0</v>
      </c>
      <c r="E1378" s="3">
        <f>ROUND(C1378*(1-Settings!$B$3),2)</f>
        <v>147.0</v>
      </c>
      <c r="F1378" s="2" t="inlineStr">
        <is>
          <t>Pokemon</t>
        </is>
      </c>
      <c r="G1378" s="2" t="inlineStr">
        <is>
          <t>Coffret</t>
        </is>
      </c>
      <c r="H1378" s="2" t="inlineStr">
        <is>
          <t>Miscellaneous Cards &amp; Products</t>
        </is>
      </c>
      <c r="I1378" s="3" t="n"/>
      <c r="J1378" s="3" t="n">
        <v>145.64</v>
      </c>
      <c r="K1378" s="3" t="n">
        <v>215</v>
      </c>
      <c r="L1378" s="3" t="n">
        <v>210</v>
      </c>
      <c r="M1378" s="2" t="inlineStr">
        <is>
          <t>TCGplayer</t>
        </is>
      </c>
      <c r="O1378" s="4" t="inlineStr">
        <is>
          <t>https://www.tcgplayer.com/product/199788</t>
        </is>
      </c>
    </row>
    <row r="1379">
      <c r="A1379" s="2" t="inlineStr">
        <is>
          <t>Enhanced 2-Pack Blister Pack [Alolan Dugtrio, Alolan Muk, &amp; Alolan Golem]</t>
        </is>
      </c>
      <c r="B1379" s="3">
        <f>IF(I1379&lt;&gt;"",I1379,IF(J1379&lt;&gt;"",J1379,IF(K1379&lt;&gt;"",K1379,L1379)))</f>
        <v>250.0</v>
      </c>
      <c r="C1379" s="3">
        <f>MEDIAN(I1379:L1379)</f>
        <v>250.0</v>
      </c>
      <c r="D1379" s="3">
        <f>ROUND(C1379*(1-Settings!$B$2),2)</f>
        <v>175.0</v>
      </c>
      <c r="E1379" s="3">
        <f>ROUND(C1379*(1-Settings!$B$3),2)</f>
        <v>175.0</v>
      </c>
      <c r="F1379" s="2" t="inlineStr">
        <is>
          <t>Pokemon</t>
        </is>
      </c>
      <c r="G1379" s="2" t="inlineStr">
        <is>
          <t>Coffret</t>
        </is>
      </c>
      <c r="H1379" s="2" t="inlineStr">
        <is>
          <t>Miscellaneous Cards &amp; Products</t>
        </is>
      </c>
      <c r="I1379" s="3" t="n"/>
      <c r="J1379" s="3" t="n"/>
      <c r="K1379" s="3" t="n">
        <v>250</v>
      </c>
      <c r="L1379" s="3" t="n">
        <v>250</v>
      </c>
      <c r="M1379" s="2" t="inlineStr">
        <is>
          <t>TCGplayer</t>
        </is>
      </c>
      <c r="O1379" s="4" t="inlineStr">
        <is>
          <t>https://www.tcgplayer.com/product/283135</t>
        </is>
      </c>
    </row>
    <row r="1380">
      <c r="A1380" s="2" t="inlineStr">
        <is>
          <t>Enhanced 2-Pack Blister Pack [Armarouge, Revavroom &amp; Houndstone]</t>
        </is>
      </c>
      <c r="B1380" s="3">
        <f>IF(I1380&lt;&gt;"",I1380,IF(J1380&lt;&gt;"",J1380,IF(K1380&lt;&gt;"",K1380,L1380)))</f>
        <v>31.89</v>
      </c>
      <c r="C1380" s="3">
        <f>MEDIAN(I1380:L1380)</f>
        <v>31.89</v>
      </c>
      <c r="D1380" s="3">
        <f>ROUND(C1380*(1-Settings!$B$2),2)</f>
        <v>22.32</v>
      </c>
      <c r="E1380" s="3">
        <f>ROUND(C1380*(1-Settings!$B$3),2)</f>
        <v>22.32</v>
      </c>
      <c r="F1380" s="2" t="inlineStr">
        <is>
          <t>Pokemon</t>
        </is>
      </c>
      <c r="G1380" s="2" t="inlineStr">
        <is>
          <t>Coffret</t>
        </is>
      </c>
      <c r="H1380" s="2" t="inlineStr">
        <is>
          <t>Miscellaneous Cards &amp; Products</t>
        </is>
      </c>
      <c r="I1380" s="3" t="n"/>
      <c r="J1380" s="3" t="n">
        <v>31.89</v>
      </c>
      <c r="K1380" s="3" t="n">
        <v>35.98</v>
      </c>
      <c r="L1380" s="3" t="n">
        <v>26.01</v>
      </c>
      <c r="M1380" s="2" t="inlineStr">
        <is>
          <t>TCGplayer</t>
        </is>
      </c>
      <c r="O1380" s="4" t="inlineStr">
        <is>
          <t>https://www.tcgplayer.com/product/616953</t>
        </is>
      </c>
    </row>
    <row r="1381">
      <c r="A1381" s="2" t="inlineStr">
        <is>
          <t>Enhanced 2-Pack Blister Pack [Articuno, Zapdos, &amp; Moltres]</t>
        </is>
      </c>
      <c r="B1381" s="3">
        <f>IF(I1381&lt;&gt;"",I1381,IF(J1381&lt;&gt;"",J1381,IF(K1381&lt;&gt;"",K1381,L1381)))</f>
        <v>35.27</v>
      </c>
      <c r="C1381" s="3">
        <f>MEDIAN(I1381:L1381)</f>
        <v>35.27</v>
      </c>
      <c r="D1381" s="3">
        <f>ROUND(C1381*(1-Settings!$B$2),2)</f>
        <v>24.69</v>
      </c>
      <c r="E1381" s="3">
        <f>ROUND(C1381*(1-Settings!$B$3),2)</f>
        <v>24.69</v>
      </c>
      <c r="F1381" s="2" t="inlineStr">
        <is>
          <t>Pokemon</t>
        </is>
      </c>
      <c r="G1381" s="2" t="inlineStr">
        <is>
          <t>Coffret</t>
        </is>
      </c>
      <c r="H1381" s="2" t="inlineStr">
        <is>
          <t>Miscellaneous Cards &amp; Products</t>
        </is>
      </c>
      <c r="I1381" s="3" t="n"/>
      <c r="J1381" s="3" t="n">
        <v>35.27</v>
      </c>
      <c r="K1381" s="3" t="n">
        <v>46.49</v>
      </c>
      <c r="L1381" s="3" t="n">
        <v>34.99</v>
      </c>
      <c r="M1381" s="2" t="inlineStr">
        <is>
          <t>TCGplayer</t>
        </is>
      </c>
      <c r="O1381" s="4" t="inlineStr">
        <is>
          <t>https://www.tcgplayer.com/product/489343</t>
        </is>
      </c>
    </row>
    <row r="1382">
      <c r="A1382" s="2" t="inlineStr">
        <is>
          <t>Enhanced 2-Pack Blister Pack [Galarian Articuno, Galarian Zapdos, &amp; Galarian Moltres]</t>
        </is>
      </c>
      <c r="B1382" s="3">
        <f>IF(I1382&lt;&gt;"",I1382,IF(J1382&lt;&gt;"",J1382,IF(K1382&lt;&gt;"",K1382,L1382)))</f>
        <v>47.39</v>
      </c>
      <c r="C1382" s="3">
        <f>MEDIAN(I1382:L1382)</f>
        <v>49.98</v>
      </c>
      <c r="D1382" s="3">
        <f>ROUND(C1382*(1-Settings!$B$2),2)</f>
        <v>34.99</v>
      </c>
      <c r="E1382" s="3">
        <f>ROUND(C1382*(1-Settings!$B$3),2)</f>
        <v>34.99</v>
      </c>
      <c r="F1382" s="2" t="inlineStr">
        <is>
          <t>Pokemon</t>
        </is>
      </c>
      <c r="G1382" s="2" t="inlineStr">
        <is>
          <t>Coffret</t>
        </is>
      </c>
      <c r="H1382" s="2" t="inlineStr">
        <is>
          <t>Miscellaneous Cards &amp; Products</t>
        </is>
      </c>
      <c r="I1382" s="3" t="n"/>
      <c r="J1382" s="3" t="n">
        <v>47.39</v>
      </c>
      <c r="K1382" s="3" t="n">
        <v>52.98</v>
      </c>
      <c r="L1382" s="3" t="n">
        <v>49.98</v>
      </c>
      <c r="M1382" s="2" t="inlineStr">
        <is>
          <t>TCGplayer</t>
        </is>
      </c>
      <c r="O1382" s="4" t="inlineStr">
        <is>
          <t>https://www.tcgplayer.com/product/279606</t>
        </is>
      </c>
    </row>
    <row r="1383">
      <c r="A1383" s="2" t="inlineStr">
        <is>
          <t>Enhanced 2-Pack Blister Pack [Gengar, Marshadow, Team Rocket's Mimikyu]</t>
        </is>
      </c>
      <c r="B1383" s="3">
        <f>IF(I1383&lt;&gt;"",I1383,IF(J1383&lt;&gt;"",J1383,IF(K1383&lt;&gt;"",K1383,L1383)))</f>
        <v>19.77</v>
      </c>
      <c r="C1383" s="3">
        <f>MEDIAN(I1383:L1383)</f>
        <v>19.77</v>
      </c>
      <c r="D1383" s="3">
        <f>ROUND(C1383*(1-Settings!$B$2),2)</f>
        <v>13.84</v>
      </c>
      <c r="E1383" s="3">
        <f>ROUND(C1383*(1-Settings!$B$3),2)</f>
        <v>13.84</v>
      </c>
      <c r="F1383" s="2" t="inlineStr">
        <is>
          <t>Pokemon</t>
        </is>
      </c>
      <c r="G1383" s="2" t="inlineStr">
        <is>
          <t>Coffret</t>
        </is>
      </c>
      <c r="H1383" s="2" t="inlineStr">
        <is>
          <t>Miscellaneous Cards &amp; Products</t>
        </is>
      </c>
      <c r="I1383" s="3" t="n"/>
      <c r="J1383" s="3" t="n">
        <v>19.77</v>
      </c>
      <c r="K1383" s="3" t="n">
        <v>24.04</v>
      </c>
      <c r="L1383" s="3" t="n">
        <v>10</v>
      </c>
      <c r="M1383" s="2" t="inlineStr">
        <is>
          <t>TCGplayer</t>
        </is>
      </c>
      <c r="O1383" s="4" t="inlineStr">
        <is>
          <t>https://www.tcgplayer.com/product/714361</t>
        </is>
      </c>
    </row>
    <row r="1384">
      <c r="A1384" s="2" t="inlineStr">
        <is>
          <t>Enhanced 2-Pack Blister Pack [Latios, Zekrom &amp; Palkia]</t>
        </is>
      </c>
      <c r="B1384" s="3">
        <f>IF(I1384&lt;&gt;"",I1384,IF(J1384&lt;&gt;"",J1384,IF(K1384&lt;&gt;"",K1384,L1384)))</f>
        <v>17.65</v>
      </c>
      <c r="C1384" s="3">
        <f>MEDIAN(I1384:L1384)</f>
        <v>17.65</v>
      </c>
      <c r="D1384" s="3">
        <f>ROUND(C1384*(1-Settings!$B$2),2)</f>
        <v>12.36</v>
      </c>
      <c r="E1384" s="3">
        <f>ROUND(C1384*(1-Settings!$B$3),2)</f>
        <v>12.36</v>
      </c>
      <c r="F1384" s="2" t="inlineStr">
        <is>
          <t>Pokemon</t>
        </is>
      </c>
      <c r="G1384" s="2" t="inlineStr">
        <is>
          <t>Coffret</t>
        </is>
      </c>
      <c r="H1384" s="2" t="inlineStr">
        <is>
          <t>Miscellaneous Cards &amp; Products</t>
        </is>
      </c>
      <c r="I1384" s="3" t="n"/>
      <c r="J1384" s="3" t="n">
        <v>17.65</v>
      </c>
      <c r="K1384" s="3" t="n">
        <v>22</v>
      </c>
      <c r="L1384" s="3" t="n">
        <v>14.95</v>
      </c>
      <c r="M1384" s="2" t="inlineStr">
        <is>
          <t>TCGplayer</t>
        </is>
      </c>
      <c r="O1384" s="4" t="inlineStr">
        <is>
          <t>https://www.tcgplayer.com/product/616951</t>
        </is>
      </c>
    </row>
    <row r="1385">
      <c r="A1385" s="2" t="inlineStr">
        <is>
          <t>Enhanced 2-Pack Blister Pack [Palafin, Baxcalibur &amp; Garganacl]</t>
        </is>
      </c>
      <c r="B1385" s="3">
        <f>IF(I1385&lt;&gt;"",I1385,IF(J1385&lt;&gt;"",J1385,IF(K1385&lt;&gt;"",K1385,L1385)))</f>
        <v>1.5</v>
      </c>
      <c r="C1385" s="3">
        <f>MEDIAN(I1385:L1385)</f>
        <v>1.5</v>
      </c>
      <c r="D1385" s="3">
        <f>ROUND(C1385*(1-Settings!$B$2),2)</f>
        <v>1.05</v>
      </c>
      <c r="E1385" s="3">
        <f>ROUND(C1385*(1-Settings!$B$3),2)</f>
        <v>1.05</v>
      </c>
      <c r="F1385" s="2" t="inlineStr">
        <is>
          <t>Pokemon</t>
        </is>
      </c>
      <c r="G1385" s="2" t="inlineStr">
        <is>
          <t>Coffret</t>
        </is>
      </c>
      <c r="H1385" s="2" t="inlineStr">
        <is>
          <t>Miscellaneous Cards &amp; Products</t>
        </is>
      </c>
      <c r="I1385" s="3" t="n"/>
      <c r="J1385" s="3" t="n"/>
      <c r="K1385" s="3" t="n"/>
      <c r="L1385" s="3" t="n">
        <v>1.5</v>
      </c>
      <c r="M1385" s="2" t="inlineStr">
        <is>
          <t>TCGplayer</t>
        </is>
      </c>
      <c r="O1385" s="4" t="inlineStr">
        <is>
          <t>https://www.tcgplayer.com/product/616940</t>
        </is>
      </c>
    </row>
    <row r="1386">
      <c r="A1386" s="2" t="inlineStr">
        <is>
          <t>Evolving Powers Premium Collection (Target Exclusive)</t>
        </is>
      </c>
      <c r="B1386" s="3">
        <f>IF(I1386&lt;&gt;"",I1386,IF(J1386&lt;&gt;"",J1386,IF(K1386&lt;&gt;"",K1386,L1386)))</f>
        <v>223.73</v>
      </c>
      <c r="C1386" s="3">
        <f>MEDIAN(I1386:L1386)</f>
        <v>223.73</v>
      </c>
      <c r="D1386" s="3">
        <f>ROUND(C1386*(1-Settings!$B$2),2)</f>
        <v>156.61</v>
      </c>
      <c r="E1386" s="3">
        <f>ROUND(C1386*(1-Settings!$B$3),2)</f>
        <v>156.61</v>
      </c>
      <c r="F1386" s="2" t="inlineStr">
        <is>
          <t>Pokemon</t>
        </is>
      </c>
      <c r="G1386" s="2" t="inlineStr">
        <is>
          <t>Coffret</t>
        </is>
      </c>
      <c r="H1386" s="2" t="inlineStr">
        <is>
          <t>Miscellaneous Cards &amp; Products</t>
        </is>
      </c>
      <c r="I1386" s="3" t="n"/>
      <c r="J1386" s="3" t="n">
        <v>223.73</v>
      </c>
      <c r="K1386" s="3" t="n">
        <v>236.84</v>
      </c>
      <c r="L1386" s="3" t="n">
        <v>190</v>
      </c>
      <c r="M1386" s="2" t="inlineStr">
        <is>
          <t>TCGplayer</t>
        </is>
      </c>
      <c r="O1386" s="4" t="inlineStr">
        <is>
          <t>https://www.tcgplayer.com/product/520353</t>
        </is>
      </c>
    </row>
    <row r="1387">
      <c r="A1387" s="2" t="inlineStr">
        <is>
          <t>Fall 2019 Collector's Chest Tin</t>
        </is>
      </c>
      <c r="B1387" s="3">
        <f>IF(I1387&lt;&gt;"",I1387,IF(J1387&lt;&gt;"",J1387,IF(K1387&lt;&gt;"",K1387,L1387)))</f>
        <v>1477.66</v>
      </c>
      <c r="C1387" s="3">
        <f>MEDIAN(I1387:L1387)</f>
        <v>1588.33</v>
      </c>
      <c r="D1387" s="3">
        <f>ROUND(C1387*(1-Settings!$B$2),2)</f>
        <v>1111.83</v>
      </c>
      <c r="E1387" s="3">
        <f>ROUND(C1387*(1-Settings!$B$3),2)</f>
        <v>1111.83</v>
      </c>
      <c r="F1387" s="2" t="inlineStr">
        <is>
          <t>Pokemon</t>
        </is>
      </c>
      <c r="G1387" s="2" t="inlineStr">
        <is>
          <t>Coffret</t>
        </is>
      </c>
      <c r="H1387" s="2" t="inlineStr">
        <is>
          <t>Miscellaneous Cards &amp; Products</t>
        </is>
      </c>
      <c r="I1387" s="3" t="n"/>
      <c r="J1387" s="3" t="n">
        <v>1477.66</v>
      </c>
      <c r="K1387" s="3" t="n"/>
      <c r="L1387" s="3" t="n">
        <v>1699</v>
      </c>
      <c r="M1387" s="2" t="inlineStr">
        <is>
          <t>TCGplayer</t>
        </is>
      </c>
      <c r="O1387" s="4" t="inlineStr">
        <is>
          <t>https://www.tcgplayer.com/product/200142</t>
        </is>
      </c>
    </row>
    <row r="1388">
      <c r="A1388" s="2" t="inlineStr">
        <is>
          <t>Fall 2020 Collector's Chest Tin + Great Ball 2-Pack (Retail Exclusive)</t>
        </is>
      </c>
      <c r="B1388" s="3">
        <f>IF(I1388&lt;&gt;"",I1388,IF(J1388&lt;&gt;"",J1388,IF(K1388&lt;&gt;"",K1388,L1388)))</f>
        <v>150.0</v>
      </c>
      <c r="C1388" s="3">
        <f>MEDIAN(I1388:L1388)</f>
        <v>150.0</v>
      </c>
      <c r="D1388" s="3">
        <f>ROUND(C1388*(1-Settings!$B$2),2)</f>
        <v>105.0</v>
      </c>
      <c r="E1388" s="3">
        <f>ROUND(C1388*(1-Settings!$B$3),2)</f>
        <v>105.0</v>
      </c>
      <c r="F1388" s="2" t="inlineStr">
        <is>
          <t>Pokemon</t>
        </is>
      </c>
      <c r="G1388" s="2" t="inlineStr">
        <is>
          <t>Coffret</t>
        </is>
      </c>
      <c r="H1388" s="2" t="inlineStr">
        <is>
          <t>Miscellaneous Cards &amp; Products</t>
        </is>
      </c>
      <c r="I1388" s="3" t="n"/>
      <c r="J1388" s="3" t="n"/>
      <c r="K1388" s="3" t="n">
        <v>150</v>
      </c>
      <c r="L1388" s="3" t="n">
        <v>150</v>
      </c>
      <c r="M1388" s="2" t="inlineStr">
        <is>
          <t>TCGplayer</t>
        </is>
      </c>
      <c r="O1388" s="4" t="inlineStr">
        <is>
          <t>https://www.tcgplayer.com/product/263031</t>
        </is>
      </c>
    </row>
    <row r="1389">
      <c r="A1389" s="2" t="inlineStr">
        <is>
          <t>Fall 2020 Collector's Chest Tin + Level Ball 2-Pack (Retail Exclusive)</t>
        </is>
      </c>
      <c r="B1389" s="3">
        <f>IF(I1389&lt;&gt;"",I1389,IF(J1389&lt;&gt;"",J1389,IF(K1389&lt;&gt;"",K1389,L1389)))</f>
        <v>142.5</v>
      </c>
      <c r="C1389" s="3">
        <f>MEDIAN(I1389:L1389)</f>
        <v>142.5</v>
      </c>
      <c r="D1389" s="3">
        <f>ROUND(C1389*(1-Settings!$B$2),2)</f>
        <v>99.75</v>
      </c>
      <c r="E1389" s="3">
        <f>ROUND(C1389*(1-Settings!$B$3),2)</f>
        <v>99.75</v>
      </c>
      <c r="F1389" s="2" t="inlineStr">
        <is>
          <t>Pokemon</t>
        </is>
      </c>
      <c r="G1389" s="2" t="inlineStr">
        <is>
          <t>Coffret</t>
        </is>
      </c>
      <c r="H1389" s="2" t="inlineStr">
        <is>
          <t>Miscellaneous Cards &amp; Products</t>
        </is>
      </c>
      <c r="I1389" s="3" t="n"/>
      <c r="J1389" s="3" t="n">
        <v>142.5</v>
      </c>
      <c r="K1389" s="3" t="n"/>
      <c r="L1389" s="3" t="n"/>
      <c r="M1389" s="2" t="inlineStr">
        <is>
          <t>TCGplayer</t>
        </is>
      </c>
      <c r="O1389" s="4" t="inlineStr">
        <is>
          <t>https://www.tcgplayer.com/product/263033</t>
        </is>
      </c>
    </row>
    <row r="1390">
      <c r="A1390" s="2" t="inlineStr">
        <is>
          <t>Fall 2020 Collector's Chest Tin + Poke Ball 2-Pack (Retail Exclusive)</t>
        </is>
      </c>
      <c r="B1390" s="3">
        <f>IF(I1390&lt;&gt;"",I1390,IF(J1390&lt;&gt;"",J1390,IF(K1390&lt;&gt;"",K1390,L1390)))</f>
        <v>132.98</v>
      </c>
      <c r="C1390" s="3">
        <f>MEDIAN(I1390:L1390)</f>
        <v>199.99</v>
      </c>
      <c r="D1390" s="3">
        <f>ROUND(C1390*(1-Settings!$B$2),2)</f>
        <v>139.99</v>
      </c>
      <c r="E1390" s="3">
        <f>ROUND(C1390*(1-Settings!$B$3),2)</f>
        <v>139.99</v>
      </c>
      <c r="F1390" s="2" t="inlineStr">
        <is>
          <t>Pokemon</t>
        </is>
      </c>
      <c r="G1390" s="2" t="inlineStr">
        <is>
          <t>Coffret</t>
        </is>
      </c>
      <c r="H1390" s="2" t="inlineStr">
        <is>
          <t>Miscellaneous Cards &amp; Products</t>
        </is>
      </c>
      <c r="I1390" s="3" t="n"/>
      <c r="J1390" s="3" t="n">
        <v>132.98</v>
      </c>
      <c r="K1390" s="3" t="n">
        <v>199.99</v>
      </c>
      <c r="L1390" s="3" t="n">
        <v>199.99</v>
      </c>
      <c r="M1390" s="2" t="inlineStr">
        <is>
          <t>TCGplayer</t>
        </is>
      </c>
      <c r="O1390" s="4" t="inlineStr">
        <is>
          <t>https://www.tcgplayer.com/product/263030</t>
        </is>
      </c>
    </row>
    <row r="1391">
      <c r="A1391" s="2" t="inlineStr">
        <is>
          <t>Fall 2020 Collector's Chest Tin + Premier Ball 2-Pack (Retail Exclusive)</t>
        </is>
      </c>
      <c r="B1391" s="3">
        <f>IF(I1391&lt;&gt;"",I1391,IF(J1391&lt;&gt;"",J1391,IF(K1391&lt;&gt;"",K1391,L1391)))</f>
        <v>135.0</v>
      </c>
      <c r="C1391" s="3">
        <f>MEDIAN(I1391:L1391)</f>
        <v>150.0</v>
      </c>
      <c r="D1391" s="3">
        <f>ROUND(C1391*(1-Settings!$B$2),2)</f>
        <v>105.0</v>
      </c>
      <c r="E1391" s="3">
        <f>ROUND(C1391*(1-Settings!$B$3),2)</f>
        <v>105.0</v>
      </c>
      <c r="F1391" s="2" t="inlineStr">
        <is>
          <t>Pokemon</t>
        </is>
      </c>
      <c r="G1391" s="2" t="inlineStr">
        <is>
          <t>Coffret</t>
        </is>
      </c>
      <c r="H1391" s="2" t="inlineStr">
        <is>
          <t>Miscellaneous Cards &amp; Products</t>
        </is>
      </c>
      <c r="I1391" s="3" t="n"/>
      <c r="J1391" s="3" t="n">
        <v>135</v>
      </c>
      <c r="K1391" s="3" t="n">
        <v>150</v>
      </c>
      <c r="L1391" s="3" t="n">
        <v>150</v>
      </c>
      <c r="M1391" s="2" t="inlineStr">
        <is>
          <t>TCGplayer</t>
        </is>
      </c>
      <c r="O1391" s="4" t="inlineStr">
        <is>
          <t>https://www.tcgplayer.com/product/263029</t>
        </is>
      </c>
    </row>
    <row r="1392">
      <c r="A1392" s="2" t="inlineStr">
        <is>
          <t>Fall 2020 Collector's Chest Tin + Ultra Ball 2-Pack (Retail Exclusive)</t>
        </is>
      </c>
      <c r="B1392" s="3">
        <f>IF(I1392&lt;&gt;"",I1392,IF(J1392&lt;&gt;"",J1392,IF(K1392&lt;&gt;"",K1392,L1392)))</f>
        <v>147.47</v>
      </c>
      <c r="C1392" s="3">
        <f>MEDIAN(I1392:L1392)</f>
        <v>146.235</v>
      </c>
      <c r="D1392" s="3">
        <f>ROUND(C1392*(1-Settings!$B$2),2)</f>
        <v>102.36</v>
      </c>
      <c r="E1392" s="3">
        <f>ROUND(C1392*(1-Settings!$B$3),2)</f>
        <v>102.36</v>
      </c>
      <c r="F1392" s="2" t="inlineStr">
        <is>
          <t>Pokemon</t>
        </is>
      </c>
      <c r="G1392" s="2" t="inlineStr">
        <is>
          <t>Coffret</t>
        </is>
      </c>
      <c r="H1392" s="2" t="inlineStr">
        <is>
          <t>Miscellaneous Cards &amp; Products</t>
        </is>
      </c>
      <c r="I1392" s="3" t="n"/>
      <c r="J1392" s="3" t="n"/>
      <c r="K1392" s="3" t="n">
        <v>147.47</v>
      </c>
      <c r="L1392" s="3" t="n">
        <v>145</v>
      </c>
      <c r="M1392" s="2" t="inlineStr">
        <is>
          <t>TCGplayer</t>
        </is>
      </c>
      <c r="O1392" s="4" t="inlineStr">
        <is>
          <t>https://www.tcgplayer.com/product/263034</t>
        </is>
      </c>
    </row>
    <row r="1393">
      <c r="A1393" s="2" t="inlineStr">
        <is>
          <t>Fall 2023 Collector Chest</t>
        </is>
      </c>
      <c r="B1393" s="3">
        <f>IF(I1393&lt;&gt;"",I1393,IF(J1393&lt;&gt;"",J1393,IF(K1393&lt;&gt;"",K1393,L1393)))</f>
        <v>66.57</v>
      </c>
      <c r="C1393" s="3">
        <f>MEDIAN(I1393:L1393)</f>
        <v>66.57</v>
      </c>
      <c r="D1393" s="3">
        <f>ROUND(C1393*(1-Settings!$B$2),2)</f>
        <v>46.6</v>
      </c>
      <c r="E1393" s="3">
        <f>ROUND(C1393*(1-Settings!$B$3),2)</f>
        <v>46.6</v>
      </c>
      <c r="F1393" s="2" t="inlineStr">
        <is>
          <t>Pokemon</t>
        </is>
      </c>
      <c r="G1393" s="2" t="inlineStr">
        <is>
          <t>Coffret</t>
        </is>
      </c>
      <c r="H1393" s="2" t="inlineStr">
        <is>
          <t>Miscellaneous Cards &amp; Products</t>
        </is>
      </c>
      <c r="I1393" s="3" t="n"/>
      <c r="J1393" s="3" t="n">
        <v>66.56999999999999</v>
      </c>
      <c r="K1393" s="3" t="n">
        <v>87.5</v>
      </c>
      <c r="L1393" s="3" t="n">
        <v>64.98999999999999</v>
      </c>
      <c r="M1393" s="2" t="inlineStr">
        <is>
          <t>TCGplayer</t>
        </is>
      </c>
      <c r="O1393" s="4" t="inlineStr">
        <is>
          <t>https://www.tcgplayer.com/product/516647</t>
        </is>
      </c>
    </row>
    <row r="1394">
      <c r="A1394" s="2" t="inlineStr">
        <is>
          <t>Fall 2024 Collector Chest</t>
        </is>
      </c>
      <c r="B1394" s="3">
        <f>IF(I1394&lt;&gt;"",I1394,IF(J1394&lt;&gt;"",J1394,IF(K1394&lt;&gt;"",K1394,L1394)))</f>
        <v>67.39</v>
      </c>
      <c r="C1394" s="3">
        <f>MEDIAN(I1394:L1394)</f>
        <v>67.39</v>
      </c>
      <c r="D1394" s="3">
        <f>ROUND(C1394*(1-Settings!$B$2),2)</f>
        <v>47.17</v>
      </c>
      <c r="E1394" s="3">
        <f>ROUND(C1394*(1-Settings!$B$3),2)</f>
        <v>47.17</v>
      </c>
      <c r="F1394" s="2" t="inlineStr">
        <is>
          <t>Pokemon</t>
        </is>
      </c>
      <c r="G1394" s="2" t="inlineStr">
        <is>
          <t>Coffret</t>
        </is>
      </c>
      <c r="H1394" s="2" t="inlineStr">
        <is>
          <t>Miscellaneous Cards &amp; Products</t>
        </is>
      </c>
      <c r="I1394" s="3" t="n"/>
      <c r="J1394" s="3" t="n">
        <v>67.39</v>
      </c>
      <c r="K1394" s="3" t="n">
        <v>69.5</v>
      </c>
      <c r="L1394" s="3" t="n">
        <v>61.8</v>
      </c>
      <c r="M1394" s="2" t="inlineStr">
        <is>
          <t>TCGplayer</t>
        </is>
      </c>
      <c r="O1394" s="4" t="inlineStr">
        <is>
          <t>https://www.tcgplayer.com/product/575706</t>
        </is>
      </c>
    </row>
    <row r="1395">
      <c r="A1395" s="2" t="inlineStr">
        <is>
          <t>Fall 2025 Collector Chest</t>
        </is>
      </c>
      <c r="B1395" s="3">
        <f>IF(I1395&lt;&gt;"",I1395,IF(J1395&lt;&gt;"",J1395,IF(K1395&lt;&gt;"",K1395,L1395)))</f>
        <v>48.25</v>
      </c>
      <c r="C1395" s="3">
        <f>MEDIAN(I1395:L1395)</f>
        <v>48.25</v>
      </c>
      <c r="D1395" s="3">
        <f>ROUND(C1395*(1-Settings!$B$2),2)</f>
        <v>33.78</v>
      </c>
      <c r="E1395" s="3">
        <f>ROUND(C1395*(1-Settings!$B$3),2)</f>
        <v>33.78</v>
      </c>
      <c r="F1395" s="2" t="inlineStr">
        <is>
          <t>Pokemon</t>
        </is>
      </c>
      <c r="G1395" s="2" t="inlineStr">
        <is>
          <t>Coffret</t>
        </is>
      </c>
      <c r="H1395" s="2" t="inlineStr">
        <is>
          <t>Miscellaneous Cards &amp; Products</t>
        </is>
      </c>
      <c r="I1395" s="3" t="n"/>
      <c r="J1395" s="3" t="n">
        <v>48.25</v>
      </c>
      <c r="K1395" s="3" t="n">
        <v>54.49</v>
      </c>
      <c r="L1395" s="3" t="n">
        <v>5</v>
      </c>
      <c r="M1395" s="2" t="inlineStr">
        <is>
          <t>TCGplayer</t>
        </is>
      </c>
      <c r="O1395" s="4" t="inlineStr">
        <is>
          <t>https://www.tcgplayer.com/product/654593</t>
        </is>
      </c>
    </row>
    <row r="1396">
      <c r="A1396" s="2" t="inlineStr">
        <is>
          <t>Flareon VMAX Premium Collection</t>
        </is>
      </c>
      <c r="B1396" s="3">
        <f>IF(I1396&lt;&gt;"",I1396,IF(J1396&lt;&gt;"",J1396,IF(K1396&lt;&gt;"",K1396,L1396)))</f>
        <v>311.8</v>
      </c>
      <c r="C1396" s="3">
        <f>MEDIAN(I1396:L1396)</f>
        <v>322.98</v>
      </c>
      <c r="D1396" s="3">
        <f>ROUND(C1396*(1-Settings!$B$2),2)</f>
        <v>226.09</v>
      </c>
      <c r="E1396" s="3">
        <f>ROUND(C1396*(1-Settings!$B$3),2)</f>
        <v>226.09</v>
      </c>
      <c r="F1396" s="2" t="inlineStr">
        <is>
          <t>Pokemon</t>
        </is>
      </c>
      <c r="G1396" s="2" t="inlineStr">
        <is>
          <t>Coffret</t>
        </is>
      </c>
      <c r="H1396" s="2" t="inlineStr">
        <is>
          <t>Miscellaneous Cards &amp; Products</t>
        </is>
      </c>
      <c r="I1396" s="3" t="n"/>
      <c r="J1396" s="3" t="n">
        <v>311.8</v>
      </c>
      <c r="K1396" s="3" t="n">
        <v>499.99</v>
      </c>
      <c r="L1396" s="3" t="n">
        <v>322.98</v>
      </c>
      <c r="M1396" s="2" t="inlineStr">
        <is>
          <t>TCGplayer</t>
        </is>
      </c>
      <c r="O1396" s="4" t="inlineStr">
        <is>
          <t>https://www.tcgplayer.com/product/249705</t>
        </is>
      </c>
    </row>
    <row r="1397">
      <c r="A1397" s="2" t="inlineStr">
        <is>
          <t>Fusion Strike Elite Trainer Box &amp; 6 Bonus Cards (Sam's Club)</t>
        </is>
      </c>
      <c r="B1397" s="3">
        <f>IF(I1397&lt;&gt;"",I1397,IF(J1397&lt;&gt;"",J1397,IF(K1397&lt;&gt;"",K1397,L1397)))</f>
        <v>601.99</v>
      </c>
      <c r="C1397" s="3">
        <f>MEDIAN(I1397:L1397)</f>
        <v>575.99</v>
      </c>
      <c r="D1397" s="3">
        <f>ROUND(C1397*(1-Settings!$B$2),2)</f>
        <v>403.19</v>
      </c>
      <c r="E1397" s="3">
        <f>ROUND(C1397*(1-Settings!$B$3),2)</f>
        <v>403.19</v>
      </c>
      <c r="F1397" s="2" t="inlineStr">
        <is>
          <t>Pokemon</t>
        </is>
      </c>
      <c r="G1397" s="2" t="inlineStr">
        <is>
          <t>Coffret</t>
        </is>
      </c>
      <c r="H1397" s="2" t="inlineStr">
        <is>
          <t>Miscellaneous Cards &amp; Products</t>
        </is>
      </c>
      <c r="I1397" s="3" t="n"/>
      <c r="J1397" s="3" t="n"/>
      <c r="K1397" s="3" t="n">
        <v>601.99</v>
      </c>
      <c r="L1397" s="3" t="n">
        <v>549.99</v>
      </c>
      <c r="M1397" s="2" t="inlineStr">
        <is>
          <t>TCGplayer</t>
        </is>
      </c>
      <c r="O1397" s="4" t="inlineStr">
        <is>
          <t>https://www.tcgplayer.com/product/690199</t>
        </is>
      </c>
    </row>
    <row r="1398">
      <c r="A1398" s="2" t="inlineStr">
        <is>
          <t>Galar Challengers Tin [Polteageist V]</t>
        </is>
      </c>
      <c r="B1398" s="3">
        <f>IF(I1398&lt;&gt;"",I1398,IF(J1398&lt;&gt;"",J1398,IF(K1398&lt;&gt;"",K1398,L1398)))</f>
        <v>40.0</v>
      </c>
      <c r="C1398" s="3">
        <f>MEDIAN(I1398:L1398)</f>
        <v>40.0</v>
      </c>
      <c r="D1398" s="3">
        <f>ROUND(C1398*(1-Settings!$B$2),2)</f>
        <v>28.0</v>
      </c>
      <c r="E1398" s="3">
        <f>ROUND(C1398*(1-Settings!$B$3),2)</f>
        <v>28.0</v>
      </c>
      <c r="F1398" s="2" t="inlineStr">
        <is>
          <t>Pokemon</t>
        </is>
      </c>
      <c r="G1398" s="2" t="inlineStr">
        <is>
          <t>Coffret</t>
        </is>
      </c>
      <c r="H1398" s="2" t="inlineStr">
        <is>
          <t>Miscellaneous Cards &amp; Products</t>
        </is>
      </c>
      <c r="I1398" s="3" t="n"/>
      <c r="J1398" s="3" t="n">
        <v>40</v>
      </c>
      <c r="K1398" s="3" t="n"/>
      <c r="L1398" s="3" t="n"/>
      <c r="M1398" s="2" t="inlineStr">
        <is>
          <t>TCGplayer</t>
        </is>
      </c>
      <c r="O1398" s="4" t="inlineStr">
        <is>
          <t>https://www.tcgplayer.com/product/220289</t>
        </is>
      </c>
    </row>
    <row r="1399">
      <c r="A1399" s="2" t="inlineStr">
        <is>
          <t>Galar Challengers Tin [Toxtricity V]</t>
        </is>
      </c>
      <c r="B1399" s="3">
        <f>IF(I1399&lt;&gt;"",I1399,IF(J1399&lt;&gt;"",J1399,IF(K1399&lt;&gt;"",K1399,L1399)))</f>
        <v>170.0</v>
      </c>
      <c r="C1399" s="3">
        <f>MEDIAN(I1399:L1399)</f>
        <v>185.0</v>
      </c>
      <c r="D1399" s="3">
        <f>ROUND(C1399*(1-Settings!$B$2),2)</f>
        <v>129.5</v>
      </c>
      <c r="E1399" s="3">
        <f>ROUND(C1399*(1-Settings!$B$3),2)</f>
        <v>129.5</v>
      </c>
      <c r="F1399" s="2" t="inlineStr">
        <is>
          <t>Pokemon</t>
        </is>
      </c>
      <c r="G1399" s="2" t="inlineStr">
        <is>
          <t>Coffret</t>
        </is>
      </c>
      <c r="H1399" s="2" t="inlineStr">
        <is>
          <t>Miscellaneous Cards &amp; Products</t>
        </is>
      </c>
      <c r="I1399" s="3" t="n"/>
      <c r="J1399" s="3" t="n">
        <v>170</v>
      </c>
      <c r="K1399" s="3" t="n">
        <v>185</v>
      </c>
      <c r="L1399" s="3" t="n">
        <v>185</v>
      </c>
      <c r="M1399" s="2" t="inlineStr">
        <is>
          <t>TCGplayer</t>
        </is>
      </c>
      <c r="O1399" s="4" t="inlineStr">
        <is>
          <t>https://www.tcgplayer.com/product/220291</t>
        </is>
      </c>
    </row>
    <row r="1400">
      <c r="A1400" s="2" t="inlineStr">
        <is>
          <t>Galar Collection [Sobble] - with Zacian V</t>
        </is>
      </c>
      <c r="B1400" s="3">
        <f>IF(I1400&lt;&gt;"",I1400,IF(J1400&lt;&gt;"",J1400,IF(K1400&lt;&gt;"",K1400,L1400)))</f>
        <v>490.0</v>
      </c>
      <c r="C1400" s="3">
        <f>MEDIAN(I1400:L1400)</f>
        <v>490.0</v>
      </c>
      <c r="D1400" s="3">
        <f>ROUND(C1400*(1-Settings!$B$2),2)</f>
        <v>343.0</v>
      </c>
      <c r="E1400" s="3">
        <f>ROUND(C1400*(1-Settings!$B$3),2)</f>
        <v>343.0</v>
      </c>
      <c r="F1400" s="2" t="inlineStr">
        <is>
          <t>Pokemon</t>
        </is>
      </c>
      <c r="G1400" s="2" t="inlineStr">
        <is>
          <t>Coffret</t>
        </is>
      </c>
      <c r="H1400" s="2" t="inlineStr">
        <is>
          <t>Miscellaneous Cards &amp; Products</t>
        </is>
      </c>
      <c r="I1400" s="3" t="n"/>
      <c r="J1400" s="3" t="n"/>
      <c r="K1400" s="3" t="n"/>
      <c r="L1400" s="3" t="n">
        <v>490</v>
      </c>
      <c r="M1400" s="2" t="inlineStr">
        <is>
          <t>TCGplayer</t>
        </is>
      </c>
      <c r="O1400" s="4" t="inlineStr">
        <is>
          <t>https://www.tcgplayer.com/product/199786</t>
        </is>
      </c>
    </row>
    <row r="1401">
      <c r="A1401" s="2" t="inlineStr">
        <is>
          <t>Galar Collection [Sobble] - with Zamazenta V</t>
        </is>
      </c>
      <c r="B1401" s="3">
        <f>IF(I1401&lt;&gt;"",I1401,IF(J1401&lt;&gt;"",J1401,IF(K1401&lt;&gt;"",K1401,L1401)))</f>
        <v>490.0</v>
      </c>
      <c r="C1401" s="3">
        <f>MEDIAN(I1401:L1401)</f>
        <v>490.0</v>
      </c>
      <c r="D1401" s="3">
        <f>ROUND(C1401*(1-Settings!$B$2),2)</f>
        <v>343.0</v>
      </c>
      <c r="E1401" s="3">
        <f>ROUND(C1401*(1-Settings!$B$3),2)</f>
        <v>343.0</v>
      </c>
      <c r="F1401" s="2" t="inlineStr">
        <is>
          <t>Pokemon</t>
        </is>
      </c>
      <c r="G1401" s="2" t="inlineStr">
        <is>
          <t>Coffret</t>
        </is>
      </c>
      <c r="H1401" s="2" t="inlineStr">
        <is>
          <t>Miscellaneous Cards &amp; Products</t>
        </is>
      </c>
      <c r="I1401" s="3" t="n"/>
      <c r="J1401" s="3" t="n"/>
      <c r="K1401" s="3" t="n"/>
      <c r="L1401" s="3" t="n">
        <v>490</v>
      </c>
      <c r="M1401" s="2" t="inlineStr">
        <is>
          <t>TCGplayer</t>
        </is>
      </c>
      <c r="O1401" s="4" t="inlineStr">
        <is>
          <t>https://www.tcgplayer.com/product/199785</t>
        </is>
      </c>
    </row>
    <row r="1402">
      <c r="A1402" s="2" t="inlineStr">
        <is>
          <t>Galar Pal Mini Tin [Galarian Ponyta]</t>
        </is>
      </c>
      <c r="B1402" s="3">
        <f>IF(I1402&lt;&gt;"",I1402,IF(J1402&lt;&gt;"",J1402,IF(K1402&lt;&gt;"",K1402,L1402)))</f>
        <v>43.69</v>
      </c>
      <c r="C1402" s="3">
        <f>MEDIAN(I1402:L1402)</f>
        <v>53.97</v>
      </c>
      <c r="D1402" s="3">
        <f>ROUND(C1402*(1-Settings!$B$2),2)</f>
        <v>37.78</v>
      </c>
      <c r="E1402" s="3">
        <f>ROUND(C1402*(1-Settings!$B$3),2)</f>
        <v>37.78</v>
      </c>
      <c r="F1402" s="2" t="inlineStr">
        <is>
          <t>Pokemon</t>
        </is>
      </c>
      <c r="G1402" s="2" t="inlineStr">
        <is>
          <t>Coffret</t>
        </is>
      </c>
      <c r="H1402" s="2" t="inlineStr">
        <is>
          <t>Miscellaneous Cards &amp; Products</t>
        </is>
      </c>
      <c r="I1402" s="3" t="n"/>
      <c r="J1402" s="3" t="n">
        <v>43.69</v>
      </c>
      <c r="K1402" s="3" t="n">
        <v>76.98</v>
      </c>
      <c r="L1402" s="3" t="n">
        <v>53.97</v>
      </c>
      <c r="M1402" s="2" t="inlineStr">
        <is>
          <t>TCGplayer</t>
        </is>
      </c>
      <c r="O1402" s="4" t="inlineStr">
        <is>
          <t>https://www.tcgplayer.com/product/207986</t>
        </is>
      </c>
    </row>
    <row r="1403">
      <c r="A1403" s="2" t="inlineStr">
        <is>
          <t>Galar Pal Mini Tin [Grookey &amp; Wooloo]</t>
        </is>
      </c>
      <c r="B1403" s="3">
        <f>IF(I1403&lt;&gt;"",I1403,IF(J1403&lt;&gt;"",J1403,IF(K1403&lt;&gt;"",K1403,L1403)))</f>
        <v>36.79</v>
      </c>
      <c r="C1403" s="3">
        <f>MEDIAN(I1403:L1403)</f>
        <v>47.94</v>
      </c>
      <c r="D1403" s="3">
        <f>ROUND(C1403*(1-Settings!$B$2),2)</f>
        <v>33.56</v>
      </c>
      <c r="E1403" s="3">
        <f>ROUND(C1403*(1-Settings!$B$3),2)</f>
        <v>33.56</v>
      </c>
      <c r="F1403" s="2" t="inlineStr">
        <is>
          <t>Pokemon</t>
        </is>
      </c>
      <c r="G1403" s="2" t="inlineStr">
        <is>
          <t>Coffret</t>
        </is>
      </c>
      <c r="H1403" s="2" t="inlineStr">
        <is>
          <t>Miscellaneous Cards &amp; Products</t>
        </is>
      </c>
      <c r="I1403" s="3" t="n"/>
      <c r="J1403" s="3" t="n">
        <v>36.79</v>
      </c>
      <c r="K1403" s="3" t="n">
        <v>47.95</v>
      </c>
      <c r="L1403" s="3" t="n">
        <v>47.94</v>
      </c>
      <c r="M1403" s="2" t="inlineStr">
        <is>
          <t>TCGplayer</t>
        </is>
      </c>
      <c r="O1403" s="4" t="inlineStr">
        <is>
          <t>https://www.tcgplayer.com/product/207987</t>
        </is>
      </c>
    </row>
    <row r="1404">
      <c r="A1404" s="2" t="inlineStr">
        <is>
          <t>Galar Pal Mini Tin [Scorbunny &amp; Pikachu]</t>
        </is>
      </c>
      <c r="B1404" s="3">
        <f>IF(I1404&lt;&gt;"",I1404,IF(J1404&lt;&gt;"",J1404,IF(K1404&lt;&gt;"",K1404,L1404)))</f>
        <v>36.3</v>
      </c>
      <c r="C1404" s="3">
        <f>MEDIAN(I1404:L1404)</f>
        <v>49.99</v>
      </c>
      <c r="D1404" s="3">
        <f>ROUND(C1404*(1-Settings!$B$2),2)</f>
        <v>34.99</v>
      </c>
      <c r="E1404" s="3">
        <f>ROUND(C1404*(1-Settings!$B$3),2)</f>
        <v>34.99</v>
      </c>
      <c r="F1404" s="2" t="inlineStr">
        <is>
          <t>Pokemon</t>
        </is>
      </c>
      <c r="G1404" s="2" t="inlineStr">
        <is>
          <t>Coffret</t>
        </is>
      </c>
      <c r="H1404" s="2" t="inlineStr">
        <is>
          <t>Miscellaneous Cards &amp; Products</t>
        </is>
      </c>
      <c r="I1404" s="3" t="n"/>
      <c r="J1404" s="3" t="n">
        <v>36.3</v>
      </c>
      <c r="K1404" s="3" t="n">
        <v>60.74</v>
      </c>
      <c r="L1404" s="3" t="n">
        <v>49.99</v>
      </c>
      <c r="M1404" s="2" t="inlineStr">
        <is>
          <t>TCGplayer</t>
        </is>
      </c>
      <c r="O1404" s="4" t="inlineStr">
        <is>
          <t>https://www.tcgplayer.com/product/207988</t>
        </is>
      </c>
    </row>
    <row r="1405">
      <c r="A1405" s="2" t="inlineStr">
        <is>
          <t>Galar Pal Mini Tin [Set of 5]</t>
        </is>
      </c>
      <c r="B1405" s="3">
        <f>IF(I1405&lt;&gt;"",I1405,IF(J1405&lt;&gt;"",J1405,IF(K1405&lt;&gt;"",K1405,L1405)))</f>
        <v>151.33</v>
      </c>
      <c r="C1405" s="3">
        <f>MEDIAN(I1405:L1405)</f>
        <v>267.9</v>
      </c>
      <c r="D1405" s="3">
        <f>ROUND(C1405*(1-Settings!$B$2),2)</f>
        <v>187.53</v>
      </c>
      <c r="E1405" s="3">
        <f>ROUND(C1405*(1-Settings!$B$3),2)</f>
        <v>187.53</v>
      </c>
      <c r="F1405" s="2" t="inlineStr">
        <is>
          <t>Pokemon</t>
        </is>
      </c>
      <c r="G1405" s="2" t="inlineStr">
        <is>
          <t>Coffret</t>
        </is>
      </c>
      <c r="H1405" s="2" t="inlineStr">
        <is>
          <t>Miscellaneous Cards &amp; Products</t>
        </is>
      </c>
      <c r="I1405" s="3" t="n"/>
      <c r="J1405" s="3" t="n">
        <v>151.33</v>
      </c>
      <c r="K1405" s="3" t="n">
        <v>282.89</v>
      </c>
      <c r="L1405" s="3" t="n">
        <v>267.9</v>
      </c>
      <c r="M1405" s="2" t="inlineStr">
        <is>
          <t>TCGplayer</t>
        </is>
      </c>
      <c r="O1405" s="4" t="inlineStr">
        <is>
          <t>https://www.tcgplayer.com/product/207992</t>
        </is>
      </c>
    </row>
    <row r="1406">
      <c r="A1406" s="2" t="inlineStr">
        <is>
          <t>Galar Pal Mini Tin [Sobble &amp; Rookidee]</t>
        </is>
      </c>
      <c r="B1406" s="3">
        <f>IF(I1406&lt;&gt;"",I1406,IF(J1406&lt;&gt;"",J1406,IF(K1406&lt;&gt;"",K1406,L1406)))</f>
        <v>35.36</v>
      </c>
      <c r="C1406" s="3">
        <f>MEDIAN(I1406:L1406)</f>
        <v>59.99</v>
      </c>
      <c r="D1406" s="3">
        <f>ROUND(C1406*(1-Settings!$B$2),2)</f>
        <v>41.99</v>
      </c>
      <c r="E1406" s="3">
        <f>ROUND(C1406*(1-Settings!$B$3),2)</f>
        <v>41.99</v>
      </c>
      <c r="F1406" s="2" t="inlineStr">
        <is>
          <t>Pokemon</t>
        </is>
      </c>
      <c r="G1406" s="2" t="inlineStr">
        <is>
          <t>Coffret</t>
        </is>
      </c>
      <c r="H1406" s="2" t="inlineStr">
        <is>
          <t>Miscellaneous Cards &amp; Products</t>
        </is>
      </c>
      <c r="I1406" s="3" t="n"/>
      <c r="J1406" s="3" t="n">
        <v>35.36</v>
      </c>
      <c r="K1406" s="3" t="n">
        <v>64.98</v>
      </c>
      <c r="L1406" s="3" t="n">
        <v>59.99</v>
      </c>
      <c r="M1406" s="2" t="inlineStr">
        <is>
          <t>TCGplayer</t>
        </is>
      </c>
      <c r="O1406" s="4" t="inlineStr">
        <is>
          <t>https://www.tcgplayer.com/product/207989</t>
        </is>
      </c>
    </row>
    <row r="1407">
      <c r="A1407" s="2" t="inlineStr">
        <is>
          <t>Galar Pal Mini Tin [Yamper &amp; Morpeko]</t>
        </is>
      </c>
      <c r="B1407" s="3">
        <f>IF(I1407&lt;&gt;"",I1407,IF(J1407&lt;&gt;"",J1407,IF(K1407&lt;&gt;"",K1407,L1407)))</f>
        <v>42.12</v>
      </c>
      <c r="C1407" s="3">
        <f>MEDIAN(I1407:L1407)</f>
        <v>69.99</v>
      </c>
      <c r="D1407" s="3">
        <f>ROUND(C1407*(1-Settings!$B$2),2)</f>
        <v>48.99</v>
      </c>
      <c r="E1407" s="3">
        <f>ROUND(C1407*(1-Settings!$B$3),2)</f>
        <v>48.99</v>
      </c>
      <c r="F1407" s="2" t="inlineStr">
        <is>
          <t>Pokemon</t>
        </is>
      </c>
      <c r="G1407" s="2" t="inlineStr">
        <is>
          <t>Coffret</t>
        </is>
      </c>
      <c r="H1407" s="2" t="inlineStr">
        <is>
          <t>Miscellaneous Cards &amp; Products</t>
        </is>
      </c>
      <c r="I1407" s="3" t="n"/>
      <c r="J1407" s="3" t="n">
        <v>42.12</v>
      </c>
      <c r="K1407" s="3" t="n">
        <v>69.98999999999999</v>
      </c>
      <c r="L1407" s="3" t="n">
        <v>69.98999999999999</v>
      </c>
      <c r="M1407" s="2" t="inlineStr">
        <is>
          <t>TCGplayer</t>
        </is>
      </c>
      <c r="O1407" s="4" t="inlineStr">
        <is>
          <t>https://www.tcgplayer.com/product/207990</t>
        </is>
      </c>
    </row>
    <row r="1408">
      <c r="A1408" s="2" t="inlineStr">
        <is>
          <t>Galar Power Mini Tin [Dragapult]</t>
        </is>
      </c>
      <c r="B1408" s="3">
        <f>IF(I1408&lt;&gt;"",I1408,IF(J1408&lt;&gt;"",J1408,IF(K1408&lt;&gt;"",K1408,L1408)))</f>
        <v>54.29</v>
      </c>
      <c r="C1408" s="3">
        <f>MEDIAN(I1408:L1408)</f>
        <v>49.99</v>
      </c>
      <c r="D1408" s="3">
        <f>ROUND(C1408*(1-Settings!$B$2),2)</f>
        <v>34.99</v>
      </c>
      <c r="E1408" s="3">
        <f>ROUND(C1408*(1-Settings!$B$3),2)</f>
        <v>34.99</v>
      </c>
      <c r="F1408" s="2" t="inlineStr">
        <is>
          <t>Pokemon</t>
        </is>
      </c>
      <c r="G1408" s="2" t="inlineStr">
        <is>
          <t>Coffret</t>
        </is>
      </c>
      <c r="H1408" s="2" t="inlineStr">
        <is>
          <t>Miscellaneous Cards &amp; Products</t>
        </is>
      </c>
      <c r="I1408" s="3" t="n"/>
      <c r="J1408" s="3" t="n">
        <v>54.29</v>
      </c>
      <c r="K1408" s="3" t="n">
        <v>49.99</v>
      </c>
      <c r="L1408" s="3" t="n">
        <v>44</v>
      </c>
      <c r="M1408" s="2" t="inlineStr">
        <is>
          <t>TCGplayer</t>
        </is>
      </c>
      <c r="O1408" s="4" t="inlineStr">
        <is>
          <t>https://www.tcgplayer.com/product/218854</t>
        </is>
      </c>
    </row>
    <row r="1409">
      <c r="A1409" s="2" t="inlineStr">
        <is>
          <t>Galar Power Mini Tin [Galarian Obstagoon]</t>
        </is>
      </c>
      <c r="B1409" s="3">
        <f>IF(I1409&lt;&gt;"",I1409,IF(J1409&lt;&gt;"",J1409,IF(K1409&lt;&gt;"",K1409,L1409)))</f>
        <v>42.97</v>
      </c>
      <c r="C1409" s="3">
        <f>MEDIAN(I1409:L1409)</f>
        <v>42.97</v>
      </c>
      <c r="D1409" s="3">
        <f>ROUND(C1409*(1-Settings!$B$2),2)</f>
        <v>30.08</v>
      </c>
      <c r="E1409" s="3">
        <f>ROUND(C1409*(1-Settings!$B$3),2)</f>
        <v>30.08</v>
      </c>
      <c r="F1409" s="2" t="inlineStr">
        <is>
          <t>Pokemon</t>
        </is>
      </c>
      <c r="G1409" s="2" t="inlineStr">
        <is>
          <t>Coffret</t>
        </is>
      </c>
      <c r="H1409" s="2" t="inlineStr">
        <is>
          <t>Miscellaneous Cards &amp; Products</t>
        </is>
      </c>
      <c r="I1409" s="3" t="n"/>
      <c r="J1409" s="3" t="n">
        <v>42.97</v>
      </c>
      <c r="K1409" s="3" t="n">
        <v>54</v>
      </c>
      <c r="L1409" s="3" t="n">
        <v>12</v>
      </c>
      <c r="M1409" s="2" t="inlineStr">
        <is>
          <t>TCGplayer</t>
        </is>
      </c>
      <c r="O1409" s="4" t="inlineStr">
        <is>
          <t>https://www.tcgplayer.com/product/218857</t>
        </is>
      </c>
    </row>
    <row r="1410">
      <c r="A1410" s="2" t="inlineStr">
        <is>
          <t>Galar Power Mini Tin [Galarian Rapidash]</t>
        </is>
      </c>
      <c r="B1410" s="3">
        <f>IF(I1410&lt;&gt;"",I1410,IF(J1410&lt;&gt;"",J1410,IF(K1410&lt;&gt;"",K1410,L1410)))</f>
        <v>49.0</v>
      </c>
      <c r="C1410" s="3">
        <f>MEDIAN(I1410:L1410)</f>
        <v>54.9</v>
      </c>
      <c r="D1410" s="3">
        <f>ROUND(C1410*(1-Settings!$B$2),2)</f>
        <v>38.43</v>
      </c>
      <c r="E1410" s="3">
        <f>ROUND(C1410*(1-Settings!$B$3),2)</f>
        <v>38.43</v>
      </c>
      <c r="F1410" s="2" t="inlineStr">
        <is>
          <t>Pokemon</t>
        </is>
      </c>
      <c r="G1410" s="2" t="inlineStr">
        <is>
          <t>Coffret</t>
        </is>
      </c>
      <c r="H1410" s="2" t="inlineStr">
        <is>
          <t>Miscellaneous Cards &amp; Products</t>
        </is>
      </c>
      <c r="I1410" s="3" t="n"/>
      <c r="J1410" s="3" t="n">
        <v>49</v>
      </c>
      <c r="K1410" s="3" t="n">
        <v>54.95</v>
      </c>
      <c r="L1410" s="3" t="n">
        <v>54.9</v>
      </c>
      <c r="M1410" s="2" t="inlineStr">
        <is>
          <t>TCGplayer</t>
        </is>
      </c>
      <c r="O1410" s="4" t="inlineStr">
        <is>
          <t>https://www.tcgplayer.com/product/218856</t>
        </is>
      </c>
    </row>
    <row r="1411">
      <c r="A1411" s="2" t="inlineStr">
        <is>
          <t>Galar Power Mini Tin [Galarian Sirfetch'd]</t>
        </is>
      </c>
      <c r="B1411" s="3">
        <f>IF(I1411&lt;&gt;"",I1411,IF(J1411&lt;&gt;"",J1411,IF(K1411&lt;&gt;"",K1411,L1411)))</f>
        <v>39.77</v>
      </c>
      <c r="C1411" s="3">
        <f>MEDIAN(I1411:L1411)</f>
        <v>49.9</v>
      </c>
      <c r="D1411" s="3">
        <f>ROUND(C1411*(1-Settings!$B$2),2)</f>
        <v>34.93</v>
      </c>
      <c r="E1411" s="3">
        <f>ROUND(C1411*(1-Settings!$B$3),2)</f>
        <v>34.93</v>
      </c>
      <c r="F1411" s="2" t="inlineStr">
        <is>
          <t>Pokemon</t>
        </is>
      </c>
      <c r="G1411" s="2" t="inlineStr">
        <is>
          <t>Coffret</t>
        </is>
      </c>
      <c r="H1411" s="2" t="inlineStr">
        <is>
          <t>Miscellaneous Cards &amp; Products</t>
        </is>
      </c>
      <c r="I1411" s="3" t="n"/>
      <c r="J1411" s="3" t="n">
        <v>39.77</v>
      </c>
      <c r="K1411" s="3" t="n">
        <v>54.95</v>
      </c>
      <c r="L1411" s="3" t="n">
        <v>49.9</v>
      </c>
      <c r="M1411" s="2" t="inlineStr">
        <is>
          <t>TCGplayer</t>
        </is>
      </c>
      <c r="O1411" s="4" t="inlineStr">
        <is>
          <t>https://www.tcgplayer.com/product/218855</t>
        </is>
      </c>
    </row>
    <row r="1412">
      <c r="A1412" s="2" t="inlineStr">
        <is>
          <t>Galar Power Mini Tin [Set of 5]</t>
        </is>
      </c>
      <c r="B1412" s="3">
        <f>IF(I1412&lt;&gt;"",I1412,IF(J1412&lt;&gt;"",J1412,IF(K1412&lt;&gt;"",K1412,L1412)))</f>
        <v>164.99</v>
      </c>
      <c r="C1412" s="3">
        <f>MEDIAN(I1412:L1412)</f>
        <v>164.99</v>
      </c>
      <c r="D1412" s="3">
        <f>ROUND(C1412*(1-Settings!$B$2),2)</f>
        <v>115.49</v>
      </c>
      <c r="E1412" s="3">
        <f>ROUND(C1412*(1-Settings!$B$3),2)</f>
        <v>115.49</v>
      </c>
      <c r="F1412" s="2" t="inlineStr">
        <is>
          <t>Pokemon</t>
        </is>
      </c>
      <c r="G1412" s="2" t="inlineStr">
        <is>
          <t>Coffret</t>
        </is>
      </c>
      <c r="H1412" s="2" t="inlineStr">
        <is>
          <t>Miscellaneous Cards &amp; Products</t>
        </is>
      </c>
      <c r="I1412" s="3" t="n"/>
      <c r="J1412" s="3" t="n">
        <v>164.99</v>
      </c>
      <c r="K1412" s="3" t="n"/>
      <c r="L1412" s="3" t="n"/>
      <c r="M1412" s="2" t="inlineStr">
        <is>
          <t>TCGplayer</t>
        </is>
      </c>
      <c r="O1412" s="4" t="inlineStr">
        <is>
          <t>https://www.tcgplayer.com/product/449727</t>
        </is>
      </c>
    </row>
    <row r="1413">
      <c r="A1413" s="2" t="inlineStr">
        <is>
          <t>Galar Power Mini Tin [Toxtricity]</t>
        </is>
      </c>
      <c r="B1413" s="3">
        <f>IF(I1413&lt;&gt;"",I1413,IF(J1413&lt;&gt;"",J1413,IF(K1413&lt;&gt;"",K1413,L1413)))</f>
        <v>41.49</v>
      </c>
      <c r="C1413" s="3">
        <f>MEDIAN(I1413:L1413)</f>
        <v>40.99</v>
      </c>
      <c r="D1413" s="3">
        <f>ROUND(C1413*(1-Settings!$B$2),2)</f>
        <v>28.69</v>
      </c>
      <c r="E1413" s="3">
        <f>ROUND(C1413*(1-Settings!$B$3),2)</f>
        <v>28.69</v>
      </c>
      <c r="F1413" s="2" t="inlineStr">
        <is>
          <t>Pokemon</t>
        </is>
      </c>
      <c r="G1413" s="2" t="inlineStr">
        <is>
          <t>Coffret</t>
        </is>
      </c>
      <c r="H1413" s="2" t="inlineStr">
        <is>
          <t>Miscellaneous Cards &amp; Products</t>
        </is>
      </c>
      <c r="I1413" s="3" t="n"/>
      <c r="J1413" s="3" t="n">
        <v>41.49</v>
      </c>
      <c r="K1413" s="3" t="n">
        <v>40.99</v>
      </c>
      <c r="L1413" s="3" t="n">
        <v>39.99</v>
      </c>
      <c r="M1413" s="2" t="inlineStr">
        <is>
          <t>TCGplayer</t>
        </is>
      </c>
      <c r="O1413" s="4" t="inlineStr">
        <is>
          <t>https://www.tcgplayer.com/product/218858</t>
        </is>
      </c>
    </row>
    <row r="1414">
      <c r="A1414" s="2" t="inlineStr">
        <is>
          <t>Grafaiai ex Box</t>
        </is>
      </c>
      <c r="B1414" s="3">
        <f>IF(I1414&lt;&gt;"",I1414,IF(J1414&lt;&gt;"",J1414,IF(K1414&lt;&gt;"",K1414,L1414)))</f>
        <v>45.35</v>
      </c>
      <c r="C1414" s="3">
        <f>MEDIAN(I1414:L1414)</f>
        <v>45.35</v>
      </c>
      <c r="D1414" s="3">
        <f>ROUND(C1414*(1-Settings!$B$2),2)</f>
        <v>31.75</v>
      </c>
      <c r="E1414" s="3">
        <f>ROUND(C1414*(1-Settings!$B$3),2)</f>
        <v>31.75</v>
      </c>
      <c r="F1414" s="2" t="inlineStr">
        <is>
          <t>Pokemon</t>
        </is>
      </c>
      <c r="G1414" s="2" t="inlineStr">
        <is>
          <t>Coffret</t>
        </is>
      </c>
      <c r="H1414" s="2" t="inlineStr">
        <is>
          <t>Miscellaneous Cards &amp; Products</t>
        </is>
      </c>
      <c r="I1414" s="3" t="n"/>
      <c r="J1414" s="3" t="n">
        <v>45.35</v>
      </c>
      <c r="K1414" s="3" t="n">
        <v>54.69</v>
      </c>
      <c r="L1414" s="3" t="n">
        <v>43.4</v>
      </c>
      <c r="M1414" s="2" t="inlineStr">
        <is>
          <t>TCGplayer</t>
        </is>
      </c>
      <c r="O1414" s="4" t="inlineStr">
        <is>
          <t>https://www.tcgplayer.com/product/546458</t>
        </is>
      </c>
    </row>
    <row r="1415">
      <c r="A1415" s="2" t="inlineStr">
        <is>
          <t>Grand Adventure Collection</t>
        </is>
      </c>
      <c r="B1415" s="3">
        <f>IF(I1415&lt;&gt;"",I1415,IF(J1415&lt;&gt;"",J1415,IF(K1415&lt;&gt;"",K1415,L1415)))</f>
        <v>45.19</v>
      </c>
      <c r="C1415" s="3">
        <f>MEDIAN(I1415:L1415)</f>
        <v>45.19</v>
      </c>
      <c r="D1415" s="3">
        <f>ROUND(C1415*(1-Settings!$B$2),2)</f>
        <v>31.63</v>
      </c>
      <c r="E1415" s="3">
        <f>ROUND(C1415*(1-Settings!$B$3),2)</f>
        <v>31.63</v>
      </c>
      <c r="F1415" s="2" t="inlineStr">
        <is>
          <t>Pokemon</t>
        </is>
      </c>
      <c r="G1415" s="2" t="inlineStr">
        <is>
          <t>Coffret</t>
        </is>
      </c>
      <c r="H1415" s="2" t="inlineStr">
        <is>
          <t>Miscellaneous Cards &amp; Products</t>
        </is>
      </c>
      <c r="I1415" s="3" t="n"/>
      <c r="J1415" s="3" t="n">
        <v>45.19</v>
      </c>
      <c r="K1415" s="3" t="n">
        <v>56.98</v>
      </c>
      <c r="L1415" s="3" t="n">
        <v>45</v>
      </c>
      <c r="M1415" s="2" t="inlineStr">
        <is>
          <t>TCGplayer</t>
        </is>
      </c>
      <c r="O1415" s="4" t="inlineStr">
        <is>
          <t>https://www.tcgplayer.com/product/594896</t>
        </is>
      </c>
    </row>
    <row r="1416">
      <c r="A1416" s="2" t="inlineStr">
        <is>
          <t>Greninja EX &amp; Kingdra EX Special Collection Box</t>
        </is>
      </c>
      <c r="B1416" s="3">
        <f>IF(I1416&lt;&gt;"",I1416,IF(J1416&lt;&gt;"",J1416,IF(K1416&lt;&gt;"",K1416,L1416)))</f>
        <v>62.81</v>
      </c>
      <c r="C1416" s="3">
        <f>MEDIAN(I1416:L1416)</f>
        <v>62.81</v>
      </c>
      <c r="D1416" s="3">
        <f>ROUND(C1416*(1-Settings!$B$2),2)</f>
        <v>43.97</v>
      </c>
      <c r="E1416" s="3">
        <f>ROUND(C1416*(1-Settings!$B$3),2)</f>
        <v>43.97</v>
      </c>
      <c r="F1416" s="2" t="inlineStr">
        <is>
          <t>Pokemon</t>
        </is>
      </c>
      <c r="G1416" s="2" t="inlineStr">
        <is>
          <t>Coffret</t>
        </is>
      </c>
      <c r="H1416" s="2" t="inlineStr">
        <is>
          <t>Miscellaneous Cards &amp; Products</t>
        </is>
      </c>
      <c r="I1416" s="3" t="n"/>
      <c r="J1416" s="3" t="n">
        <v>62.81</v>
      </c>
      <c r="K1416" s="3" t="n">
        <v>79.47</v>
      </c>
      <c r="L1416" s="3" t="n">
        <v>56.99</v>
      </c>
      <c r="M1416" s="2" t="inlineStr">
        <is>
          <t>TCGplayer</t>
        </is>
      </c>
      <c r="O1416" s="4" t="inlineStr">
        <is>
          <t>https://www.tcgplayer.com/product/656950</t>
        </is>
      </c>
    </row>
    <row r="1417">
      <c r="A1417" s="2" t="inlineStr">
        <is>
          <t>Greninja ex Ultra-Premium Collection</t>
        </is>
      </c>
      <c r="B1417" s="3">
        <f>IF(I1417&lt;&gt;"",I1417,IF(J1417&lt;&gt;"",J1417,IF(K1417&lt;&gt;"",K1417,L1417)))</f>
        <v>499.13</v>
      </c>
      <c r="C1417" s="3">
        <f>MEDIAN(I1417:L1417)</f>
        <v>499.13</v>
      </c>
      <c r="D1417" s="3">
        <f>ROUND(C1417*(1-Settings!$B$2),2)</f>
        <v>349.39</v>
      </c>
      <c r="E1417" s="3">
        <f>ROUND(C1417*(1-Settings!$B$3),2)</f>
        <v>349.39</v>
      </c>
      <c r="F1417" s="2" t="inlineStr">
        <is>
          <t>Pokemon</t>
        </is>
      </c>
      <c r="G1417" s="2" t="inlineStr">
        <is>
          <t>Coffret</t>
        </is>
      </c>
      <c r="H1417" s="2" t="inlineStr">
        <is>
          <t>Miscellaneous Cards &amp; Products</t>
        </is>
      </c>
      <c r="I1417" s="3" t="n"/>
      <c r="J1417" s="3" t="n">
        <v>499.13</v>
      </c>
      <c r="K1417" s="3" t="n">
        <v>599.97</v>
      </c>
      <c r="L1417" s="3" t="n">
        <v>20</v>
      </c>
      <c r="M1417" s="2" t="inlineStr">
        <is>
          <t>TCGplayer</t>
        </is>
      </c>
      <c r="O1417" s="4" t="inlineStr">
        <is>
          <t>https://www.tcgplayer.com/product/594491</t>
        </is>
      </c>
    </row>
    <row r="1418">
      <c r="A1418" s="2" t="inlineStr">
        <is>
          <t>Gyarados ex Premium Collection</t>
        </is>
      </c>
      <c r="B1418" s="3">
        <f>IF(I1418&lt;&gt;"",I1418,IF(J1418&lt;&gt;"",J1418,IF(K1418&lt;&gt;"",K1418,L1418)))</f>
        <v>125.23</v>
      </c>
      <c r="C1418" s="3">
        <f>MEDIAN(I1418:L1418)</f>
        <v>145.99</v>
      </c>
      <c r="D1418" s="3">
        <f>ROUND(C1418*(1-Settings!$B$2),2)</f>
        <v>102.19</v>
      </c>
      <c r="E1418" s="3">
        <f>ROUND(C1418*(1-Settings!$B$3),2)</f>
        <v>102.19</v>
      </c>
      <c r="F1418" s="2" t="inlineStr">
        <is>
          <t>Pokemon</t>
        </is>
      </c>
      <c r="G1418" s="2" t="inlineStr">
        <is>
          <t>Coffret</t>
        </is>
      </c>
      <c r="H1418" s="2" t="inlineStr">
        <is>
          <t>Miscellaneous Cards &amp; Products</t>
        </is>
      </c>
      <c r="I1418" s="3" t="n"/>
      <c r="J1418" s="3" t="n">
        <v>125.23</v>
      </c>
      <c r="K1418" s="3" t="n">
        <v>159.97</v>
      </c>
      <c r="L1418" s="3" t="n">
        <v>145.99</v>
      </c>
      <c r="M1418" s="2" t="inlineStr">
        <is>
          <t>TCGplayer</t>
        </is>
      </c>
      <c r="O1418" s="4" t="inlineStr">
        <is>
          <t>https://www.tcgplayer.com/product/526914</t>
        </is>
      </c>
    </row>
    <row r="1419">
      <c r="A1419" s="2" t="inlineStr">
        <is>
          <t>Heavy Hitters Premium Collection (Fall 2023)</t>
        </is>
      </c>
      <c r="B1419" s="3">
        <f>IF(I1419&lt;&gt;"",I1419,IF(J1419&lt;&gt;"",J1419,IF(K1419&lt;&gt;"",K1419,L1419)))</f>
        <v>304.63</v>
      </c>
      <c r="C1419" s="3">
        <f>MEDIAN(I1419:L1419)</f>
        <v>335.0</v>
      </c>
      <c r="D1419" s="3">
        <f>ROUND(C1419*(1-Settings!$B$2),2)</f>
        <v>234.5</v>
      </c>
      <c r="E1419" s="3">
        <f>ROUND(C1419*(1-Settings!$B$3),2)</f>
        <v>234.5</v>
      </c>
      <c r="F1419" s="2" t="inlineStr">
        <is>
          <t>Pokemon</t>
        </is>
      </c>
      <c r="G1419" s="2" t="inlineStr">
        <is>
          <t>Coffret</t>
        </is>
      </c>
      <c r="H1419" s="2" t="inlineStr">
        <is>
          <t>Miscellaneous Cards &amp; Products</t>
        </is>
      </c>
      <c r="I1419" s="3" t="n"/>
      <c r="J1419" s="3" t="n">
        <v>304.63</v>
      </c>
      <c r="K1419" s="3" t="n">
        <v>359.69</v>
      </c>
      <c r="L1419" s="3" t="n">
        <v>335</v>
      </c>
      <c r="M1419" s="2" t="inlineStr">
        <is>
          <t>TCGplayer</t>
        </is>
      </c>
      <c r="O1419" s="4" t="inlineStr">
        <is>
          <t>https://www.tcgplayer.com/product/529698</t>
        </is>
      </c>
    </row>
    <row r="1420">
      <c r="A1420" s="2" t="inlineStr">
        <is>
          <t>Hidden Potential Tin [Gallade V]</t>
        </is>
      </c>
      <c r="B1420" s="3">
        <f>IF(I1420&lt;&gt;"",I1420,IF(J1420&lt;&gt;"",J1420,IF(K1420&lt;&gt;"",K1420,L1420)))</f>
        <v>96.74</v>
      </c>
      <c r="C1420" s="3">
        <f>MEDIAN(I1420:L1420)</f>
        <v>131.89</v>
      </c>
      <c r="D1420" s="3">
        <f>ROUND(C1420*(1-Settings!$B$2),2)</f>
        <v>92.32</v>
      </c>
      <c r="E1420" s="3">
        <f>ROUND(C1420*(1-Settings!$B$3),2)</f>
        <v>92.32</v>
      </c>
      <c r="F1420" s="2" t="inlineStr">
        <is>
          <t>Pokemon</t>
        </is>
      </c>
      <c r="G1420" s="2" t="inlineStr">
        <is>
          <t>Coffret</t>
        </is>
      </c>
      <c r="H1420" s="2" t="inlineStr">
        <is>
          <t>Miscellaneous Cards &amp; Products</t>
        </is>
      </c>
      <c r="I1420" s="3" t="n"/>
      <c r="J1420" s="3" t="n">
        <v>96.73999999999999</v>
      </c>
      <c r="K1420" s="3" t="n">
        <v>137.99</v>
      </c>
      <c r="L1420" s="3" t="n">
        <v>131.89</v>
      </c>
      <c r="M1420" s="2" t="inlineStr">
        <is>
          <t>TCGplayer</t>
        </is>
      </c>
      <c r="O1420" s="4" t="inlineStr">
        <is>
          <t>https://www.tcgplayer.com/product/281982</t>
        </is>
      </c>
    </row>
    <row r="1421">
      <c r="A1421" s="2" t="inlineStr">
        <is>
          <t>Hidden Potential Tin [Rotom V]</t>
        </is>
      </c>
      <c r="B1421" s="3">
        <f>IF(I1421&lt;&gt;"",I1421,IF(J1421&lt;&gt;"",J1421,IF(K1421&lt;&gt;"",K1421,L1421)))</f>
        <v>94.99</v>
      </c>
      <c r="C1421" s="3">
        <f>MEDIAN(I1421:L1421)</f>
        <v>120.0</v>
      </c>
      <c r="D1421" s="3">
        <f>ROUND(C1421*(1-Settings!$B$2),2)</f>
        <v>84.0</v>
      </c>
      <c r="E1421" s="3">
        <f>ROUND(C1421*(1-Settings!$B$3),2)</f>
        <v>84.0</v>
      </c>
      <c r="F1421" s="2" t="inlineStr">
        <is>
          <t>Pokemon</t>
        </is>
      </c>
      <c r="G1421" s="2" t="inlineStr">
        <is>
          <t>Coffret</t>
        </is>
      </c>
      <c r="H1421" s="2" t="inlineStr">
        <is>
          <t>Miscellaneous Cards &amp; Products</t>
        </is>
      </c>
      <c r="I1421" s="3" t="n"/>
      <c r="J1421" s="3" t="n">
        <v>94.98999999999999</v>
      </c>
      <c r="K1421" s="3" t="n">
        <v>135.48</v>
      </c>
      <c r="L1421" s="3" t="n">
        <v>120</v>
      </c>
      <c r="M1421" s="2" t="inlineStr">
        <is>
          <t>TCGplayer</t>
        </is>
      </c>
      <c r="O1421" s="4" t="inlineStr">
        <is>
          <t>https://www.tcgplayer.com/product/281981</t>
        </is>
      </c>
    </row>
    <row r="1422">
      <c r="A1422" s="2" t="inlineStr">
        <is>
          <t>Hidden Potential Tin [Set of 3]</t>
        </is>
      </c>
      <c r="B1422" s="3">
        <f>IF(I1422&lt;&gt;"",I1422,IF(J1422&lt;&gt;"",J1422,IF(K1422&lt;&gt;"",K1422,L1422)))</f>
        <v>359.98</v>
      </c>
      <c r="C1422" s="3">
        <f>MEDIAN(I1422:L1422)</f>
        <v>385.0</v>
      </c>
      <c r="D1422" s="3">
        <f>ROUND(C1422*(1-Settings!$B$2),2)</f>
        <v>269.5</v>
      </c>
      <c r="E1422" s="3">
        <f>ROUND(C1422*(1-Settings!$B$3),2)</f>
        <v>269.5</v>
      </c>
      <c r="F1422" s="2" t="inlineStr">
        <is>
          <t>Pokemon</t>
        </is>
      </c>
      <c r="G1422" s="2" t="inlineStr">
        <is>
          <t>Coffret</t>
        </is>
      </c>
      <c r="H1422" s="2" t="inlineStr">
        <is>
          <t>Miscellaneous Cards &amp; Products</t>
        </is>
      </c>
      <c r="I1422" s="3" t="n"/>
      <c r="J1422" s="3" t="n">
        <v>359.98</v>
      </c>
      <c r="K1422" s="3" t="n">
        <v>392.48</v>
      </c>
      <c r="L1422" s="3" t="n">
        <v>385</v>
      </c>
      <c r="M1422" s="2" t="inlineStr">
        <is>
          <t>TCGplayer</t>
        </is>
      </c>
      <c r="O1422" s="4" t="inlineStr">
        <is>
          <t>https://www.tcgplayer.com/product/281993</t>
        </is>
      </c>
    </row>
    <row r="1423">
      <c r="A1423" s="2" t="inlineStr">
        <is>
          <t>Hop's Zacian ex Box</t>
        </is>
      </c>
      <c r="B1423" s="3">
        <f>IF(I1423&lt;&gt;"",I1423,IF(J1423&lt;&gt;"",J1423,IF(K1423&lt;&gt;"",K1423,L1423)))</f>
        <v>33.51</v>
      </c>
      <c r="C1423" s="3">
        <f>MEDIAN(I1423:L1423)</f>
        <v>33.51</v>
      </c>
      <c r="D1423" s="3">
        <f>ROUND(C1423*(1-Settings!$B$2),2)</f>
        <v>23.46</v>
      </c>
      <c r="E1423" s="3">
        <f>ROUND(C1423*(1-Settings!$B$3),2)</f>
        <v>23.46</v>
      </c>
      <c r="F1423" s="2" t="inlineStr">
        <is>
          <t>Pokemon</t>
        </is>
      </c>
      <c r="G1423" s="2" t="inlineStr">
        <is>
          <t>Coffret</t>
        </is>
      </c>
      <c r="H1423" s="2" t="inlineStr">
        <is>
          <t>Miscellaneous Cards &amp; Products</t>
        </is>
      </c>
      <c r="I1423" s="3" t="n"/>
      <c r="J1423" s="3" t="n">
        <v>33.51</v>
      </c>
      <c r="K1423" s="3" t="n">
        <v>36.99</v>
      </c>
      <c r="L1423" s="3" t="n">
        <v>29.99</v>
      </c>
      <c r="M1423" s="2" t="inlineStr">
        <is>
          <t>TCGplayer</t>
        </is>
      </c>
      <c r="O1423" s="4" t="inlineStr">
        <is>
          <t>https://www.tcgplayer.com/product/616303</t>
        </is>
      </c>
    </row>
    <row r="1424">
      <c r="A1424" s="2" t="inlineStr">
        <is>
          <t>Houndstone ex Box</t>
        </is>
      </c>
      <c r="B1424" s="3">
        <f>IF(I1424&lt;&gt;"",I1424,IF(J1424&lt;&gt;"",J1424,IF(K1424&lt;&gt;"",K1424,L1424)))</f>
        <v>44.96</v>
      </c>
      <c r="C1424" s="3">
        <f>MEDIAN(I1424:L1424)</f>
        <v>44.96</v>
      </c>
      <c r="D1424" s="3">
        <f>ROUND(C1424*(1-Settings!$B$2),2)</f>
        <v>31.47</v>
      </c>
      <c r="E1424" s="3">
        <f>ROUND(C1424*(1-Settings!$B$3),2)</f>
        <v>31.47</v>
      </c>
      <c r="F1424" s="2" t="inlineStr">
        <is>
          <t>Pokemon</t>
        </is>
      </c>
      <c r="G1424" s="2" t="inlineStr">
        <is>
          <t>Coffret</t>
        </is>
      </c>
      <c r="H1424" s="2" t="inlineStr">
        <is>
          <t>Miscellaneous Cards &amp; Products</t>
        </is>
      </c>
      <c r="I1424" s="3" t="n"/>
      <c r="J1424" s="3" t="n">
        <v>44.96</v>
      </c>
      <c r="K1424" s="3" t="n">
        <v>51.99</v>
      </c>
      <c r="L1424" s="3" t="n">
        <v>44.49</v>
      </c>
      <c r="M1424" s="2" t="inlineStr">
        <is>
          <t>TCGplayer</t>
        </is>
      </c>
      <c r="O1424" s="4" t="inlineStr">
        <is>
          <t>https://www.tcgplayer.com/product/561521</t>
        </is>
      </c>
    </row>
    <row r="1425">
      <c r="A1425" s="2" t="inlineStr">
        <is>
          <t>Hydreigon ex &amp; Dragapult ex Premium Collection</t>
        </is>
      </c>
      <c r="B1425" s="3">
        <f>IF(I1425&lt;&gt;"",I1425,IF(J1425&lt;&gt;"",J1425,IF(K1425&lt;&gt;"",K1425,L1425)))</f>
        <v>99.86</v>
      </c>
      <c r="C1425" s="3">
        <f>MEDIAN(I1425:L1425)</f>
        <v>99.99</v>
      </c>
      <c r="D1425" s="3">
        <f>ROUND(C1425*(1-Settings!$B$2),2)</f>
        <v>69.99</v>
      </c>
      <c r="E1425" s="3">
        <f>ROUND(C1425*(1-Settings!$B$3),2)</f>
        <v>69.99</v>
      </c>
      <c r="F1425" s="2" t="inlineStr">
        <is>
          <t>Pokemon</t>
        </is>
      </c>
      <c r="G1425" s="2" t="inlineStr">
        <is>
          <t>Coffret</t>
        </is>
      </c>
      <c r="H1425" s="2" t="inlineStr">
        <is>
          <t>Miscellaneous Cards &amp; Products</t>
        </is>
      </c>
      <c r="I1425" s="3" t="n"/>
      <c r="J1425" s="3" t="n">
        <v>99.86</v>
      </c>
      <c r="K1425" s="3" t="n">
        <v>109.99</v>
      </c>
      <c r="L1425" s="3" t="n">
        <v>99.98999999999999</v>
      </c>
      <c r="M1425" s="2" t="inlineStr">
        <is>
          <t>TCGplayer</t>
        </is>
      </c>
      <c r="O1425" s="4" t="inlineStr">
        <is>
          <t>https://www.tcgplayer.com/product/653199</t>
        </is>
      </c>
    </row>
    <row r="1426">
      <c r="A1426" s="2" t="inlineStr">
        <is>
          <t>Incineroar ex and Torterra ex Special Collection</t>
        </is>
      </c>
      <c r="B1426" s="3">
        <f>IF(I1426&lt;&gt;"",I1426,IF(J1426&lt;&gt;"",J1426,IF(K1426&lt;&gt;"",K1426,L1426)))</f>
        <v>73.31</v>
      </c>
      <c r="C1426" s="3">
        <f>MEDIAN(I1426:L1426)</f>
        <v>73.31</v>
      </c>
      <c r="D1426" s="3">
        <f>ROUND(C1426*(1-Settings!$B$2),2)</f>
        <v>51.32</v>
      </c>
      <c r="E1426" s="3">
        <f>ROUND(C1426*(1-Settings!$B$3),2)</f>
        <v>51.32</v>
      </c>
      <c r="F1426" s="2" t="inlineStr">
        <is>
          <t>Pokemon</t>
        </is>
      </c>
      <c r="G1426" s="2" t="inlineStr">
        <is>
          <t>Coffret</t>
        </is>
      </c>
      <c r="H1426" s="2" t="inlineStr">
        <is>
          <t>Miscellaneous Cards &amp; Products</t>
        </is>
      </c>
      <c r="I1426" s="3" t="n"/>
      <c r="J1426" s="3" t="n">
        <v>73.31</v>
      </c>
      <c r="K1426" s="3" t="n">
        <v>76.97</v>
      </c>
      <c r="L1426" s="3" t="n">
        <v>66</v>
      </c>
      <c r="M1426" s="2" t="inlineStr">
        <is>
          <t>TCGplayer</t>
        </is>
      </c>
      <c r="O1426" s="4" t="inlineStr">
        <is>
          <t>https://www.tcgplayer.com/product/664092</t>
        </is>
      </c>
    </row>
    <row r="1427">
      <c r="A1427" s="2" t="inlineStr">
        <is>
          <t>Infernape V Box</t>
        </is>
      </c>
      <c r="B1427" s="3">
        <f>IF(I1427&lt;&gt;"",I1427,IF(J1427&lt;&gt;"",J1427,IF(K1427&lt;&gt;"",K1427,L1427)))</f>
        <v>69.8</v>
      </c>
      <c r="C1427" s="3">
        <f>MEDIAN(I1427:L1427)</f>
        <v>75.0</v>
      </c>
      <c r="D1427" s="3">
        <f>ROUND(C1427*(1-Settings!$B$2),2)</f>
        <v>52.5</v>
      </c>
      <c r="E1427" s="3">
        <f>ROUND(C1427*(1-Settings!$B$3),2)</f>
        <v>52.5</v>
      </c>
      <c r="F1427" s="2" t="inlineStr">
        <is>
          <t>Pokemon</t>
        </is>
      </c>
      <c r="G1427" s="2" t="inlineStr">
        <is>
          <t>Coffret</t>
        </is>
      </c>
      <c r="H1427" s="2" t="inlineStr">
        <is>
          <t>Miscellaneous Cards &amp; Products</t>
        </is>
      </c>
      <c r="I1427" s="3" t="n"/>
      <c r="J1427" s="3" t="n">
        <v>69.8</v>
      </c>
      <c r="K1427" s="3" t="n">
        <v>85</v>
      </c>
      <c r="L1427" s="3" t="n">
        <v>75</v>
      </c>
      <c r="M1427" s="2" t="inlineStr">
        <is>
          <t>TCGplayer</t>
        </is>
      </c>
      <c r="O1427" s="4" t="inlineStr">
        <is>
          <t>https://www.tcgplayer.com/product/277568</t>
        </is>
      </c>
    </row>
    <row r="1428">
      <c r="A1428" s="2" t="inlineStr">
        <is>
          <t>Iono Premium Tournament Collection Box</t>
        </is>
      </c>
      <c r="B1428" s="3">
        <f>IF(I1428&lt;&gt;"",I1428,IF(J1428&lt;&gt;"",J1428,IF(K1428&lt;&gt;"",K1428,L1428)))</f>
        <v>95.46</v>
      </c>
      <c r="C1428" s="3">
        <f>MEDIAN(I1428:L1428)</f>
        <v>95.46</v>
      </c>
      <c r="D1428" s="3">
        <f>ROUND(C1428*(1-Settings!$B$2),2)</f>
        <v>66.82</v>
      </c>
      <c r="E1428" s="3">
        <f>ROUND(C1428*(1-Settings!$B$3),2)</f>
        <v>66.82</v>
      </c>
      <c r="F1428" s="2" t="inlineStr">
        <is>
          <t>Pokemon</t>
        </is>
      </c>
      <c r="G1428" s="2" t="inlineStr">
        <is>
          <t>Coffret</t>
        </is>
      </c>
      <c r="H1428" s="2" t="inlineStr">
        <is>
          <t>Miscellaneous Cards &amp; Products</t>
        </is>
      </c>
      <c r="I1428" s="3" t="n"/>
      <c r="J1428" s="3" t="n">
        <v>95.45999999999999</v>
      </c>
      <c r="K1428" s="3" t="n">
        <v>109.3</v>
      </c>
      <c r="L1428" s="3" t="n">
        <v>60</v>
      </c>
      <c r="M1428" s="2" t="inlineStr">
        <is>
          <t>TCGplayer</t>
        </is>
      </c>
      <c r="O1428" s="4" t="inlineStr">
        <is>
          <t>https://www.tcgplayer.com/product/545403</t>
        </is>
      </c>
    </row>
    <row r="1429">
      <c r="A1429" s="2" t="inlineStr">
        <is>
          <t>Iono’s Bellibolt ex Premium Collection</t>
        </is>
      </c>
      <c r="B1429" s="3">
        <f>IF(I1429&lt;&gt;"",I1429,IF(J1429&lt;&gt;"",J1429,IF(K1429&lt;&gt;"",K1429,L1429)))</f>
        <v>59.1</v>
      </c>
      <c r="C1429" s="3">
        <f>MEDIAN(I1429:L1429)</f>
        <v>59.1</v>
      </c>
      <c r="D1429" s="3">
        <f>ROUND(C1429*(1-Settings!$B$2),2)</f>
        <v>41.37</v>
      </c>
      <c r="E1429" s="3">
        <f>ROUND(C1429*(1-Settings!$B$3),2)</f>
        <v>41.37</v>
      </c>
      <c r="F1429" s="2" t="inlineStr">
        <is>
          <t>Pokemon</t>
        </is>
      </c>
      <c r="G1429" s="2" t="inlineStr">
        <is>
          <t>Coffret</t>
        </is>
      </c>
      <c r="H1429" s="2" t="inlineStr">
        <is>
          <t>Miscellaneous Cards &amp; Products</t>
        </is>
      </c>
      <c r="I1429" s="3" t="n"/>
      <c r="J1429" s="3" t="n">
        <v>59.1</v>
      </c>
      <c r="K1429" s="3" t="n">
        <v>63.99</v>
      </c>
      <c r="L1429" s="3" t="n">
        <v>55</v>
      </c>
      <c r="M1429" s="2" t="inlineStr">
        <is>
          <t>TCGplayer</t>
        </is>
      </c>
      <c r="O1429" s="4" t="inlineStr">
        <is>
          <t>https://www.tcgplayer.com/product/616304</t>
        </is>
      </c>
    </row>
    <row r="1430">
      <c r="A1430" s="2" t="inlineStr">
        <is>
          <t>Iron Valiant ex Box</t>
        </is>
      </c>
      <c r="B1430" s="3">
        <f>IF(I1430&lt;&gt;"",I1430,IF(J1430&lt;&gt;"",J1430,IF(K1430&lt;&gt;"",K1430,L1430)))</f>
        <v>44.17</v>
      </c>
      <c r="C1430" s="3">
        <f>MEDIAN(I1430:L1430)</f>
        <v>44.17</v>
      </c>
      <c r="D1430" s="3">
        <f>ROUND(C1430*(1-Settings!$B$2),2)</f>
        <v>30.92</v>
      </c>
      <c r="E1430" s="3">
        <f>ROUND(C1430*(1-Settings!$B$3),2)</f>
        <v>30.92</v>
      </c>
      <c r="F1430" s="2" t="inlineStr">
        <is>
          <t>Pokemon</t>
        </is>
      </c>
      <c r="G1430" s="2" t="inlineStr">
        <is>
          <t>Coffret</t>
        </is>
      </c>
      <c r="H1430" s="2" t="inlineStr">
        <is>
          <t>Miscellaneous Cards &amp; Products</t>
        </is>
      </c>
      <c r="I1430" s="3" t="n"/>
      <c r="J1430" s="3" t="n">
        <v>44.17</v>
      </c>
      <c r="K1430" s="3" t="n">
        <v>53.99</v>
      </c>
      <c r="L1430" s="3" t="n">
        <v>6.99</v>
      </c>
      <c r="M1430" s="2" t="inlineStr">
        <is>
          <t>TCGplayer</t>
        </is>
      </c>
      <c r="O1430" s="4" t="inlineStr">
        <is>
          <t>https://www.tcgplayer.com/product/516578</t>
        </is>
      </c>
    </row>
    <row r="1431">
      <c r="A1431" s="2" t="inlineStr">
        <is>
          <t>Jirachi GX Collection</t>
        </is>
      </c>
      <c r="B1431" s="3">
        <f>IF(I1431&lt;&gt;"",I1431,IF(J1431&lt;&gt;"",J1431,IF(K1431&lt;&gt;"",K1431,L1431)))</f>
        <v>300.0</v>
      </c>
      <c r="C1431" s="3">
        <f>MEDIAN(I1431:L1431)</f>
        <v>374.0</v>
      </c>
      <c r="D1431" s="3">
        <f>ROUND(C1431*(1-Settings!$B$2),2)</f>
        <v>261.8</v>
      </c>
      <c r="E1431" s="3">
        <f>ROUND(C1431*(1-Settings!$B$3),2)</f>
        <v>261.8</v>
      </c>
      <c r="F1431" s="2" t="inlineStr">
        <is>
          <t>Pokemon</t>
        </is>
      </c>
      <c r="G1431" s="2" t="inlineStr">
        <is>
          <t>Coffret</t>
        </is>
      </c>
      <c r="H1431" s="2" t="inlineStr">
        <is>
          <t>Miscellaneous Cards &amp; Products</t>
        </is>
      </c>
      <c r="I1431" s="3" t="n"/>
      <c r="J1431" s="3" t="n">
        <v>300</v>
      </c>
      <c r="K1431" s="3" t="n">
        <v>399.5</v>
      </c>
      <c r="L1431" s="3" t="n">
        <v>374</v>
      </c>
      <c r="M1431" s="2" t="inlineStr">
        <is>
          <t>TCGplayer</t>
        </is>
      </c>
      <c r="O1431" s="4" t="inlineStr">
        <is>
          <t>https://www.tcgplayer.com/product/226133</t>
        </is>
      </c>
    </row>
    <row r="1432">
      <c r="A1432" s="2" t="inlineStr">
        <is>
          <t>Jirachi V Box</t>
        </is>
      </c>
      <c r="B1432" s="3">
        <f>IF(I1432&lt;&gt;"",I1432,IF(J1432&lt;&gt;"",J1432,IF(K1432&lt;&gt;"",K1432,L1432)))</f>
        <v>104.13</v>
      </c>
      <c r="C1432" s="3">
        <f>MEDIAN(I1432:L1432)</f>
        <v>174.1</v>
      </c>
      <c r="D1432" s="3">
        <f>ROUND(C1432*(1-Settings!$B$2),2)</f>
        <v>121.87</v>
      </c>
      <c r="E1432" s="3">
        <f>ROUND(C1432*(1-Settings!$B$3),2)</f>
        <v>121.87</v>
      </c>
      <c r="F1432" s="2" t="inlineStr">
        <is>
          <t>Pokemon</t>
        </is>
      </c>
      <c r="G1432" s="2" t="inlineStr">
        <is>
          <t>Coffret</t>
        </is>
      </c>
      <c r="H1432" s="2" t="inlineStr">
        <is>
          <t>Miscellaneous Cards &amp; Products</t>
        </is>
      </c>
      <c r="I1432" s="3" t="n"/>
      <c r="J1432" s="3" t="n">
        <v>104.13</v>
      </c>
      <c r="K1432" s="3" t="n">
        <v>193.44</v>
      </c>
      <c r="L1432" s="3" t="n">
        <v>174.1</v>
      </c>
      <c r="M1432" s="2" t="inlineStr">
        <is>
          <t>TCGplayer</t>
        </is>
      </c>
      <c r="O1432" s="4" t="inlineStr">
        <is>
          <t>https://www.tcgplayer.com/product/583776</t>
        </is>
      </c>
    </row>
    <row r="1433">
      <c r="A1433" s="2" t="inlineStr">
        <is>
          <t>Jolteon VMAX Premium Collection</t>
        </is>
      </c>
      <c r="B1433" s="3">
        <f>IF(I1433&lt;&gt;"",I1433,IF(J1433&lt;&gt;"",J1433,IF(K1433&lt;&gt;"",K1433,L1433)))</f>
        <v>324.44</v>
      </c>
      <c r="C1433" s="3">
        <f>MEDIAN(I1433:L1433)</f>
        <v>324.44</v>
      </c>
      <c r="D1433" s="3">
        <f>ROUND(C1433*(1-Settings!$B$2),2)</f>
        <v>227.11</v>
      </c>
      <c r="E1433" s="3">
        <f>ROUND(C1433*(1-Settings!$B$3),2)</f>
        <v>227.11</v>
      </c>
      <c r="F1433" s="2" t="inlineStr">
        <is>
          <t>Pokemon</t>
        </is>
      </c>
      <c r="G1433" s="2" t="inlineStr">
        <is>
          <t>Coffret</t>
        </is>
      </c>
      <c r="H1433" s="2" t="inlineStr">
        <is>
          <t>Miscellaneous Cards &amp; Products</t>
        </is>
      </c>
      <c r="I1433" s="3" t="n"/>
      <c r="J1433" s="3" t="n">
        <v>324.44</v>
      </c>
      <c r="K1433" s="3" t="n">
        <v>391</v>
      </c>
      <c r="L1433" s="3" t="n">
        <v>299.99</v>
      </c>
      <c r="M1433" s="2" t="inlineStr">
        <is>
          <t>TCGplayer</t>
        </is>
      </c>
      <c r="O1433" s="4" t="inlineStr">
        <is>
          <t>https://www.tcgplayer.com/product/249693</t>
        </is>
      </c>
    </row>
    <row r="1434">
      <c r="A1434" s="2" t="inlineStr">
        <is>
          <t>Kanto Friends Mini Tin [Bulbasaur]</t>
        </is>
      </c>
      <c r="B1434" s="3">
        <f>IF(I1434&lt;&gt;"",I1434,IF(J1434&lt;&gt;"",J1434,IF(K1434&lt;&gt;"",K1434,L1434)))</f>
        <v>36.96</v>
      </c>
      <c r="C1434" s="3">
        <f>MEDIAN(I1434:L1434)</f>
        <v>43.99</v>
      </c>
      <c r="D1434" s="3">
        <f>ROUND(C1434*(1-Settings!$B$2),2)</f>
        <v>30.79</v>
      </c>
      <c r="E1434" s="3">
        <f>ROUND(C1434*(1-Settings!$B$3),2)</f>
        <v>30.79</v>
      </c>
      <c r="F1434" s="2" t="inlineStr">
        <is>
          <t>Pokemon</t>
        </is>
      </c>
      <c r="G1434" s="2" t="inlineStr">
        <is>
          <t>Coffret</t>
        </is>
      </c>
      <c r="H1434" s="2" t="inlineStr">
        <is>
          <t>Miscellaneous Cards &amp; Products</t>
        </is>
      </c>
      <c r="I1434" s="3" t="n"/>
      <c r="J1434" s="3" t="n">
        <v>36.96</v>
      </c>
      <c r="K1434" s="3" t="n">
        <v>44</v>
      </c>
      <c r="L1434" s="3" t="n">
        <v>43.99</v>
      </c>
      <c r="M1434" s="2" t="inlineStr">
        <is>
          <t>TCGplayer</t>
        </is>
      </c>
      <c r="O1434" s="4" t="inlineStr">
        <is>
          <t>https://www.tcgplayer.com/product/185261</t>
        </is>
      </c>
    </row>
    <row r="1435">
      <c r="A1435" s="2" t="inlineStr">
        <is>
          <t>Kanto Friends Mini Tin [Charmander]</t>
        </is>
      </c>
      <c r="B1435" s="3">
        <f>IF(I1435&lt;&gt;"",I1435,IF(J1435&lt;&gt;"",J1435,IF(K1435&lt;&gt;"",K1435,L1435)))</f>
        <v>31.31</v>
      </c>
      <c r="C1435" s="3">
        <f>MEDIAN(I1435:L1435)</f>
        <v>34.99</v>
      </c>
      <c r="D1435" s="3">
        <f>ROUND(C1435*(1-Settings!$B$2),2)</f>
        <v>24.49</v>
      </c>
      <c r="E1435" s="3">
        <f>ROUND(C1435*(1-Settings!$B$3),2)</f>
        <v>24.49</v>
      </c>
      <c r="F1435" s="2" t="inlineStr">
        <is>
          <t>Pokemon</t>
        </is>
      </c>
      <c r="G1435" s="2" t="inlineStr">
        <is>
          <t>Coffret</t>
        </is>
      </c>
      <c r="H1435" s="2" t="inlineStr">
        <is>
          <t>Miscellaneous Cards &amp; Products</t>
        </is>
      </c>
      <c r="I1435" s="3" t="n"/>
      <c r="J1435" s="3" t="n">
        <v>31.31</v>
      </c>
      <c r="K1435" s="3" t="n">
        <v>42.49</v>
      </c>
      <c r="L1435" s="3" t="n">
        <v>34.99</v>
      </c>
      <c r="M1435" s="2" t="inlineStr">
        <is>
          <t>TCGplayer</t>
        </is>
      </c>
      <c r="O1435" s="4" t="inlineStr">
        <is>
          <t>https://www.tcgplayer.com/product/185264</t>
        </is>
      </c>
    </row>
    <row r="1436">
      <c r="A1436" s="2" t="inlineStr">
        <is>
          <t>Kanto Friends Mini Tin [Eevee]</t>
        </is>
      </c>
      <c r="B1436" s="3">
        <f>IF(I1436&lt;&gt;"",I1436,IF(J1436&lt;&gt;"",J1436,IF(K1436&lt;&gt;"",K1436,L1436)))</f>
        <v>30.28</v>
      </c>
      <c r="C1436" s="3">
        <f>MEDIAN(I1436:L1436)</f>
        <v>34.99</v>
      </c>
      <c r="D1436" s="3">
        <f>ROUND(C1436*(1-Settings!$B$2),2)</f>
        <v>24.49</v>
      </c>
      <c r="E1436" s="3">
        <f>ROUND(C1436*(1-Settings!$B$3),2)</f>
        <v>24.49</v>
      </c>
      <c r="F1436" s="2" t="inlineStr">
        <is>
          <t>Pokemon</t>
        </is>
      </c>
      <c r="G1436" s="2" t="inlineStr">
        <is>
          <t>Coffret</t>
        </is>
      </c>
      <c r="H1436" s="2" t="inlineStr">
        <is>
          <t>Miscellaneous Cards &amp; Products</t>
        </is>
      </c>
      <c r="I1436" s="3" t="n"/>
      <c r="J1436" s="3" t="n">
        <v>30.28</v>
      </c>
      <c r="K1436" s="3" t="n">
        <v>42.49</v>
      </c>
      <c r="L1436" s="3" t="n">
        <v>34.99</v>
      </c>
      <c r="M1436" s="2" t="inlineStr">
        <is>
          <t>TCGplayer</t>
        </is>
      </c>
      <c r="O1436" s="4" t="inlineStr">
        <is>
          <t>https://www.tcgplayer.com/product/185263</t>
        </is>
      </c>
    </row>
    <row r="1437">
      <c r="A1437" s="2" t="inlineStr">
        <is>
          <t>Kanto Friends Mini Tin [Pikachu]</t>
        </is>
      </c>
      <c r="B1437" s="3">
        <f>IF(I1437&lt;&gt;"",I1437,IF(J1437&lt;&gt;"",J1437,IF(K1437&lt;&gt;"",K1437,L1437)))</f>
        <v>29.56</v>
      </c>
      <c r="C1437" s="3">
        <f>MEDIAN(I1437:L1437)</f>
        <v>34.97</v>
      </c>
      <c r="D1437" s="3">
        <f>ROUND(C1437*(1-Settings!$B$2),2)</f>
        <v>24.48</v>
      </c>
      <c r="E1437" s="3">
        <f>ROUND(C1437*(1-Settings!$B$3),2)</f>
        <v>24.48</v>
      </c>
      <c r="F1437" s="2" t="inlineStr">
        <is>
          <t>Pokemon</t>
        </is>
      </c>
      <c r="G1437" s="2" t="inlineStr">
        <is>
          <t>Coffret</t>
        </is>
      </c>
      <c r="H1437" s="2" t="inlineStr">
        <is>
          <t>Miscellaneous Cards &amp; Products</t>
        </is>
      </c>
      <c r="I1437" s="3" t="n"/>
      <c r="J1437" s="3" t="n">
        <v>29.56</v>
      </c>
      <c r="K1437" s="3" t="n">
        <v>34.98</v>
      </c>
      <c r="L1437" s="3" t="n">
        <v>34.97</v>
      </c>
      <c r="M1437" s="2" t="inlineStr">
        <is>
          <t>TCGplayer</t>
        </is>
      </c>
      <c r="O1437" s="4" t="inlineStr">
        <is>
          <t>https://www.tcgplayer.com/product/185262</t>
        </is>
      </c>
    </row>
    <row r="1438">
      <c r="A1438" s="2" t="inlineStr">
        <is>
          <t>Kanto Friends Mini Tin [Set of 5]</t>
        </is>
      </c>
      <c r="B1438" s="3">
        <f>IF(I1438&lt;&gt;"",I1438,IF(J1438&lt;&gt;"",J1438,IF(K1438&lt;&gt;"",K1438,L1438)))</f>
        <v>193.1</v>
      </c>
      <c r="C1438" s="3">
        <f>MEDIAN(I1438:L1438)</f>
        <v>199.95</v>
      </c>
      <c r="D1438" s="3">
        <f>ROUND(C1438*(1-Settings!$B$2),2)</f>
        <v>139.97</v>
      </c>
      <c r="E1438" s="3">
        <f>ROUND(C1438*(1-Settings!$B$3),2)</f>
        <v>139.97</v>
      </c>
      <c r="F1438" s="2" t="inlineStr">
        <is>
          <t>Pokemon</t>
        </is>
      </c>
      <c r="G1438" s="2" t="inlineStr">
        <is>
          <t>Coffret</t>
        </is>
      </c>
      <c r="H1438" s="2" t="inlineStr">
        <is>
          <t>Miscellaneous Cards &amp; Products</t>
        </is>
      </c>
      <c r="I1438" s="3" t="n"/>
      <c r="J1438" s="3" t="n">
        <v>193.1</v>
      </c>
      <c r="K1438" s="3" t="n">
        <v>199.97</v>
      </c>
      <c r="L1438" s="3" t="n">
        <v>199.95</v>
      </c>
      <c r="M1438" s="2" t="inlineStr">
        <is>
          <t>TCGplayer</t>
        </is>
      </c>
      <c r="O1438" s="4" t="inlineStr">
        <is>
          <t>https://www.tcgplayer.com/product/550688</t>
        </is>
      </c>
    </row>
    <row r="1439">
      <c r="A1439" s="2" t="inlineStr">
        <is>
          <t>Kanto Friends Mini Tin [Squirtle]</t>
        </is>
      </c>
      <c r="B1439" s="3">
        <f>IF(I1439&lt;&gt;"",I1439,IF(J1439&lt;&gt;"",J1439,IF(K1439&lt;&gt;"",K1439,L1439)))</f>
        <v>36.63</v>
      </c>
      <c r="C1439" s="3">
        <f>MEDIAN(I1439:L1439)</f>
        <v>36.54</v>
      </c>
      <c r="D1439" s="3">
        <f>ROUND(C1439*(1-Settings!$B$2),2)</f>
        <v>25.58</v>
      </c>
      <c r="E1439" s="3">
        <f>ROUND(C1439*(1-Settings!$B$3),2)</f>
        <v>25.58</v>
      </c>
      <c r="F1439" s="2" t="inlineStr">
        <is>
          <t>Pokemon</t>
        </is>
      </c>
      <c r="G1439" s="2" t="inlineStr">
        <is>
          <t>Coffret</t>
        </is>
      </c>
      <c r="H1439" s="2" t="inlineStr">
        <is>
          <t>Miscellaneous Cards &amp; Products</t>
        </is>
      </c>
      <c r="I1439" s="3" t="n"/>
      <c r="J1439" s="3" t="n">
        <v>36.63</v>
      </c>
      <c r="K1439" s="3" t="n">
        <v>36.54</v>
      </c>
      <c r="L1439" s="3" t="n">
        <v>35.99</v>
      </c>
      <c r="M1439" s="2" t="inlineStr">
        <is>
          <t>TCGplayer</t>
        </is>
      </c>
      <c r="O1439" s="4" t="inlineStr">
        <is>
          <t>https://www.tcgplayer.com/product/185265</t>
        </is>
      </c>
    </row>
    <row r="1440">
      <c r="A1440" s="2" t="inlineStr">
        <is>
          <t>Kanto Friends Mini Tins 5-Pack</t>
        </is>
      </c>
      <c r="B1440" s="3">
        <f>IF(I1440&lt;&gt;"",I1440,IF(J1440&lt;&gt;"",J1440,IF(K1440&lt;&gt;"",K1440,L1440)))</f>
        <v>312.0</v>
      </c>
      <c r="C1440" s="3">
        <f>MEDIAN(I1440:L1440)</f>
        <v>460.0</v>
      </c>
      <c r="D1440" s="3">
        <f>ROUND(C1440*(1-Settings!$B$2),2)</f>
        <v>322.0</v>
      </c>
      <c r="E1440" s="3">
        <f>ROUND(C1440*(1-Settings!$B$3),2)</f>
        <v>322.0</v>
      </c>
      <c r="F1440" s="2" t="inlineStr">
        <is>
          <t>Pokemon</t>
        </is>
      </c>
      <c r="G1440" s="2" t="inlineStr">
        <is>
          <t>Coffret</t>
        </is>
      </c>
      <c r="H1440" s="2" t="inlineStr">
        <is>
          <t>Miscellaneous Cards &amp; Products</t>
        </is>
      </c>
      <c r="I1440" s="3" t="n"/>
      <c r="J1440" s="3" t="n">
        <v>312</v>
      </c>
      <c r="K1440" s="3" t="n">
        <v>460</v>
      </c>
      <c r="L1440" s="3" t="n">
        <v>460</v>
      </c>
      <c r="M1440" s="2" t="inlineStr">
        <is>
          <t>TCGplayer</t>
        </is>
      </c>
      <c r="O1440" s="4" t="inlineStr">
        <is>
          <t>https://www.tcgplayer.com/product/253839</t>
        </is>
      </c>
    </row>
    <row r="1441">
      <c r="A1441" s="2" t="inlineStr">
        <is>
          <t>Kanto Power Mini Tin [Charizard]</t>
        </is>
      </c>
      <c r="B1441" s="3">
        <f>IF(I1441&lt;&gt;"",I1441,IF(J1441&lt;&gt;"",J1441,IF(K1441&lt;&gt;"",K1441,L1441)))</f>
        <v>39.82</v>
      </c>
      <c r="C1441" s="3">
        <f>MEDIAN(I1441:L1441)</f>
        <v>62.99</v>
      </c>
      <c r="D1441" s="3">
        <f>ROUND(C1441*(1-Settings!$B$2),2)</f>
        <v>44.09</v>
      </c>
      <c r="E1441" s="3">
        <f>ROUND(C1441*(1-Settings!$B$3),2)</f>
        <v>44.09</v>
      </c>
      <c r="F1441" s="2" t="inlineStr">
        <is>
          <t>Pokemon</t>
        </is>
      </c>
      <c r="G1441" s="2" t="inlineStr">
        <is>
          <t>Coffret</t>
        </is>
      </c>
      <c r="H1441" s="2" t="inlineStr">
        <is>
          <t>Miscellaneous Cards &amp; Products</t>
        </is>
      </c>
      <c r="I1441" s="3" t="n"/>
      <c r="J1441" s="3" t="n">
        <v>39.82</v>
      </c>
      <c r="K1441" s="3" t="n">
        <v>62.99</v>
      </c>
      <c r="L1441" s="3" t="n">
        <v>62.99</v>
      </c>
      <c r="M1441" s="2" t="inlineStr">
        <is>
          <t>TCGplayer</t>
        </is>
      </c>
      <c r="O1441" s="4" t="inlineStr">
        <is>
          <t>https://www.tcgplayer.com/product/198431</t>
        </is>
      </c>
    </row>
    <row r="1442">
      <c r="A1442" s="2" t="inlineStr">
        <is>
          <t>Kanto Power Mini Tin [Dragonite]</t>
        </is>
      </c>
      <c r="B1442" s="3">
        <f>IF(I1442&lt;&gt;"",I1442,IF(J1442&lt;&gt;"",J1442,IF(K1442&lt;&gt;"",K1442,L1442)))</f>
        <v>37.12</v>
      </c>
      <c r="C1442" s="3">
        <f>MEDIAN(I1442:L1442)</f>
        <v>37.99</v>
      </c>
      <c r="D1442" s="3">
        <f>ROUND(C1442*(1-Settings!$B$2),2)</f>
        <v>26.59</v>
      </c>
      <c r="E1442" s="3">
        <f>ROUND(C1442*(1-Settings!$B$3),2)</f>
        <v>26.59</v>
      </c>
      <c r="F1442" s="2" t="inlineStr">
        <is>
          <t>Pokemon</t>
        </is>
      </c>
      <c r="G1442" s="2" t="inlineStr">
        <is>
          <t>Coffret</t>
        </is>
      </c>
      <c r="H1442" s="2" t="inlineStr">
        <is>
          <t>Miscellaneous Cards &amp; Products</t>
        </is>
      </c>
      <c r="I1442" s="3" t="n"/>
      <c r="J1442" s="3" t="n">
        <v>37.12</v>
      </c>
      <c r="K1442" s="3" t="n">
        <v>39.62</v>
      </c>
      <c r="L1442" s="3" t="n">
        <v>37.99</v>
      </c>
      <c r="M1442" s="2" t="inlineStr">
        <is>
          <t>TCGplayer</t>
        </is>
      </c>
      <c r="O1442" s="4" t="inlineStr">
        <is>
          <t>https://www.tcgplayer.com/product/198434</t>
        </is>
      </c>
    </row>
    <row r="1443">
      <c r="A1443" s="2" t="inlineStr">
        <is>
          <t>Kanto Power Mini Tin [Mew]</t>
        </is>
      </c>
      <c r="B1443" s="3">
        <f>IF(I1443&lt;&gt;"",I1443,IF(J1443&lt;&gt;"",J1443,IF(K1443&lt;&gt;"",K1443,L1443)))</f>
        <v>39.58</v>
      </c>
      <c r="C1443" s="3">
        <f>MEDIAN(I1443:L1443)</f>
        <v>41.98</v>
      </c>
      <c r="D1443" s="3">
        <f>ROUND(C1443*(1-Settings!$B$2),2)</f>
        <v>29.39</v>
      </c>
      <c r="E1443" s="3">
        <f>ROUND(C1443*(1-Settings!$B$3),2)</f>
        <v>29.39</v>
      </c>
      <c r="F1443" s="2" t="inlineStr">
        <is>
          <t>Pokemon</t>
        </is>
      </c>
      <c r="G1443" s="2" t="inlineStr">
        <is>
          <t>Coffret</t>
        </is>
      </c>
      <c r="H1443" s="2" t="inlineStr">
        <is>
          <t>Miscellaneous Cards &amp; Products</t>
        </is>
      </c>
      <c r="I1443" s="3" t="n"/>
      <c r="J1443" s="3" t="n">
        <v>39.58</v>
      </c>
      <c r="K1443" s="3" t="n">
        <v>44.99</v>
      </c>
      <c r="L1443" s="3" t="n">
        <v>41.98</v>
      </c>
      <c r="M1443" s="2" t="inlineStr">
        <is>
          <t>TCGplayer</t>
        </is>
      </c>
      <c r="O1443" s="4" t="inlineStr">
        <is>
          <t>https://www.tcgplayer.com/product/198437</t>
        </is>
      </c>
    </row>
    <row r="1444">
      <c r="A1444" s="2" t="inlineStr">
        <is>
          <t>Kanto Power Mini Tin [Mewtwo]</t>
        </is>
      </c>
      <c r="B1444" s="3">
        <f>IF(I1444&lt;&gt;"",I1444,IF(J1444&lt;&gt;"",J1444,IF(K1444&lt;&gt;"",K1444,L1444)))</f>
        <v>33.28</v>
      </c>
      <c r="C1444" s="3">
        <f>MEDIAN(I1444:L1444)</f>
        <v>33.99</v>
      </c>
      <c r="D1444" s="3">
        <f>ROUND(C1444*(1-Settings!$B$2),2)</f>
        <v>23.79</v>
      </c>
      <c r="E1444" s="3">
        <f>ROUND(C1444*(1-Settings!$B$3),2)</f>
        <v>23.79</v>
      </c>
      <c r="F1444" s="2" t="inlineStr">
        <is>
          <t>Pokemon</t>
        </is>
      </c>
      <c r="G1444" s="2" t="inlineStr">
        <is>
          <t>Coffret</t>
        </is>
      </c>
      <c r="H1444" s="2" t="inlineStr">
        <is>
          <t>Miscellaneous Cards &amp; Products</t>
        </is>
      </c>
      <c r="I1444" s="3" t="n"/>
      <c r="J1444" s="3" t="n">
        <v>33.28</v>
      </c>
      <c r="K1444" s="3" t="n">
        <v>38.62</v>
      </c>
      <c r="L1444" s="3" t="n">
        <v>33.99</v>
      </c>
      <c r="M1444" s="2" t="inlineStr">
        <is>
          <t>TCGplayer</t>
        </is>
      </c>
      <c r="O1444" s="4" t="inlineStr">
        <is>
          <t>https://www.tcgplayer.com/product/198438</t>
        </is>
      </c>
    </row>
    <row r="1445">
      <c r="A1445" s="2" t="inlineStr">
        <is>
          <t>Kanto Power Mini Tin [Vulpix]</t>
        </is>
      </c>
      <c r="B1445" s="3">
        <f>IF(I1445&lt;&gt;"",I1445,IF(J1445&lt;&gt;"",J1445,IF(K1445&lt;&gt;"",K1445,L1445)))</f>
        <v>33.49</v>
      </c>
      <c r="C1445" s="3">
        <f>MEDIAN(I1445:L1445)</f>
        <v>33.49</v>
      </c>
      <c r="D1445" s="3">
        <f>ROUND(C1445*(1-Settings!$B$2),2)</f>
        <v>23.44</v>
      </c>
      <c r="E1445" s="3">
        <f>ROUND(C1445*(1-Settings!$B$3),2)</f>
        <v>23.44</v>
      </c>
      <c r="F1445" s="2" t="inlineStr">
        <is>
          <t>Pokemon</t>
        </is>
      </c>
      <c r="G1445" s="2" t="inlineStr">
        <is>
          <t>Coffret</t>
        </is>
      </c>
      <c r="H1445" s="2" t="inlineStr">
        <is>
          <t>Miscellaneous Cards &amp; Products</t>
        </is>
      </c>
      <c r="I1445" s="3" t="n"/>
      <c r="J1445" s="3" t="n">
        <v>33.49</v>
      </c>
      <c r="K1445" s="3" t="n">
        <v>37.74</v>
      </c>
      <c r="L1445" s="3" t="n">
        <v>29.99</v>
      </c>
      <c r="M1445" s="2" t="inlineStr">
        <is>
          <t>TCGplayer</t>
        </is>
      </c>
      <c r="O1445" s="4" t="inlineStr">
        <is>
          <t>https://www.tcgplayer.com/product/198439</t>
        </is>
      </c>
    </row>
    <row r="1446">
      <c r="A1446" s="2" t="inlineStr">
        <is>
          <t>Klara Premium Tournament Collection Box</t>
        </is>
      </c>
      <c r="B1446" s="3">
        <f>IF(I1446&lt;&gt;"",I1446,IF(J1446&lt;&gt;"",J1446,IF(K1446&lt;&gt;"",K1446,L1446)))</f>
        <v>91.97</v>
      </c>
      <c r="C1446" s="3">
        <f>MEDIAN(I1446:L1446)</f>
        <v>91.97</v>
      </c>
      <c r="D1446" s="3">
        <f>ROUND(C1446*(1-Settings!$B$2),2)</f>
        <v>64.38</v>
      </c>
      <c r="E1446" s="3">
        <f>ROUND(C1446*(1-Settings!$B$3),2)</f>
        <v>64.38</v>
      </c>
      <c r="F1446" s="2" t="inlineStr">
        <is>
          <t>Pokemon</t>
        </is>
      </c>
      <c r="G1446" s="2" t="inlineStr">
        <is>
          <t>Coffret</t>
        </is>
      </c>
      <c r="H1446" s="2" t="inlineStr">
        <is>
          <t>Miscellaneous Cards &amp; Products</t>
        </is>
      </c>
      <c r="I1446" s="3" t="n"/>
      <c r="J1446" s="3" t="n">
        <v>91.97</v>
      </c>
      <c r="K1446" s="3" t="n">
        <v>104.99</v>
      </c>
      <c r="L1446" s="3" t="n">
        <v>90</v>
      </c>
      <c r="M1446" s="2" t="inlineStr">
        <is>
          <t>TCGplayer</t>
        </is>
      </c>
      <c r="O1446" s="4" t="inlineStr">
        <is>
          <t>https://www.tcgplayer.com/product/477284</t>
        </is>
      </c>
    </row>
    <row r="1447">
      <c r="A1447" s="2" t="inlineStr">
        <is>
          <t>Kleavor VSTAR Premium Collection (International)</t>
        </is>
      </c>
      <c r="B1447" s="3">
        <f>IF(I1447&lt;&gt;"",I1447,IF(J1447&lt;&gt;"",J1447,IF(K1447&lt;&gt;"",K1447,L1447)))</f>
        <v>70.33</v>
      </c>
      <c r="C1447" s="3">
        <f>MEDIAN(I1447:L1447)</f>
        <v>75.0</v>
      </c>
      <c r="D1447" s="3">
        <f>ROUND(C1447*(1-Settings!$B$2),2)</f>
        <v>52.5</v>
      </c>
      <c r="E1447" s="3">
        <f>ROUND(C1447*(1-Settings!$B$3),2)</f>
        <v>52.5</v>
      </c>
      <c r="F1447" s="2" t="inlineStr">
        <is>
          <t>Pokemon</t>
        </is>
      </c>
      <c r="G1447" s="2" t="inlineStr">
        <is>
          <t>Coffret</t>
        </is>
      </c>
      <c r="H1447" s="2" t="inlineStr">
        <is>
          <t>Miscellaneous Cards &amp; Products</t>
        </is>
      </c>
      <c r="I1447" s="3" t="n"/>
      <c r="J1447" s="3" t="n">
        <v>70.33</v>
      </c>
      <c r="K1447" s="3" t="n">
        <v>84.98999999999999</v>
      </c>
      <c r="L1447" s="3" t="n">
        <v>75</v>
      </c>
      <c r="M1447" s="2" t="inlineStr">
        <is>
          <t>TCGplayer</t>
        </is>
      </c>
      <c r="O1447" s="4" t="inlineStr">
        <is>
          <t>https://www.tcgplayer.com/product/637464</t>
        </is>
      </c>
    </row>
    <row r="1448">
      <c r="A1448" s="2" t="inlineStr">
        <is>
          <t>Kleavor VSTAR Special Collection</t>
        </is>
      </c>
      <c r="B1448" s="3">
        <f>IF(I1448&lt;&gt;"",I1448,IF(J1448&lt;&gt;"",J1448,IF(K1448&lt;&gt;"",K1448,L1448)))</f>
        <v>63.67</v>
      </c>
      <c r="C1448" s="3">
        <f>MEDIAN(I1448:L1448)</f>
        <v>69.69</v>
      </c>
      <c r="D1448" s="3">
        <f>ROUND(C1448*(1-Settings!$B$2),2)</f>
        <v>48.78</v>
      </c>
      <c r="E1448" s="3">
        <f>ROUND(C1448*(1-Settings!$B$3),2)</f>
        <v>48.78</v>
      </c>
      <c r="F1448" s="2" t="inlineStr">
        <is>
          <t>Pokemon</t>
        </is>
      </c>
      <c r="G1448" s="2" t="inlineStr">
        <is>
          <t>Coffret</t>
        </is>
      </c>
      <c r="H1448" s="2" t="inlineStr">
        <is>
          <t>Miscellaneous Cards &amp; Products</t>
        </is>
      </c>
      <c r="I1448" s="3" t="n"/>
      <c r="J1448" s="3" t="n">
        <v>63.67</v>
      </c>
      <c r="K1448" s="3" t="n">
        <v>74.98999999999999</v>
      </c>
      <c r="L1448" s="3" t="n">
        <v>69.69</v>
      </c>
      <c r="M1448" s="2" t="inlineStr">
        <is>
          <t>TCGplayer</t>
        </is>
      </c>
      <c r="O1448" s="4" t="inlineStr">
        <is>
          <t>https://www.tcgplayer.com/product/532560</t>
        </is>
      </c>
    </row>
    <row r="1449">
      <c r="A1449" s="2" t="inlineStr">
        <is>
          <t>Knock Out Collection [Alakazam]</t>
        </is>
      </c>
      <c r="B1449" s="3">
        <f>IF(I1449&lt;&gt;"",I1449,IF(J1449&lt;&gt;"",J1449,IF(K1449&lt;&gt;"",K1449,L1449)))</f>
        <v>23.67</v>
      </c>
      <c r="C1449" s="3">
        <f>MEDIAN(I1449:L1449)</f>
        <v>75.0</v>
      </c>
      <c r="D1449" s="3">
        <f>ROUND(C1449*(1-Settings!$B$2),2)</f>
        <v>52.5</v>
      </c>
      <c r="E1449" s="3">
        <f>ROUND(C1449*(1-Settings!$B$3),2)</f>
        <v>52.5</v>
      </c>
      <c r="F1449" s="2" t="inlineStr">
        <is>
          <t>Pokemon</t>
        </is>
      </c>
      <c r="G1449" s="2" t="inlineStr">
        <is>
          <t>Coffret</t>
        </is>
      </c>
      <c r="H1449" s="2" t="inlineStr">
        <is>
          <t>Miscellaneous Cards &amp; Products</t>
        </is>
      </c>
      <c r="I1449" s="3" t="n"/>
      <c r="J1449" s="3" t="n">
        <v>23.67</v>
      </c>
      <c r="K1449" s="3" t="n">
        <v>75</v>
      </c>
      <c r="L1449" s="3" t="n">
        <v>75</v>
      </c>
      <c r="M1449" s="2" t="inlineStr">
        <is>
          <t>TCGplayer</t>
        </is>
      </c>
      <c r="O1449" s="4" t="inlineStr">
        <is>
          <t>https://www.tcgplayer.com/product/628493</t>
        </is>
      </c>
    </row>
    <row r="1450">
      <c r="A1450" s="2" t="inlineStr">
        <is>
          <t>Knock Out Collection [Boltund, Eiscue, Galarian Sirfetch'd]</t>
        </is>
      </c>
      <c r="B1450" s="3">
        <f>IF(I1450&lt;&gt;"",I1450,IF(J1450&lt;&gt;"",J1450,IF(K1450&lt;&gt;"",K1450,L1450)))</f>
        <v>33.19</v>
      </c>
      <c r="C1450" s="3">
        <f>MEDIAN(I1450:L1450)</f>
        <v>35.0</v>
      </c>
      <c r="D1450" s="3">
        <f>ROUND(C1450*(1-Settings!$B$2),2)</f>
        <v>24.5</v>
      </c>
      <c r="E1450" s="3">
        <f>ROUND(C1450*(1-Settings!$B$3),2)</f>
        <v>24.5</v>
      </c>
      <c r="F1450" s="2" t="inlineStr">
        <is>
          <t>Pokemon</t>
        </is>
      </c>
      <c r="G1450" s="2" t="inlineStr">
        <is>
          <t>Coffret</t>
        </is>
      </c>
      <c r="H1450" s="2" t="inlineStr">
        <is>
          <t>Miscellaneous Cards &amp; Products</t>
        </is>
      </c>
      <c r="I1450" s="3" t="n"/>
      <c r="J1450" s="3" t="n">
        <v>33.19</v>
      </c>
      <c r="K1450" s="3" t="n">
        <v>39.99</v>
      </c>
      <c r="L1450" s="3" t="n">
        <v>35</v>
      </c>
      <c r="M1450" s="2" t="inlineStr">
        <is>
          <t>TCGplayer</t>
        </is>
      </c>
      <c r="O1450" s="4" t="inlineStr">
        <is>
          <t>https://www.tcgplayer.com/product/264422</t>
        </is>
      </c>
    </row>
    <row r="1451">
      <c r="A1451" s="2" t="inlineStr">
        <is>
          <t>Knock Out Collection [Chien-Pao]</t>
        </is>
      </c>
      <c r="B1451" s="3">
        <f>IF(I1451&lt;&gt;"",I1451,IF(J1451&lt;&gt;"",J1451,IF(K1451&lt;&gt;"",K1451,L1451)))</f>
        <v>25.54</v>
      </c>
      <c r="C1451" s="3">
        <f>MEDIAN(I1451:L1451)</f>
        <v>35.9</v>
      </c>
      <c r="D1451" s="3">
        <f>ROUND(C1451*(1-Settings!$B$2),2)</f>
        <v>25.13</v>
      </c>
      <c r="E1451" s="3">
        <f>ROUND(C1451*(1-Settings!$B$3),2)</f>
        <v>25.13</v>
      </c>
      <c r="F1451" s="2" t="inlineStr">
        <is>
          <t>Pokemon</t>
        </is>
      </c>
      <c r="G1451" s="2" t="inlineStr">
        <is>
          <t>Coffret</t>
        </is>
      </c>
      <c r="H1451" s="2" t="inlineStr">
        <is>
          <t>Miscellaneous Cards &amp; Products</t>
        </is>
      </c>
      <c r="I1451" s="3" t="n"/>
      <c r="J1451" s="3" t="n">
        <v>25.54</v>
      </c>
      <c r="K1451" s="3" t="n">
        <v>41</v>
      </c>
      <c r="L1451" s="3" t="n">
        <v>35.9</v>
      </c>
      <c r="M1451" s="2" t="inlineStr">
        <is>
          <t>TCGplayer</t>
        </is>
      </c>
      <c r="O1451" s="4" t="inlineStr">
        <is>
          <t>https://www.tcgplayer.com/product/628494</t>
        </is>
      </c>
    </row>
    <row r="1452">
      <c r="A1452" s="2" t="inlineStr">
        <is>
          <t>Knock Out Collection [Iron Jugulis]</t>
        </is>
      </c>
      <c r="B1452" s="3">
        <f>IF(I1452&lt;&gt;"",I1452,IF(J1452&lt;&gt;"",J1452,IF(K1452&lt;&gt;"",K1452,L1452)))</f>
        <v>24.99</v>
      </c>
      <c r="C1452" s="3">
        <f>MEDIAN(I1452:L1452)</f>
        <v>29.98</v>
      </c>
      <c r="D1452" s="3">
        <f>ROUND(C1452*(1-Settings!$B$2),2)</f>
        <v>20.99</v>
      </c>
      <c r="E1452" s="3">
        <f>ROUND(C1452*(1-Settings!$B$3),2)</f>
        <v>20.99</v>
      </c>
      <c r="F1452" s="2" t="inlineStr">
        <is>
          <t>Pokemon</t>
        </is>
      </c>
      <c r="G1452" s="2" t="inlineStr">
        <is>
          <t>Coffret</t>
        </is>
      </c>
      <c r="H1452" s="2" t="inlineStr">
        <is>
          <t>Miscellaneous Cards &amp; Products</t>
        </is>
      </c>
      <c r="I1452" s="3" t="n"/>
      <c r="J1452" s="3" t="n">
        <v>24.99</v>
      </c>
      <c r="K1452" s="3" t="n">
        <v>29.98</v>
      </c>
      <c r="L1452" s="3" t="n">
        <v>29.98</v>
      </c>
      <c r="M1452" s="2" t="inlineStr">
        <is>
          <t>TCGplayer</t>
        </is>
      </c>
      <c r="O1452" s="4" t="inlineStr">
        <is>
          <t>https://www.tcgplayer.com/product/603323</t>
        </is>
      </c>
    </row>
    <row r="1453">
      <c r="A1453" s="2" t="inlineStr">
        <is>
          <t>Knock Out Collection [Kyogre]</t>
        </is>
      </c>
      <c r="B1453" s="3">
        <f>IF(I1453&lt;&gt;"",I1453,IF(J1453&lt;&gt;"",J1453,IF(K1453&lt;&gt;"",K1453,L1453)))</f>
        <v>14.02</v>
      </c>
      <c r="C1453" s="3">
        <f>MEDIAN(I1453:L1453)</f>
        <v>14.02</v>
      </c>
      <c r="D1453" s="3">
        <f>ROUND(C1453*(1-Settings!$B$2),2)</f>
        <v>9.81</v>
      </c>
      <c r="E1453" s="3">
        <f>ROUND(C1453*(1-Settings!$B$3),2)</f>
        <v>9.81</v>
      </c>
      <c r="F1453" s="2" t="inlineStr">
        <is>
          <t>Pokemon</t>
        </is>
      </c>
      <c r="G1453" s="2" t="inlineStr">
        <is>
          <t>Coffret</t>
        </is>
      </c>
      <c r="H1453" s="2" t="inlineStr">
        <is>
          <t>Miscellaneous Cards &amp; Products</t>
        </is>
      </c>
      <c r="I1453" s="3" t="n"/>
      <c r="J1453" s="3" t="n">
        <v>14.02</v>
      </c>
      <c r="K1453" s="3" t="n">
        <v>15.23</v>
      </c>
      <c r="L1453" s="3" t="n">
        <v>9.15</v>
      </c>
      <c r="M1453" s="2" t="inlineStr">
        <is>
          <t>TCGplayer</t>
        </is>
      </c>
      <c r="O1453" s="4" t="inlineStr">
        <is>
          <t>https://www.tcgplayer.com/product/670782</t>
        </is>
      </c>
    </row>
    <row r="1454">
      <c r="A1454" s="2" t="inlineStr">
        <is>
          <t>Knock Out Collection [Lucario, Bisharp, and Zoroark]</t>
        </is>
      </c>
      <c r="B1454" s="3">
        <f>IF(I1454&lt;&gt;"",I1454,IF(J1454&lt;&gt;"",J1454,IF(K1454&lt;&gt;"",K1454,L1454)))</f>
        <v>157.5</v>
      </c>
      <c r="C1454" s="3">
        <f>MEDIAN(I1454:L1454)</f>
        <v>157.5</v>
      </c>
      <c r="D1454" s="3">
        <f>ROUND(C1454*(1-Settings!$B$2),2)</f>
        <v>110.25</v>
      </c>
      <c r="E1454" s="3">
        <f>ROUND(C1454*(1-Settings!$B$3),2)</f>
        <v>110.25</v>
      </c>
      <c r="F1454" s="2" t="inlineStr">
        <is>
          <t>Pokemon</t>
        </is>
      </c>
      <c r="G1454" s="2" t="inlineStr">
        <is>
          <t>Coffret</t>
        </is>
      </c>
      <c r="H1454" s="2" t="inlineStr">
        <is>
          <t>Miscellaneous Cards &amp; Products</t>
        </is>
      </c>
      <c r="I1454" s="3" t="n"/>
      <c r="J1454" s="3" t="n">
        <v>157.5</v>
      </c>
      <c r="K1454" s="3" t="n">
        <v>167.98</v>
      </c>
      <c r="L1454" s="3" t="n">
        <v>154.99</v>
      </c>
      <c r="M1454" s="2" t="inlineStr">
        <is>
          <t>TCGplayer</t>
        </is>
      </c>
      <c r="O1454" s="4" t="inlineStr">
        <is>
          <t>https://www.tcgplayer.com/product/186994</t>
        </is>
      </c>
    </row>
    <row r="1455">
      <c r="A1455" s="2" t="inlineStr">
        <is>
          <t>Knock Out Collection [Shaymin, Zeraora, and Marshadow]</t>
        </is>
      </c>
      <c r="B1455" s="3">
        <f>IF(I1455&lt;&gt;"",I1455,IF(J1455&lt;&gt;"",J1455,IF(K1455&lt;&gt;"",K1455,L1455)))</f>
        <v>22.13</v>
      </c>
      <c r="C1455" s="3">
        <f>MEDIAN(I1455:L1455)</f>
        <v>17.06</v>
      </c>
      <c r="D1455" s="3">
        <f>ROUND(C1455*(1-Settings!$B$2),2)</f>
        <v>11.94</v>
      </c>
      <c r="E1455" s="3">
        <f>ROUND(C1455*(1-Settings!$B$3),2)</f>
        <v>11.94</v>
      </c>
      <c r="F1455" s="2" t="inlineStr">
        <is>
          <t>Pokemon</t>
        </is>
      </c>
      <c r="G1455" s="2" t="inlineStr">
        <is>
          <t>Coffret</t>
        </is>
      </c>
      <c r="H1455" s="2" t="inlineStr">
        <is>
          <t>Miscellaneous Cards &amp; Products</t>
        </is>
      </c>
      <c r="I1455" s="3" t="n"/>
      <c r="J1455" s="3" t="n">
        <v>22.13</v>
      </c>
      <c r="K1455" s="3" t="n"/>
      <c r="L1455" s="3" t="n">
        <v>11.99</v>
      </c>
      <c r="M1455" s="2" t="inlineStr">
        <is>
          <t>TCGplayer</t>
        </is>
      </c>
      <c r="O1455" s="4" t="inlineStr">
        <is>
          <t>https://www.tcgplayer.com/product/543172</t>
        </is>
      </c>
    </row>
    <row r="1456">
      <c r="A1456" s="2" t="inlineStr">
        <is>
          <t>Knock Out Collection [Suicune]</t>
        </is>
      </c>
      <c r="B1456" s="3">
        <f>IF(I1456&lt;&gt;"",I1456,IF(J1456&lt;&gt;"",J1456,IF(K1456&lt;&gt;"",K1456,L1456)))</f>
        <v>14.18</v>
      </c>
      <c r="C1456" s="3">
        <f>MEDIAN(I1456:L1456)</f>
        <v>14.18</v>
      </c>
      <c r="D1456" s="3">
        <f>ROUND(C1456*(1-Settings!$B$2),2)</f>
        <v>9.93</v>
      </c>
      <c r="E1456" s="3">
        <f>ROUND(C1456*(1-Settings!$B$3),2)</f>
        <v>9.93</v>
      </c>
      <c r="F1456" s="2" t="inlineStr">
        <is>
          <t>Pokemon</t>
        </is>
      </c>
      <c r="G1456" s="2" t="inlineStr">
        <is>
          <t>Coffret</t>
        </is>
      </c>
      <c r="H1456" s="2" t="inlineStr">
        <is>
          <t>Miscellaneous Cards &amp; Products</t>
        </is>
      </c>
      <c r="I1456" s="3" t="n"/>
      <c r="J1456" s="3" t="n">
        <v>14.18</v>
      </c>
      <c r="K1456" s="3" t="n">
        <v>15.23</v>
      </c>
      <c r="L1456" s="3" t="n">
        <v>10</v>
      </c>
      <c r="M1456" s="2" t="inlineStr">
        <is>
          <t>TCGplayer</t>
        </is>
      </c>
      <c r="O1456" s="4" t="inlineStr">
        <is>
          <t>https://www.tcgplayer.com/product/670783</t>
        </is>
      </c>
    </row>
    <row r="1457">
      <c r="A1457" s="2" t="inlineStr">
        <is>
          <t>Knock Out Collection [Tyranitar, Shiftry, and Vivillon]</t>
        </is>
      </c>
      <c r="B1457" s="3">
        <f>IF(I1457&lt;&gt;"",I1457,IF(J1457&lt;&gt;"",J1457,IF(K1457&lt;&gt;"",K1457,L1457)))</f>
        <v>171.95</v>
      </c>
      <c r="C1457" s="3">
        <f>MEDIAN(I1457:L1457)</f>
        <v>169.95</v>
      </c>
      <c r="D1457" s="3">
        <f>ROUND(C1457*(1-Settings!$B$2),2)</f>
        <v>118.97</v>
      </c>
      <c r="E1457" s="3">
        <f>ROUND(C1457*(1-Settings!$B$3),2)</f>
        <v>118.97</v>
      </c>
      <c r="F1457" s="2" t="inlineStr">
        <is>
          <t>Pokemon</t>
        </is>
      </c>
      <c r="G1457" s="2" t="inlineStr">
        <is>
          <t>Coffret</t>
        </is>
      </c>
      <c r="H1457" s="2" t="inlineStr">
        <is>
          <t>Miscellaneous Cards &amp; Products</t>
        </is>
      </c>
      <c r="I1457" s="3" t="n"/>
      <c r="J1457" s="3" t="n">
        <v>171.95</v>
      </c>
      <c r="K1457" s="3" t="n">
        <v>169.95</v>
      </c>
      <c r="L1457" s="3" t="n">
        <v>159</v>
      </c>
      <c r="M1457" s="2" t="inlineStr">
        <is>
          <t>TCGplayer</t>
        </is>
      </c>
      <c r="O1457" s="4" t="inlineStr">
        <is>
          <t>https://www.tcgplayer.com/product/186984</t>
        </is>
      </c>
    </row>
    <row r="1458">
      <c r="A1458" s="2" t="inlineStr">
        <is>
          <t>Legendary Warriors Premium Collection</t>
        </is>
      </c>
      <c r="B1458" s="3">
        <f>IF(I1458&lt;&gt;"",I1458,IF(J1458&lt;&gt;"",J1458,IF(K1458&lt;&gt;"",K1458,L1458)))</f>
        <v>193.31</v>
      </c>
      <c r="C1458" s="3">
        <f>MEDIAN(I1458:L1458)</f>
        <v>193.31</v>
      </c>
      <c r="D1458" s="3">
        <f>ROUND(C1458*(1-Settings!$B$2),2)</f>
        <v>135.32</v>
      </c>
      <c r="E1458" s="3">
        <f>ROUND(C1458*(1-Settings!$B$3),2)</f>
        <v>135.32</v>
      </c>
      <c r="F1458" s="2" t="inlineStr">
        <is>
          <t>Pokemon</t>
        </is>
      </c>
      <c r="G1458" s="2" t="inlineStr">
        <is>
          <t>Coffret</t>
        </is>
      </c>
      <c r="H1458" s="2" t="inlineStr">
        <is>
          <t>Miscellaneous Cards &amp; Products</t>
        </is>
      </c>
      <c r="I1458" s="3" t="n"/>
      <c r="J1458" s="3" t="n">
        <v>193.31</v>
      </c>
      <c r="K1458" s="3" t="n">
        <v>205</v>
      </c>
      <c r="L1458" s="3" t="n">
        <v>184.99</v>
      </c>
      <c r="M1458" s="2" t="inlineStr">
        <is>
          <t>TCGplayer</t>
        </is>
      </c>
      <c r="O1458" s="4" t="inlineStr">
        <is>
          <t>https://www.tcgplayer.com/product/594495</t>
        </is>
      </c>
    </row>
    <row r="1459">
      <c r="A1459" s="2" t="inlineStr">
        <is>
          <t>Legends of Johto Pin Collection</t>
        </is>
      </c>
      <c r="B1459" s="3">
        <f>IF(I1459&lt;&gt;"",I1459,IF(J1459&lt;&gt;"",J1459,IF(K1459&lt;&gt;"",K1459,L1459)))</f>
        <v>310.0</v>
      </c>
      <c r="C1459" s="3">
        <f>MEDIAN(I1459:L1459)</f>
        <v>310.0</v>
      </c>
      <c r="D1459" s="3">
        <f>ROUND(C1459*(1-Settings!$B$2),2)</f>
        <v>217.0</v>
      </c>
      <c r="E1459" s="3">
        <f>ROUND(C1459*(1-Settings!$B$3),2)</f>
        <v>217.0</v>
      </c>
      <c r="F1459" s="2" t="inlineStr">
        <is>
          <t>Pokemon</t>
        </is>
      </c>
      <c r="G1459" s="2" t="inlineStr">
        <is>
          <t>Coffret</t>
        </is>
      </c>
      <c r="H1459" s="2" t="inlineStr">
        <is>
          <t>Miscellaneous Cards &amp; Products</t>
        </is>
      </c>
      <c r="I1459" s="3" t="n"/>
      <c r="J1459" s="3" t="n">
        <v>310</v>
      </c>
      <c r="K1459" s="3" t="n">
        <v>340</v>
      </c>
      <c r="L1459" s="3" t="n">
        <v>300</v>
      </c>
      <c r="M1459" s="2" t="inlineStr">
        <is>
          <t>TCGplayer</t>
        </is>
      </c>
      <c r="O1459" s="4" t="inlineStr">
        <is>
          <t>https://www.tcgplayer.com/product/228813</t>
        </is>
      </c>
    </row>
    <row r="1460">
      <c r="A1460" s="2" t="inlineStr">
        <is>
          <t>Let's Play Pokemon TCG Box</t>
        </is>
      </c>
      <c r="B1460" s="3">
        <f>IF(I1460&lt;&gt;"",I1460,IF(J1460&lt;&gt;"",J1460,IF(K1460&lt;&gt;"",K1460,L1460)))</f>
        <v>68.65</v>
      </c>
      <c r="C1460" s="3">
        <f>MEDIAN(I1460:L1460)</f>
        <v>68.65</v>
      </c>
      <c r="D1460" s="3">
        <f>ROUND(C1460*(1-Settings!$B$2),2)</f>
        <v>48.06</v>
      </c>
      <c r="E1460" s="3">
        <f>ROUND(C1460*(1-Settings!$B$3),2)</f>
        <v>48.06</v>
      </c>
      <c r="F1460" s="2" t="inlineStr">
        <is>
          <t>Pokemon</t>
        </is>
      </c>
      <c r="G1460" s="2" t="inlineStr">
        <is>
          <t>Coffret</t>
        </is>
      </c>
      <c r="H1460" s="2" t="inlineStr">
        <is>
          <t>Miscellaneous Cards &amp; Products</t>
        </is>
      </c>
      <c r="I1460" s="3" t="n"/>
      <c r="J1460" s="3" t="n">
        <v>68.65000000000001</v>
      </c>
      <c r="K1460" s="3" t="n"/>
      <c r="L1460" s="3" t="n"/>
      <c r="M1460" s="2" t="inlineStr">
        <is>
          <t>TCGplayer</t>
        </is>
      </c>
      <c r="O1460" s="4" t="inlineStr">
        <is>
          <t>https://www.tcgplayer.com/product/202117</t>
        </is>
      </c>
    </row>
    <row r="1461">
      <c r="A1461" s="2" t="inlineStr">
        <is>
          <t>Lillie Premium Tournament Collection Box</t>
        </is>
      </c>
      <c r="B1461" s="3">
        <f>IF(I1461&lt;&gt;"",I1461,IF(J1461&lt;&gt;"",J1461,IF(K1461&lt;&gt;"",K1461,L1461)))</f>
        <v>78.94</v>
      </c>
      <c r="C1461" s="3">
        <f>MEDIAN(I1461:L1461)</f>
        <v>78.94</v>
      </c>
      <c r="D1461" s="3">
        <f>ROUND(C1461*(1-Settings!$B$2),2)</f>
        <v>55.26</v>
      </c>
      <c r="E1461" s="3">
        <f>ROUND(C1461*(1-Settings!$B$3),2)</f>
        <v>55.26</v>
      </c>
      <c r="F1461" s="2" t="inlineStr">
        <is>
          <t>Pokemon</t>
        </is>
      </c>
      <c r="G1461" s="2" t="inlineStr">
        <is>
          <t>Coffret</t>
        </is>
      </c>
      <c r="H1461" s="2" t="inlineStr">
        <is>
          <t>Miscellaneous Cards &amp; Products</t>
        </is>
      </c>
      <c r="I1461" s="3" t="n"/>
      <c r="J1461" s="3" t="n">
        <v>78.94</v>
      </c>
      <c r="K1461" s="3" t="n">
        <v>86.23999999999999</v>
      </c>
      <c r="L1461" s="3" t="n">
        <v>75</v>
      </c>
      <c r="M1461" s="2" t="inlineStr">
        <is>
          <t>TCGplayer</t>
        </is>
      </c>
      <c r="O1461" s="4" t="inlineStr">
        <is>
          <t>https://www.tcgplayer.com/product/626605</t>
        </is>
      </c>
    </row>
    <row r="1462">
      <c r="A1462" s="2" t="inlineStr">
        <is>
          <t>Lucario VSTAR Premium Collection</t>
        </is>
      </c>
      <c r="B1462" s="3">
        <f>IF(I1462&lt;&gt;"",I1462,IF(J1462&lt;&gt;"",J1462,IF(K1462&lt;&gt;"",K1462,L1462)))</f>
        <v>103.49</v>
      </c>
      <c r="C1462" s="3">
        <f>MEDIAN(I1462:L1462)</f>
        <v>107.98</v>
      </c>
      <c r="D1462" s="3">
        <f>ROUND(C1462*(1-Settings!$B$2),2)</f>
        <v>75.59</v>
      </c>
      <c r="E1462" s="3">
        <f>ROUND(C1462*(1-Settings!$B$3),2)</f>
        <v>75.59</v>
      </c>
      <c r="F1462" s="2" t="inlineStr">
        <is>
          <t>Pokemon</t>
        </is>
      </c>
      <c r="G1462" s="2" t="inlineStr">
        <is>
          <t>Coffret</t>
        </is>
      </c>
      <c r="H1462" s="2" t="inlineStr">
        <is>
          <t>Miscellaneous Cards &amp; Products</t>
        </is>
      </c>
      <c r="I1462" s="3" t="n"/>
      <c r="J1462" s="3" t="n">
        <v>103.49</v>
      </c>
      <c r="K1462" s="3" t="n">
        <v>147</v>
      </c>
      <c r="L1462" s="3" t="n">
        <v>107.98</v>
      </c>
      <c r="M1462" s="2" t="inlineStr">
        <is>
          <t>TCGplayer</t>
        </is>
      </c>
      <c r="O1462" s="4" t="inlineStr">
        <is>
          <t>https://www.tcgplayer.com/product/262637</t>
        </is>
      </c>
    </row>
    <row r="1463">
      <c r="A1463" s="2" t="inlineStr">
        <is>
          <t>Lucario VSTAR Special Collection</t>
        </is>
      </c>
      <c r="B1463" s="3">
        <f>IF(I1463&lt;&gt;"",I1463,IF(J1463&lt;&gt;"",J1463,IF(K1463&lt;&gt;"",K1463,L1463)))</f>
        <v>84.27</v>
      </c>
      <c r="C1463" s="3">
        <f>MEDIAN(I1463:L1463)</f>
        <v>86.25</v>
      </c>
      <c r="D1463" s="3">
        <f>ROUND(C1463*(1-Settings!$B$2),2)</f>
        <v>60.38</v>
      </c>
      <c r="E1463" s="3">
        <f>ROUND(C1463*(1-Settings!$B$3),2)</f>
        <v>60.38</v>
      </c>
      <c r="F1463" s="2" t="inlineStr">
        <is>
          <t>Pokemon</t>
        </is>
      </c>
      <c r="G1463" s="2" t="inlineStr">
        <is>
          <t>Coffret</t>
        </is>
      </c>
      <c r="H1463" s="2" t="inlineStr">
        <is>
          <t>Miscellaneous Cards &amp; Products</t>
        </is>
      </c>
      <c r="I1463" s="3" t="n"/>
      <c r="J1463" s="3" t="n">
        <v>84.27</v>
      </c>
      <c r="K1463" s="3" t="n">
        <v>89.98999999999999</v>
      </c>
      <c r="L1463" s="3" t="n">
        <v>86.25</v>
      </c>
      <c r="M1463" s="2" t="inlineStr">
        <is>
          <t>TCGplayer</t>
        </is>
      </c>
      <c r="O1463" s="4" t="inlineStr">
        <is>
          <t>https://www.tcgplayer.com/product/497728</t>
        </is>
      </c>
    </row>
    <row r="1464">
      <c r="A1464" s="2" t="inlineStr">
        <is>
          <t>Lugia ex &amp; Latias ex Premium Collection</t>
        </is>
      </c>
      <c r="B1464" s="3">
        <f>IF(I1464&lt;&gt;"",I1464,IF(J1464&lt;&gt;"",J1464,IF(K1464&lt;&gt;"",K1464,L1464)))</f>
        <v>104.41</v>
      </c>
      <c r="C1464" s="3">
        <f>MEDIAN(I1464:L1464)</f>
        <v>104.41</v>
      </c>
      <c r="D1464" s="3">
        <f>ROUND(C1464*(1-Settings!$B$2),2)</f>
        <v>73.09</v>
      </c>
      <c r="E1464" s="3">
        <f>ROUND(C1464*(1-Settings!$B$3),2)</f>
        <v>73.09</v>
      </c>
      <c r="F1464" s="2" t="inlineStr">
        <is>
          <t>Pokemon</t>
        </is>
      </c>
      <c r="G1464" s="2" t="inlineStr">
        <is>
          <t>Coffret</t>
        </is>
      </c>
      <c r="H1464" s="2" t="inlineStr">
        <is>
          <t>Miscellaneous Cards &amp; Products</t>
        </is>
      </c>
      <c r="I1464" s="3" t="n"/>
      <c r="J1464" s="3" t="n">
        <v>104.41</v>
      </c>
      <c r="K1464" s="3" t="n">
        <v>111.91</v>
      </c>
      <c r="L1464" s="3" t="n">
        <v>85.98999999999999</v>
      </c>
      <c r="M1464" s="2" t="inlineStr">
        <is>
          <t>TCGplayer</t>
        </is>
      </c>
      <c r="O1464" s="4" t="inlineStr">
        <is>
          <t>https://www.tcgplayer.com/product/655739</t>
        </is>
      </c>
    </row>
    <row r="1465">
      <c r="A1465" s="2" t="inlineStr">
        <is>
          <t>Lumiose City Mini Tin [Emboar &amp; Inkay]</t>
        </is>
      </c>
      <c r="B1465" s="3">
        <f>IF(I1465&lt;&gt;"",I1465,IF(J1465&lt;&gt;"",J1465,IF(K1465&lt;&gt;"",K1465,L1465)))</f>
        <v>13.49</v>
      </c>
      <c r="C1465" s="3">
        <f>MEDIAN(I1465:L1465)</f>
        <v>13.49</v>
      </c>
      <c r="D1465" s="3">
        <f>ROUND(C1465*(1-Settings!$B$2),2)</f>
        <v>9.44</v>
      </c>
      <c r="E1465" s="3">
        <f>ROUND(C1465*(1-Settings!$B$3),2)</f>
        <v>9.44</v>
      </c>
      <c r="F1465" s="2" t="inlineStr">
        <is>
          <t>Pokemon</t>
        </is>
      </c>
      <c r="G1465" s="2" t="inlineStr">
        <is>
          <t>Coffret</t>
        </is>
      </c>
      <c r="H1465" s="2" t="inlineStr">
        <is>
          <t>Miscellaneous Cards &amp; Products</t>
        </is>
      </c>
      <c r="I1465" s="3" t="n"/>
      <c r="J1465" s="3" t="n">
        <v>13.49</v>
      </c>
      <c r="K1465" s="3" t="n">
        <v>16.25</v>
      </c>
      <c r="L1465" s="3" t="n">
        <v>3.99</v>
      </c>
      <c r="M1465" s="2" t="inlineStr">
        <is>
          <t>TCGplayer</t>
        </is>
      </c>
      <c r="O1465" s="4" t="inlineStr">
        <is>
          <t>https://www.tcgplayer.com/product/685577</t>
        </is>
      </c>
    </row>
    <row r="1466">
      <c r="A1466" s="2" t="inlineStr">
        <is>
          <t>Lumiose City Mini Tin [Feraligatr &amp; Budew]</t>
        </is>
      </c>
      <c r="B1466" s="3">
        <f>IF(I1466&lt;&gt;"",I1466,IF(J1466&lt;&gt;"",J1466,IF(K1466&lt;&gt;"",K1466,L1466)))</f>
        <v>16.78</v>
      </c>
      <c r="C1466" s="3">
        <f>MEDIAN(I1466:L1466)</f>
        <v>16.78</v>
      </c>
      <c r="D1466" s="3">
        <f>ROUND(C1466*(1-Settings!$B$2),2)</f>
        <v>11.75</v>
      </c>
      <c r="E1466" s="3">
        <f>ROUND(C1466*(1-Settings!$B$3),2)</f>
        <v>11.75</v>
      </c>
      <c r="F1466" s="2" t="inlineStr">
        <is>
          <t>Pokemon</t>
        </is>
      </c>
      <c r="G1466" s="2" t="inlineStr">
        <is>
          <t>Coffret</t>
        </is>
      </c>
      <c r="H1466" s="2" t="inlineStr">
        <is>
          <t>Miscellaneous Cards &amp; Products</t>
        </is>
      </c>
      <c r="I1466" s="3" t="n"/>
      <c r="J1466" s="3" t="n">
        <v>16.78</v>
      </c>
      <c r="K1466" s="3" t="n">
        <v>17.14</v>
      </c>
      <c r="L1466" s="3" t="n">
        <v>5.75</v>
      </c>
      <c r="M1466" s="2" t="inlineStr">
        <is>
          <t>TCGplayer</t>
        </is>
      </c>
      <c r="O1466" s="4" t="inlineStr">
        <is>
          <t>https://www.tcgplayer.com/product/685578</t>
        </is>
      </c>
    </row>
    <row r="1467">
      <c r="A1467" s="2" t="inlineStr">
        <is>
          <t>Lumiose City Mini Tin [Gallade &amp; Goomy]</t>
        </is>
      </c>
      <c r="B1467" s="3">
        <f>IF(I1467&lt;&gt;"",I1467,IF(J1467&lt;&gt;"",J1467,IF(K1467&lt;&gt;"",K1467,L1467)))</f>
        <v>14.2</v>
      </c>
      <c r="C1467" s="3">
        <f>MEDIAN(I1467:L1467)</f>
        <v>14.2</v>
      </c>
      <c r="D1467" s="3">
        <f>ROUND(C1467*(1-Settings!$B$2),2)</f>
        <v>9.94</v>
      </c>
      <c r="E1467" s="3">
        <f>ROUND(C1467*(1-Settings!$B$3),2)</f>
        <v>9.94</v>
      </c>
      <c r="F1467" s="2" t="inlineStr">
        <is>
          <t>Pokemon</t>
        </is>
      </c>
      <c r="G1467" s="2" t="inlineStr">
        <is>
          <t>Coffret</t>
        </is>
      </c>
      <c r="H1467" s="2" t="inlineStr">
        <is>
          <t>Miscellaneous Cards &amp; Products</t>
        </is>
      </c>
      <c r="I1467" s="3" t="n"/>
      <c r="J1467" s="3" t="n">
        <v>14.2</v>
      </c>
      <c r="K1467" s="3" t="n">
        <v>16.94</v>
      </c>
      <c r="L1467" s="3" t="n">
        <v>3.99</v>
      </c>
      <c r="M1467" s="2" t="inlineStr">
        <is>
          <t>TCGplayer</t>
        </is>
      </c>
      <c r="O1467" s="4" t="inlineStr">
        <is>
          <t>https://www.tcgplayer.com/product/685579</t>
        </is>
      </c>
    </row>
    <row r="1468">
      <c r="A1468" s="2" t="inlineStr">
        <is>
          <t>Lumiose City Mini Tin [Meganium &amp; Meowstic]</t>
        </is>
      </c>
      <c r="B1468" s="3">
        <f>IF(I1468&lt;&gt;"",I1468,IF(J1468&lt;&gt;"",J1468,IF(K1468&lt;&gt;"",K1468,L1468)))</f>
        <v>15.13</v>
      </c>
      <c r="C1468" s="3">
        <f>MEDIAN(I1468:L1468)</f>
        <v>15.13</v>
      </c>
      <c r="D1468" s="3">
        <f>ROUND(C1468*(1-Settings!$B$2),2)</f>
        <v>10.59</v>
      </c>
      <c r="E1468" s="3">
        <f>ROUND(C1468*(1-Settings!$B$3),2)</f>
        <v>10.59</v>
      </c>
      <c r="F1468" s="2" t="inlineStr">
        <is>
          <t>Pokemon</t>
        </is>
      </c>
      <c r="G1468" s="2" t="inlineStr">
        <is>
          <t>Coffret</t>
        </is>
      </c>
      <c r="H1468" s="2" t="inlineStr">
        <is>
          <t>Miscellaneous Cards &amp; Products</t>
        </is>
      </c>
      <c r="I1468" s="3" t="n"/>
      <c r="J1468" s="3" t="n">
        <v>15.13</v>
      </c>
      <c r="K1468" s="3" t="n">
        <v>17</v>
      </c>
      <c r="L1468" s="3" t="n">
        <v>8.470000000000001</v>
      </c>
      <c r="M1468" s="2" t="inlineStr">
        <is>
          <t>TCGplayer</t>
        </is>
      </c>
      <c r="O1468" s="4" t="inlineStr">
        <is>
          <t>https://www.tcgplayer.com/product/685576</t>
        </is>
      </c>
    </row>
    <row r="1469">
      <c r="A1469" s="2" t="inlineStr">
        <is>
          <t>Lumiose City Mini Tin [Salamence &amp; Litleo]</t>
        </is>
      </c>
      <c r="B1469" s="3">
        <f>IF(I1469&lt;&gt;"",I1469,IF(J1469&lt;&gt;"",J1469,IF(K1469&lt;&gt;"",K1469,L1469)))</f>
        <v>14.65</v>
      </c>
      <c r="C1469" s="3">
        <f>MEDIAN(I1469:L1469)</f>
        <v>14.65</v>
      </c>
      <c r="D1469" s="3">
        <f>ROUND(C1469*(1-Settings!$B$2),2)</f>
        <v>10.26</v>
      </c>
      <c r="E1469" s="3">
        <f>ROUND(C1469*(1-Settings!$B$3),2)</f>
        <v>10.26</v>
      </c>
      <c r="F1469" s="2" t="inlineStr">
        <is>
          <t>Pokemon</t>
        </is>
      </c>
      <c r="G1469" s="2" t="inlineStr">
        <is>
          <t>Coffret</t>
        </is>
      </c>
      <c r="H1469" s="2" t="inlineStr">
        <is>
          <t>Miscellaneous Cards &amp; Products</t>
        </is>
      </c>
      <c r="I1469" s="3" t="n"/>
      <c r="J1469" s="3" t="n">
        <v>14.65</v>
      </c>
      <c r="K1469" s="3" t="n">
        <v>16.22</v>
      </c>
      <c r="L1469" s="3" t="n">
        <v>9.5</v>
      </c>
      <c r="M1469" s="2" t="inlineStr">
        <is>
          <t>TCGplayer</t>
        </is>
      </c>
      <c r="O1469" s="4" t="inlineStr">
        <is>
          <t>https://www.tcgplayer.com/product/685575</t>
        </is>
      </c>
    </row>
    <row r="1470">
      <c r="A1470" s="2" t="inlineStr">
        <is>
          <t>Lumiose City Mini Tin [Set of 5]</t>
        </is>
      </c>
      <c r="B1470" s="3">
        <f>IF(I1470&lt;&gt;"",I1470,IF(J1470&lt;&gt;"",J1470,IF(K1470&lt;&gt;"",K1470,L1470)))</f>
        <v>62.99</v>
      </c>
      <c r="C1470" s="3">
        <f>MEDIAN(I1470:L1470)</f>
        <v>62.99</v>
      </c>
      <c r="D1470" s="3">
        <f>ROUND(C1470*(1-Settings!$B$2),2)</f>
        <v>44.09</v>
      </c>
      <c r="E1470" s="3">
        <f>ROUND(C1470*(1-Settings!$B$3),2)</f>
        <v>44.09</v>
      </c>
      <c r="F1470" s="2" t="inlineStr">
        <is>
          <t>Pokemon</t>
        </is>
      </c>
      <c r="G1470" s="2" t="inlineStr">
        <is>
          <t>Coffret</t>
        </is>
      </c>
      <c r="H1470" s="2" t="inlineStr">
        <is>
          <t>Miscellaneous Cards &amp; Products</t>
        </is>
      </c>
      <c r="I1470" s="3" t="n"/>
      <c r="J1470" s="3" t="n">
        <v>62.99</v>
      </c>
      <c r="K1470" s="3" t="n">
        <v>70</v>
      </c>
      <c r="L1470" s="3" t="n">
        <v>59.48</v>
      </c>
      <c r="M1470" s="2" t="inlineStr">
        <is>
          <t>TCGplayer</t>
        </is>
      </c>
      <c r="O1470" s="4" t="inlineStr">
        <is>
          <t>https://www.tcgplayer.com/product/685580</t>
        </is>
      </c>
    </row>
    <row r="1471">
      <c r="A1471" s="2" t="inlineStr">
        <is>
          <t>Mabosstiff ex Box</t>
        </is>
      </c>
      <c r="B1471" s="3">
        <f>IF(I1471&lt;&gt;"",I1471,IF(J1471&lt;&gt;"",J1471,IF(K1471&lt;&gt;"",K1471,L1471)))</f>
        <v>38.41</v>
      </c>
      <c r="C1471" s="3">
        <f>MEDIAN(I1471:L1471)</f>
        <v>38.41</v>
      </c>
      <c r="D1471" s="3">
        <f>ROUND(C1471*(1-Settings!$B$2),2)</f>
        <v>26.89</v>
      </c>
      <c r="E1471" s="3">
        <f>ROUND(C1471*(1-Settings!$B$3),2)</f>
        <v>26.89</v>
      </c>
      <c r="F1471" s="2" t="inlineStr">
        <is>
          <t>Pokemon</t>
        </is>
      </c>
      <c r="G1471" s="2" t="inlineStr">
        <is>
          <t>Coffret</t>
        </is>
      </c>
      <c r="H1471" s="2" t="inlineStr">
        <is>
          <t>Miscellaneous Cards &amp; Products</t>
        </is>
      </c>
      <c r="I1471" s="3" t="n"/>
      <c r="J1471" s="3" t="n">
        <v>38.41</v>
      </c>
      <c r="K1471" s="3" t="n">
        <v>40.62</v>
      </c>
      <c r="L1471" s="3" t="n">
        <v>5.99</v>
      </c>
      <c r="M1471" s="2" t="inlineStr">
        <is>
          <t>TCGplayer</t>
        </is>
      </c>
      <c r="O1471" s="4" t="inlineStr">
        <is>
          <t>https://www.tcgplayer.com/product/531572</t>
        </is>
      </c>
    </row>
    <row r="1472">
      <c r="A1472" s="2" t="inlineStr">
        <is>
          <t>Marshadow Box (International Version)</t>
        </is>
      </c>
      <c r="B1472" s="3">
        <f>IF(I1472&lt;&gt;"",I1472,IF(J1472&lt;&gt;"",J1472,IF(K1472&lt;&gt;"",K1472,L1472)))</f>
        <v>97.49</v>
      </c>
      <c r="C1472" s="3">
        <f>MEDIAN(I1472:L1472)</f>
        <v>220.0</v>
      </c>
      <c r="D1472" s="3">
        <f>ROUND(C1472*(1-Settings!$B$2),2)</f>
        <v>154.0</v>
      </c>
      <c r="E1472" s="3">
        <f>ROUND(C1472*(1-Settings!$B$3),2)</f>
        <v>154.0</v>
      </c>
      <c r="F1472" s="2" t="inlineStr">
        <is>
          <t>Pokemon</t>
        </is>
      </c>
      <c r="G1472" s="2" t="inlineStr">
        <is>
          <t>Coffret</t>
        </is>
      </c>
      <c r="H1472" s="2" t="inlineStr">
        <is>
          <t>Miscellaneous Cards &amp; Products</t>
        </is>
      </c>
      <c r="I1472" s="3" t="n"/>
      <c r="J1472" s="3" t="n">
        <v>97.48999999999999</v>
      </c>
      <c r="K1472" s="3" t="n">
        <v>220</v>
      </c>
      <c r="L1472" s="3" t="n">
        <v>220</v>
      </c>
      <c r="M1472" s="2" t="inlineStr">
        <is>
          <t>TCGplayer</t>
        </is>
      </c>
      <c r="O1472" s="4" t="inlineStr">
        <is>
          <t>https://www.tcgplayer.com/product/236549</t>
        </is>
      </c>
    </row>
    <row r="1473">
      <c r="A1473" s="2" t="inlineStr">
        <is>
          <t>Masks of Ogerpon Premium Collection</t>
        </is>
      </c>
      <c r="B1473" s="3">
        <f>IF(I1473&lt;&gt;"",I1473,IF(J1473&lt;&gt;"",J1473,IF(K1473&lt;&gt;"",K1473,L1473)))</f>
        <v>89.57</v>
      </c>
      <c r="C1473" s="3">
        <f>MEDIAN(I1473:L1473)</f>
        <v>89.57</v>
      </c>
      <c r="D1473" s="3">
        <f>ROUND(C1473*(1-Settings!$B$2),2)</f>
        <v>62.7</v>
      </c>
      <c r="E1473" s="3">
        <f>ROUND(C1473*(1-Settings!$B$3),2)</f>
        <v>62.7</v>
      </c>
      <c r="F1473" s="2" t="inlineStr">
        <is>
          <t>Pokemon</t>
        </is>
      </c>
      <c r="G1473" s="2" t="inlineStr">
        <is>
          <t>Coffret</t>
        </is>
      </c>
      <c r="H1473" s="2" t="inlineStr">
        <is>
          <t>Miscellaneous Cards &amp; Products</t>
        </is>
      </c>
      <c r="I1473" s="3" t="n"/>
      <c r="J1473" s="3" t="n">
        <v>89.56999999999999</v>
      </c>
      <c r="K1473" s="3" t="n">
        <v>99.81</v>
      </c>
      <c r="L1473" s="3" t="n">
        <v>87.12</v>
      </c>
      <c r="M1473" s="2" t="inlineStr">
        <is>
          <t>TCGplayer</t>
        </is>
      </c>
      <c r="O1473" s="4" t="inlineStr">
        <is>
          <t>https://www.tcgplayer.com/product/629647</t>
        </is>
      </c>
    </row>
    <row r="1474">
      <c r="A1474" s="2" t="inlineStr">
        <is>
          <t>Meddling Sparks Premium Collection</t>
        </is>
      </c>
      <c r="B1474" s="3">
        <f>IF(I1474&lt;&gt;"",I1474,IF(J1474&lt;&gt;"",J1474,IF(K1474&lt;&gt;"",K1474,L1474)))</f>
        <v>142.0</v>
      </c>
      <c r="C1474" s="3">
        <f>MEDIAN(I1474:L1474)</f>
        <v>250.0</v>
      </c>
      <c r="D1474" s="3">
        <f>ROUND(C1474*(1-Settings!$B$2),2)</f>
        <v>175.0</v>
      </c>
      <c r="E1474" s="3">
        <f>ROUND(C1474*(1-Settings!$B$3),2)</f>
        <v>175.0</v>
      </c>
      <c r="F1474" s="2" t="inlineStr">
        <is>
          <t>Pokemon</t>
        </is>
      </c>
      <c r="G1474" s="2" t="inlineStr">
        <is>
          <t>Coffret</t>
        </is>
      </c>
      <c r="H1474" s="2" t="inlineStr">
        <is>
          <t>Miscellaneous Cards &amp; Products</t>
        </is>
      </c>
      <c r="I1474" s="3" t="n"/>
      <c r="J1474" s="3" t="n">
        <v>142</v>
      </c>
      <c r="K1474" s="3" t="n">
        <v>255</v>
      </c>
      <c r="L1474" s="3" t="n">
        <v>250</v>
      </c>
      <c r="M1474" s="2" t="inlineStr">
        <is>
          <t>TCGplayer</t>
        </is>
      </c>
      <c r="O1474" s="4" t="inlineStr">
        <is>
          <t>https://www.tcgplayer.com/product/606605</t>
        </is>
      </c>
    </row>
    <row r="1475">
      <c r="A1475" s="2" t="inlineStr">
        <is>
          <t>Mega Charizard Tin (Mega Charizard X)</t>
        </is>
      </c>
      <c r="B1475" s="3">
        <f>IF(I1475&lt;&gt;"",I1475,IF(J1475&lt;&gt;"",J1475,IF(K1475&lt;&gt;"",K1475,L1475)))</f>
        <v>45.59</v>
      </c>
      <c r="C1475" s="3">
        <f>MEDIAN(I1475:L1475)</f>
        <v>45.59</v>
      </c>
      <c r="D1475" s="3">
        <f>ROUND(C1475*(1-Settings!$B$2),2)</f>
        <v>31.91</v>
      </c>
      <c r="E1475" s="3">
        <f>ROUND(C1475*(1-Settings!$B$3),2)</f>
        <v>31.91</v>
      </c>
      <c r="F1475" s="2" t="inlineStr">
        <is>
          <t>Pokemon</t>
        </is>
      </c>
      <c r="G1475" s="2" t="inlineStr">
        <is>
          <t>Coffret</t>
        </is>
      </c>
      <c r="H1475" s="2" t="inlineStr">
        <is>
          <t>Miscellaneous Cards &amp; Products</t>
        </is>
      </c>
      <c r="I1475" s="3" t="n"/>
      <c r="J1475" s="3" t="n">
        <v>45.59</v>
      </c>
      <c r="K1475" s="3" t="n">
        <v>50</v>
      </c>
      <c r="L1475" s="3" t="n">
        <v>10</v>
      </c>
      <c r="M1475" s="2" t="inlineStr">
        <is>
          <t>TCGplayer</t>
        </is>
      </c>
      <c r="O1475" s="4" t="inlineStr">
        <is>
          <t>https://www.tcgplayer.com/product/671250</t>
        </is>
      </c>
    </row>
    <row r="1476">
      <c r="A1476" s="2" t="inlineStr">
        <is>
          <t>Mega Charizard Tin (Mega Charizard Y)</t>
        </is>
      </c>
      <c r="B1476" s="3">
        <f>IF(I1476&lt;&gt;"",I1476,IF(J1476&lt;&gt;"",J1476,IF(K1476&lt;&gt;"",K1476,L1476)))</f>
        <v>43.4</v>
      </c>
      <c r="C1476" s="3">
        <f>MEDIAN(I1476:L1476)</f>
        <v>43.4</v>
      </c>
      <c r="D1476" s="3">
        <f>ROUND(C1476*(1-Settings!$B$2),2)</f>
        <v>30.38</v>
      </c>
      <c r="E1476" s="3">
        <f>ROUND(C1476*(1-Settings!$B$3),2)</f>
        <v>30.38</v>
      </c>
      <c r="F1476" s="2" t="inlineStr">
        <is>
          <t>Pokemon</t>
        </is>
      </c>
      <c r="G1476" s="2" t="inlineStr">
        <is>
          <t>Coffret</t>
        </is>
      </c>
      <c r="H1476" s="2" t="inlineStr">
        <is>
          <t>Miscellaneous Cards &amp; Products</t>
        </is>
      </c>
      <c r="I1476" s="3" t="n"/>
      <c r="J1476" s="3" t="n">
        <v>43.4</v>
      </c>
      <c r="K1476" s="3" t="n">
        <v>47.99</v>
      </c>
      <c r="L1476" s="3" t="n">
        <v>35</v>
      </c>
      <c r="M1476" s="2" t="inlineStr">
        <is>
          <t>TCGplayer</t>
        </is>
      </c>
      <c r="O1476" s="4" t="inlineStr">
        <is>
          <t>https://www.tcgplayer.com/product/671249</t>
        </is>
      </c>
    </row>
    <row r="1477">
      <c r="A1477" s="2" t="inlineStr">
        <is>
          <t>Mega Charizard X ex Ultra Premium Collection</t>
        </is>
      </c>
      <c r="B1477" s="3">
        <f>IF(I1477&lt;&gt;"",I1477,IF(J1477&lt;&gt;"",J1477,IF(K1477&lt;&gt;"",K1477,L1477)))</f>
        <v>223.55</v>
      </c>
      <c r="C1477" s="3">
        <f>MEDIAN(I1477:L1477)</f>
        <v>223.55</v>
      </c>
      <c r="D1477" s="3">
        <f>ROUND(C1477*(1-Settings!$B$2),2)</f>
        <v>156.49</v>
      </c>
      <c r="E1477" s="3">
        <f>ROUND(C1477*(1-Settings!$B$3),2)</f>
        <v>156.49</v>
      </c>
      <c r="F1477" s="2" t="inlineStr">
        <is>
          <t>Pokemon</t>
        </is>
      </c>
      <c r="G1477" s="2" t="inlineStr">
        <is>
          <t>Coffret</t>
        </is>
      </c>
      <c r="H1477" s="2" t="inlineStr">
        <is>
          <t>Miscellaneous Cards &amp; Products</t>
        </is>
      </c>
      <c r="I1477" s="3" t="n"/>
      <c r="J1477" s="3" t="n">
        <v>223.55</v>
      </c>
      <c r="K1477" s="3" t="n">
        <v>289.99</v>
      </c>
      <c r="L1477" s="3" t="n">
        <v>2.99</v>
      </c>
      <c r="M1477" s="2" t="inlineStr">
        <is>
          <t>TCGplayer</t>
        </is>
      </c>
      <c r="O1477" s="4" t="inlineStr">
        <is>
          <t>https://www.tcgplayer.com/product/654213</t>
        </is>
      </c>
    </row>
    <row r="1478">
      <c r="A1478" s="2" t="inlineStr">
        <is>
          <t>Mega Forces Tin [Mega Darkrai ex]</t>
        </is>
      </c>
      <c r="B1478" s="3">
        <f>IF(I1478&lt;&gt;"",I1478,IF(J1478&lt;&gt;"",J1478,IF(K1478&lt;&gt;"",K1478,L1478)))</f>
        <v>52.69</v>
      </c>
      <c r="C1478" s="3">
        <f>MEDIAN(I1478:L1478)</f>
        <v>52.69</v>
      </c>
      <c r="D1478" s="3">
        <f>ROUND(C1478*(1-Settings!$B$2),2)</f>
        <v>36.88</v>
      </c>
      <c r="E1478" s="3">
        <f>ROUND(C1478*(1-Settings!$B$3),2)</f>
        <v>36.88</v>
      </c>
      <c r="F1478" s="2" t="inlineStr">
        <is>
          <t>Pokemon</t>
        </is>
      </c>
      <c r="G1478" s="2" t="inlineStr">
        <is>
          <t>Coffret</t>
        </is>
      </c>
      <c r="H1478" s="2" t="inlineStr">
        <is>
          <t>Miscellaneous Cards &amp; Products</t>
        </is>
      </c>
      <c r="I1478" s="3" t="n"/>
      <c r="J1478" s="3" t="n">
        <v>52.69</v>
      </c>
      <c r="K1478" s="3" t="n"/>
      <c r="L1478" s="3" t="n"/>
      <c r="M1478" s="2" t="inlineStr">
        <is>
          <t>TCGplayer</t>
        </is>
      </c>
      <c r="O1478" s="4" t="inlineStr">
        <is>
          <t>https://www.tcgplayer.com/product/702506</t>
        </is>
      </c>
    </row>
    <row r="1479">
      <c r="A1479" s="2" t="inlineStr">
        <is>
          <t>Mega Forces Tin [Mega Dragonite ex]</t>
        </is>
      </c>
      <c r="B1479" s="3">
        <f>IF(I1479&lt;&gt;"",I1479,IF(J1479&lt;&gt;"",J1479,IF(K1479&lt;&gt;"",K1479,L1479)))</f>
        <v>55.29</v>
      </c>
      <c r="C1479" s="3">
        <f>MEDIAN(I1479:L1479)</f>
        <v>55.29</v>
      </c>
      <c r="D1479" s="3">
        <f>ROUND(C1479*(1-Settings!$B$2),2)</f>
        <v>38.7</v>
      </c>
      <c r="E1479" s="3">
        <f>ROUND(C1479*(1-Settings!$B$3),2)</f>
        <v>38.7</v>
      </c>
      <c r="F1479" s="2" t="inlineStr">
        <is>
          <t>Pokemon</t>
        </is>
      </c>
      <c r="G1479" s="2" t="inlineStr">
        <is>
          <t>Coffret</t>
        </is>
      </c>
      <c r="H1479" s="2" t="inlineStr">
        <is>
          <t>Miscellaneous Cards &amp; Products</t>
        </is>
      </c>
      <c r="I1479" s="3" t="n"/>
      <c r="J1479" s="3" t="n">
        <v>55.29</v>
      </c>
      <c r="K1479" s="3" t="n"/>
      <c r="L1479" s="3" t="n"/>
      <c r="M1479" s="2" t="inlineStr">
        <is>
          <t>TCGplayer</t>
        </is>
      </c>
      <c r="O1479" s="4" t="inlineStr">
        <is>
          <t>https://www.tcgplayer.com/product/702505</t>
        </is>
      </c>
    </row>
    <row r="1480">
      <c r="A1480" s="2" t="inlineStr">
        <is>
          <t>Mega Forces Tin [Mega Zeraora ex]</t>
        </is>
      </c>
      <c r="B1480" s="3">
        <f>IF(I1480&lt;&gt;"",I1480,IF(J1480&lt;&gt;"",J1480,IF(K1480&lt;&gt;"",K1480,L1480)))</f>
        <v>52.27</v>
      </c>
      <c r="C1480" s="3">
        <f>MEDIAN(I1480:L1480)</f>
        <v>52.45</v>
      </c>
      <c r="D1480" s="3">
        <f>ROUND(C1480*(1-Settings!$B$2),2)</f>
        <v>36.72</v>
      </c>
      <c r="E1480" s="3">
        <f>ROUND(C1480*(1-Settings!$B$3),2)</f>
        <v>36.72</v>
      </c>
      <c r="F1480" s="2" t="inlineStr">
        <is>
          <t>Pokemon</t>
        </is>
      </c>
      <c r="G1480" s="2" t="inlineStr">
        <is>
          <t>Coffret</t>
        </is>
      </c>
      <c r="H1480" s="2" t="inlineStr">
        <is>
          <t>Miscellaneous Cards &amp; Products</t>
        </is>
      </c>
      <c r="I1480" s="3" t="n"/>
      <c r="J1480" s="3" t="n">
        <v>52.27</v>
      </c>
      <c r="K1480" s="3" t="n">
        <v>52.67</v>
      </c>
      <c r="L1480" s="3" t="n">
        <v>52.45</v>
      </c>
      <c r="M1480" s="2" t="inlineStr">
        <is>
          <t>TCGplayer</t>
        </is>
      </c>
      <c r="O1480" s="4" t="inlineStr">
        <is>
          <t>https://www.tcgplayer.com/product/702507</t>
        </is>
      </c>
    </row>
    <row r="1481">
      <c r="A1481" s="2" t="inlineStr">
        <is>
          <t>Mega Forces Tin [Set of 3]</t>
        </is>
      </c>
      <c r="B1481" s="3">
        <f>IF(I1481&lt;&gt;"",I1481,IF(J1481&lt;&gt;"",J1481,IF(K1481&lt;&gt;"",K1481,L1481)))</f>
        <v>126.45</v>
      </c>
      <c r="C1481" s="3">
        <f>MEDIAN(I1481:L1481)</f>
        <v>169.89</v>
      </c>
      <c r="D1481" s="3">
        <f>ROUND(C1481*(1-Settings!$B$2),2)</f>
        <v>118.92</v>
      </c>
      <c r="E1481" s="3">
        <f>ROUND(C1481*(1-Settings!$B$3),2)</f>
        <v>118.92</v>
      </c>
      <c r="F1481" s="2" t="inlineStr">
        <is>
          <t>Pokemon</t>
        </is>
      </c>
      <c r="G1481" s="2" t="inlineStr">
        <is>
          <t>Coffret</t>
        </is>
      </c>
      <c r="H1481" s="2" t="inlineStr">
        <is>
          <t>Miscellaneous Cards &amp; Products</t>
        </is>
      </c>
      <c r="I1481" s="3" t="n"/>
      <c r="J1481" s="3" t="n">
        <v>126.45</v>
      </c>
      <c r="K1481" s="3" t="n">
        <v>169.89</v>
      </c>
      <c r="L1481" s="3" t="n">
        <v>169.89</v>
      </c>
      <c r="M1481" s="2" t="inlineStr">
        <is>
          <t>TCGplayer</t>
        </is>
      </c>
      <c r="O1481" s="4" t="inlineStr">
        <is>
          <t>https://www.tcgplayer.com/product/702508</t>
        </is>
      </c>
    </row>
    <row r="1482">
      <c r="A1482" s="2" t="inlineStr">
        <is>
          <t>Mega Greninja ex Premium Collection</t>
        </is>
      </c>
      <c r="B1482" s="3">
        <f>IF(I1482&lt;&gt;"",I1482,IF(J1482&lt;&gt;"",J1482,IF(K1482&lt;&gt;"",K1482,L1482)))</f>
        <v>48.1</v>
      </c>
      <c r="C1482" s="3">
        <f>MEDIAN(I1482:L1482)</f>
        <v>48.1</v>
      </c>
      <c r="D1482" s="3">
        <f>ROUND(C1482*(1-Settings!$B$2),2)</f>
        <v>33.67</v>
      </c>
      <c r="E1482" s="3">
        <f>ROUND(C1482*(1-Settings!$B$3),2)</f>
        <v>33.67</v>
      </c>
      <c r="F1482" s="2" t="inlineStr">
        <is>
          <t>Pokemon</t>
        </is>
      </c>
      <c r="G1482" s="2" t="inlineStr">
        <is>
          <t>Coffret</t>
        </is>
      </c>
      <c r="H1482" s="2" t="inlineStr">
        <is>
          <t>Miscellaneous Cards &amp; Products</t>
        </is>
      </c>
      <c r="I1482" s="3" t="n"/>
      <c r="J1482" s="3" t="n">
        <v>48.1</v>
      </c>
      <c r="K1482" s="3" t="n">
        <v>54.99</v>
      </c>
      <c r="L1482" s="3" t="n">
        <v>10</v>
      </c>
      <c r="M1482" s="2" t="inlineStr">
        <is>
          <t>TCGplayer</t>
        </is>
      </c>
      <c r="O1482" s="4" t="inlineStr">
        <is>
          <t>https://www.tcgplayer.com/product/690660</t>
        </is>
      </c>
    </row>
    <row r="1483">
      <c r="A1483" s="2" t="inlineStr">
        <is>
          <t>Mega Latias ex Box</t>
        </is>
      </c>
      <c r="B1483" s="3">
        <f>IF(I1483&lt;&gt;"",I1483,IF(J1483&lt;&gt;"",J1483,IF(K1483&lt;&gt;"",K1483,L1483)))</f>
        <v>41.92</v>
      </c>
      <c r="C1483" s="3">
        <f>MEDIAN(I1483:L1483)</f>
        <v>41.92</v>
      </c>
      <c r="D1483" s="3">
        <f>ROUND(C1483*(1-Settings!$B$2),2)</f>
        <v>29.34</v>
      </c>
      <c r="E1483" s="3">
        <f>ROUND(C1483*(1-Settings!$B$3),2)</f>
        <v>29.34</v>
      </c>
      <c r="F1483" s="2" t="inlineStr">
        <is>
          <t>Pokemon</t>
        </is>
      </c>
      <c r="G1483" s="2" t="inlineStr">
        <is>
          <t>Coffret</t>
        </is>
      </c>
      <c r="H1483" s="2" t="inlineStr">
        <is>
          <t>Miscellaneous Cards &amp; Products</t>
        </is>
      </c>
      <c r="I1483" s="3" t="n"/>
      <c r="J1483" s="3" t="n">
        <v>41.92</v>
      </c>
      <c r="K1483" s="3" t="n">
        <v>47.99</v>
      </c>
      <c r="L1483" s="3" t="n">
        <v>38</v>
      </c>
      <c r="M1483" s="2" t="inlineStr">
        <is>
          <t>TCGplayer</t>
        </is>
      </c>
      <c r="O1483" s="4" t="inlineStr">
        <is>
          <t>https://www.tcgplayer.com/product/654188</t>
        </is>
      </c>
    </row>
    <row r="1484">
      <c r="A1484" s="2" t="inlineStr">
        <is>
          <t>Mega Lucario ex Premium Figure Collection</t>
        </is>
      </c>
      <c r="B1484" s="3">
        <f>IF(I1484&lt;&gt;"",I1484,IF(J1484&lt;&gt;"",J1484,IF(K1484&lt;&gt;"",K1484,L1484)))</f>
        <v>54.83</v>
      </c>
      <c r="C1484" s="3">
        <f>MEDIAN(I1484:L1484)</f>
        <v>54.83</v>
      </c>
      <c r="D1484" s="3">
        <f>ROUND(C1484*(1-Settings!$B$2),2)</f>
        <v>38.38</v>
      </c>
      <c r="E1484" s="3">
        <f>ROUND(C1484*(1-Settings!$B$3),2)</f>
        <v>38.38</v>
      </c>
      <c r="F1484" s="2" t="inlineStr">
        <is>
          <t>Pokemon</t>
        </is>
      </c>
      <c r="G1484" s="2" t="inlineStr">
        <is>
          <t>Coffret</t>
        </is>
      </c>
      <c r="H1484" s="2" t="inlineStr">
        <is>
          <t>Miscellaneous Cards &amp; Products</t>
        </is>
      </c>
      <c r="I1484" s="3" t="n"/>
      <c r="J1484" s="3" t="n">
        <v>54.83</v>
      </c>
      <c r="K1484" s="3" t="n">
        <v>62.99</v>
      </c>
      <c r="L1484" s="3" t="n">
        <v>5</v>
      </c>
      <c r="M1484" s="2" t="inlineStr">
        <is>
          <t>TCGplayer</t>
        </is>
      </c>
      <c r="O1484" s="4" t="inlineStr">
        <is>
          <t>https://www.tcgplayer.com/product/656487</t>
        </is>
      </c>
    </row>
    <row r="1485">
      <c r="A1485" s="2" t="inlineStr">
        <is>
          <t>Mega Moonlit Tin [Mega Clefable ex]</t>
        </is>
      </c>
      <c r="B1485" s="3">
        <f>IF(I1485&lt;&gt;"",I1485,IF(J1485&lt;&gt;"",J1485,IF(K1485&lt;&gt;"",K1485,L1485)))</f>
        <v>26.05</v>
      </c>
      <c r="C1485" s="3">
        <f>MEDIAN(I1485:L1485)</f>
        <v>26.05</v>
      </c>
      <c r="D1485" s="3">
        <f>ROUND(C1485*(1-Settings!$B$2),2)</f>
        <v>18.24</v>
      </c>
      <c r="E1485" s="3">
        <f>ROUND(C1485*(1-Settings!$B$3),2)</f>
        <v>18.24</v>
      </c>
      <c r="F1485" s="2" t="inlineStr">
        <is>
          <t>Pokemon</t>
        </is>
      </c>
      <c r="G1485" s="2" t="inlineStr">
        <is>
          <t>Coffret</t>
        </is>
      </c>
      <c r="H1485" s="2" t="inlineStr">
        <is>
          <t>Miscellaneous Cards &amp; Products</t>
        </is>
      </c>
      <c r="I1485" s="3" t="n"/>
      <c r="J1485" s="3" t="n">
        <v>26.05</v>
      </c>
      <c r="K1485" s="3" t="n">
        <v>32.99</v>
      </c>
      <c r="L1485" s="3" t="n">
        <v>3.99</v>
      </c>
      <c r="M1485" s="2" t="inlineStr">
        <is>
          <t>TCGplayer</t>
        </is>
      </c>
      <c r="O1485" s="4" t="inlineStr">
        <is>
          <t>https://www.tcgplayer.com/product/686438</t>
        </is>
      </c>
    </row>
    <row r="1486">
      <c r="A1486" s="2" t="inlineStr">
        <is>
          <t>Mega Moonlit Tin [Mega Gengar ex]</t>
        </is>
      </c>
      <c r="B1486" s="3">
        <f>IF(I1486&lt;&gt;"",I1486,IF(J1486&lt;&gt;"",J1486,IF(K1486&lt;&gt;"",K1486,L1486)))</f>
        <v>32.31</v>
      </c>
      <c r="C1486" s="3">
        <f>MEDIAN(I1486:L1486)</f>
        <v>32.31</v>
      </c>
      <c r="D1486" s="3">
        <f>ROUND(C1486*(1-Settings!$B$2),2)</f>
        <v>22.62</v>
      </c>
      <c r="E1486" s="3">
        <f>ROUND(C1486*(1-Settings!$B$3),2)</f>
        <v>22.62</v>
      </c>
      <c r="F1486" s="2" t="inlineStr">
        <is>
          <t>Pokemon</t>
        </is>
      </c>
      <c r="G1486" s="2" t="inlineStr">
        <is>
          <t>Coffret</t>
        </is>
      </c>
      <c r="H1486" s="2" t="inlineStr">
        <is>
          <t>Miscellaneous Cards &amp; Products</t>
        </is>
      </c>
      <c r="I1486" s="3" t="n"/>
      <c r="J1486" s="3" t="n">
        <v>32.31</v>
      </c>
      <c r="K1486" s="3" t="n">
        <v>38.56</v>
      </c>
      <c r="L1486" s="3" t="n">
        <v>3.99</v>
      </c>
      <c r="M1486" s="2" t="inlineStr">
        <is>
          <t>TCGplayer</t>
        </is>
      </c>
      <c r="O1486" s="4" t="inlineStr">
        <is>
          <t>https://www.tcgplayer.com/product/686437</t>
        </is>
      </c>
    </row>
    <row r="1487">
      <c r="A1487" s="2" t="inlineStr">
        <is>
          <t>Mega Venusaur ex Premium Collection</t>
        </is>
      </c>
      <c r="B1487" s="3">
        <f>IF(I1487&lt;&gt;"",I1487,IF(J1487&lt;&gt;"",J1487,IF(K1487&lt;&gt;"",K1487,L1487)))</f>
        <v>70.17</v>
      </c>
      <c r="C1487" s="3">
        <f>MEDIAN(I1487:L1487)</f>
        <v>70.17</v>
      </c>
      <c r="D1487" s="3">
        <f>ROUND(C1487*(1-Settings!$B$2),2)</f>
        <v>49.12</v>
      </c>
      <c r="E1487" s="3">
        <f>ROUND(C1487*(1-Settings!$B$3),2)</f>
        <v>49.12</v>
      </c>
      <c r="F1487" s="2" t="inlineStr">
        <is>
          <t>Pokemon</t>
        </is>
      </c>
      <c r="G1487" s="2" t="inlineStr">
        <is>
          <t>Coffret</t>
        </is>
      </c>
      <c r="H1487" s="2" t="inlineStr">
        <is>
          <t>Miscellaneous Cards &amp; Products</t>
        </is>
      </c>
      <c r="I1487" s="3" t="n"/>
      <c r="J1487" s="3" t="n">
        <v>70.17</v>
      </c>
      <c r="K1487" s="3" t="n">
        <v>78.83</v>
      </c>
      <c r="L1487" s="3" t="n">
        <v>2.99</v>
      </c>
      <c r="M1487" s="2" t="inlineStr">
        <is>
          <t>TCGplayer</t>
        </is>
      </c>
      <c r="O1487" s="4" t="inlineStr">
        <is>
          <t>https://www.tcgplayer.com/product/654212</t>
        </is>
      </c>
    </row>
    <row r="1488">
      <c r="A1488" s="2" t="inlineStr">
        <is>
          <t>Mega Zygarde ex Premium Collection</t>
        </is>
      </c>
      <c r="B1488" s="3">
        <f>IF(I1488&lt;&gt;"",I1488,IF(J1488&lt;&gt;"",J1488,IF(K1488&lt;&gt;"",K1488,L1488)))</f>
        <v>48.13</v>
      </c>
      <c r="C1488" s="3">
        <f>MEDIAN(I1488:L1488)</f>
        <v>48.13</v>
      </c>
      <c r="D1488" s="3">
        <f>ROUND(C1488*(1-Settings!$B$2),2)</f>
        <v>33.69</v>
      </c>
      <c r="E1488" s="3">
        <f>ROUND(C1488*(1-Settings!$B$3),2)</f>
        <v>33.69</v>
      </c>
      <c r="F1488" s="2" t="inlineStr">
        <is>
          <t>Pokemon</t>
        </is>
      </c>
      <c r="G1488" s="2" t="inlineStr">
        <is>
          <t>Coffret</t>
        </is>
      </c>
      <c r="H1488" s="2" t="inlineStr">
        <is>
          <t>Miscellaneous Cards &amp; Products</t>
        </is>
      </c>
      <c r="I1488" s="3" t="n"/>
      <c r="J1488" s="3" t="n">
        <v>48.13</v>
      </c>
      <c r="K1488" s="3" t="n">
        <v>55</v>
      </c>
      <c r="L1488" s="3" t="n">
        <v>6.99</v>
      </c>
      <c r="M1488" s="2" t="inlineStr">
        <is>
          <t>TCGplayer</t>
        </is>
      </c>
      <c r="O1488" s="4" t="inlineStr">
        <is>
          <t>https://www.tcgplayer.com/product/682939</t>
        </is>
      </c>
    </row>
    <row r="1489">
      <c r="A1489" s="2" t="inlineStr">
        <is>
          <t>Melmetal ex Box</t>
        </is>
      </c>
      <c r="B1489" s="3">
        <f>IF(I1489&lt;&gt;"",I1489,IF(J1489&lt;&gt;"",J1489,IF(K1489&lt;&gt;"",K1489,L1489)))</f>
        <v>37.28</v>
      </c>
      <c r="C1489" s="3">
        <f>MEDIAN(I1489:L1489)</f>
        <v>37.28</v>
      </c>
      <c r="D1489" s="3">
        <f>ROUND(C1489*(1-Settings!$B$2),2)</f>
        <v>26.1</v>
      </c>
      <c r="E1489" s="3">
        <f>ROUND(C1489*(1-Settings!$B$3),2)</f>
        <v>26.1</v>
      </c>
      <c r="F1489" s="2" t="inlineStr">
        <is>
          <t>Pokemon</t>
        </is>
      </c>
      <c r="G1489" s="2" t="inlineStr">
        <is>
          <t>Coffret</t>
        </is>
      </c>
      <c r="H1489" s="2" t="inlineStr">
        <is>
          <t>Miscellaneous Cards &amp; Products</t>
        </is>
      </c>
      <c r="I1489" s="3" t="n"/>
      <c r="J1489" s="3" t="n">
        <v>37.28</v>
      </c>
      <c r="K1489" s="3" t="n">
        <v>41.99</v>
      </c>
      <c r="L1489" s="3" t="n">
        <v>36.53</v>
      </c>
      <c r="M1489" s="2" t="inlineStr">
        <is>
          <t>TCGplayer</t>
        </is>
      </c>
      <c r="O1489" s="4" t="inlineStr">
        <is>
          <t>https://www.tcgplayer.com/product/662750</t>
        </is>
      </c>
    </row>
    <row r="1490">
      <c r="A1490" s="2" t="inlineStr">
        <is>
          <t>Meowth VMAX Special Collection</t>
        </is>
      </c>
      <c r="B1490" s="3">
        <f>IF(I1490&lt;&gt;"",I1490,IF(J1490&lt;&gt;"",J1490,IF(K1490&lt;&gt;"",K1490,L1490)))</f>
        <v>300.0</v>
      </c>
      <c r="C1490" s="3">
        <f>MEDIAN(I1490:L1490)</f>
        <v>329.98</v>
      </c>
      <c r="D1490" s="3">
        <f>ROUND(C1490*(1-Settings!$B$2),2)</f>
        <v>230.99</v>
      </c>
      <c r="E1490" s="3">
        <f>ROUND(C1490*(1-Settings!$B$3),2)</f>
        <v>230.99</v>
      </c>
      <c r="F1490" s="2" t="inlineStr">
        <is>
          <t>Pokemon</t>
        </is>
      </c>
      <c r="G1490" s="2" t="inlineStr">
        <is>
          <t>Coffret</t>
        </is>
      </c>
      <c r="H1490" s="2" t="inlineStr">
        <is>
          <t>Miscellaneous Cards &amp; Products</t>
        </is>
      </c>
      <c r="I1490" s="3" t="n"/>
      <c r="J1490" s="3" t="n">
        <v>300</v>
      </c>
      <c r="K1490" s="3" t="n">
        <v>452.45</v>
      </c>
      <c r="L1490" s="3" t="n">
        <v>329.98</v>
      </c>
      <c r="M1490" s="2" t="inlineStr">
        <is>
          <t>TCGplayer</t>
        </is>
      </c>
      <c r="O1490" s="4" t="inlineStr">
        <is>
          <t>https://www.tcgplayer.com/product/205464</t>
        </is>
      </c>
    </row>
    <row r="1491">
      <c r="A1491" s="2" t="inlineStr">
        <is>
          <t>Meowth VMAX Special Collection (International Version)</t>
        </is>
      </c>
      <c r="B1491" s="3">
        <f>IF(I1491&lt;&gt;"",I1491,IF(J1491&lt;&gt;"",J1491,IF(K1491&lt;&gt;"",K1491,L1491)))</f>
        <v>309.99</v>
      </c>
      <c r="C1491" s="3">
        <f>MEDIAN(I1491:L1491)</f>
        <v>309.99</v>
      </c>
      <c r="D1491" s="3">
        <f>ROUND(C1491*(1-Settings!$B$2),2)</f>
        <v>216.99</v>
      </c>
      <c r="E1491" s="3">
        <f>ROUND(C1491*(1-Settings!$B$3),2)</f>
        <v>216.99</v>
      </c>
      <c r="F1491" s="2" t="inlineStr">
        <is>
          <t>Pokemon</t>
        </is>
      </c>
      <c r="G1491" s="2" t="inlineStr">
        <is>
          <t>Coffret</t>
        </is>
      </c>
      <c r="H1491" s="2" t="inlineStr">
        <is>
          <t>Miscellaneous Cards &amp; Products</t>
        </is>
      </c>
      <c r="I1491" s="3" t="n"/>
      <c r="J1491" s="3" t="n">
        <v>309.99</v>
      </c>
      <c r="K1491" s="3" t="n">
        <v>444.97</v>
      </c>
      <c r="L1491" s="3" t="n">
        <v>295</v>
      </c>
      <c r="M1491" s="2" t="inlineStr">
        <is>
          <t>TCGplayer</t>
        </is>
      </c>
      <c r="O1491" s="4" t="inlineStr">
        <is>
          <t>https://www.tcgplayer.com/product/230427</t>
        </is>
      </c>
    </row>
    <row r="1492">
      <c r="A1492" s="2" t="inlineStr">
        <is>
          <t>Mew V Box</t>
        </is>
      </c>
      <c r="B1492" s="3">
        <f>IF(I1492&lt;&gt;"",I1492,IF(J1492&lt;&gt;"",J1492,IF(K1492&lt;&gt;"",K1492,L1492)))</f>
        <v>120.0</v>
      </c>
      <c r="C1492" s="3">
        <f>MEDIAN(I1492:L1492)</f>
        <v>120.0</v>
      </c>
      <c r="D1492" s="3">
        <f>ROUND(C1492*(1-Settings!$B$2),2)</f>
        <v>84.0</v>
      </c>
      <c r="E1492" s="3">
        <f>ROUND(C1492*(1-Settings!$B$3),2)</f>
        <v>84.0</v>
      </c>
      <c r="F1492" s="2" t="inlineStr">
        <is>
          <t>Pokemon</t>
        </is>
      </c>
      <c r="G1492" s="2" t="inlineStr">
        <is>
          <t>Coffret</t>
        </is>
      </c>
      <c r="H1492" s="2" t="inlineStr">
        <is>
          <t>Miscellaneous Cards &amp; Products</t>
        </is>
      </c>
      <c r="I1492" s="3" t="n"/>
      <c r="J1492" s="3" t="n">
        <v>120</v>
      </c>
      <c r="K1492" s="3" t="n"/>
      <c r="L1492" s="3" t="n"/>
      <c r="M1492" s="2" t="inlineStr">
        <is>
          <t>TCGplayer</t>
        </is>
      </c>
      <c r="O1492" s="4" t="inlineStr">
        <is>
          <t>https://www.tcgplayer.com/product/286476</t>
        </is>
      </c>
    </row>
    <row r="1493">
      <c r="A1493" s="2" t="inlineStr">
        <is>
          <t>Mighty Mysterious Tin [Mimikyu]</t>
        </is>
      </c>
      <c r="B1493" s="3">
        <f>IF(I1493&lt;&gt;"",I1493,IF(J1493&lt;&gt;"",J1493,IF(K1493&lt;&gt;"",K1493,L1493)))</f>
        <v>106.38</v>
      </c>
      <c r="C1493" s="3">
        <f>MEDIAN(I1493:L1493)</f>
        <v>139.0</v>
      </c>
      <c r="D1493" s="3">
        <f>ROUND(C1493*(1-Settings!$B$2),2)</f>
        <v>97.3</v>
      </c>
      <c r="E1493" s="3">
        <f>ROUND(C1493*(1-Settings!$B$3),2)</f>
        <v>97.3</v>
      </c>
      <c r="F1493" s="2" t="inlineStr">
        <is>
          <t>Pokemon</t>
        </is>
      </c>
      <c r="G1493" s="2" t="inlineStr">
        <is>
          <t>Coffret</t>
        </is>
      </c>
      <c r="H1493" s="2" t="inlineStr">
        <is>
          <t>Miscellaneous Cards &amp; Products</t>
        </is>
      </c>
      <c r="I1493" s="3" t="n"/>
      <c r="J1493" s="3" t="n">
        <v>106.38</v>
      </c>
      <c r="K1493" s="3" t="n">
        <v>149</v>
      </c>
      <c r="L1493" s="3" t="n">
        <v>139</v>
      </c>
      <c r="M1493" s="2" t="inlineStr">
        <is>
          <t>TCGplayer</t>
        </is>
      </c>
      <c r="O1493" s="4" t="inlineStr">
        <is>
          <t>https://www.tcgplayer.com/product/247818</t>
        </is>
      </c>
    </row>
    <row r="1494">
      <c r="A1494" s="2" t="inlineStr">
        <is>
          <t>Mighty Mysterious Tin [Snorlax]</t>
        </is>
      </c>
      <c r="B1494" s="3">
        <f>IF(I1494&lt;&gt;"",I1494,IF(J1494&lt;&gt;"",J1494,IF(K1494&lt;&gt;"",K1494,L1494)))</f>
        <v>88.22</v>
      </c>
      <c r="C1494" s="3">
        <f>MEDIAN(I1494:L1494)</f>
        <v>88.22</v>
      </c>
      <c r="D1494" s="3">
        <f>ROUND(C1494*(1-Settings!$B$2),2)</f>
        <v>61.75</v>
      </c>
      <c r="E1494" s="3">
        <f>ROUND(C1494*(1-Settings!$B$3),2)</f>
        <v>61.75</v>
      </c>
      <c r="F1494" s="2" t="inlineStr">
        <is>
          <t>Pokemon</t>
        </is>
      </c>
      <c r="G1494" s="2" t="inlineStr">
        <is>
          <t>Coffret</t>
        </is>
      </c>
      <c r="H1494" s="2" t="inlineStr">
        <is>
          <t>Miscellaneous Cards &amp; Products</t>
        </is>
      </c>
      <c r="I1494" s="3" t="n"/>
      <c r="J1494" s="3" t="n">
        <v>88.22</v>
      </c>
      <c r="K1494" s="3" t="n">
        <v>119</v>
      </c>
      <c r="L1494" s="3" t="n">
        <v>80</v>
      </c>
      <c r="M1494" s="2" t="inlineStr">
        <is>
          <t>TCGplayer</t>
        </is>
      </c>
      <c r="O1494" s="4" t="inlineStr">
        <is>
          <t>https://www.tcgplayer.com/product/247820</t>
        </is>
      </c>
    </row>
    <row r="1495">
      <c r="A1495" s="2" t="inlineStr">
        <is>
          <t>Mighty Mysterious Tins [Set of 3]</t>
        </is>
      </c>
      <c r="B1495" s="3">
        <f>IF(I1495&lt;&gt;"",I1495,IF(J1495&lt;&gt;"",J1495,IF(K1495&lt;&gt;"",K1495,L1495)))</f>
        <v>325.0</v>
      </c>
      <c r="C1495" s="3">
        <f>MEDIAN(I1495:L1495)</f>
        <v>287.5</v>
      </c>
      <c r="D1495" s="3">
        <f>ROUND(C1495*(1-Settings!$B$2),2)</f>
        <v>201.25</v>
      </c>
      <c r="E1495" s="3">
        <f>ROUND(C1495*(1-Settings!$B$3),2)</f>
        <v>201.25</v>
      </c>
      <c r="F1495" s="2" t="inlineStr">
        <is>
          <t>Pokemon</t>
        </is>
      </c>
      <c r="G1495" s="2" t="inlineStr">
        <is>
          <t>Coffret</t>
        </is>
      </c>
      <c r="H1495" s="2" t="inlineStr">
        <is>
          <t>Miscellaneous Cards &amp; Products</t>
        </is>
      </c>
      <c r="I1495" s="3" t="n"/>
      <c r="J1495" s="3" t="n"/>
      <c r="K1495" s="3" t="n">
        <v>325</v>
      </c>
      <c r="L1495" s="3" t="n">
        <v>250</v>
      </c>
      <c r="M1495" s="2" t="inlineStr">
        <is>
          <t>TCGplayer</t>
        </is>
      </c>
      <c r="O1495" s="4" t="inlineStr">
        <is>
          <t>https://www.tcgplayer.com/product/648586</t>
        </is>
      </c>
    </row>
    <row r="1496">
      <c r="A1496" s="2" t="inlineStr">
        <is>
          <t>Mimikyu ex &amp; Alcremie ex Premium Collection</t>
        </is>
      </c>
      <c r="B1496" s="3">
        <f>IF(I1496&lt;&gt;"",I1496,IF(J1496&lt;&gt;"",J1496,IF(K1496&lt;&gt;"",K1496,L1496)))</f>
        <v>116.13</v>
      </c>
      <c r="C1496" s="3">
        <f>MEDIAN(I1496:L1496)</f>
        <v>116.13</v>
      </c>
      <c r="D1496" s="3">
        <f>ROUND(C1496*(1-Settings!$B$2),2)</f>
        <v>81.29</v>
      </c>
      <c r="E1496" s="3">
        <f>ROUND(C1496*(1-Settings!$B$3),2)</f>
        <v>81.29</v>
      </c>
      <c r="F1496" s="2" t="inlineStr">
        <is>
          <t>Pokemon</t>
        </is>
      </c>
      <c r="G1496" s="2" t="inlineStr">
        <is>
          <t>Coffret</t>
        </is>
      </c>
      <c r="H1496" s="2" t="inlineStr">
        <is>
          <t>Miscellaneous Cards &amp; Products</t>
        </is>
      </c>
      <c r="I1496" s="3" t="n"/>
      <c r="J1496" s="3" t="n">
        <v>116.13</v>
      </c>
      <c r="K1496" s="3" t="n">
        <v>125</v>
      </c>
      <c r="L1496" s="3" t="n">
        <v>100</v>
      </c>
      <c r="M1496" s="2" t="inlineStr">
        <is>
          <t>TCGplayer</t>
        </is>
      </c>
      <c r="O1496" s="4" t="inlineStr">
        <is>
          <t>https://www.tcgplayer.com/product/655747</t>
        </is>
      </c>
    </row>
    <row r="1497">
      <c r="A1497" s="2" t="inlineStr">
        <is>
          <t>Mimikyu ex Box</t>
        </is>
      </c>
      <c r="B1497" s="3">
        <f>IF(I1497&lt;&gt;"",I1497,IF(J1497&lt;&gt;"",J1497,IF(K1497&lt;&gt;"",K1497,L1497)))</f>
        <v>95.92</v>
      </c>
      <c r="C1497" s="3">
        <f>MEDIAN(I1497:L1497)</f>
        <v>95.92</v>
      </c>
      <c r="D1497" s="3">
        <f>ROUND(C1497*(1-Settings!$B$2),2)</f>
        <v>67.14</v>
      </c>
      <c r="E1497" s="3">
        <f>ROUND(C1497*(1-Settings!$B$3),2)</f>
        <v>67.14</v>
      </c>
      <c r="F1497" s="2" t="inlineStr">
        <is>
          <t>Pokemon</t>
        </is>
      </c>
      <c r="G1497" s="2" t="inlineStr">
        <is>
          <t>Coffret</t>
        </is>
      </c>
      <c r="H1497" s="2" t="inlineStr">
        <is>
          <t>Miscellaneous Cards &amp; Products</t>
        </is>
      </c>
      <c r="I1497" s="3" t="n"/>
      <c r="J1497" s="3" t="n">
        <v>95.92</v>
      </c>
      <c r="K1497" s="3" t="n">
        <v>120</v>
      </c>
      <c r="L1497" s="3" t="n">
        <v>89.98999999999999</v>
      </c>
      <c r="M1497" s="2" t="inlineStr">
        <is>
          <t>TCGplayer</t>
        </is>
      </c>
      <c r="O1497" s="4" t="inlineStr">
        <is>
          <t>https://www.tcgplayer.com/product/475802</t>
        </is>
      </c>
    </row>
    <row r="1498">
      <c r="A1498" s="2" t="inlineStr">
        <is>
          <t>Morpeko V-UNION Special Collection</t>
        </is>
      </c>
      <c r="B1498" s="3">
        <f>IF(I1498&lt;&gt;"",I1498,IF(J1498&lt;&gt;"",J1498,IF(K1498&lt;&gt;"",K1498,L1498)))</f>
        <v>74.3</v>
      </c>
      <c r="C1498" s="3">
        <f>MEDIAN(I1498:L1498)</f>
        <v>80.0</v>
      </c>
      <c r="D1498" s="3">
        <f>ROUND(C1498*(1-Settings!$B$2),2)</f>
        <v>56.0</v>
      </c>
      <c r="E1498" s="3">
        <f>ROUND(C1498*(1-Settings!$B$3),2)</f>
        <v>56.0</v>
      </c>
      <c r="F1498" s="2" t="inlineStr">
        <is>
          <t>Pokemon</t>
        </is>
      </c>
      <c r="G1498" s="2" t="inlineStr">
        <is>
          <t>Coffret</t>
        </is>
      </c>
      <c r="H1498" s="2" t="inlineStr">
        <is>
          <t>Miscellaneous Cards &amp; Products</t>
        </is>
      </c>
      <c r="I1498" s="3" t="n"/>
      <c r="J1498" s="3" t="n">
        <v>74.3</v>
      </c>
      <c r="K1498" s="3" t="n">
        <v>125</v>
      </c>
      <c r="L1498" s="3" t="n">
        <v>80</v>
      </c>
      <c r="M1498" s="2" t="inlineStr">
        <is>
          <t>TCGplayer</t>
        </is>
      </c>
      <c r="O1498" s="4" t="inlineStr">
        <is>
          <t>https://www.tcgplayer.com/product/262646</t>
        </is>
      </c>
    </row>
    <row r="1499">
      <c r="A1499" s="2" t="inlineStr">
        <is>
          <t>Mythical 2-Pack Blister [Celebi]</t>
        </is>
      </c>
      <c r="B1499" s="3">
        <f>IF(I1499&lt;&gt;"",I1499,IF(J1499&lt;&gt;"",J1499,IF(K1499&lt;&gt;"",K1499,L1499)))</f>
        <v>59.95</v>
      </c>
      <c r="C1499" s="3">
        <f>MEDIAN(I1499:L1499)</f>
        <v>57.48</v>
      </c>
      <c r="D1499" s="3">
        <f>ROUND(C1499*(1-Settings!$B$2),2)</f>
        <v>40.24</v>
      </c>
      <c r="E1499" s="3">
        <f>ROUND(C1499*(1-Settings!$B$3),2)</f>
        <v>40.24</v>
      </c>
      <c r="F1499" s="2" t="inlineStr">
        <is>
          <t>Pokemon</t>
        </is>
      </c>
      <c r="G1499" s="2" t="inlineStr">
        <is>
          <t>Coffret</t>
        </is>
      </c>
      <c r="H1499" s="2" t="inlineStr">
        <is>
          <t>Miscellaneous Cards &amp; Products</t>
        </is>
      </c>
      <c r="I1499" s="3" t="n"/>
      <c r="J1499" s="3" t="n">
        <v>59.95</v>
      </c>
      <c r="K1499" s="3" t="n">
        <v>57.48</v>
      </c>
      <c r="L1499" s="3" t="n">
        <v>55</v>
      </c>
      <c r="M1499" s="2" t="inlineStr">
        <is>
          <t>TCGplayer</t>
        </is>
      </c>
      <c r="O1499" s="4" t="inlineStr">
        <is>
          <t>https://www.tcgplayer.com/product/517119</t>
        </is>
      </c>
    </row>
    <row r="1500">
      <c r="A1500" s="2" t="inlineStr">
        <is>
          <t>Mythical 2-Pack Blister [Jirachi]</t>
        </is>
      </c>
      <c r="B1500" s="3">
        <f>IF(I1500&lt;&gt;"",I1500,IF(J1500&lt;&gt;"",J1500,IF(K1500&lt;&gt;"",K1500,L1500)))</f>
        <v>58.23</v>
      </c>
      <c r="C1500" s="3">
        <f>MEDIAN(I1500:L1500)</f>
        <v>58.84</v>
      </c>
      <c r="D1500" s="3">
        <f>ROUND(C1500*(1-Settings!$B$2),2)</f>
        <v>41.19</v>
      </c>
      <c r="E1500" s="3">
        <f>ROUND(C1500*(1-Settings!$B$3),2)</f>
        <v>41.19</v>
      </c>
      <c r="F1500" s="2" t="inlineStr">
        <is>
          <t>Pokemon</t>
        </is>
      </c>
      <c r="G1500" s="2" t="inlineStr">
        <is>
          <t>Coffret</t>
        </is>
      </c>
      <c r="H1500" s="2" t="inlineStr">
        <is>
          <t>Miscellaneous Cards &amp; Products</t>
        </is>
      </c>
      <c r="I1500" s="3" t="n"/>
      <c r="J1500" s="3" t="n">
        <v>58.23</v>
      </c>
      <c r="K1500" s="3" t="n">
        <v>59.4</v>
      </c>
      <c r="L1500" s="3" t="n">
        <v>58.84</v>
      </c>
      <c r="M1500" s="2" t="inlineStr">
        <is>
          <t>TCGplayer</t>
        </is>
      </c>
      <c r="O1500" s="4" t="inlineStr">
        <is>
          <t>https://www.tcgplayer.com/product/517120</t>
        </is>
      </c>
    </row>
    <row r="1501">
      <c r="A1501" s="2" t="inlineStr">
        <is>
          <t>Mythical Squishy Premium Collection</t>
        </is>
      </c>
      <c r="B1501" s="3">
        <f>IF(I1501&lt;&gt;"",I1501,IF(J1501&lt;&gt;"",J1501,IF(K1501&lt;&gt;"",K1501,L1501)))</f>
        <v>267.12</v>
      </c>
      <c r="C1501" s="3">
        <f>MEDIAN(I1501:L1501)</f>
        <v>267.12</v>
      </c>
      <c r="D1501" s="3">
        <f>ROUND(C1501*(1-Settings!$B$2),2)</f>
        <v>186.98</v>
      </c>
      <c r="E1501" s="3">
        <f>ROUND(C1501*(1-Settings!$B$3),2)</f>
        <v>186.98</v>
      </c>
      <c r="F1501" s="2" t="inlineStr">
        <is>
          <t>Pokemon</t>
        </is>
      </c>
      <c r="G1501" s="2" t="inlineStr">
        <is>
          <t>Coffret</t>
        </is>
      </c>
      <c r="H1501" s="2" t="inlineStr">
        <is>
          <t>Miscellaneous Cards &amp; Products</t>
        </is>
      </c>
      <c r="I1501" s="3" t="n"/>
      <c r="J1501" s="3" t="n">
        <v>267.12</v>
      </c>
      <c r="K1501" s="3" t="n">
        <v>291.01</v>
      </c>
      <c r="L1501" s="3" t="n">
        <v>258.9</v>
      </c>
      <c r="M1501" s="2" t="inlineStr">
        <is>
          <t>TCGplayer</t>
        </is>
      </c>
      <c r="O1501" s="4" t="inlineStr">
        <is>
          <t>https://www.tcgplayer.com/product/248205</t>
        </is>
      </c>
    </row>
    <row r="1502">
      <c r="A1502" s="2" t="inlineStr">
        <is>
          <t>Ogerpon ex Premium Collection</t>
        </is>
      </c>
      <c r="B1502" s="3">
        <f>IF(I1502&lt;&gt;"",I1502,IF(J1502&lt;&gt;"",J1502,IF(K1502&lt;&gt;"",K1502,L1502)))</f>
        <v>60.47</v>
      </c>
      <c r="C1502" s="3">
        <f>MEDIAN(I1502:L1502)</f>
        <v>60.47</v>
      </c>
      <c r="D1502" s="3">
        <f>ROUND(C1502*(1-Settings!$B$2),2)</f>
        <v>42.33</v>
      </c>
      <c r="E1502" s="3">
        <f>ROUND(C1502*(1-Settings!$B$3),2)</f>
        <v>42.33</v>
      </c>
      <c r="F1502" s="2" t="inlineStr">
        <is>
          <t>Pokemon</t>
        </is>
      </c>
      <c r="G1502" s="2" t="inlineStr">
        <is>
          <t>Coffret</t>
        </is>
      </c>
      <c r="H1502" s="2" t="inlineStr">
        <is>
          <t>Miscellaneous Cards &amp; Products</t>
        </is>
      </c>
      <c r="I1502" s="3" t="n"/>
      <c r="J1502" s="3" t="n">
        <v>60.47</v>
      </c>
      <c r="K1502" s="3" t="n">
        <v>61.95</v>
      </c>
      <c r="L1502" s="3" t="n">
        <v>50</v>
      </c>
      <c r="M1502" s="2" t="inlineStr">
        <is>
          <t>TCGplayer</t>
        </is>
      </c>
      <c r="O1502" s="4" t="inlineStr">
        <is>
          <t>https://www.tcgplayer.com/product/576482</t>
        </is>
      </c>
    </row>
    <row r="1503">
      <c r="A1503" s="2" t="inlineStr">
        <is>
          <t>Oinkologne ex Box</t>
        </is>
      </c>
      <c r="B1503" s="3">
        <f>IF(I1503&lt;&gt;"",I1503,IF(J1503&lt;&gt;"",J1503,IF(K1503&lt;&gt;"",K1503,L1503)))</f>
        <v>51.28</v>
      </c>
      <c r="C1503" s="3">
        <f>MEDIAN(I1503:L1503)</f>
        <v>69.99</v>
      </c>
      <c r="D1503" s="3">
        <f>ROUND(C1503*(1-Settings!$B$2),2)</f>
        <v>48.99</v>
      </c>
      <c r="E1503" s="3">
        <f>ROUND(C1503*(1-Settings!$B$3),2)</f>
        <v>48.99</v>
      </c>
      <c r="F1503" s="2" t="inlineStr">
        <is>
          <t>Pokemon</t>
        </is>
      </c>
      <c r="G1503" s="2" t="inlineStr">
        <is>
          <t>Coffret</t>
        </is>
      </c>
      <c r="H1503" s="2" t="inlineStr">
        <is>
          <t>Miscellaneous Cards &amp; Products</t>
        </is>
      </c>
      <c r="I1503" s="3" t="n"/>
      <c r="J1503" s="3" t="n">
        <v>51.28</v>
      </c>
      <c r="K1503" s="3" t="n">
        <v>72.5</v>
      </c>
      <c r="L1503" s="3" t="n">
        <v>69.98999999999999</v>
      </c>
      <c r="M1503" s="2" t="inlineStr">
        <is>
          <t>TCGplayer</t>
        </is>
      </c>
      <c r="O1503" s="4" t="inlineStr">
        <is>
          <t>https://www.tcgplayer.com/product/527801</t>
        </is>
      </c>
    </row>
    <row r="1504">
      <c r="A1504" s="2" t="inlineStr">
        <is>
          <t>Paldea Adventure Chest</t>
        </is>
      </c>
      <c r="B1504" s="3">
        <f>IF(I1504&lt;&gt;"",I1504,IF(J1504&lt;&gt;"",J1504,IF(K1504&lt;&gt;"",K1504,L1504)))</f>
        <v>116.07</v>
      </c>
      <c r="C1504" s="3">
        <f>MEDIAN(I1504:L1504)</f>
        <v>116.07</v>
      </c>
      <c r="D1504" s="3">
        <f>ROUND(C1504*(1-Settings!$B$2),2)</f>
        <v>81.25</v>
      </c>
      <c r="E1504" s="3">
        <f>ROUND(C1504*(1-Settings!$B$3),2)</f>
        <v>81.25</v>
      </c>
      <c r="F1504" s="2" t="inlineStr">
        <is>
          <t>Pokemon</t>
        </is>
      </c>
      <c r="G1504" s="2" t="inlineStr">
        <is>
          <t>Coffret</t>
        </is>
      </c>
      <c r="H1504" s="2" t="inlineStr">
        <is>
          <t>Miscellaneous Cards &amp; Products</t>
        </is>
      </c>
      <c r="I1504" s="3" t="n"/>
      <c r="J1504" s="3" t="n">
        <v>116.07</v>
      </c>
      <c r="K1504" s="3" t="n">
        <v>122</v>
      </c>
      <c r="L1504" s="3" t="n">
        <v>5</v>
      </c>
      <c r="M1504" s="2" t="inlineStr">
        <is>
          <t>TCGplayer</t>
        </is>
      </c>
      <c r="O1504" s="4" t="inlineStr">
        <is>
          <t>https://www.tcgplayer.com/product/532025</t>
        </is>
      </c>
    </row>
    <row r="1505">
      <c r="A1505" s="2" t="inlineStr">
        <is>
          <t>Paldea Collection [Fuecoco/Koraidon ex]</t>
        </is>
      </c>
      <c r="B1505" s="3">
        <f>IF(I1505&lt;&gt;"",I1505,IF(J1505&lt;&gt;"",J1505,IF(K1505&lt;&gt;"",K1505,L1505)))</f>
        <v>61.8</v>
      </c>
      <c r="C1505" s="3">
        <f>MEDIAN(I1505:L1505)</f>
        <v>75.0</v>
      </c>
      <c r="D1505" s="3">
        <f>ROUND(C1505*(1-Settings!$B$2),2)</f>
        <v>52.5</v>
      </c>
      <c r="E1505" s="3">
        <f>ROUND(C1505*(1-Settings!$B$3),2)</f>
        <v>52.5</v>
      </c>
      <c r="F1505" s="2" t="inlineStr">
        <is>
          <t>Pokemon</t>
        </is>
      </c>
      <c r="G1505" s="2" t="inlineStr">
        <is>
          <t>Coffret</t>
        </is>
      </c>
      <c r="H1505" s="2" t="inlineStr">
        <is>
          <t>Miscellaneous Cards &amp; Products</t>
        </is>
      </c>
      <c r="I1505" s="3" t="n"/>
      <c r="J1505" s="3" t="n">
        <v>61.8</v>
      </c>
      <c r="K1505" s="3" t="n">
        <v>75</v>
      </c>
      <c r="L1505" s="3" t="n">
        <v>75</v>
      </c>
      <c r="M1505" s="2" t="inlineStr">
        <is>
          <t>TCGplayer</t>
        </is>
      </c>
      <c r="O1505" s="4" t="inlineStr">
        <is>
          <t>https://www.tcgplayer.com/product/451119</t>
        </is>
      </c>
    </row>
    <row r="1506">
      <c r="A1506" s="2" t="inlineStr">
        <is>
          <t>Paldea Collection [Quaxly/Koraidon ex]</t>
        </is>
      </c>
      <c r="B1506" s="3">
        <f>IF(I1506&lt;&gt;"",I1506,IF(J1506&lt;&gt;"",J1506,IF(K1506&lt;&gt;"",K1506,L1506)))</f>
        <v>63.73</v>
      </c>
      <c r="C1506" s="3">
        <f>MEDIAN(I1506:L1506)</f>
        <v>90.0</v>
      </c>
      <c r="D1506" s="3">
        <f>ROUND(C1506*(1-Settings!$B$2),2)</f>
        <v>63.0</v>
      </c>
      <c r="E1506" s="3">
        <f>ROUND(C1506*(1-Settings!$B$3),2)</f>
        <v>63.0</v>
      </c>
      <c r="F1506" s="2" t="inlineStr">
        <is>
          <t>Pokemon</t>
        </is>
      </c>
      <c r="G1506" s="2" t="inlineStr">
        <is>
          <t>Coffret</t>
        </is>
      </c>
      <c r="H1506" s="2" t="inlineStr">
        <is>
          <t>Miscellaneous Cards &amp; Products</t>
        </is>
      </c>
      <c r="I1506" s="3" t="n"/>
      <c r="J1506" s="3" t="n">
        <v>63.73</v>
      </c>
      <c r="K1506" s="3" t="n">
        <v>135</v>
      </c>
      <c r="L1506" s="3" t="n">
        <v>90</v>
      </c>
      <c r="M1506" s="2" t="inlineStr">
        <is>
          <t>TCGplayer</t>
        </is>
      </c>
      <c r="O1506" s="4" t="inlineStr">
        <is>
          <t>https://www.tcgplayer.com/product/477171</t>
        </is>
      </c>
    </row>
    <row r="1507">
      <c r="A1507" s="2" t="inlineStr">
        <is>
          <t>Paldea Collection [Quaxly/Miraidon ex]</t>
        </is>
      </c>
      <c r="B1507" s="3">
        <f>IF(I1507&lt;&gt;"",I1507,IF(J1507&lt;&gt;"",J1507,IF(K1507&lt;&gt;"",K1507,L1507)))</f>
        <v>58.89</v>
      </c>
      <c r="C1507" s="3">
        <f>MEDIAN(I1507:L1507)</f>
        <v>60.0</v>
      </c>
      <c r="D1507" s="3">
        <f>ROUND(C1507*(1-Settings!$B$2),2)</f>
        <v>42.0</v>
      </c>
      <c r="E1507" s="3">
        <f>ROUND(C1507*(1-Settings!$B$3),2)</f>
        <v>42.0</v>
      </c>
      <c r="F1507" s="2" t="inlineStr">
        <is>
          <t>Pokemon</t>
        </is>
      </c>
      <c r="G1507" s="2" t="inlineStr">
        <is>
          <t>Coffret</t>
        </is>
      </c>
      <c r="H1507" s="2" t="inlineStr">
        <is>
          <t>Miscellaneous Cards &amp; Products</t>
        </is>
      </c>
      <c r="I1507" s="3" t="n"/>
      <c r="J1507" s="3" t="n">
        <v>58.89</v>
      </c>
      <c r="K1507" s="3" t="n">
        <v>74.95999999999999</v>
      </c>
      <c r="L1507" s="3" t="n">
        <v>60</v>
      </c>
      <c r="M1507" s="2" t="inlineStr">
        <is>
          <t>TCGplayer</t>
        </is>
      </c>
      <c r="O1507" s="4" t="inlineStr">
        <is>
          <t>https://www.tcgplayer.com/product/451120</t>
        </is>
      </c>
    </row>
    <row r="1508">
      <c r="A1508" s="2" t="inlineStr">
        <is>
          <t>Paldea Collection [Set of 3] (Koraidon ex)</t>
        </is>
      </c>
      <c r="B1508" s="3">
        <f>IF(I1508&lt;&gt;"",I1508,IF(J1508&lt;&gt;"",J1508,IF(K1508&lt;&gt;"",K1508,L1508)))</f>
        <v>237.49</v>
      </c>
      <c r="C1508" s="3">
        <f>MEDIAN(I1508:L1508)</f>
        <v>236.24</v>
      </c>
      <c r="D1508" s="3">
        <f>ROUND(C1508*(1-Settings!$B$2),2)</f>
        <v>165.37</v>
      </c>
      <c r="E1508" s="3">
        <f>ROUND(C1508*(1-Settings!$B$3),2)</f>
        <v>165.37</v>
      </c>
      <c r="F1508" s="2" t="inlineStr">
        <is>
          <t>Pokemon</t>
        </is>
      </c>
      <c r="G1508" s="2" t="inlineStr">
        <is>
          <t>Coffret</t>
        </is>
      </c>
      <c r="H1508" s="2" t="inlineStr">
        <is>
          <t>Miscellaneous Cards &amp; Products</t>
        </is>
      </c>
      <c r="I1508" s="3" t="n"/>
      <c r="J1508" s="3" t="n"/>
      <c r="K1508" s="3" t="n">
        <v>237.49</v>
      </c>
      <c r="L1508" s="3" t="n">
        <v>234.99</v>
      </c>
      <c r="M1508" s="2" t="inlineStr">
        <is>
          <t>TCGplayer</t>
        </is>
      </c>
      <c r="O1508" s="4" t="inlineStr">
        <is>
          <t>https://www.tcgplayer.com/product/477173</t>
        </is>
      </c>
    </row>
    <row r="1509">
      <c r="A1509" s="2" t="inlineStr">
        <is>
          <t>Paldea Collection [Set of 3] (Miraidon ex)</t>
        </is>
      </c>
      <c r="B1509" s="3">
        <f>IF(I1509&lt;&gt;"",I1509,IF(J1509&lt;&gt;"",J1509,IF(K1509&lt;&gt;"",K1509,L1509)))</f>
        <v>270.0</v>
      </c>
      <c r="C1509" s="3">
        <f>MEDIAN(I1509:L1509)</f>
        <v>254.995</v>
      </c>
      <c r="D1509" s="3">
        <f>ROUND(C1509*(1-Settings!$B$2),2)</f>
        <v>178.5</v>
      </c>
      <c r="E1509" s="3">
        <f>ROUND(C1509*(1-Settings!$B$3),2)</f>
        <v>178.5</v>
      </c>
      <c r="F1509" s="2" t="inlineStr">
        <is>
          <t>Pokemon</t>
        </is>
      </c>
      <c r="G1509" s="2" t="inlineStr">
        <is>
          <t>Coffret</t>
        </is>
      </c>
      <c r="H1509" s="2" t="inlineStr">
        <is>
          <t>Miscellaneous Cards &amp; Products</t>
        </is>
      </c>
      <c r="I1509" s="3" t="n"/>
      <c r="J1509" s="3" t="n"/>
      <c r="K1509" s="3" t="n">
        <v>270</v>
      </c>
      <c r="L1509" s="3" t="n">
        <v>239.99</v>
      </c>
      <c r="M1509" s="2" t="inlineStr">
        <is>
          <t>TCGplayer</t>
        </is>
      </c>
      <c r="O1509" s="4" t="inlineStr">
        <is>
          <t>https://www.tcgplayer.com/product/451121</t>
        </is>
      </c>
    </row>
    <row r="1510">
      <c r="A1510" s="2" t="inlineStr">
        <is>
          <t>Paldea Collection [Set of 6]</t>
        </is>
      </c>
      <c r="B1510" s="3">
        <f>IF(I1510&lt;&gt;"",I1510,IF(J1510&lt;&gt;"",J1510,IF(K1510&lt;&gt;"",K1510,L1510)))</f>
        <v>349.99</v>
      </c>
      <c r="C1510" s="3">
        <f>MEDIAN(I1510:L1510)</f>
        <v>349.99</v>
      </c>
      <c r="D1510" s="3">
        <f>ROUND(C1510*(1-Settings!$B$2),2)</f>
        <v>244.99</v>
      </c>
      <c r="E1510" s="3">
        <f>ROUND(C1510*(1-Settings!$B$3),2)</f>
        <v>244.99</v>
      </c>
      <c r="F1510" s="2" t="inlineStr">
        <is>
          <t>Pokemon</t>
        </is>
      </c>
      <c r="G1510" s="2" t="inlineStr">
        <is>
          <t>Coffret</t>
        </is>
      </c>
      <c r="H1510" s="2" t="inlineStr">
        <is>
          <t>Miscellaneous Cards &amp; Products</t>
        </is>
      </c>
      <c r="I1510" s="3" t="n"/>
      <c r="J1510" s="3" t="n"/>
      <c r="K1510" s="3" t="n">
        <v>349.99</v>
      </c>
      <c r="L1510" s="3" t="n">
        <v>349.99</v>
      </c>
      <c r="M1510" s="2" t="inlineStr">
        <is>
          <t>TCGplayer</t>
        </is>
      </c>
      <c r="O1510" s="4" t="inlineStr">
        <is>
          <t>https://www.tcgplayer.com/product/477174</t>
        </is>
      </c>
    </row>
    <row r="1511">
      <c r="A1511" s="2" t="inlineStr">
        <is>
          <t>Paldea Collection [Sprigatito/Koraidon ex]</t>
        </is>
      </c>
      <c r="B1511" s="3">
        <f>IF(I1511&lt;&gt;"",I1511,IF(J1511&lt;&gt;"",J1511,IF(K1511&lt;&gt;"",K1511,L1511)))</f>
        <v>82.12</v>
      </c>
      <c r="C1511" s="3">
        <f>MEDIAN(I1511:L1511)</f>
        <v>87.96</v>
      </c>
      <c r="D1511" s="3">
        <f>ROUND(C1511*(1-Settings!$B$2),2)</f>
        <v>61.57</v>
      </c>
      <c r="E1511" s="3">
        <f>ROUND(C1511*(1-Settings!$B$3),2)</f>
        <v>61.57</v>
      </c>
      <c r="F1511" s="2" t="inlineStr">
        <is>
          <t>Pokemon</t>
        </is>
      </c>
      <c r="G1511" s="2" t="inlineStr">
        <is>
          <t>Coffret</t>
        </is>
      </c>
      <c r="H1511" s="2" t="inlineStr">
        <is>
          <t>Miscellaneous Cards &amp; Products</t>
        </is>
      </c>
      <c r="I1511" s="3" t="n"/>
      <c r="J1511" s="3" t="n">
        <v>82.12</v>
      </c>
      <c r="K1511" s="3" t="n">
        <v>91.5</v>
      </c>
      <c r="L1511" s="3" t="n">
        <v>87.95999999999999</v>
      </c>
      <c r="M1511" s="2" t="inlineStr">
        <is>
          <t>TCGplayer</t>
        </is>
      </c>
      <c r="O1511" s="4" t="inlineStr">
        <is>
          <t>https://www.tcgplayer.com/product/477172</t>
        </is>
      </c>
    </row>
    <row r="1512">
      <c r="A1512" s="2" t="inlineStr">
        <is>
          <t>Paldea Collection [Sprigatito/Miraidon ex]</t>
        </is>
      </c>
      <c r="B1512" s="3">
        <f>IF(I1512&lt;&gt;"",I1512,IF(J1512&lt;&gt;"",J1512,IF(K1512&lt;&gt;"",K1512,L1512)))</f>
        <v>77.58</v>
      </c>
      <c r="C1512" s="3">
        <f>MEDIAN(I1512:L1512)</f>
        <v>87.49</v>
      </c>
      <c r="D1512" s="3">
        <f>ROUND(C1512*(1-Settings!$B$2),2)</f>
        <v>61.24</v>
      </c>
      <c r="E1512" s="3">
        <f>ROUND(C1512*(1-Settings!$B$3),2)</f>
        <v>61.24</v>
      </c>
      <c r="F1512" s="2" t="inlineStr">
        <is>
          <t>Pokemon</t>
        </is>
      </c>
      <c r="G1512" s="2" t="inlineStr">
        <is>
          <t>Coffret</t>
        </is>
      </c>
      <c r="H1512" s="2" t="inlineStr">
        <is>
          <t>Miscellaneous Cards &amp; Products</t>
        </is>
      </c>
      <c r="I1512" s="3" t="n"/>
      <c r="J1512" s="3" t="n">
        <v>77.58</v>
      </c>
      <c r="K1512" s="3" t="n">
        <v>91.44</v>
      </c>
      <c r="L1512" s="3" t="n">
        <v>87.48999999999999</v>
      </c>
      <c r="M1512" s="2" t="inlineStr">
        <is>
          <t>TCGplayer</t>
        </is>
      </c>
      <c r="O1512" s="4" t="inlineStr">
        <is>
          <t>https://www.tcgplayer.com/product/451118</t>
        </is>
      </c>
    </row>
    <row r="1513">
      <c r="A1513" s="2" t="inlineStr">
        <is>
          <t>Paldea Friends Mini Tin [Fuecoco &amp; Smoliv]</t>
        </is>
      </c>
      <c r="B1513" s="3">
        <f>IF(I1513&lt;&gt;"",I1513,IF(J1513&lt;&gt;"",J1513,IF(K1513&lt;&gt;"",K1513,L1513)))</f>
        <v>30.4</v>
      </c>
      <c r="C1513" s="3">
        <f>MEDIAN(I1513:L1513)</f>
        <v>75.0</v>
      </c>
      <c r="D1513" s="3">
        <f>ROUND(C1513*(1-Settings!$B$2),2)</f>
        <v>52.5</v>
      </c>
      <c r="E1513" s="3">
        <f>ROUND(C1513*(1-Settings!$B$3),2)</f>
        <v>52.5</v>
      </c>
      <c r="F1513" s="2" t="inlineStr">
        <is>
          <t>Pokemon</t>
        </is>
      </c>
      <c r="G1513" s="2" t="inlineStr">
        <is>
          <t>Coffret</t>
        </is>
      </c>
      <c r="H1513" s="2" t="inlineStr">
        <is>
          <t>Miscellaneous Cards &amp; Products</t>
        </is>
      </c>
      <c r="I1513" s="3" t="n"/>
      <c r="J1513" s="3" t="n">
        <v>30.4</v>
      </c>
      <c r="K1513" s="3" t="n">
        <v>87</v>
      </c>
      <c r="L1513" s="3" t="n">
        <v>75</v>
      </c>
      <c r="M1513" s="2" t="inlineStr">
        <is>
          <t>TCGplayer</t>
        </is>
      </c>
      <c r="O1513" s="4" t="inlineStr">
        <is>
          <t>https://www.tcgplayer.com/product/484357</t>
        </is>
      </c>
    </row>
    <row r="1514">
      <c r="A1514" s="2" t="inlineStr">
        <is>
          <t>Paldea Friends Mini Tin [Pawmi &amp; Lechonk]</t>
        </is>
      </c>
      <c r="B1514" s="3">
        <f>IF(I1514&lt;&gt;"",I1514,IF(J1514&lt;&gt;"",J1514,IF(K1514&lt;&gt;"",K1514,L1514)))</f>
        <v>31.66</v>
      </c>
      <c r="C1514" s="3">
        <f>MEDIAN(I1514:L1514)</f>
        <v>29.97</v>
      </c>
      <c r="D1514" s="3">
        <f>ROUND(C1514*(1-Settings!$B$2),2)</f>
        <v>20.98</v>
      </c>
      <c r="E1514" s="3">
        <f>ROUND(C1514*(1-Settings!$B$3),2)</f>
        <v>20.98</v>
      </c>
      <c r="F1514" s="2" t="inlineStr">
        <is>
          <t>Pokemon</t>
        </is>
      </c>
      <c r="G1514" s="2" t="inlineStr">
        <is>
          <t>Coffret</t>
        </is>
      </c>
      <c r="H1514" s="2" t="inlineStr">
        <is>
          <t>Miscellaneous Cards &amp; Products</t>
        </is>
      </c>
      <c r="I1514" s="3" t="n"/>
      <c r="J1514" s="3" t="n">
        <v>31.66</v>
      </c>
      <c r="K1514" s="3" t="n">
        <v>29.97</v>
      </c>
      <c r="L1514" s="3" t="n">
        <v>29.94</v>
      </c>
      <c r="M1514" s="2" t="inlineStr">
        <is>
          <t>TCGplayer</t>
        </is>
      </c>
      <c r="O1514" s="4" t="inlineStr">
        <is>
          <t>https://www.tcgplayer.com/product/484362</t>
        </is>
      </c>
    </row>
    <row r="1515">
      <c r="A1515" s="2" t="inlineStr">
        <is>
          <t>Paldea Friends Mini Tin [Pikachu &amp; Capsakid]</t>
        </is>
      </c>
      <c r="B1515" s="3">
        <f>IF(I1515&lt;&gt;"",I1515,IF(J1515&lt;&gt;"",J1515,IF(K1515&lt;&gt;"",K1515,L1515)))</f>
        <v>29.16</v>
      </c>
      <c r="C1515" s="3">
        <f>MEDIAN(I1515:L1515)</f>
        <v>29.95</v>
      </c>
      <c r="D1515" s="3">
        <f>ROUND(C1515*(1-Settings!$B$2),2)</f>
        <v>20.97</v>
      </c>
      <c r="E1515" s="3">
        <f>ROUND(C1515*(1-Settings!$B$3),2)</f>
        <v>20.97</v>
      </c>
      <c r="F1515" s="2" t="inlineStr">
        <is>
          <t>Pokemon</t>
        </is>
      </c>
      <c r="G1515" s="2" t="inlineStr">
        <is>
          <t>Coffret</t>
        </is>
      </c>
      <c r="H1515" s="2" t="inlineStr">
        <is>
          <t>Miscellaneous Cards &amp; Products</t>
        </is>
      </c>
      <c r="I1515" s="3" t="n"/>
      <c r="J1515" s="3" t="n">
        <v>29.16</v>
      </c>
      <c r="K1515" s="3" t="n">
        <v>30</v>
      </c>
      <c r="L1515" s="3" t="n">
        <v>29.95</v>
      </c>
      <c r="M1515" s="2" t="inlineStr">
        <is>
          <t>TCGplayer</t>
        </is>
      </c>
      <c r="O1515" s="4" t="inlineStr">
        <is>
          <t>https://www.tcgplayer.com/product/484358</t>
        </is>
      </c>
    </row>
    <row r="1516">
      <c r="A1516" s="2" t="inlineStr">
        <is>
          <t>Paldea Friends Mini Tin [Quaxly &amp; Smoliv]</t>
        </is>
      </c>
      <c r="B1516" s="3">
        <f>IF(I1516&lt;&gt;"",I1516,IF(J1516&lt;&gt;"",J1516,IF(K1516&lt;&gt;"",K1516,L1516)))</f>
        <v>29.65</v>
      </c>
      <c r="C1516" s="3">
        <f>MEDIAN(I1516:L1516)</f>
        <v>26.79</v>
      </c>
      <c r="D1516" s="3">
        <f>ROUND(C1516*(1-Settings!$B$2),2)</f>
        <v>18.75</v>
      </c>
      <c r="E1516" s="3">
        <f>ROUND(C1516*(1-Settings!$B$3),2)</f>
        <v>18.75</v>
      </c>
      <c r="F1516" s="2" t="inlineStr">
        <is>
          <t>Pokemon</t>
        </is>
      </c>
      <c r="G1516" s="2" t="inlineStr">
        <is>
          <t>Coffret</t>
        </is>
      </c>
      <c r="H1516" s="2" t="inlineStr">
        <is>
          <t>Miscellaneous Cards &amp; Products</t>
        </is>
      </c>
      <c r="I1516" s="3" t="n"/>
      <c r="J1516" s="3" t="n">
        <v>29.65</v>
      </c>
      <c r="K1516" s="3" t="n">
        <v>26.79</v>
      </c>
      <c r="L1516" s="3" t="n">
        <v>21</v>
      </c>
      <c r="M1516" s="2" t="inlineStr">
        <is>
          <t>TCGplayer</t>
        </is>
      </c>
      <c r="O1516" s="4" t="inlineStr">
        <is>
          <t>https://www.tcgplayer.com/product/484359</t>
        </is>
      </c>
    </row>
    <row r="1517">
      <c r="A1517" s="2" t="inlineStr">
        <is>
          <t>Paldea Friends Mini Tin [Set of 5]</t>
        </is>
      </c>
      <c r="B1517" s="3">
        <f>IF(I1517&lt;&gt;"",I1517,IF(J1517&lt;&gt;"",J1517,IF(K1517&lt;&gt;"",K1517,L1517)))</f>
        <v>134.69</v>
      </c>
      <c r="C1517" s="3">
        <f>MEDIAN(I1517:L1517)</f>
        <v>130.845</v>
      </c>
      <c r="D1517" s="3">
        <f>ROUND(C1517*(1-Settings!$B$2),2)</f>
        <v>91.59</v>
      </c>
      <c r="E1517" s="3">
        <f>ROUND(C1517*(1-Settings!$B$3),2)</f>
        <v>91.59</v>
      </c>
      <c r="F1517" s="2" t="inlineStr">
        <is>
          <t>Pokemon</t>
        </is>
      </c>
      <c r="G1517" s="2" t="inlineStr">
        <is>
          <t>Coffret</t>
        </is>
      </c>
      <c r="H1517" s="2" t="inlineStr">
        <is>
          <t>Miscellaneous Cards &amp; Products</t>
        </is>
      </c>
      <c r="I1517" s="3" t="n"/>
      <c r="J1517" s="3" t="n">
        <v>134.69</v>
      </c>
      <c r="K1517" s="3" t="n"/>
      <c r="L1517" s="3" t="n">
        <v>127</v>
      </c>
      <c r="M1517" s="2" t="inlineStr">
        <is>
          <t>TCGplayer</t>
        </is>
      </c>
      <c r="O1517" s="4" t="inlineStr">
        <is>
          <t>https://www.tcgplayer.com/product/484363</t>
        </is>
      </c>
    </row>
    <row r="1518">
      <c r="A1518" s="2" t="inlineStr">
        <is>
          <t>Paldea Friends Mini Tin [Sprigatito &amp; Fidough]</t>
        </is>
      </c>
      <c r="B1518" s="3">
        <f>IF(I1518&lt;&gt;"",I1518,IF(J1518&lt;&gt;"",J1518,IF(K1518&lt;&gt;"",K1518,L1518)))</f>
        <v>33.68</v>
      </c>
      <c r="C1518" s="3">
        <f>MEDIAN(I1518:L1518)</f>
        <v>35.0</v>
      </c>
      <c r="D1518" s="3">
        <f>ROUND(C1518*(1-Settings!$B$2),2)</f>
        <v>24.5</v>
      </c>
      <c r="E1518" s="3">
        <f>ROUND(C1518*(1-Settings!$B$3),2)</f>
        <v>24.5</v>
      </c>
      <c r="F1518" s="2" t="inlineStr">
        <is>
          <t>Pokemon</t>
        </is>
      </c>
      <c r="G1518" s="2" t="inlineStr">
        <is>
          <t>Coffret</t>
        </is>
      </c>
      <c r="H1518" s="2" t="inlineStr">
        <is>
          <t>Miscellaneous Cards &amp; Products</t>
        </is>
      </c>
      <c r="I1518" s="3" t="n"/>
      <c r="J1518" s="3" t="n">
        <v>33.68</v>
      </c>
      <c r="K1518" s="3" t="n">
        <v>59.99</v>
      </c>
      <c r="L1518" s="3" t="n">
        <v>35</v>
      </c>
      <c r="M1518" s="2" t="inlineStr">
        <is>
          <t>TCGplayer</t>
        </is>
      </c>
      <c r="O1518" s="4" t="inlineStr">
        <is>
          <t>https://www.tcgplayer.com/product/484360</t>
        </is>
      </c>
    </row>
    <row r="1519">
      <c r="A1519" s="2" t="inlineStr">
        <is>
          <t>Paldea Friends Mini Tins 5-Pack</t>
        </is>
      </c>
      <c r="B1519" s="3">
        <f>IF(I1519&lt;&gt;"",I1519,IF(J1519&lt;&gt;"",J1519,IF(K1519&lt;&gt;"",K1519,L1519)))</f>
        <v>123.83</v>
      </c>
      <c r="C1519" s="3">
        <f>MEDIAN(I1519:L1519)</f>
        <v>249.99</v>
      </c>
      <c r="D1519" s="3">
        <f>ROUND(C1519*(1-Settings!$B$2),2)</f>
        <v>174.99</v>
      </c>
      <c r="E1519" s="3">
        <f>ROUND(C1519*(1-Settings!$B$3),2)</f>
        <v>174.99</v>
      </c>
      <c r="F1519" s="2" t="inlineStr">
        <is>
          <t>Pokemon</t>
        </is>
      </c>
      <c r="G1519" s="2" t="inlineStr">
        <is>
          <t>Coffret</t>
        </is>
      </c>
      <c r="H1519" s="2" t="inlineStr">
        <is>
          <t>Miscellaneous Cards &amp; Products</t>
        </is>
      </c>
      <c r="I1519" s="3" t="n"/>
      <c r="J1519" s="3" t="n">
        <v>123.83</v>
      </c>
      <c r="K1519" s="3" t="n">
        <v>299.99</v>
      </c>
      <c r="L1519" s="3" t="n">
        <v>249.99</v>
      </c>
      <c r="M1519" s="2" t="inlineStr">
        <is>
          <t>TCGplayer</t>
        </is>
      </c>
      <c r="O1519" s="4" t="inlineStr">
        <is>
          <t>https://www.tcgplayer.com/product/633085</t>
        </is>
      </c>
    </row>
    <row r="1520">
      <c r="A1520" s="2" t="inlineStr">
        <is>
          <t>Paldea Legends Tin [Koraidon ex]</t>
        </is>
      </c>
      <c r="B1520" s="3">
        <f>IF(I1520&lt;&gt;"",I1520,IF(J1520&lt;&gt;"",J1520,IF(K1520&lt;&gt;"",K1520,L1520)))</f>
        <v>40.62</v>
      </c>
      <c r="C1520" s="3">
        <f>MEDIAN(I1520:L1520)</f>
        <v>40.62</v>
      </c>
      <c r="D1520" s="3">
        <f>ROUND(C1520*(1-Settings!$B$2),2)</f>
        <v>28.43</v>
      </c>
      <c r="E1520" s="3">
        <f>ROUND(C1520*(1-Settings!$B$3),2)</f>
        <v>28.43</v>
      </c>
      <c r="F1520" s="2" t="inlineStr">
        <is>
          <t>Pokemon</t>
        </is>
      </c>
      <c r="G1520" s="2" t="inlineStr">
        <is>
          <t>Coffret</t>
        </is>
      </c>
      <c r="H1520" s="2" t="inlineStr">
        <is>
          <t>Miscellaneous Cards &amp; Products</t>
        </is>
      </c>
      <c r="I1520" s="3" t="n"/>
      <c r="J1520" s="3" t="n">
        <v>40.62</v>
      </c>
      <c r="K1520" s="3" t="n">
        <v>43.32</v>
      </c>
      <c r="L1520" s="3" t="n">
        <v>40</v>
      </c>
      <c r="M1520" s="2" t="inlineStr">
        <is>
          <t>TCGplayer</t>
        </is>
      </c>
      <c r="O1520" s="4" t="inlineStr">
        <is>
          <t>https://www.tcgplayer.com/product/497390</t>
        </is>
      </c>
    </row>
    <row r="1521">
      <c r="A1521" s="2" t="inlineStr">
        <is>
          <t>Paldea Legends Tin [Koraidon ex] (International Version)</t>
        </is>
      </c>
      <c r="B1521" s="3">
        <f>IF(I1521&lt;&gt;"",I1521,IF(J1521&lt;&gt;"",J1521,IF(K1521&lt;&gt;"",K1521,L1521)))</f>
        <v>48.07</v>
      </c>
      <c r="C1521" s="3">
        <f>MEDIAN(I1521:L1521)</f>
        <v>48.24</v>
      </c>
      <c r="D1521" s="3">
        <f>ROUND(C1521*(1-Settings!$B$2),2)</f>
        <v>33.77</v>
      </c>
      <c r="E1521" s="3">
        <f>ROUND(C1521*(1-Settings!$B$3),2)</f>
        <v>33.77</v>
      </c>
      <c r="F1521" s="2" t="inlineStr">
        <is>
          <t>Pokemon</t>
        </is>
      </c>
      <c r="G1521" s="2" t="inlineStr">
        <is>
          <t>Coffret</t>
        </is>
      </c>
      <c r="H1521" s="2" t="inlineStr">
        <is>
          <t>Miscellaneous Cards &amp; Products</t>
        </is>
      </c>
      <c r="I1521" s="3" t="n"/>
      <c r="J1521" s="3" t="n">
        <v>48.07</v>
      </c>
      <c r="K1521" s="3" t="n">
        <v>57.99</v>
      </c>
      <c r="L1521" s="3" t="n">
        <v>48.24</v>
      </c>
      <c r="M1521" s="2" t="inlineStr">
        <is>
          <t>TCGplayer</t>
        </is>
      </c>
      <c r="O1521" s="4" t="inlineStr">
        <is>
          <t>https://www.tcgplayer.com/product/497387</t>
        </is>
      </c>
    </row>
    <row r="1522">
      <c r="A1522" s="2" t="inlineStr">
        <is>
          <t>Paldea Legends Tin [Miraidon ex]</t>
        </is>
      </c>
      <c r="B1522" s="3">
        <f>IF(I1522&lt;&gt;"",I1522,IF(J1522&lt;&gt;"",J1522,IF(K1522&lt;&gt;"",K1522,L1522)))</f>
        <v>39.26</v>
      </c>
      <c r="C1522" s="3">
        <f>MEDIAN(I1522:L1522)</f>
        <v>47.95</v>
      </c>
      <c r="D1522" s="3">
        <f>ROUND(C1522*(1-Settings!$B$2),2)</f>
        <v>33.57</v>
      </c>
      <c r="E1522" s="3">
        <f>ROUND(C1522*(1-Settings!$B$3),2)</f>
        <v>33.57</v>
      </c>
      <c r="F1522" s="2" t="inlineStr">
        <is>
          <t>Pokemon</t>
        </is>
      </c>
      <c r="G1522" s="2" t="inlineStr">
        <is>
          <t>Coffret</t>
        </is>
      </c>
      <c r="H1522" s="2" t="inlineStr">
        <is>
          <t>Miscellaneous Cards &amp; Products</t>
        </is>
      </c>
      <c r="I1522" s="3" t="n"/>
      <c r="J1522" s="3" t="n">
        <v>39.26</v>
      </c>
      <c r="K1522" s="3" t="n">
        <v>47.95</v>
      </c>
      <c r="L1522" s="3" t="n">
        <v>47.95</v>
      </c>
      <c r="M1522" s="2" t="inlineStr">
        <is>
          <t>TCGplayer</t>
        </is>
      </c>
      <c r="O1522" s="4" t="inlineStr">
        <is>
          <t>https://www.tcgplayer.com/product/497389</t>
        </is>
      </c>
    </row>
    <row r="1523">
      <c r="A1523" s="2" t="inlineStr">
        <is>
          <t>Paldea Legends Tin [Miraidon ex] (International Version)</t>
        </is>
      </c>
      <c r="B1523" s="3">
        <f>IF(I1523&lt;&gt;"",I1523,IF(J1523&lt;&gt;"",J1523,IF(K1523&lt;&gt;"",K1523,L1523)))</f>
        <v>53.02</v>
      </c>
      <c r="C1523" s="3">
        <f>MEDIAN(I1523:L1523)</f>
        <v>53.02</v>
      </c>
      <c r="D1523" s="3">
        <f>ROUND(C1523*(1-Settings!$B$2),2)</f>
        <v>37.11</v>
      </c>
      <c r="E1523" s="3">
        <f>ROUND(C1523*(1-Settings!$B$3),2)</f>
        <v>37.11</v>
      </c>
      <c r="F1523" s="2" t="inlineStr">
        <is>
          <t>Pokemon</t>
        </is>
      </c>
      <c r="G1523" s="2" t="inlineStr">
        <is>
          <t>Coffret</t>
        </is>
      </c>
      <c r="H1523" s="2" t="inlineStr">
        <is>
          <t>Miscellaneous Cards &amp; Products</t>
        </is>
      </c>
      <c r="I1523" s="3" t="n"/>
      <c r="J1523" s="3" t="n">
        <v>53.02</v>
      </c>
      <c r="K1523" s="3" t="n">
        <v>56.87</v>
      </c>
      <c r="L1523" s="3" t="n">
        <v>49.99</v>
      </c>
      <c r="M1523" s="2" t="inlineStr">
        <is>
          <t>TCGplayer</t>
        </is>
      </c>
      <c r="O1523" s="4" t="inlineStr">
        <is>
          <t>https://www.tcgplayer.com/product/497388</t>
        </is>
      </c>
    </row>
    <row r="1524">
      <c r="A1524" s="2" t="inlineStr">
        <is>
          <t>Paldea Legends Tins [Bundle of 2]</t>
        </is>
      </c>
      <c r="B1524" s="3">
        <f>IF(I1524&lt;&gt;"",I1524,IF(J1524&lt;&gt;"",J1524,IF(K1524&lt;&gt;"",K1524,L1524)))</f>
        <v>89.99</v>
      </c>
      <c r="C1524" s="3">
        <f>MEDIAN(I1524:L1524)</f>
        <v>89.99</v>
      </c>
      <c r="D1524" s="3">
        <f>ROUND(C1524*(1-Settings!$B$2),2)</f>
        <v>62.99</v>
      </c>
      <c r="E1524" s="3">
        <f>ROUND(C1524*(1-Settings!$B$3),2)</f>
        <v>62.99</v>
      </c>
      <c r="F1524" s="2" t="inlineStr">
        <is>
          <t>Pokemon</t>
        </is>
      </c>
      <c r="G1524" s="2" t="inlineStr">
        <is>
          <t>Coffret</t>
        </is>
      </c>
      <c r="H1524" s="2" t="inlineStr">
        <is>
          <t>Miscellaneous Cards &amp; Products</t>
        </is>
      </c>
      <c r="I1524" s="3" t="n"/>
      <c r="J1524" s="3" t="n">
        <v>89.98999999999999</v>
      </c>
      <c r="K1524" s="3" t="n"/>
      <c r="L1524" s="3" t="n"/>
      <c r="M1524" s="2" t="inlineStr">
        <is>
          <t>TCGplayer</t>
        </is>
      </c>
      <c r="O1524" s="4" t="inlineStr">
        <is>
          <t>https://www.tcgplayer.com/product/509570</t>
        </is>
      </c>
    </row>
    <row r="1525">
      <c r="A1525" s="2" t="inlineStr">
        <is>
          <t>Paldea Legends Tins [Bundle of 2] (International Version)</t>
        </is>
      </c>
      <c r="B1525" s="3">
        <f>IF(I1525&lt;&gt;"",I1525,IF(J1525&lt;&gt;"",J1525,IF(K1525&lt;&gt;"",K1525,L1525)))</f>
        <v>87.48</v>
      </c>
      <c r="C1525" s="3">
        <f>MEDIAN(I1525:L1525)</f>
        <v>87.48</v>
      </c>
      <c r="D1525" s="3">
        <f>ROUND(C1525*(1-Settings!$B$2),2)</f>
        <v>61.24</v>
      </c>
      <c r="E1525" s="3">
        <f>ROUND(C1525*(1-Settings!$B$3),2)</f>
        <v>61.24</v>
      </c>
      <c r="F1525" s="2" t="inlineStr">
        <is>
          <t>Pokemon</t>
        </is>
      </c>
      <c r="G1525" s="2" t="inlineStr">
        <is>
          <t>Coffret</t>
        </is>
      </c>
      <c r="H1525" s="2" t="inlineStr">
        <is>
          <t>Miscellaneous Cards &amp; Products</t>
        </is>
      </c>
      <c r="I1525" s="3" t="n"/>
      <c r="J1525" s="3" t="n">
        <v>87.48</v>
      </c>
      <c r="K1525" s="3" t="n"/>
      <c r="L1525" s="3" t="n"/>
      <c r="M1525" s="2" t="inlineStr">
        <is>
          <t>TCGplayer</t>
        </is>
      </c>
      <c r="O1525" s="4" t="inlineStr">
        <is>
          <t>https://www.tcgplayer.com/product/543171</t>
        </is>
      </c>
    </row>
    <row r="1526">
      <c r="A1526" s="2" t="inlineStr">
        <is>
          <t>Paldea Partners Tin [Meowscarada ex]</t>
        </is>
      </c>
      <c r="B1526" s="3">
        <f>IF(I1526&lt;&gt;"",I1526,IF(J1526&lt;&gt;"",J1526,IF(K1526&lt;&gt;"",K1526,L1526)))</f>
        <v>50.19</v>
      </c>
      <c r="C1526" s="3">
        <f>MEDIAN(I1526:L1526)</f>
        <v>50.19</v>
      </c>
      <c r="D1526" s="3">
        <f>ROUND(C1526*(1-Settings!$B$2),2)</f>
        <v>35.13</v>
      </c>
      <c r="E1526" s="3">
        <f>ROUND(C1526*(1-Settings!$B$3),2)</f>
        <v>35.13</v>
      </c>
      <c r="F1526" s="2" t="inlineStr">
        <is>
          <t>Pokemon</t>
        </is>
      </c>
      <c r="G1526" s="2" t="inlineStr">
        <is>
          <t>Coffret</t>
        </is>
      </c>
      <c r="H1526" s="2" t="inlineStr">
        <is>
          <t>Miscellaneous Cards &amp; Products</t>
        </is>
      </c>
      <c r="I1526" s="3" t="n"/>
      <c r="J1526" s="3" t="n">
        <v>50.19</v>
      </c>
      <c r="K1526" s="3" t="n">
        <v>63.23</v>
      </c>
      <c r="L1526" s="3" t="n">
        <v>49.99</v>
      </c>
      <c r="M1526" s="2" t="inlineStr">
        <is>
          <t>TCGplayer</t>
        </is>
      </c>
      <c r="O1526" s="4" t="inlineStr">
        <is>
          <t>https://www.tcgplayer.com/product/504330</t>
        </is>
      </c>
    </row>
    <row r="1527">
      <c r="A1527" s="2" t="inlineStr">
        <is>
          <t>Paldea Partners Tin [Quaquaval ex]</t>
        </is>
      </c>
      <c r="B1527" s="3">
        <f>IF(I1527&lt;&gt;"",I1527,IF(J1527&lt;&gt;"",J1527,IF(K1527&lt;&gt;"",K1527,L1527)))</f>
        <v>41.62</v>
      </c>
      <c r="C1527" s="3">
        <f>MEDIAN(I1527:L1527)</f>
        <v>44.99</v>
      </c>
      <c r="D1527" s="3">
        <f>ROUND(C1527*(1-Settings!$B$2),2)</f>
        <v>31.49</v>
      </c>
      <c r="E1527" s="3">
        <f>ROUND(C1527*(1-Settings!$B$3),2)</f>
        <v>31.49</v>
      </c>
      <c r="F1527" s="2" t="inlineStr">
        <is>
          <t>Pokemon</t>
        </is>
      </c>
      <c r="G1527" s="2" t="inlineStr">
        <is>
          <t>Coffret</t>
        </is>
      </c>
      <c r="H1527" s="2" t="inlineStr">
        <is>
          <t>Miscellaneous Cards &amp; Products</t>
        </is>
      </c>
      <c r="I1527" s="3" t="n"/>
      <c r="J1527" s="3" t="n">
        <v>41.62</v>
      </c>
      <c r="K1527" s="3" t="n">
        <v>59.98</v>
      </c>
      <c r="L1527" s="3" t="n">
        <v>44.99</v>
      </c>
      <c r="M1527" s="2" t="inlineStr">
        <is>
          <t>TCGplayer</t>
        </is>
      </c>
      <c r="O1527" s="4" t="inlineStr">
        <is>
          <t>https://www.tcgplayer.com/product/504438</t>
        </is>
      </c>
    </row>
    <row r="1528">
      <c r="A1528" s="2" t="inlineStr">
        <is>
          <t>Paldea Partners Tin [Quaquaval ex] [International]</t>
        </is>
      </c>
      <c r="B1528" s="3">
        <f>IF(I1528&lt;&gt;"",I1528,IF(J1528&lt;&gt;"",J1528,IF(K1528&lt;&gt;"",K1528,L1528)))</f>
        <v>49.59</v>
      </c>
      <c r="C1528" s="3">
        <f>MEDIAN(I1528:L1528)</f>
        <v>53.97</v>
      </c>
      <c r="D1528" s="3">
        <f>ROUND(C1528*(1-Settings!$B$2),2)</f>
        <v>37.78</v>
      </c>
      <c r="E1528" s="3">
        <f>ROUND(C1528*(1-Settings!$B$3),2)</f>
        <v>37.78</v>
      </c>
      <c r="F1528" s="2" t="inlineStr">
        <is>
          <t>Pokemon</t>
        </is>
      </c>
      <c r="G1528" s="2" t="inlineStr">
        <is>
          <t>Coffret</t>
        </is>
      </c>
      <c r="H1528" s="2" t="inlineStr">
        <is>
          <t>Miscellaneous Cards &amp; Products</t>
        </is>
      </c>
      <c r="I1528" s="3" t="n"/>
      <c r="J1528" s="3" t="n">
        <v>49.59</v>
      </c>
      <c r="K1528" s="3" t="n">
        <v>59.97</v>
      </c>
      <c r="L1528" s="3" t="n">
        <v>53.97</v>
      </c>
      <c r="M1528" s="2" t="inlineStr">
        <is>
          <t>TCGplayer</t>
        </is>
      </c>
      <c r="O1528" s="4" t="inlineStr">
        <is>
          <t>https://www.tcgplayer.com/product/504442</t>
        </is>
      </c>
    </row>
    <row r="1529">
      <c r="A1529" s="2" t="inlineStr">
        <is>
          <t>Paldea Partners Tin [Set of 3]</t>
        </is>
      </c>
      <c r="B1529" s="3">
        <f>IF(I1529&lt;&gt;"",I1529,IF(J1529&lt;&gt;"",J1529,IF(K1529&lt;&gt;"",K1529,L1529)))</f>
        <v>136.18</v>
      </c>
      <c r="C1529" s="3">
        <f>MEDIAN(I1529:L1529)</f>
        <v>164.98</v>
      </c>
      <c r="D1529" s="3">
        <f>ROUND(C1529*(1-Settings!$B$2),2)</f>
        <v>115.49</v>
      </c>
      <c r="E1529" s="3">
        <f>ROUND(C1529*(1-Settings!$B$3),2)</f>
        <v>115.49</v>
      </c>
      <c r="F1529" s="2" t="inlineStr">
        <is>
          <t>Pokemon</t>
        </is>
      </c>
      <c r="G1529" s="2" t="inlineStr">
        <is>
          <t>Coffret</t>
        </is>
      </c>
      <c r="H1529" s="2" t="inlineStr">
        <is>
          <t>Miscellaneous Cards &amp; Products</t>
        </is>
      </c>
      <c r="I1529" s="3" t="n"/>
      <c r="J1529" s="3" t="n">
        <v>136.18</v>
      </c>
      <c r="K1529" s="3" t="n">
        <v>164.98</v>
      </c>
      <c r="L1529" s="3" t="n">
        <v>164.98</v>
      </c>
      <c r="M1529" s="2" t="inlineStr">
        <is>
          <t>TCGplayer</t>
        </is>
      </c>
      <c r="O1529" s="4" t="inlineStr">
        <is>
          <t>https://www.tcgplayer.com/product/517101</t>
        </is>
      </c>
    </row>
    <row r="1530">
      <c r="A1530" s="2" t="inlineStr">
        <is>
          <t>Paldea Partners Tin [Skeledirge ex]</t>
        </is>
      </c>
      <c r="B1530" s="3">
        <f>IF(I1530&lt;&gt;"",I1530,IF(J1530&lt;&gt;"",J1530,IF(K1530&lt;&gt;"",K1530,L1530)))</f>
        <v>47.6</v>
      </c>
      <c r="C1530" s="3">
        <f>MEDIAN(I1530:L1530)</f>
        <v>49.99</v>
      </c>
      <c r="D1530" s="3">
        <f>ROUND(C1530*(1-Settings!$B$2),2)</f>
        <v>34.99</v>
      </c>
      <c r="E1530" s="3">
        <f>ROUND(C1530*(1-Settings!$B$3),2)</f>
        <v>34.99</v>
      </c>
      <c r="F1530" s="2" t="inlineStr">
        <is>
          <t>Pokemon</t>
        </is>
      </c>
      <c r="G1530" s="2" t="inlineStr">
        <is>
          <t>Coffret</t>
        </is>
      </c>
      <c r="H1530" s="2" t="inlineStr">
        <is>
          <t>Miscellaneous Cards &amp; Products</t>
        </is>
      </c>
      <c r="I1530" s="3" t="n"/>
      <c r="J1530" s="3" t="n">
        <v>47.6</v>
      </c>
      <c r="K1530" s="3" t="n">
        <v>68.95999999999999</v>
      </c>
      <c r="L1530" s="3" t="n">
        <v>49.99</v>
      </c>
      <c r="M1530" s="2" t="inlineStr">
        <is>
          <t>TCGplayer</t>
        </is>
      </c>
      <c r="O1530" s="4" t="inlineStr">
        <is>
          <t>https://www.tcgplayer.com/product/504431</t>
        </is>
      </c>
    </row>
    <row r="1531">
      <c r="A1531" s="2" t="inlineStr">
        <is>
          <t>Paldea Partners Tin [Skeledirge ex] [International Edition]</t>
        </is>
      </c>
      <c r="B1531" s="3">
        <f>IF(I1531&lt;&gt;"",I1531,IF(J1531&lt;&gt;"",J1531,IF(K1531&lt;&gt;"",K1531,L1531)))</f>
        <v>62.99</v>
      </c>
      <c r="C1531" s="3">
        <f>MEDIAN(I1531:L1531)</f>
        <v>59.84</v>
      </c>
      <c r="D1531" s="3">
        <f>ROUND(C1531*(1-Settings!$B$2),2)</f>
        <v>41.89</v>
      </c>
      <c r="E1531" s="3">
        <f>ROUND(C1531*(1-Settings!$B$3),2)</f>
        <v>41.89</v>
      </c>
      <c r="F1531" s="2" t="inlineStr">
        <is>
          <t>Pokemon</t>
        </is>
      </c>
      <c r="G1531" s="2" t="inlineStr">
        <is>
          <t>Coffret</t>
        </is>
      </c>
      <c r="H1531" s="2" t="inlineStr">
        <is>
          <t>Miscellaneous Cards &amp; Products</t>
        </is>
      </c>
      <c r="I1531" s="3" t="n"/>
      <c r="J1531" s="3" t="n"/>
      <c r="K1531" s="3" t="n">
        <v>62.99</v>
      </c>
      <c r="L1531" s="3" t="n">
        <v>56.69</v>
      </c>
      <c r="M1531" s="2" t="inlineStr">
        <is>
          <t>TCGplayer</t>
        </is>
      </c>
      <c r="O1531" s="4" t="inlineStr">
        <is>
          <t>https://www.tcgplayer.com/product/504435</t>
        </is>
      </c>
    </row>
    <row r="1532">
      <c r="A1532" s="2" t="inlineStr">
        <is>
          <t>Paradox Clash Tin [Iron Leaves ex]</t>
        </is>
      </c>
      <c r="B1532" s="3">
        <f>IF(I1532&lt;&gt;"",I1532,IF(J1532&lt;&gt;"",J1532,IF(K1532&lt;&gt;"",K1532,L1532)))</f>
        <v>37.12</v>
      </c>
      <c r="C1532" s="3">
        <f>MEDIAN(I1532:L1532)</f>
        <v>37.12</v>
      </c>
      <c r="D1532" s="3">
        <f>ROUND(C1532*(1-Settings!$B$2),2)</f>
        <v>25.98</v>
      </c>
      <c r="E1532" s="3">
        <f>ROUND(C1532*(1-Settings!$B$3),2)</f>
        <v>25.98</v>
      </c>
      <c r="F1532" s="2" t="inlineStr">
        <is>
          <t>Pokemon</t>
        </is>
      </c>
      <c r="G1532" s="2" t="inlineStr">
        <is>
          <t>Coffret</t>
        </is>
      </c>
      <c r="H1532" s="2" t="inlineStr">
        <is>
          <t>Miscellaneous Cards &amp; Products</t>
        </is>
      </c>
      <c r="I1532" s="3" t="n"/>
      <c r="J1532" s="3" t="n">
        <v>37.12</v>
      </c>
      <c r="K1532" s="3" t="n">
        <v>40</v>
      </c>
      <c r="L1532" s="3" t="n">
        <v>10</v>
      </c>
      <c r="M1532" s="2" t="inlineStr">
        <is>
          <t>TCGplayer</t>
        </is>
      </c>
      <c r="O1532" s="4" t="inlineStr">
        <is>
          <t>https://www.tcgplayer.com/product/544241</t>
        </is>
      </c>
    </row>
    <row r="1533">
      <c r="A1533" s="2" t="inlineStr">
        <is>
          <t>Paradox Clash Tin [Walking Wake ex]</t>
        </is>
      </c>
      <c r="B1533" s="3">
        <f>IF(I1533&lt;&gt;"",I1533,IF(J1533&lt;&gt;"",J1533,IF(K1533&lt;&gt;"",K1533,L1533)))</f>
        <v>37.86</v>
      </c>
      <c r="C1533" s="3">
        <f>MEDIAN(I1533:L1533)</f>
        <v>37.86</v>
      </c>
      <c r="D1533" s="3">
        <f>ROUND(C1533*(1-Settings!$B$2),2)</f>
        <v>26.5</v>
      </c>
      <c r="E1533" s="3">
        <f>ROUND(C1533*(1-Settings!$B$3),2)</f>
        <v>26.5</v>
      </c>
      <c r="F1533" s="2" t="inlineStr">
        <is>
          <t>Pokemon</t>
        </is>
      </c>
      <c r="G1533" s="2" t="inlineStr">
        <is>
          <t>Coffret</t>
        </is>
      </c>
      <c r="H1533" s="2" t="inlineStr">
        <is>
          <t>Miscellaneous Cards &amp; Products</t>
        </is>
      </c>
      <c r="I1533" s="3" t="n"/>
      <c r="J1533" s="3" t="n">
        <v>37.86</v>
      </c>
      <c r="K1533" s="3" t="n">
        <v>41.85</v>
      </c>
      <c r="L1533" s="3" t="n">
        <v>37.58</v>
      </c>
      <c r="M1533" s="2" t="inlineStr">
        <is>
          <t>TCGplayer</t>
        </is>
      </c>
      <c r="O1533" s="4" t="inlineStr">
        <is>
          <t>https://www.tcgplayer.com/product/544239</t>
        </is>
      </c>
    </row>
    <row r="1534">
      <c r="A1534" s="2" t="inlineStr">
        <is>
          <t>Paradox Destinies Tin [Iron Boulder ex]</t>
        </is>
      </c>
      <c r="B1534" s="3">
        <f>IF(I1534&lt;&gt;"",I1534,IF(J1534&lt;&gt;"",J1534,IF(K1534&lt;&gt;"",K1534,L1534)))</f>
        <v>37.65</v>
      </c>
      <c r="C1534" s="3">
        <f>MEDIAN(I1534:L1534)</f>
        <v>37.65</v>
      </c>
      <c r="D1534" s="3">
        <f>ROUND(C1534*(1-Settings!$B$2),2)</f>
        <v>26.36</v>
      </c>
      <c r="E1534" s="3">
        <f>ROUND(C1534*(1-Settings!$B$3),2)</f>
        <v>26.36</v>
      </c>
      <c r="F1534" s="2" t="inlineStr">
        <is>
          <t>Pokemon</t>
        </is>
      </c>
      <c r="G1534" s="2" t="inlineStr">
        <is>
          <t>Coffret</t>
        </is>
      </c>
      <c r="H1534" s="2" t="inlineStr">
        <is>
          <t>Miscellaneous Cards &amp; Products</t>
        </is>
      </c>
      <c r="I1534" s="3" t="n"/>
      <c r="J1534" s="3" t="n">
        <v>37.65</v>
      </c>
      <c r="K1534" s="3" t="n">
        <v>42.49</v>
      </c>
      <c r="L1534" s="3" t="n">
        <v>5</v>
      </c>
      <c r="M1534" s="2" t="inlineStr">
        <is>
          <t>TCGplayer</t>
        </is>
      </c>
      <c r="O1534" s="4" t="inlineStr">
        <is>
          <t>https://www.tcgplayer.com/product/562356</t>
        </is>
      </c>
    </row>
    <row r="1535">
      <c r="A1535" s="2" t="inlineStr">
        <is>
          <t>Paradox Destinies Tin [Raging Bolt ex]</t>
        </is>
      </c>
      <c r="B1535" s="3">
        <f>IF(I1535&lt;&gt;"",I1535,IF(J1535&lt;&gt;"",J1535,IF(K1535&lt;&gt;"",K1535,L1535)))</f>
        <v>39.95</v>
      </c>
      <c r="C1535" s="3">
        <f>MEDIAN(I1535:L1535)</f>
        <v>42.68</v>
      </c>
      <c r="D1535" s="3">
        <f>ROUND(C1535*(1-Settings!$B$2),2)</f>
        <v>29.88</v>
      </c>
      <c r="E1535" s="3">
        <f>ROUND(C1535*(1-Settings!$B$3),2)</f>
        <v>29.88</v>
      </c>
      <c r="F1535" s="2" t="inlineStr">
        <is>
          <t>Pokemon</t>
        </is>
      </c>
      <c r="G1535" s="2" t="inlineStr">
        <is>
          <t>Coffret</t>
        </is>
      </c>
      <c r="H1535" s="2" t="inlineStr">
        <is>
          <t>Miscellaneous Cards &amp; Products</t>
        </is>
      </c>
      <c r="I1535" s="3" t="n"/>
      <c r="J1535" s="3" t="n">
        <v>39.95</v>
      </c>
      <c r="K1535" s="3" t="n">
        <v>45</v>
      </c>
      <c r="L1535" s="3" t="n">
        <v>42.68</v>
      </c>
      <c r="M1535" s="2" t="inlineStr">
        <is>
          <t>TCGplayer</t>
        </is>
      </c>
      <c r="O1535" s="4" t="inlineStr">
        <is>
          <t>https://www.tcgplayer.com/product/562357</t>
        </is>
      </c>
    </row>
    <row r="1536">
      <c r="A1536" s="2" t="inlineStr">
        <is>
          <t>Paradox Fury Premium Collection</t>
        </is>
      </c>
      <c r="B1536" s="3">
        <f>IF(I1536&lt;&gt;"",I1536,IF(J1536&lt;&gt;"",J1536,IF(K1536&lt;&gt;"",K1536,L1536)))</f>
        <v>77.0</v>
      </c>
      <c r="C1536" s="3">
        <f>MEDIAN(I1536:L1536)</f>
        <v>114.99</v>
      </c>
      <c r="D1536" s="3">
        <f>ROUND(C1536*(1-Settings!$B$2),2)</f>
        <v>80.49</v>
      </c>
      <c r="E1536" s="3">
        <f>ROUND(C1536*(1-Settings!$B$3),2)</f>
        <v>80.49</v>
      </c>
      <c r="F1536" s="2" t="inlineStr">
        <is>
          <t>Pokemon</t>
        </is>
      </c>
      <c r="G1536" s="2" t="inlineStr">
        <is>
          <t>Coffret</t>
        </is>
      </c>
      <c r="H1536" s="2" t="inlineStr">
        <is>
          <t>Miscellaneous Cards &amp; Products</t>
        </is>
      </c>
      <c r="I1536" s="3" t="n"/>
      <c r="J1536" s="3" t="n">
        <v>77</v>
      </c>
      <c r="K1536" s="3" t="n">
        <v>114.99</v>
      </c>
      <c r="L1536" s="3" t="n">
        <v>114.99</v>
      </c>
      <c r="M1536" s="2" t="inlineStr">
        <is>
          <t>TCGplayer</t>
        </is>
      </c>
      <c r="O1536" s="4" t="inlineStr">
        <is>
          <t>https://www.tcgplayer.com/product/575185</t>
        </is>
      </c>
    </row>
    <row r="1537">
      <c r="A1537" s="2" t="inlineStr">
        <is>
          <t>Paradox Powers ex Special Collection</t>
        </is>
      </c>
      <c r="B1537" s="3">
        <f>IF(I1537&lt;&gt;"",I1537,IF(J1537&lt;&gt;"",J1537,IF(K1537&lt;&gt;"",K1537,L1537)))</f>
        <v>110.49</v>
      </c>
      <c r="C1537" s="3">
        <f>MEDIAN(I1537:L1537)</f>
        <v>107.745</v>
      </c>
      <c r="D1537" s="3">
        <f>ROUND(C1537*(1-Settings!$B$2),2)</f>
        <v>75.42</v>
      </c>
      <c r="E1537" s="3">
        <f>ROUND(C1537*(1-Settings!$B$3),2)</f>
        <v>75.42</v>
      </c>
      <c r="F1537" s="2" t="inlineStr">
        <is>
          <t>Pokemon</t>
        </is>
      </c>
      <c r="G1537" s="2" t="inlineStr">
        <is>
          <t>Coffret</t>
        </is>
      </c>
      <c r="H1537" s="2" t="inlineStr">
        <is>
          <t>Miscellaneous Cards &amp; Products</t>
        </is>
      </c>
      <c r="I1537" s="3" t="n"/>
      <c r="J1537" s="3" t="n"/>
      <c r="K1537" s="3" t="n">
        <v>110.49</v>
      </c>
      <c r="L1537" s="3" t="n">
        <v>105</v>
      </c>
      <c r="M1537" s="2" t="inlineStr">
        <is>
          <t>TCGplayer</t>
        </is>
      </c>
      <c r="O1537" s="4" t="inlineStr">
        <is>
          <t>https://www.tcgplayer.com/product/621096</t>
        </is>
      </c>
    </row>
    <row r="1538">
      <c r="A1538" s="2" t="inlineStr">
        <is>
          <t>Paradox Wisdom Premium Collection</t>
        </is>
      </c>
      <c r="B1538" s="3">
        <f>IF(I1538&lt;&gt;"",I1538,IF(J1538&lt;&gt;"",J1538,IF(K1538&lt;&gt;"",K1538,L1538)))</f>
        <v>68.89</v>
      </c>
      <c r="C1538" s="3">
        <f>MEDIAN(I1538:L1538)</f>
        <v>85.0</v>
      </c>
      <c r="D1538" s="3">
        <f>ROUND(C1538*(1-Settings!$B$2),2)</f>
        <v>59.5</v>
      </c>
      <c r="E1538" s="3">
        <f>ROUND(C1538*(1-Settings!$B$3),2)</f>
        <v>59.5</v>
      </c>
      <c r="F1538" s="2" t="inlineStr">
        <is>
          <t>Pokemon</t>
        </is>
      </c>
      <c r="G1538" s="2" t="inlineStr">
        <is>
          <t>Coffret</t>
        </is>
      </c>
      <c r="H1538" s="2" t="inlineStr">
        <is>
          <t>Miscellaneous Cards &amp; Products</t>
        </is>
      </c>
      <c r="I1538" s="3" t="n"/>
      <c r="J1538" s="3" t="n">
        <v>68.89</v>
      </c>
      <c r="K1538" s="3" t="n">
        <v>92.5</v>
      </c>
      <c r="L1538" s="3" t="n">
        <v>85</v>
      </c>
      <c r="M1538" s="2" t="inlineStr">
        <is>
          <t>TCGplayer</t>
        </is>
      </c>
      <c r="O1538" s="4" t="inlineStr">
        <is>
          <t>https://www.tcgplayer.com/product/583521</t>
        </is>
      </c>
    </row>
    <row r="1539">
      <c r="A1539" s="2" t="inlineStr">
        <is>
          <t>Pikachu &amp; Eevee Poke Ball Collection</t>
        </is>
      </c>
      <c r="B1539" s="3">
        <f>IF(I1539&lt;&gt;"",I1539,IF(J1539&lt;&gt;"",J1539,IF(K1539&lt;&gt;"",K1539,L1539)))</f>
        <v>257.91</v>
      </c>
      <c r="C1539" s="3">
        <f>MEDIAN(I1539:L1539)</f>
        <v>329.99</v>
      </c>
      <c r="D1539" s="3">
        <f>ROUND(C1539*(1-Settings!$B$2),2)</f>
        <v>230.99</v>
      </c>
      <c r="E1539" s="3">
        <f>ROUND(C1539*(1-Settings!$B$3),2)</f>
        <v>230.99</v>
      </c>
      <c r="F1539" s="2" t="inlineStr">
        <is>
          <t>Pokemon</t>
        </is>
      </c>
      <c r="G1539" s="2" t="inlineStr">
        <is>
          <t>Coffret</t>
        </is>
      </c>
      <c r="H1539" s="2" t="inlineStr">
        <is>
          <t>Miscellaneous Cards &amp; Products</t>
        </is>
      </c>
      <c r="I1539" s="3" t="n"/>
      <c r="J1539" s="3" t="n">
        <v>257.91</v>
      </c>
      <c r="K1539" s="3" t="n">
        <v>364.99</v>
      </c>
      <c r="L1539" s="3" t="n">
        <v>329.99</v>
      </c>
      <c r="M1539" s="2" t="inlineStr">
        <is>
          <t>TCGplayer</t>
        </is>
      </c>
      <c r="O1539" s="4" t="inlineStr">
        <is>
          <t>https://www.tcgplayer.com/product/179376</t>
        </is>
      </c>
    </row>
    <row r="1540">
      <c r="A1540" s="2" t="inlineStr">
        <is>
          <t>Pikachu &amp; Zekrom GX Premium Collection</t>
        </is>
      </c>
      <c r="B1540" s="3">
        <f>IF(I1540&lt;&gt;"",I1540,IF(J1540&lt;&gt;"",J1540,IF(K1540&lt;&gt;"",K1540,L1540)))</f>
        <v>295.25</v>
      </c>
      <c r="C1540" s="3">
        <f>MEDIAN(I1540:L1540)</f>
        <v>295.25</v>
      </c>
      <c r="D1540" s="3">
        <f>ROUND(C1540*(1-Settings!$B$2),2)</f>
        <v>206.68</v>
      </c>
      <c r="E1540" s="3">
        <f>ROUND(C1540*(1-Settings!$B$3),2)</f>
        <v>206.68</v>
      </c>
      <c r="F1540" s="2" t="inlineStr">
        <is>
          <t>Pokemon</t>
        </is>
      </c>
      <c r="G1540" s="2" t="inlineStr">
        <is>
          <t>Coffret</t>
        </is>
      </c>
      <c r="H1540" s="2" t="inlineStr">
        <is>
          <t>Miscellaneous Cards &amp; Products</t>
        </is>
      </c>
      <c r="I1540" s="3" t="n"/>
      <c r="J1540" s="3" t="n">
        <v>295.25</v>
      </c>
      <c r="K1540" s="3" t="n">
        <v>310</v>
      </c>
      <c r="L1540" s="3" t="n">
        <v>280</v>
      </c>
      <c r="M1540" s="2" t="inlineStr">
        <is>
          <t>TCGplayer</t>
        </is>
      </c>
      <c r="O1540" s="4" t="inlineStr">
        <is>
          <t>https://www.tcgplayer.com/product/253396</t>
        </is>
      </c>
    </row>
    <row r="1541">
      <c r="A1541" s="2" t="inlineStr">
        <is>
          <t>Pikachu V Box</t>
        </is>
      </c>
      <c r="B1541" s="3">
        <f>IF(I1541&lt;&gt;"",I1541,IF(J1541&lt;&gt;"",J1541,IF(K1541&lt;&gt;"",K1541,L1541)))</f>
        <v>71.14</v>
      </c>
      <c r="C1541" s="3">
        <f>MEDIAN(I1541:L1541)</f>
        <v>75.0</v>
      </c>
      <c r="D1541" s="3">
        <f>ROUND(C1541*(1-Settings!$B$2),2)</f>
        <v>52.5</v>
      </c>
      <c r="E1541" s="3">
        <f>ROUND(C1541*(1-Settings!$B$3),2)</f>
        <v>52.5</v>
      </c>
      <c r="F1541" s="2" t="inlineStr">
        <is>
          <t>Pokemon</t>
        </is>
      </c>
      <c r="G1541" s="2" t="inlineStr">
        <is>
          <t>Coffret</t>
        </is>
      </c>
      <c r="H1541" s="2" t="inlineStr">
        <is>
          <t>Miscellaneous Cards &amp; Products</t>
        </is>
      </c>
      <c r="I1541" s="3" t="n"/>
      <c r="J1541" s="3" t="n">
        <v>71.14</v>
      </c>
      <c r="K1541" s="3" t="n">
        <v>97.48</v>
      </c>
      <c r="L1541" s="3" t="n">
        <v>75</v>
      </c>
      <c r="M1541" s="2" t="inlineStr">
        <is>
          <t>TCGplayer</t>
        </is>
      </c>
      <c r="O1541" s="4" t="inlineStr">
        <is>
          <t>https://www.tcgplayer.com/product/260709</t>
        </is>
      </c>
    </row>
    <row r="1542">
      <c r="A1542" s="2" t="inlineStr">
        <is>
          <t>Poke Ball with Two Mini Tins (Sam's Club)</t>
        </is>
      </c>
      <c r="B1542" s="3">
        <f>IF(I1542&lt;&gt;"",I1542,IF(J1542&lt;&gt;"",J1542,IF(K1542&lt;&gt;"",K1542,L1542)))</f>
        <v>289.99</v>
      </c>
      <c r="C1542" s="3">
        <f>MEDIAN(I1542:L1542)</f>
        <v>289.99</v>
      </c>
      <c r="D1542" s="3">
        <f>ROUND(C1542*(1-Settings!$B$2),2)</f>
        <v>202.99</v>
      </c>
      <c r="E1542" s="3">
        <f>ROUND(C1542*(1-Settings!$B$3),2)</f>
        <v>202.99</v>
      </c>
      <c r="F1542" s="2" t="inlineStr">
        <is>
          <t>Pokemon</t>
        </is>
      </c>
      <c r="G1542" s="2" t="inlineStr">
        <is>
          <t>Coffret</t>
        </is>
      </c>
      <c r="H1542" s="2" t="inlineStr">
        <is>
          <t>Miscellaneous Cards &amp; Products</t>
        </is>
      </c>
      <c r="I1542" s="3" t="n"/>
      <c r="J1542" s="3" t="n"/>
      <c r="K1542" s="3" t="n">
        <v>289.99</v>
      </c>
      <c r="L1542" s="3" t="n">
        <v>289.99</v>
      </c>
      <c r="M1542" s="2" t="inlineStr">
        <is>
          <t>TCGplayer</t>
        </is>
      </c>
      <c r="O1542" s="4" t="inlineStr">
        <is>
          <t>https://www.tcgplayer.com/product/683004</t>
        </is>
      </c>
    </row>
    <row r="1543">
      <c r="A1543" s="2" t="inlineStr">
        <is>
          <t>Pokemon - Poke Ball Tin + 2 Kanto Power Mini Tins - Great Ball</t>
        </is>
      </c>
      <c r="B1543" s="3">
        <f>IF(I1543&lt;&gt;"",I1543,IF(J1543&lt;&gt;"",J1543,IF(K1543&lt;&gt;"",K1543,L1543)))</f>
        <v>1749.99</v>
      </c>
      <c r="C1543" s="3">
        <f>MEDIAN(I1543:L1543)</f>
        <v>1124.99</v>
      </c>
      <c r="D1543" s="3">
        <f>ROUND(C1543*(1-Settings!$B$2),2)</f>
        <v>787.49</v>
      </c>
      <c r="E1543" s="3">
        <f>ROUND(C1543*(1-Settings!$B$3),2)</f>
        <v>787.49</v>
      </c>
      <c r="F1543" s="2" t="inlineStr">
        <is>
          <t>Pokemon</t>
        </is>
      </c>
      <c r="G1543" s="2" t="inlineStr">
        <is>
          <t>Coffret</t>
        </is>
      </c>
      <c r="H1543" s="2" t="inlineStr">
        <is>
          <t>Miscellaneous Cards &amp; Products</t>
        </is>
      </c>
      <c r="I1543" s="3" t="n"/>
      <c r="J1543" s="3" t="n"/>
      <c r="K1543" s="3" t="n">
        <v>1749.99</v>
      </c>
      <c r="L1543" s="3" t="n">
        <v>499.99</v>
      </c>
      <c r="M1543" s="2" t="inlineStr">
        <is>
          <t>TCGplayer</t>
        </is>
      </c>
      <c r="O1543" s="4" t="inlineStr">
        <is>
          <t>https://www.tcgplayer.com/product/245518</t>
        </is>
      </c>
    </row>
    <row r="1544">
      <c r="A1544" s="2" t="inlineStr">
        <is>
          <t>Pokemon - Poke Ball Tin + 2 Kanto Power Mini Tins - Poke Ball</t>
        </is>
      </c>
      <c r="B1544" s="3">
        <f>IF(I1544&lt;&gt;"",I1544,IF(J1544&lt;&gt;"",J1544,IF(K1544&lt;&gt;"",K1544,L1544)))</f>
        <v>1750.0</v>
      </c>
      <c r="C1544" s="3">
        <f>MEDIAN(I1544:L1544)</f>
        <v>1125.0</v>
      </c>
      <c r="D1544" s="3">
        <f>ROUND(C1544*(1-Settings!$B$2),2)</f>
        <v>787.5</v>
      </c>
      <c r="E1544" s="3">
        <f>ROUND(C1544*(1-Settings!$B$3),2)</f>
        <v>787.5</v>
      </c>
      <c r="F1544" s="2" t="inlineStr">
        <is>
          <t>Pokemon</t>
        </is>
      </c>
      <c r="G1544" s="2" t="inlineStr">
        <is>
          <t>Coffret</t>
        </is>
      </c>
      <c r="H1544" s="2" t="inlineStr">
        <is>
          <t>Miscellaneous Cards &amp; Products</t>
        </is>
      </c>
      <c r="I1544" s="3" t="n"/>
      <c r="J1544" s="3" t="n"/>
      <c r="K1544" s="3" t="n">
        <v>1750</v>
      </c>
      <c r="L1544" s="3" t="n">
        <v>500</v>
      </c>
      <c r="M1544" s="2" t="inlineStr">
        <is>
          <t>TCGplayer</t>
        </is>
      </c>
      <c r="O1544" s="4" t="inlineStr">
        <is>
          <t>https://www.tcgplayer.com/product/245517</t>
        </is>
      </c>
    </row>
    <row r="1545">
      <c r="A1545" s="2" t="inlineStr">
        <is>
          <t>Pokemon - Poke Ball Tin + 2 Kanto Power Mini Tins - Premier Ball</t>
        </is>
      </c>
      <c r="B1545" s="3">
        <f>IF(I1545&lt;&gt;"",I1545,IF(J1545&lt;&gt;"",J1545,IF(K1545&lt;&gt;"",K1545,L1545)))</f>
        <v>1700.0</v>
      </c>
      <c r="C1545" s="3">
        <f>MEDIAN(I1545:L1545)</f>
        <v>1050.0</v>
      </c>
      <c r="D1545" s="3">
        <f>ROUND(C1545*(1-Settings!$B$2),2)</f>
        <v>735.0</v>
      </c>
      <c r="E1545" s="3">
        <f>ROUND(C1545*(1-Settings!$B$3),2)</f>
        <v>735.0</v>
      </c>
      <c r="F1545" s="2" t="inlineStr">
        <is>
          <t>Pokemon</t>
        </is>
      </c>
      <c r="G1545" s="2" t="inlineStr">
        <is>
          <t>Coffret</t>
        </is>
      </c>
      <c r="H1545" s="2" t="inlineStr">
        <is>
          <t>Miscellaneous Cards &amp; Products</t>
        </is>
      </c>
      <c r="I1545" s="3" t="n"/>
      <c r="J1545" s="3" t="n"/>
      <c r="K1545" s="3" t="n">
        <v>1700</v>
      </c>
      <c r="L1545" s="3" t="n">
        <v>400</v>
      </c>
      <c r="M1545" s="2" t="inlineStr">
        <is>
          <t>TCGplayer</t>
        </is>
      </c>
      <c r="O1545" s="4" t="inlineStr">
        <is>
          <t>https://www.tcgplayer.com/product/245520</t>
        </is>
      </c>
    </row>
    <row r="1546">
      <c r="A1546" s="2" t="inlineStr">
        <is>
          <t>Pokemon - Poke Ball Tin + 2 Kanto Power Mini Tins - Ultra Ball</t>
        </is>
      </c>
      <c r="B1546" s="3">
        <f>IF(I1546&lt;&gt;"",I1546,IF(J1546&lt;&gt;"",J1546,IF(K1546&lt;&gt;"",K1546,L1546)))</f>
        <v>3000.0</v>
      </c>
      <c r="C1546" s="3">
        <f>MEDIAN(I1546:L1546)</f>
        <v>1749.995</v>
      </c>
      <c r="D1546" s="3">
        <f>ROUND(C1546*(1-Settings!$B$2),2)</f>
        <v>1225.0</v>
      </c>
      <c r="E1546" s="3">
        <f>ROUND(C1546*(1-Settings!$B$3),2)</f>
        <v>1225.0</v>
      </c>
      <c r="F1546" s="2" t="inlineStr">
        <is>
          <t>Pokemon</t>
        </is>
      </c>
      <c r="G1546" s="2" t="inlineStr">
        <is>
          <t>Coffret</t>
        </is>
      </c>
      <c r="H1546" s="2" t="inlineStr">
        <is>
          <t>Miscellaneous Cards &amp; Products</t>
        </is>
      </c>
      <c r="I1546" s="3" t="n"/>
      <c r="J1546" s="3" t="n"/>
      <c r="K1546" s="3" t="n">
        <v>3000</v>
      </c>
      <c r="L1546" s="3" t="n">
        <v>499.99</v>
      </c>
      <c r="M1546" s="2" t="inlineStr">
        <is>
          <t>TCGplayer</t>
        </is>
      </c>
      <c r="O1546" s="4" t="inlineStr">
        <is>
          <t>https://www.tcgplayer.com/product/245521</t>
        </is>
      </c>
    </row>
    <row r="1547">
      <c r="A1547" s="2" t="inlineStr">
        <is>
          <t>Pokemon - Poke Ball Tin - Dive Ball</t>
        </is>
      </c>
      <c r="B1547" s="3">
        <f>IF(I1547&lt;&gt;"",I1547,IF(J1547&lt;&gt;"",J1547,IF(K1547&lt;&gt;"",K1547,L1547)))</f>
        <v>180.0</v>
      </c>
      <c r="C1547" s="3">
        <f>MEDIAN(I1547:L1547)</f>
        <v>220.0</v>
      </c>
      <c r="D1547" s="3">
        <f>ROUND(C1547*(1-Settings!$B$2),2)</f>
        <v>154.0</v>
      </c>
      <c r="E1547" s="3">
        <f>ROUND(C1547*(1-Settings!$B$3),2)</f>
        <v>154.0</v>
      </c>
      <c r="F1547" s="2" t="inlineStr">
        <is>
          <t>Pokemon</t>
        </is>
      </c>
      <c r="G1547" s="2" t="inlineStr">
        <is>
          <t>Coffret</t>
        </is>
      </c>
      <c r="H1547" s="2" t="inlineStr">
        <is>
          <t>Miscellaneous Cards &amp; Products</t>
        </is>
      </c>
      <c r="I1547" s="3" t="n"/>
      <c r="J1547" s="3" t="n">
        <v>180</v>
      </c>
      <c r="K1547" s="3" t="n">
        <v>220</v>
      </c>
      <c r="L1547" s="3" t="n">
        <v>220</v>
      </c>
      <c r="M1547" s="2" t="inlineStr">
        <is>
          <t>TCGplayer</t>
        </is>
      </c>
      <c r="O1547" s="4" t="inlineStr">
        <is>
          <t>https://www.tcgplayer.com/product/210170</t>
        </is>
      </c>
    </row>
    <row r="1548">
      <c r="A1548" s="2" t="inlineStr">
        <is>
          <t>Pokemon - Poke Ball Tin - Great Ball</t>
        </is>
      </c>
      <c r="B1548" s="3">
        <f>IF(I1548&lt;&gt;"",I1548,IF(J1548&lt;&gt;"",J1548,IF(K1548&lt;&gt;"",K1548,L1548)))</f>
        <v>25.54</v>
      </c>
      <c r="C1548" s="3">
        <f>MEDIAN(I1548:L1548)</f>
        <v>25.4</v>
      </c>
      <c r="D1548" s="3">
        <f>ROUND(C1548*(1-Settings!$B$2),2)</f>
        <v>17.78</v>
      </c>
      <c r="E1548" s="3">
        <f>ROUND(C1548*(1-Settings!$B$3),2)</f>
        <v>17.78</v>
      </c>
      <c r="F1548" s="2" t="inlineStr">
        <is>
          <t>Pokemon</t>
        </is>
      </c>
      <c r="G1548" s="2" t="inlineStr">
        <is>
          <t>Coffret</t>
        </is>
      </c>
      <c r="H1548" s="2" t="inlineStr">
        <is>
          <t>Miscellaneous Cards &amp; Products</t>
        </is>
      </c>
      <c r="I1548" s="3" t="n"/>
      <c r="J1548" s="3" t="n">
        <v>25.54</v>
      </c>
      <c r="K1548" s="3" t="n">
        <v>25.4</v>
      </c>
      <c r="L1548" s="3" t="n">
        <v>19.99</v>
      </c>
      <c r="M1548" s="2" t="inlineStr">
        <is>
          <t>TCGplayer</t>
        </is>
      </c>
      <c r="O1548" s="4" t="inlineStr">
        <is>
          <t>https://www.tcgplayer.com/product/198519</t>
        </is>
      </c>
    </row>
    <row r="1549">
      <c r="A1549" s="2" t="inlineStr">
        <is>
          <t>Pokemon - Poke Ball Tin - Great Ball (Q4 2024)</t>
        </is>
      </c>
      <c r="B1549" s="3">
        <f>IF(I1549&lt;&gt;"",I1549,IF(J1549&lt;&gt;"",J1549,IF(K1549&lt;&gt;"",K1549,L1549)))</f>
        <v>26.2</v>
      </c>
      <c r="C1549" s="3">
        <f>MEDIAN(I1549:L1549)</f>
        <v>29.98</v>
      </c>
      <c r="D1549" s="3">
        <f>ROUND(C1549*(1-Settings!$B$2),2)</f>
        <v>20.99</v>
      </c>
      <c r="E1549" s="3">
        <f>ROUND(C1549*(1-Settings!$B$3),2)</f>
        <v>20.99</v>
      </c>
      <c r="F1549" s="2" t="inlineStr">
        <is>
          <t>Pokemon</t>
        </is>
      </c>
      <c r="G1549" s="2" t="inlineStr">
        <is>
          <t>Coffret</t>
        </is>
      </c>
      <c r="H1549" s="2" t="inlineStr">
        <is>
          <t>Miscellaneous Cards &amp; Products</t>
        </is>
      </c>
      <c r="I1549" s="3" t="n"/>
      <c r="J1549" s="3" t="n">
        <v>26.2</v>
      </c>
      <c r="K1549" s="3" t="n">
        <v>31.5</v>
      </c>
      <c r="L1549" s="3" t="n">
        <v>29.98</v>
      </c>
      <c r="M1549" s="2" t="inlineStr">
        <is>
          <t>TCGplayer</t>
        </is>
      </c>
      <c r="O1549" s="4" t="inlineStr">
        <is>
          <t>https://www.tcgplayer.com/product/587366</t>
        </is>
      </c>
    </row>
    <row r="1550">
      <c r="A1550" s="2" t="inlineStr">
        <is>
          <t>Pokemon - Poke Ball Tin - Great Ball (Q4 2025)</t>
        </is>
      </c>
      <c r="B1550" s="3">
        <f>IF(I1550&lt;&gt;"",I1550,IF(J1550&lt;&gt;"",J1550,IF(K1550&lt;&gt;"",K1550,L1550)))</f>
        <v>25.33</v>
      </c>
      <c r="C1550" s="3">
        <f>MEDIAN(I1550:L1550)</f>
        <v>25.0</v>
      </c>
      <c r="D1550" s="3">
        <f>ROUND(C1550*(1-Settings!$B$2),2)</f>
        <v>17.5</v>
      </c>
      <c r="E1550" s="3">
        <f>ROUND(C1550*(1-Settings!$B$3),2)</f>
        <v>17.5</v>
      </c>
      <c r="F1550" s="2" t="inlineStr">
        <is>
          <t>Pokemon</t>
        </is>
      </c>
      <c r="G1550" s="2" t="inlineStr">
        <is>
          <t>Coffret</t>
        </is>
      </c>
      <c r="H1550" s="2" t="inlineStr">
        <is>
          <t>Miscellaneous Cards &amp; Products</t>
        </is>
      </c>
      <c r="I1550" s="3" t="n"/>
      <c r="J1550" s="3" t="n">
        <v>25.33</v>
      </c>
      <c r="K1550" s="3" t="n">
        <v>25</v>
      </c>
      <c r="L1550" s="3" t="n">
        <v>21</v>
      </c>
      <c r="M1550" s="2" t="inlineStr">
        <is>
          <t>TCGplayer</t>
        </is>
      </c>
      <c r="O1550" s="4" t="inlineStr">
        <is>
          <t>https://www.tcgplayer.com/product/688966</t>
        </is>
      </c>
    </row>
    <row r="1551">
      <c r="A1551" s="2" t="inlineStr">
        <is>
          <t>Pokemon - Poke Ball Tin - Level Ball</t>
        </is>
      </c>
      <c r="B1551" s="3">
        <f>IF(I1551&lt;&gt;"",I1551,IF(J1551&lt;&gt;"",J1551,IF(K1551&lt;&gt;"",K1551,L1551)))</f>
        <v>72.55</v>
      </c>
      <c r="C1551" s="3">
        <f>MEDIAN(I1551:L1551)</f>
        <v>72.55</v>
      </c>
      <c r="D1551" s="3">
        <f>ROUND(C1551*(1-Settings!$B$2),2)</f>
        <v>50.79</v>
      </c>
      <c r="E1551" s="3">
        <f>ROUND(C1551*(1-Settings!$B$3),2)</f>
        <v>50.79</v>
      </c>
      <c r="F1551" s="2" t="inlineStr">
        <is>
          <t>Pokemon</t>
        </is>
      </c>
      <c r="G1551" s="2" t="inlineStr">
        <is>
          <t>Coffret</t>
        </is>
      </c>
      <c r="H1551" s="2" t="inlineStr">
        <is>
          <t>Miscellaneous Cards &amp; Products</t>
        </is>
      </c>
      <c r="I1551" s="3" t="n"/>
      <c r="J1551" s="3" t="n">
        <v>72.55</v>
      </c>
      <c r="K1551" s="3" t="n">
        <v>79.97</v>
      </c>
      <c r="L1551" s="3" t="n">
        <v>72.44</v>
      </c>
      <c r="M1551" s="2" t="inlineStr">
        <is>
          <t>TCGplayer</t>
        </is>
      </c>
      <c r="O1551" s="4" t="inlineStr">
        <is>
          <t>https://www.tcgplayer.com/product/231292</t>
        </is>
      </c>
    </row>
    <row r="1552">
      <c r="A1552" s="2" t="inlineStr">
        <is>
          <t>Pokemon - Poke Ball Tin - Love Ball</t>
        </is>
      </c>
      <c r="B1552" s="3">
        <f>IF(I1552&lt;&gt;"",I1552,IF(J1552&lt;&gt;"",J1552,IF(K1552&lt;&gt;"",K1552,L1552)))</f>
        <v>275.49</v>
      </c>
      <c r="C1552" s="3">
        <f>MEDIAN(I1552:L1552)</f>
        <v>288.99</v>
      </c>
      <c r="D1552" s="3">
        <f>ROUND(C1552*(1-Settings!$B$2),2)</f>
        <v>202.29</v>
      </c>
      <c r="E1552" s="3">
        <f>ROUND(C1552*(1-Settings!$B$3),2)</f>
        <v>202.29</v>
      </c>
      <c r="F1552" s="2" t="inlineStr">
        <is>
          <t>Pokemon</t>
        </is>
      </c>
      <c r="G1552" s="2" t="inlineStr">
        <is>
          <t>Coffret</t>
        </is>
      </c>
      <c r="H1552" s="2" t="inlineStr">
        <is>
          <t>Miscellaneous Cards &amp; Products</t>
        </is>
      </c>
      <c r="I1552" s="3" t="n"/>
      <c r="J1552" s="3" t="n">
        <v>275.49</v>
      </c>
      <c r="K1552" s="3" t="n">
        <v>300</v>
      </c>
      <c r="L1552" s="3" t="n">
        <v>288.99</v>
      </c>
      <c r="M1552" s="2" t="inlineStr">
        <is>
          <t>TCGplayer</t>
        </is>
      </c>
      <c r="O1552" s="4" t="inlineStr">
        <is>
          <t>https://www.tcgplayer.com/product/271585</t>
        </is>
      </c>
    </row>
    <row r="1553">
      <c r="A1553" s="2" t="inlineStr">
        <is>
          <t>Pokemon - Poke Ball Tin - Lure Ball</t>
        </is>
      </c>
      <c r="B1553" s="3">
        <f>IF(I1553&lt;&gt;"",I1553,IF(J1553&lt;&gt;"",J1553,IF(K1553&lt;&gt;"",K1553,L1553)))</f>
        <v>125.0</v>
      </c>
      <c r="C1553" s="3">
        <f>MEDIAN(I1553:L1553)</f>
        <v>199.99</v>
      </c>
      <c r="D1553" s="3">
        <f>ROUND(C1553*(1-Settings!$B$2),2)</f>
        <v>139.99</v>
      </c>
      <c r="E1553" s="3">
        <f>ROUND(C1553*(1-Settings!$B$3),2)</f>
        <v>139.99</v>
      </c>
      <c r="F1553" s="2" t="inlineStr">
        <is>
          <t>Pokemon</t>
        </is>
      </c>
      <c r="G1553" s="2" t="inlineStr">
        <is>
          <t>Coffret</t>
        </is>
      </c>
      <c r="H1553" s="2" t="inlineStr">
        <is>
          <t>Miscellaneous Cards &amp; Products</t>
        </is>
      </c>
      <c r="I1553" s="3" t="n"/>
      <c r="J1553" s="3" t="n">
        <v>125</v>
      </c>
      <c r="K1553" s="3" t="n">
        <v>199.99</v>
      </c>
      <c r="L1553" s="3" t="n">
        <v>199.99</v>
      </c>
      <c r="M1553" s="2" t="inlineStr">
        <is>
          <t>TCGplayer</t>
        </is>
      </c>
      <c r="O1553" s="4" t="inlineStr">
        <is>
          <t>https://www.tcgplayer.com/product/516987</t>
        </is>
      </c>
    </row>
    <row r="1554">
      <c r="A1554" s="2" t="inlineStr">
        <is>
          <t>Pokemon - Poke Ball Tin - Luxury Ball</t>
        </is>
      </c>
      <c r="B1554" s="3">
        <f>IF(I1554&lt;&gt;"",I1554,IF(J1554&lt;&gt;"",J1554,IF(K1554&lt;&gt;"",K1554,L1554)))</f>
        <v>90.0</v>
      </c>
      <c r="C1554" s="3">
        <f>MEDIAN(I1554:L1554)</f>
        <v>145.99</v>
      </c>
      <c r="D1554" s="3">
        <f>ROUND(C1554*(1-Settings!$B$2),2)</f>
        <v>102.19</v>
      </c>
      <c r="E1554" s="3">
        <f>ROUND(C1554*(1-Settings!$B$3),2)</f>
        <v>102.19</v>
      </c>
      <c r="F1554" s="2" t="inlineStr">
        <is>
          <t>Pokemon</t>
        </is>
      </c>
      <c r="G1554" s="2" t="inlineStr">
        <is>
          <t>Coffret</t>
        </is>
      </c>
      <c r="H1554" s="2" t="inlineStr">
        <is>
          <t>Miscellaneous Cards &amp; Products</t>
        </is>
      </c>
      <c r="I1554" s="3" t="n"/>
      <c r="J1554" s="3" t="n">
        <v>90</v>
      </c>
      <c r="K1554" s="3" t="n">
        <v>148.97</v>
      </c>
      <c r="L1554" s="3" t="n">
        <v>145.99</v>
      </c>
      <c r="M1554" s="2" t="inlineStr">
        <is>
          <t>TCGplayer</t>
        </is>
      </c>
      <c r="O1554" s="4" t="inlineStr">
        <is>
          <t>https://www.tcgplayer.com/product/198520</t>
        </is>
      </c>
    </row>
    <row r="1555">
      <c r="A1555" s="2" t="inlineStr">
        <is>
          <t>Pokemon - Poke Ball Tin - Moon Ball</t>
        </is>
      </c>
      <c r="B1555" s="3">
        <f>IF(I1555&lt;&gt;"",I1555,IF(J1555&lt;&gt;"",J1555,IF(K1555&lt;&gt;"",K1555,L1555)))</f>
        <v>28.93</v>
      </c>
      <c r="C1555" s="3">
        <f>MEDIAN(I1555:L1555)</f>
        <v>28.93</v>
      </c>
      <c r="D1555" s="3">
        <f>ROUND(C1555*(1-Settings!$B$2),2)</f>
        <v>20.25</v>
      </c>
      <c r="E1555" s="3">
        <f>ROUND(C1555*(1-Settings!$B$3),2)</f>
        <v>20.25</v>
      </c>
      <c r="F1555" s="2" t="inlineStr">
        <is>
          <t>Pokemon</t>
        </is>
      </c>
      <c r="G1555" s="2" t="inlineStr">
        <is>
          <t>Coffret</t>
        </is>
      </c>
      <c r="H1555" s="2" t="inlineStr">
        <is>
          <t>Miscellaneous Cards &amp; Products</t>
        </is>
      </c>
      <c r="I1555" s="3" t="n"/>
      <c r="J1555" s="3" t="n">
        <v>28.93</v>
      </c>
      <c r="K1555" s="3" t="n"/>
      <c r="L1555" s="3" t="n"/>
      <c r="M1555" s="2" t="inlineStr">
        <is>
          <t>TCGplayer</t>
        </is>
      </c>
      <c r="O1555" s="4" t="inlineStr">
        <is>
          <t>https://www.tcgplayer.com/product/686298</t>
        </is>
      </c>
    </row>
    <row r="1556">
      <c r="A1556" s="2" t="inlineStr">
        <is>
          <t>Pokemon - Poke Ball Tin - Moon Ball (Q4 2024)</t>
        </is>
      </c>
      <c r="B1556" s="3">
        <f>IF(I1556&lt;&gt;"",I1556,IF(J1556&lt;&gt;"",J1556,IF(K1556&lt;&gt;"",K1556,L1556)))</f>
        <v>29.31</v>
      </c>
      <c r="C1556" s="3">
        <f>MEDIAN(I1556:L1556)</f>
        <v>29.31</v>
      </c>
      <c r="D1556" s="3">
        <f>ROUND(C1556*(1-Settings!$B$2),2)</f>
        <v>20.52</v>
      </c>
      <c r="E1556" s="3">
        <f>ROUND(C1556*(1-Settings!$B$3),2)</f>
        <v>20.52</v>
      </c>
      <c r="F1556" s="2" t="inlineStr">
        <is>
          <t>Pokemon</t>
        </is>
      </c>
      <c r="G1556" s="2" t="inlineStr">
        <is>
          <t>Coffret</t>
        </is>
      </c>
      <c r="H1556" s="2" t="inlineStr">
        <is>
          <t>Miscellaneous Cards &amp; Products</t>
        </is>
      </c>
      <c r="I1556" s="3" t="n"/>
      <c r="J1556" s="3" t="n">
        <v>29.31</v>
      </c>
      <c r="K1556" s="3" t="n">
        <v>35.98</v>
      </c>
      <c r="L1556" s="3" t="n">
        <v>25</v>
      </c>
      <c r="M1556" s="2" t="inlineStr">
        <is>
          <t>TCGplayer</t>
        </is>
      </c>
      <c r="O1556" s="4" t="inlineStr">
        <is>
          <t>https://www.tcgplayer.com/product/587369</t>
        </is>
      </c>
    </row>
    <row r="1557">
      <c r="A1557" s="2" t="inlineStr">
        <is>
          <t>Pokemon - Poke Ball Tin - Poke Ball</t>
        </is>
      </c>
      <c r="B1557" s="3">
        <f>IF(I1557&lt;&gt;"",I1557,IF(J1557&lt;&gt;"",J1557,IF(K1557&lt;&gt;"",K1557,L1557)))</f>
        <v>27.83</v>
      </c>
      <c r="C1557" s="3">
        <f>MEDIAN(I1557:L1557)</f>
        <v>27.83</v>
      </c>
      <c r="D1557" s="3">
        <f>ROUND(C1557*(1-Settings!$B$2),2)</f>
        <v>19.48</v>
      </c>
      <c r="E1557" s="3">
        <f>ROUND(C1557*(1-Settings!$B$3),2)</f>
        <v>19.48</v>
      </c>
      <c r="F1557" s="2" t="inlineStr">
        <is>
          <t>Pokemon</t>
        </is>
      </c>
      <c r="G1557" s="2" t="inlineStr">
        <is>
          <t>Coffret</t>
        </is>
      </c>
      <c r="H1557" s="2" t="inlineStr">
        <is>
          <t>Miscellaneous Cards &amp; Products</t>
        </is>
      </c>
      <c r="I1557" s="3" t="n"/>
      <c r="J1557" s="3" t="n">
        <v>27.83</v>
      </c>
      <c r="K1557" s="3" t="n">
        <v>27.99</v>
      </c>
      <c r="L1557" s="3" t="n">
        <v>25</v>
      </c>
      <c r="M1557" s="2" t="inlineStr">
        <is>
          <t>TCGplayer</t>
        </is>
      </c>
      <c r="O1557" s="4" t="inlineStr">
        <is>
          <t>https://www.tcgplayer.com/product/181267</t>
        </is>
      </c>
    </row>
    <row r="1558">
      <c r="A1558" s="2" t="inlineStr">
        <is>
          <t>Pokemon - Poke Ball Tin - Poke Ball (Q4 2024)</t>
        </is>
      </c>
      <c r="B1558" s="3">
        <f>IF(I1558&lt;&gt;"",I1558,IF(J1558&lt;&gt;"",J1558,IF(K1558&lt;&gt;"",K1558,L1558)))</f>
        <v>27.26</v>
      </c>
      <c r="C1558" s="3">
        <f>MEDIAN(I1558:L1558)</f>
        <v>59.99</v>
      </c>
      <c r="D1558" s="3">
        <f>ROUND(C1558*(1-Settings!$B$2),2)</f>
        <v>41.99</v>
      </c>
      <c r="E1558" s="3">
        <f>ROUND(C1558*(1-Settings!$B$3),2)</f>
        <v>41.99</v>
      </c>
      <c r="F1558" s="2" t="inlineStr">
        <is>
          <t>Pokemon</t>
        </is>
      </c>
      <c r="G1558" s="2" t="inlineStr">
        <is>
          <t>Coffret</t>
        </is>
      </c>
      <c r="H1558" s="2" t="inlineStr">
        <is>
          <t>Miscellaneous Cards &amp; Products</t>
        </is>
      </c>
      <c r="I1558" s="3" t="n"/>
      <c r="J1558" s="3" t="n">
        <v>27.26</v>
      </c>
      <c r="K1558" s="3" t="n">
        <v>65</v>
      </c>
      <c r="L1558" s="3" t="n">
        <v>59.99</v>
      </c>
      <c r="M1558" s="2" t="inlineStr">
        <is>
          <t>TCGplayer</t>
        </is>
      </c>
      <c r="O1558" s="4" t="inlineStr">
        <is>
          <t>https://www.tcgplayer.com/product/587365</t>
        </is>
      </c>
    </row>
    <row r="1559">
      <c r="A1559" s="2" t="inlineStr">
        <is>
          <t>Pokemon - Poke Ball Tin - Poke Ball (Q4 2025)</t>
        </is>
      </c>
      <c r="B1559" s="3">
        <f>IF(I1559&lt;&gt;"",I1559,IF(J1559&lt;&gt;"",J1559,IF(K1559&lt;&gt;"",K1559,L1559)))</f>
        <v>28.7</v>
      </c>
      <c r="C1559" s="3">
        <f>MEDIAN(I1559:L1559)</f>
        <v>28.0</v>
      </c>
      <c r="D1559" s="3">
        <f>ROUND(C1559*(1-Settings!$B$2),2)</f>
        <v>19.6</v>
      </c>
      <c r="E1559" s="3">
        <f>ROUND(C1559*(1-Settings!$B$3),2)</f>
        <v>19.6</v>
      </c>
      <c r="F1559" s="2" t="inlineStr">
        <is>
          <t>Pokemon</t>
        </is>
      </c>
      <c r="G1559" s="2" t="inlineStr">
        <is>
          <t>Coffret</t>
        </is>
      </c>
      <c r="H1559" s="2" t="inlineStr">
        <is>
          <t>Miscellaneous Cards &amp; Products</t>
        </is>
      </c>
      <c r="I1559" s="3" t="n"/>
      <c r="J1559" s="3" t="n">
        <v>28.7</v>
      </c>
      <c r="K1559" s="3" t="n">
        <v>28</v>
      </c>
      <c r="L1559" s="3" t="n">
        <v>18.99</v>
      </c>
      <c r="M1559" s="2" t="inlineStr">
        <is>
          <t>TCGplayer</t>
        </is>
      </c>
      <c r="O1559" s="4" t="inlineStr">
        <is>
          <t>https://www.tcgplayer.com/product/688964</t>
        </is>
      </c>
    </row>
    <row r="1560">
      <c r="A1560" s="2" t="inlineStr">
        <is>
          <t>Pokemon - Poke Ball Tin - Premier Ball</t>
        </is>
      </c>
      <c r="B1560" s="3">
        <f>IF(I1560&lt;&gt;"",I1560,IF(J1560&lt;&gt;"",J1560,IF(K1560&lt;&gt;"",K1560,L1560)))</f>
        <v>24.71</v>
      </c>
      <c r="C1560" s="3">
        <f>MEDIAN(I1560:L1560)</f>
        <v>25.0</v>
      </c>
      <c r="D1560" s="3">
        <f>ROUND(C1560*(1-Settings!$B$2),2)</f>
        <v>17.5</v>
      </c>
      <c r="E1560" s="3">
        <f>ROUND(C1560*(1-Settings!$B$3),2)</f>
        <v>17.5</v>
      </c>
      <c r="F1560" s="2" t="inlineStr">
        <is>
          <t>Pokemon</t>
        </is>
      </c>
      <c r="G1560" s="2" t="inlineStr">
        <is>
          <t>Coffret</t>
        </is>
      </c>
      <c r="H1560" s="2" t="inlineStr">
        <is>
          <t>Miscellaneous Cards &amp; Products</t>
        </is>
      </c>
      <c r="I1560" s="3" t="n"/>
      <c r="J1560" s="3" t="n">
        <v>24.71</v>
      </c>
      <c r="K1560" s="3" t="n">
        <v>30</v>
      </c>
      <c r="L1560" s="3" t="n">
        <v>25</v>
      </c>
      <c r="M1560" s="2" t="inlineStr">
        <is>
          <t>TCGplayer</t>
        </is>
      </c>
      <c r="O1560" s="4" t="inlineStr">
        <is>
          <t>https://www.tcgplayer.com/product/198522</t>
        </is>
      </c>
    </row>
    <row r="1561">
      <c r="A1561" s="2" t="inlineStr">
        <is>
          <t>Pokemon - Poke Ball Tin - Premier Ball (Q4 2024)</t>
        </is>
      </c>
      <c r="B1561" s="3">
        <f>IF(I1561&lt;&gt;"",I1561,IF(J1561&lt;&gt;"",J1561,IF(K1561&lt;&gt;"",K1561,L1561)))</f>
        <v>24.25</v>
      </c>
      <c r="C1561" s="3">
        <f>MEDIAN(I1561:L1561)</f>
        <v>35.0</v>
      </c>
      <c r="D1561" s="3">
        <f>ROUND(C1561*(1-Settings!$B$2),2)</f>
        <v>24.5</v>
      </c>
      <c r="E1561" s="3">
        <f>ROUND(C1561*(1-Settings!$B$3),2)</f>
        <v>24.5</v>
      </c>
      <c r="F1561" s="2" t="inlineStr">
        <is>
          <t>Pokemon</t>
        </is>
      </c>
      <c r="G1561" s="2" t="inlineStr">
        <is>
          <t>Coffret</t>
        </is>
      </c>
      <c r="H1561" s="2" t="inlineStr">
        <is>
          <t>Miscellaneous Cards &amp; Products</t>
        </is>
      </c>
      <c r="I1561" s="3" t="n"/>
      <c r="J1561" s="3" t="n">
        <v>24.25</v>
      </c>
      <c r="K1561" s="3" t="n">
        <v>35</v>
      </c>
      <c r="L1561" s="3" t="n">
        <v>35</v>
      </c>
      <c r="M1561" s="2" t="inlineStr">
        <is>
          <t>TCGplayer</t>
        </is>
      </c>
      <c r="O1561" s="4" t="inlineStr">
        <is>
          <t>https://www.tcgplayer.com/product/587367</t>
        </is>
      </c>
    </row>
    <row r="1562">
      <c r="A1562" s="2" t="inlineStr">
        <is>
          <t>Pokemon - Poke Ball Tin - Premier Ball (Q4 2025)</t>
        </is>
      </c>
      <c r="B1562" s="3">
        <f>IF(I1562&lt;&gt;"",I1562,IF(J1562&lt;&gt;"",J1562,IF(K1562&lt;&gt;"",K1562,L1562)))</f>
        <v>26.12</v>
      </c>
      <c r="C1562" s="3">
        <f>MEDIAN(I1562:L1562)</f>
        <v>26.12</v>
      </c>
      <c r="D1562" s="3">
        <f>ROUND(C1562*(1-Settings!$B$2),2)</f>
        <v>18.28</v>
      </c>
      <c r="E1562" s="3">
        <f>ROUND(C1562*(1-Settings!$B$3),2)</f>
        <v>18.28</v>
      </c>
      <c r="F1562" s="2" t="inlineStr">
        <is>
          <t>Pokemon</t>
        </is>
      </c>
      <c r="G1562" s="2" t="inlineStr">
        <is>
          <t>Coffret</t>
        </is>
      </c>
      <c r="H1562" s="2" t="inlineStr">
        <is>
          <t>Miscellaneous Cards &amp; Products</t>
        </is>
      </c>
      <c r="I1562" s="3" t="n"/>
      <c r="J1562" s="3" t="n">
        <v>26.12</v>
      </c>
      <c r="K1562" s="3" t="n">
        <v>29</v>
      </c>
      <c r="L1562" s="3" t="n">
        <v>22</v>
      </c>
      <c r="M1562" s="2" t="inlineStr">
        <is>
          <t>TCGplayer</t>
        </is>
      </c>
      <c r="O1562" s="4" t="inlineStr">
        <is>
          <t>https://www.tcgplayer.com/product/688967</t>
        </is>
      </c>
    </row>
    <row r="1563">
      <c r="A1563" s="2" t="inlineStr">
        <is>
          <t>Pokemon - Poke Ball Tin - Repeat Ball</t>
        </is>
      </c>
      <c r="B1563" s="3">
        <f>IF(I1563&lt;&gt;"",I1563,IF(J1563&lt;&gt;"",J1563,IF(K1563&lt;&gt;"",K1563,L1563)))</f>
        <v>25.78</v>
      </c>
      <c r="C1563" s="3">
        <f>MEDIAN(I1563:L1563)</f>
        <v>25.0</v>
      </c>
      <c r="D1563" s="3">
        <f>ROUND(C1563*(1-Settings!$B$2),2)</f>
        <v>17.5</v>
      </c>
      <c r="E1563" s="3">
        <f>ROUND(C1563*(1-Settings!$B$3),2)</f>
        <v>17.5</v>
      </c>
      <c r="F1563" s="2" t="inlineStr">
        <is>
          <t>Pokemon</t>
        </is>
      </c>
      <c r="G1563" s="2" t="inlineStr">
        <is>
          <t>Coffret</t>
        </is>
      </c>
      <c r="H1563" s="2" t="inlineStr">
        <is>
          <t>Miscellaneous Cards &amp; Products</t>
        </is>
      </c>
      <c r="I1563" s="3" t="n"/>
      <c r="J1563" s="3" t="n">
        <v>25.78</v>
      </c>
      <c r="K1563" s="3" t="n">
        <v>25</v>
      </c>
      <c r="L1563" s="3" t="n">
        <v>5</v>
      </c>
      <c r="M1563" s="2" t="inlineStr">
        <is>
          <t>TCGplayer</t>
        </is>
      </c>
      <c r="O1563" s="4" t="inlineStr">
        <is>
          <t>https://www.tcgplayer.com/product/668648</t>
        </is>
      </c>
    </row>
    <row r="1564">
      <c r="A1564" s="2" t="inlineStr">
        <is>
          <t>Pokemon - Poke Ball Tin - Repeat Ball (Q4 2025)</t>
        </is>
      </c>
      <c r="B1564" s="3">
        <f>IF(I1564&lt;&gt;"",I1564,IF(J1564&lt;&gt;"",J1564,IF(K1564&lt;&gt;"",K1564,L1564)))</f>
        <v>22.84</v>
      </c>
      <c r="C1564" s="3">
        <f>MEDIAN(I1564:L1564)</f>
        <v>22.84</v>
      </c>
      <c r="D1564" s="3">
        <f>ROUND(C1564*(1-Settings!$B$2),2)</f>
        <v>15.99</v>
      </c>
      <c r="E1564" s="3">
        <f>ROUND(C1564*(1-Settings!$B$3),2)</f>
        <v>15.99</v>
      </c>
      <c r="F1564" s="2" t="inlineStr">
        <is>
          <t>Pokemon</t>
        </is>
      </c>
      <c r="G1564" s="2" t="inlineStr">
        <is>
          <t>Coffret</t>
        </is>
      </c>
      <c r="H1564" s="2" t="inlineStr">
        <is>
          <t>Miscellaneous Cards &amp; Products</t>
        </is>
      </c>
      <c r="I1564" s="3" t="n"/>
      <c r="J1564" s="3" t="n">
        <v>22.84</v>
      </c>
      <c r="K1564" s="3" t="n">
        <v>28.99</v>
      </c>
      <c r="L1564" s="3" t="n">
        <v>21</v>
      </c>
      <c r="M1564" s="2" t="inlineStr">
        <is>
          <t>TCGplayer</t>
        </is>
      </c>
      <c r="O1564" s="4" t="inlineStr">
        <is>
          <t>https://www.tcgplayer.com/product/688968</t>
        </is>
      </c>
    </row>
    <row r="1565">
      <c r="A1565" s="2" t="inlineStr">
        <is>
          <t>Pokemon - Poke Ball Tin - Ultra Ball</t>
        </is>
      </c>
      <c r="B1565" s="3">
        <f>IF(I1565&lt;&gt;"",I1565,IF(J1565&lt;&gt;"",J1565,IF(K1565&lt;&gt;"",K1565,L1565)))</f>
        <v>26.42</v>
      </c>
      <c r="C1565" s="3">
        <f>MEDIAN(I1565:L1565)</f>
        <v>25.79</v>
      </c>
      <c r="D1565" s="3">
        <f>ROUND(C1565*(1-Settings!$B$2),2)</f>
        <v>18.05</v>
      </c>
      <c r="E1565" s="3">
        <f>ROUND(C1565*(1-Settings!$B$3),2)</f>
        <v>18.05</v>
      </c>
      <c r="F1565" s="2" t="inlineStr">
        <is>
          <t>Pokemon</t>
        </is>
      </c>
      <c r="G1565" s="2" t="inlineStr">
        <is>
          <t>Coffret</t>
        </is>
      </c>
      <c r="H1565" s="2" t="inlineStr">
        <is>
          <t>Miscellaneous Cards &amp; Products</t>
        </is>
      </c>
      <c r="I1565" s="3" t="n"/>
      <c r="J1565" s="3" t="n">
        <v>26.42</v>
      </c>
      <c r="K1565" s="3" t="n">
        <v>25.79</v>
      </c>
      <c r="L1565" s="3" t="n">
        <v>20</v>
      </c>
      <c r="M1565" s="2" t="inlineStr">
        <is>
          <t>TCGplayer</t>
        </is>
      </c>
      <c r="O1565" s="4" t="inlineStr">
        <is>
          <t>https://www.tcgplayer.com/product/210169</t>
        </is>
      </c>
    </row>
    <row r="1566">
      <c r="A1566" s="2" t="inlineStr">
        <is>
          <t>Pokemon - Poke Ball Tin - Ultra Ball (Q4 2024)</t>
        </is>
      </c>
      <c r="B1566" s="3">
        <f>IF(I1566&lt;&gt;"",I1566,IF(J1566&lt;&gt;"",J1566,IF(K1566&lt;&gt;"",K1566,L1566)))</f>
        <v>27.77</v>
      </c>
      <c r="C1566" s="3">
        <f>MEDIAN(I1566:L1566)</f>
        <v>29.99</v>
      </c>
      <c r="D1566" s="3">
        <f>ROUND(C1566*(1-Settings!$B$2),2)</f>
        <v>20.99</v>
      </c>
      <c r="E1566" s="3">
        <f>ROUND(C1566*(1-Settings!$B$3),2)</f>
        <v>20.99</v>
      </c>
      <c r="F1566" s="2" t="inlineStr">
        <is>
          <t>Pokemon</t>
        </is>
      </c>
      <c r="G1566" s="2" t="inlineStr">
        <is>
          <t>Coffret</t>
        </is>
      </c>
      <c r="H1566" s="2" t="inlineStr">
        <is>
          <t>Miscellaneous Cards &amp; Products</t>
        </is>
      </c>
      <c r="I1566" s="3" t="n"/>
      <c r="J1566" s="3" t="n">
        <v>27.77</v>
      </c>
      <c r="K1566" s="3" t="n">
        <v>32.98</v>
      </c>
      <c r="L1566" s="3" t="n">
        <v>29.99</v>
      </c>
      <c r="M1566" s="2" t="inlineStr">
        <is>
          <t>TCGplayer</t>
        </is>
      </c>
      <c r="O1566" s="4" t="inlineStr">
        <is>
          <t>https://www.tcgplayer.com/product/587368</t>
        </is>
      </c>
    </row>
    <row r="1567">
      <c r="A1567" s="2" t="inlineStr">
        <is>
          <t>Pokemon - Poke Ball Tin - Ultra Ball (Q4 2025)</t>
        </is>
      </c>
      <c r="B1567" s="3">
        <f>IF(I1567&lt;&gt;"",I1567,IF(J1567&lt;&gt;"",J1567,IF(K1567&lt;&gt;"",K1567,L1567)))</f>
        <v>26.08</v>
      </c>
      <c r="C1567" s="3">
        <f>MEDIAN(I1567:L1567)</f>
        <v>26.08</v>
      </c>
      <c r="D1567" s="3">
        <f>ROUND(C1567*(1-Settings!$B$2),2)</f>
        <v>18.26</v>
      </c>
      <c r="E1567" s="3">
        <f>ROUND(C1567*(1-Settings!$B$3),2)</f>
        <v>18.26</v>
      </c>
      <c r="F1567" s="2" t="inlineStr">
        <is>
          <t>Pokemon</t>
        </is>
      </c>
      <c r="G1567" s="2" t="inlineStr">
        <is>
          <t>Coffret</t>
        </is>
      </c>
      <c r="H1567" s="2" t="inlineStr">
        <is>
          <t>Miscellaneous Cards &amp; Products</t>
        </is>
      </c>
      <c r="I1567" s="3" t="n"/>
      <c r="J1567" s="3" t="n">
        <v>26.08</v>
      </c>
      <c r="K1567" s="3" t="n">
        <v>29</v>
      </c>
      <c r="L1567" s="3" t="n">
        <v>24.99</v>
      </c>
      <c r="M1567" s="2" t="inlineStr">
        <is>
          <t>TCGplayer</t>
        </is>
      </c>
      <c r="O1567" s="4" t="inlineStr">
        <is>
          <t>https://www.tcgplayer.com/product/688965</t>
        </is>
      </c>
    </row>
    <row r="1568">
      <c r="A1568" s="2" t="inlineStr">
        <is>
          <t>Pokemon Day 2026 Collection</t>
        </is>
      </c>
      <c r="B1568" s="3">
        <f>IF(I1568&lt;&gt;"",I1568,IF(J1568&lt;&gt;"",J1568,IF(K1568&lt;&gt;"",K1568,L1568)))</f>
        <v>37.18</v>
      </c>
      <c r="C1568" s="3">
        <f>MEDIAN(I1568:L1568)</f>
        <v>37.18</v>
      </c>
      <c r="D1568" s="3">
        <f>ROUND(C1568*(1-Settings!$B$2),2)</f>
        <v>26.03</v>
      </c>
      <c r="E1568" s="3">
        <f>ROUND(C1568*(1-Settings!$B$3),2)</f>
        <v>26.03</v>
      </c>
      <c r="F1568" s="2" t="inlineStr">
        <is>
          <t>Pokemon</t>
        </is>
      </c>
      <c r="G1568" s="2" t="inlineStr">
        <is>
          <t>Coffret</t>
        </is>
      </c>
      <c r="H1568" s="2" t="inlineStr">
        <is>
          <t>Miscellaneous Cards &amp; Products</t>
        </is>
      </c>
      <c r="I1568" s="3" t="n"/>
      <c r="J1568" s="3" t="n">
        <v>37.18</v>
      </c>
      <c r="K1568" s="3" t="n">
        <v>40</v>
      </c>
      <c r="L1568" s="3" t="n">
        <v>1.75</v>
      </c>
      <c r="M1568" s="2" t="inlineStr">
        <is>
          <t>TCGplayer</t>
        </is>
      </c>
      <c r="O1568" s="4" t="inlineStr">
        <is>
          <t>https://www.tcgplayer.com/product/668590</t>
        </is>
      </c>
    </row>
    <row r="1569">
      <c r="A1569" s="2" t="inlineStr">
        <is>
          <t>Pokemon Stacking Tin: Dragon</t>
        </is>
      </c>
      <c r="B1569" s="3">
        <f>IF(I1569&lt;&gt;"",I1569,IF(J1569&lt;&gt;"",J1569,IF(K1569&lt;&gt;"",K1569,L1569)))</f>
        <v>35.0</v>
      </c>
      <c r="C1569" s="3">
        <f>MEDIAN(I1569:L1569)</f>
        <v>34.99</v>
      </c>
      <c r="D1569" s="3">
        <f>ROUND(C1569*(1-Settings!$B$2),2)</f>
        <v>24.49</v>
      </c>
      <c r="E1569" s="3">
        <f>ROUND(C1569*(1-Settings!$B$3),2)</f>
        <v>24.49</v>
      </c>
      <c r="F1569" s="2" t="inlineStr">
        <is>
          <t>Pokemon</t>
        </is>
      </c>
      <c r="G1569" s="2" t="inlineStr">
        <is>
          <t>Coffret</t>
        </is>
      </c>
      <c r="H1569" s="2" t="inlineStr">
        <is>
          <t>Miscellaneous Cards &amp; Products</t>
        </is>
      </c>
      <c r="I1569" s="3" t="n"/>
      <c r="J1569" s="3" t="n">
        <v>35</v>
      </c>
      <c r="K1569" s="3" t="n">
        <v>34.99</v>
      </c>
      <c r="L1569" s="3" t="n">
        <v>34.99</v>
      </c>
      <c r="M1569" s="2" t="inlineStr">
        <is>
          <t>TCGplayer</t>
        </is>
      </c>
      <c r="O1569" s="4" t="inlineStr">
        <is>
          <t>https://www.tcgplayer.com/product/541175</t>
        </is>
      </c>
    </row>
    <row r="1570">
      <c r="A1570" s="2" t="inlineStr">
        <is>
          <t>Pokemon Stacking Tin: Electric</t>
        </is>
      </c>
      <c r="B1570" s="3">
        <f>IF(I1570&lt;&gt;"",I1570,IF(J1570&lt;&gt;"",J1570,IF(K1570&lt;&gt;"",K1570,L1570)))</f>
        <v>52.98</v>
      </c>
      <c r="C1570" s="3">
        <f>MEDIAN(I1570:L1570)</f>
        <v>59.9</v>
      </c>
      <c r="D1570" s="3">
        <f>ROUND(C1570*(1-Settings!$B$2),2)</f>
        <v>41.93</v>
      </c>
      <c r="E1570" s="3">
        <f>ROUND(C1570*(1-Settings!$B$3),2)</f>
        <v>41.93</v>
      </c>
      <c r="F1570" s="2" t="inlineStr">
        <is>
          <t>Pokemon</t>
        </is>
      </c>
      <c r="G1570" s="2" t="inlineStr">
        <is>
          <t>Coffret</t>
        </is>
      </c>
      <c r="H1570" s="2" t="inlineStr">
        <is>
          <t>Miscellaneous Cards &amp; Products</t>
        </is>
      </c>
      <c r="I1570" s="3" t="n"/>
      <c r="J1570" s="3" t="n">
        <v>52.98</v>
      </c>
      <c r="K1570" s="3" t="n">
        <v>59.9</v>
      </c>
      <c r="L1570" s="3" t="n">
        <v>59.9</v>
      </c>
      <c r="M1570" s="2" t="inlineStr">
        <is>
          <t>TCGplayer</t>
        </is>
      </c>
      <c r="O1570" s="4" t="inlineStr">
        <is>
          <t>https://www.tcgplayer.com/product/260867</t>
        </is>
      </c>
    </row>
    <row r="1571">
      <c r="A1571" s="2" t="inlineStr">
        <is>
          <t>Pokemon Stacking Tin: Grass</t>
        </is>
      </c>
      <c r="B1571" s="3">
        <f>IF(I1571&lt;&gt;"",I1571,IF(J1571&lt;&gt;"",J1571,IF(K1571&lt;&gt;"",K1571,L1571)))</f>
        <v>52.8</v>
      </c>
      <c r="C1571" s="3">
        <f>MEDIAN(I1571:L1571)</f>
        <v>54.25</v>
      </c>
      <c r="D1571" s="3">
        <f>ROUND(C1571*(1-Settings!$B$2),2)</f>
        <v>37.98</v>
      </c>
      <c r="E1571" s="3">
        <f>ROUND(C1571*(1-Settings!$B$3),2)</f>
        <v>37.98</v>
      </c>
      <c r="F1571" s="2" t="inlineStr">
        <is>
          <t>Pokemon</t>
        </is>
      </c>
      <c r="G1571" s="2" t="inlineStr">
        <is>
          <t>Coffret</t>
        </is>
      </c>
      <c r="H1571" s="2" t="inlineStr">
        <is>
          <t>Miscellaneous Cards &amp; Products</t>
        </is>
      </c>
      <c r="I1571" s="3" t="n"/>
      <c r="J1571" s="3" t="n">
        <v>52.8</v>
      </c>
      <c r="K1571" s="3" t="n">
        <v>57.08</v>
      </c>
      <c r="L1571" s="3" t="n">
        <v>54.25</v>
      </c>
      <c r="M1571" s="2" t="inlineStr">
        <is>
          <t>TCGplayer</t>
        </is>
      </c>
      <c r="O1571" s="4" t="inlineStr">
        <is>
          <t>https://www.tcgplayer.com/product/260866</t>
        </is>
      </c>
    </row>
    <row r="1572">
      <c r="A1572" s="2" t="inlineStr">
        <is>
          <t>Pokemon Stacking Tin: Metal</t>
        </is>
      </c>
      <c r="B1572" s="3">
        <f>IF(I1572&lt;&gt;"",I1572,IF(J1572&lt;&gt;"",J1572,IF(K1572&lt;&gt;"",K1572,L1572)))</f>
        <v>28.42</v>
      </c>
      <c r="C1572" s="3">
        <f>MEDIAN(I1572:L1572)</f>
        <v>36.99</v>
      </c>
      <c r="D1572" s="3">
        <f>ROUND(C1572*(1-Settings!$B$2),2)</f>
        <v>25.89</v>
      </c>
      <c r="E1572" s="3">
        <f>ROUND(C1572*(1-Settings!$B$3),2)</f>
        <v>25.89</v>
      </c>
      <c r="F1572" s="2" t="inlineStr">
        <is>
          <t>Pokemon</t>
        </is>
      </c>
      <c r="G1572" s="2" t="inlineStr">
        <is>
          <t>Coffret</t>
        </is>
      </c>
      <c r="H1572" s="2" t="inlineStr">
        <is>
          <t>Miscellaneous Cards &amp; Products</t>
        </is>
      </c>
      <c r="I1572" s="3" t="n"/>
      <c r="J1572" s="3" t="n">
        <v>28.42</v>
      </c>
      <c r="K1572" s="3" t="n">
        <v>39.49</v>
      </c>
      <c r="L1572" s="3" t="n">
        <v>36.99</v>
      </c>
      <c r="M1572" s="2" t="inlineStr">
        <is>
          <t>TCGplayer</t>
        </is>
      </c>
      <c r="O1572" s="4" t="inlineStr">
        <is>
          <t>https://www.tcgplayer.com/product/541171</t>
        </is>
      </c>
    </row>
    <row r="1573">
      <c r="A1573" s="2" t="inlineStr">
        <is>
          <t>Pokemon Stacking Tin: Ogerpon</t>
        </is>
      </c>
      <c r="B1573" s="3">
        <f>IF(I1573&lt;&gt;"",I1573,IF(J1573&lt;&gt;"",J1573,IF(K1573&lt;&gt;"",K1573,L1573)))</f>
        <v>28.22</v>
      </c>
      <c r="C1573" s="3">
        <f>MEDIAN(I1573:L1573)</f>
        <v>35.0</v>
      </c>
      <c r="D1573" s="3">
        <f>ROUND(C1573*(1-Settings!$B$2),2)</f>
        <v>24.5</v>
      </c>
      <c r="E1573" s="3">
        <f>ROUND(C1573*(1-Settings!$B$3),2)</f>
        <v>24.5</v>
      </c>
      <c r="F1573" s="2" t="inlineStr">
        <is>
          <t>Pokemon</t>
        </is>
      </c>
      <c r="G1573" s="2" t="inlineStr">
        <is>
          <t>Coffret</t>
        </is>
      </c>
      <c r="H1573" s="2" t="inlineStr">
        <is>
          <t>Miscellaneous Cards &amp; Products</t>
        </is>
      </c>
      <c r="I1573" s="3" t="n"/>
      <c r="J1573" s="3" t="n">
        <v>28.22</v>
      </c>
      <c r="K1573" s="3" t="n">
        <v>40</v>
      </c>
      <c r="L1573" s="3" t="n">
        <v>35</v>
      </c>
      <c r="M1573" s="2" t="inlineStr">
        <is>
          <t>TCGplayer</t>
        </is>
      </c>
      <c r="O1573" s="4" t="inlineStr">
        <is>
          <t>https://www.tcgplayer.com/product/616296</t>
        </is>
      </c>
    </row>
    <row r="1574">
      <c r="A1574" s="2" t="inlineStr">
        <is>
          <t>Pokemon Stacking Tin: Paradox Pokemon</t>
        </is>
      </c>
      <c r="B1574" s="3">
        <f>IF(I1574&lt;&gt;"",I1574,IF(J1574&lt;&gt;"",J1574,IF(K1574&lt;&gt;"",K1574,L1574)))</f>
        <v>30.0</v>
      </c>
      <c r="C1574" s="3">
        <f>MEDIAN(I1574:L1574)</f>
        <v>30.0</v>
      </c>
      <c r="D1574" s="3">
        <f>ROUND(C1574*(1-Settings!$B$2),2)</f>
        <v>21.0</v>
      </c>
      <c r="E1574" s="3">
        <f>ROUND(C1574*(1-Settings!$B$3),2)</f>
        <v>21.0</v>
      </c>
      <c r="F1574" s="2" t="inlineStr">
        <is>
          <t>Pokemon</t>
        </is>
      </c>
      <c r="G1574" s="2" t="inlineStr">
        <is>
          <t>Coffret</t>
        </is>
      </c>
      <c r="H1574" s="2" t="inlineStr">
        <is>
          <t>Miscellaneous Cards &amp; Products</t>
        </is>
      </c>
      <c r="I1574" s="3" t="n"/>
      <c r="J1574" s="3" t="n">
        <v>30</v>
      </c>
      <c r="K1574" s="3" t="n">
        <v>30.95</v>
      </c>
      <c r="L1574" s="3" t="n">
        <v>27</v>
      </c>
      <c r="M1574" s="2" t="inlineStr">
        <is>
          <t>TCGplayer</t>
        </is>
      </c>
      <c r="O1574" s="4" t="inlineStr">
        <is>
          <t>https://www.tcgplayer.com/product/616295</t>
        </is>
      </c>
    </row>
    <row r="1575">
      <c r="A1575" s="2" t="inlineStr">
        <is>
          <t>Pokemon Stacking Tin: Psychic</t>
        </is>
      </c>
      <c r="B1575" s="3">
        <f>IF(I1575&lt;&gt;"",I1575,IF(J1575&lt;&gt;"",J1575,IF(K1575&lt;&gt;"",K1575,L1575)))</f>
        <v>48.97</v>
      </c>
      <c r="C1575" s="3">
        <f>MEDIAN(I1575:L1575)</f>
        <v>48.97</v>
      </c>
      <c r="D1575" s="3">
        <f>ROUND(C1575*(1-Settings!$B$2),2)</f>
        <v>34.28</v>
      </c>
      <c r="E1575" s="3">
        <f>ROUND(C1575*(1-Settings!$B$3),2)</f>
        <v>34.28</v>
      </c>
      <c r="F1575" s="2" t="inlineStr">
        <is>
          <t>Pokemon</t>
        </is>
      </c>
      <c r="G1575" s="2" t="inlineStr">
        <is>
          <t>Coffret</t>
        </is>
      </c>
      <c r="H1575" s="2" t="inlineStr">
        <is>
          <t>Miscellaneous Cards &amp; Products</t>
        </is>
      </c>
      <c r="I1575" s="3" t="n"/>
      <c r="J1575" s="3" t="n">
        <v>48.97</v>
      </c>
      <c r="K1575" s="3" t="n">
        <v>59.94</v>
      </c>
      <c r="L1575" s="3" t="n">
        <v>48</v>
      </c>
      <c r="M1575" s="2" t="inlineStr">
        <is>
          <t>TCGplayer</t>
        </is>
      </c>
      <c r="O1575" s="4" t="inlineStr">
        <is>
          <t>https://www.tcgplayer.com/product/541168</t>
        </is>
      </c>
    </row>
    <row r="1576">
      <c r="A1576" s="2" t="inlineStr">
        <is>
          <t>Pokemon Stacking Tin: Treasures of Ruin</t>
        </is>
      </c>
      <c r="B1576" s="3">
        <f>IF(I1576&lt;&gt;"",I1576,IF(J1576&lt;&gt;"",J1576,IF(K1576&lt;&gt;"",K1576,L1576)))</f>
        <v>29.27</v>
      </c>
      <c r="C1576" s="3">
        <f>MEDIAN(I1576:L1576)</f>
        <v>29.27</v>
      </c>
      <c r="D1576" s="3">
        <f>ROUND(C1576*(1-Settings!$B$2),2)</f>
        <v>20.49</v>
      </c>
      <c r="E1576" s="3">
        <f>ROUND(C1576*(1-Settings!$B$3),2)</f>
        <v>20.49</v>
      </c>
      <c r="F1576" s="2" t="inlineStr">
        <is>
          <t>Pokemon</t>
        </is>
      </c>
      <c r="G1576" s="2" t="inlineStr">
        <is>
          <t>Coffret</t>
        </is>
      </c>
      <c r="H1576" s="2" t="inlineStr">
        <is>
          <t>Miscellaneous Cards &amp; Products</t>
        </is>
      </c>
      <c r="I1576" s="3" t="n"/>
      <c r="J1576" s="3" t="n">
        <v>29.27</v>
      </c>
      <c r="K1576" s="3" t="n">
        <v>30.95</v>
      </c>
      <c r="L1576" s="3" t="n">
        <v>24.49</v>
      </c>
      <c r="M1576" s="2" t="inlineStr">
        <is>
          <t>TCGplayer</t>
        </is>
      </c>
      <c r="O1576" s="4" t="inlineStr">
        <is>
          <t>https://www.tcgplayer.com/product/616294</t>
        </is>
      </c>
    </row>
    <row r="1577">
      <c r="A1577" s="2" t="inlineStr">
        <is>
          <t>Pokemon Stacking Tins [Set of 3]</t>
        </is>
      </c>
      <c r="B1577" s="3">
        <f>IF(I1577&lt;&gt;"",I1577,IF(J1577&lt;&gt;"",J1577,IF(K1577&lt;&gt;"",K1577,L1577)))</f>
        <v>156.9</v>
      </c>
      <c r="C1577" s="3">
        <f>MEDIAN(I1577:L1577)</f>
        <v>218.99</v>
      </c>
      <c r="D1577" s="3">
        <f>ROUND(C1577*(1-Settings!$B$2),2)</f>
        <v>153.29</v>
      </c>
      <c r="E1577" s="3">
        <f>ROUND(C1577*(1-Settings!$B$3),2)</f>
        <v>153.29</v>
      </c>
      <c r="F1577" s="2" t="inlineStr">
        <is>
          <t>Pokemon</t>
        </is>
      </c>
      <c r="G1577" s="2" t="inlineStr">
        <is>
          <t>Coffret</t>
        </is>
      </c>
      <c r="H1577" s="2" t="inlineStr">
        <is>
          <t>Miscellaneous Cards &amp; Products</t>
        </is>
      </c>
      <c r="I1577" s="3" t="n"/>
      <c r="J1577" s="3" t="n">
        <v>156.9</v>
      </c>
      <c r="K1577" s="3" t="n">
        <v>249.99</v>
      </c>
      <c r="L1577" s="3" t="n">
        <v>218.99</v>
      </c>
      <c r="M1577" s="2" t="inlineStr">
        <is>
          <t>TCGplayer</t>
        </is>
      </c>
      <c r="O1577" s="4" t="inlineStr">
        <is>
          <t>https://www.tcgplayer.com/product/260869</t>
        </is>
      </c>
    </row>
    <row r="1578">
      <c r="A1578" s="2" t="inlineStr">
        <is>
          <t>Pokemon Stacking Tins [Set of 3] (Psychic, Metal, and Dragon)</t>
        </is>
      </c>
      <c r="B1578" s="3">
        <f>IF(I1578&lt;&gt;"",I1578,IF(J1578&lt;&gt;"",J1578,IF(K1578&lt;&gt;"",K1578,L1578)))</f>
        <v>91.04</v>
      </c>
      <c r="C1578" s="3">
        <f>MEDIAN(I1578:L1578)</f>
        <v>154.99</v>
      </c>
      <c r="D1578" s="3">
        <f>ROUND(C1578*(1-Settings!$B$2),2)</f>
        <v>108.49</v>
      </c>
      <c r="E1578" s="3">
        <f>ROUND(C1578*(1-Settings!$B$3),2)</f>
        <v>108.49</v>
      </c>
      <c r="F1578" s="2" t="inlineStr">
        <is>
          <t>Pokemon</t>
        </is>
      </c>
      <c r="G1578" s="2" t="inlineStr">
        <is>
          <t>Coffret</t>
        </is>
      </c>
      <c r="H1578" s="2" t="inlineStr">
        <is>
          <t>Miscellaneous Cards &amp; Products</t>
        </is>
      </c>
      <c r="I1578" s="3" t="n"/>
      <c r="J1578" s="3" t="n">
        <v>91.04000000000001</v>
      </c>
      <c r="K1578" s="3" t="n">
        <v>154.99</v>
      </c>
      <c r="L1578" s="3" t="n">
        <v>154.99</v>
      </c>
      <c r="M1578" s="2" t="inlineStr">
        <is>
          <t>TCGplayer</t>
        </is>
      </c>
      <c r="O1578" s="4" t="inlineStr">
        <is>
          <t>https://www.tcgplayer.com/product/541205</t>
        </is>
      </c>
    </row>
    <row r="1579">
      <c r="A1579" s="2" t="inlineStr">
        <is>
          <t>Pokemon Stacking Tins [Set of 6]</t>
        </is>
      </c>
      <c r="B1579" s="3">
        <f>IF(I1579&lt;&gt;"",I1579,IF(J1579&lt;&gt;"",J1579,IF(K1579&lt;&gt;"",K1579,L1579)))</f>
        <v>499.99</v>
      </c>
      <c r="C1579" s="3">
        <f>MEDIAN(I1579:L1579)</f>
        <v>499.99</v>
      </c>
      <c r="D1579" s="3">
        <f>ROUND(C1579*(1-Settings!$B$2),2)</f>
        <v>349.99</v>
      </c>
      <c r="E1579" s="3">
        <f>ROUND(C1579*(1-Settings!$B$3),2)</f>
        <v>349.99</v>
      </c>
      <c r="F1579" s="2" t="inlineStr">
        <is>
          <t>Pokemon</t>
        </is>
      </c>
      <c r="G1579" s="2" t="inlineStr">
        <is>
          <t>Coffret</t>
        </is>
      </c>
      <c r="H1579" s="2" t="inlineStr">
        <is>
          <t>Miscellaneous Cards &amp; Products</t>
        </is>
      </c>
      <c r="I1579" s="3" t="n"/>
      <c r="J1579" s="3" t="n"/>
      <c r="K1579" s="3" t="n">
        <v>499.99</v>
      </c>
      <c r="L1579" s="3" t="n">
        <v>499.99</v>
      </c>
      <c r="M1579" s="2" t="inlineStr">
        <is>
          <t>TCGplayer</t>
        </is>
      </c>
      <c r="O1579" s="4" t="inlineStr">
        <is>
          <t>https://www.tcgplayer.com/product/260868</t>
        </is>
      </c>
    </row>
    <row r="1580">
      <c r="A1580" s="2" t="inlineStr">
        <is>
          <t>Pokemon Stacking Tins: Treasures of Ruin, Paradox Pokemon, Ogerpon [Set of 3]</t>
        </is>
      </c>
      <c r="B1580" s="3">
        <f>IF(I1580&lt;&gt;"",I1580,IF(J1580&lt;&gt;"",J1580,IF(K1580&lt;&gt;"",K1580,L1580)))</f>
        <v>86.0</v>
      </c>
      <c r="C1580" s="3">
        <f>MEDIAN(I1580:L1580)</f>
        <v>94.99</v>
      </c>
      <c r="D1580" s="3">
        <f>ROUND(C1580*(1-Settings!$B$2),2)</f>
        <v>66.49</v>
      </c>
      <c r="E1580" s="3">
        <f>ROUND(C1580*(1-Settings!$B$3),2)</f>
        <v>66.49</v>
      </c>
      <c r="F1580" s="2" t="inlineStr">
        <is>
          <t>Pokemon</t>
        </is>
      </c>
      <c r="G1580" s="2" t="inlineStr">
        <is>
          <t>Coffret</t>
        </is>
      </c>
      <c r="H1580" s="2" t="inlineStr">
        <is>
          <t>Miscellaneous Cards &amp; Products</t>
        </is>
      </c>
      <c r="I1580" s="3" t="n"/>
      <c r="J1580" s="3" t="n">
        <v>86</v>
      </c>
      <c r="K1580" s="3" t="n">
        <v>94.98999999999999</v>
      </c>
      <c r="L1580" s="3" t="n">
        <v>94.98999999999999</v>
      </c>
      <c r="M1580" s="2" t="inlineStr">
        <is>
          <t>TCGplayer</t>
        </is>
      </c>
      <c r="O1580" s="4" t="inlineStr">
        <is>
          <t>https://www.tcgplayer.com/product/616297</t>
        </is>
      </c>
    </row>
    <row r="1581">
      <c r="A1581" s="2" t="inlineStr">
        <is>
          <t>Prismatic Evolutions Elite Trainer Box and Pokeball (Sam's Club)</t>
        </is>
      </c>
      <c r="B1581" s="3">
        <f>IF(I1581&lt;&gt;"",I1581,IF(J1581&lt;&gt;"",J1581,IF(K1581&lt;&gt;"",K1581,L1581)))</f>
        <v>189.44</v>
      </c>
      <c r="C1581" s="3">
        <f>MEDIAN(I1581:L1581)</f>
        <v>189.44</v>
      </c>
      <c r="D1581" s="3">
        <f>ROUND(C1581*(1-Settings!$B$2),2)</f>
        <v>132.61</v>
      </c>
      <c r="E1581" s="3">
        <f>ROUND(C1581*(1-Settings!$B$3),2)</f>
        <v>132.61</v>
      </c>
      <c r="F1581" s="2" t="inlineStr">
        <is>
          <t>Pokemon</t>
        </is>
      </c>
      <c r="G1581" s="2" t="inlineStr">
        <is>
          <t>Coffret</t>
        </is>
      </c>
      <c r="H1581" s="2" t="inlineStr">
        <is>
          <t>Miscellaneous Cards &amp; Products</t>
        </is>
      </c>
      <c r="I1581" s="3" t="n"/>
      <c r="J1581" s="3" t="n">
        <v>189.44</v>
      </c>
      <c r="K1581" s="3" t="n">
        <v>224.99</v>
      </c>
      <c r="L1581" s="3" t="n">
        <v>160</v>
      </c>
      <c r="M1581" s="2" t="inlineStr">
        <is>
          <t>TCGplayer</t>
        </is>
      </c>
      <c r="O1581" s="4" t="inlineStr">
        <is>
          <t>https://www.tcgplayer.com/product/644852</t>
        </is>
      </c>
    </row>
    <row r="1582">
      <c r="A1582" s="2" t="inlineStr">
        <is>
          <t>Prismatic Evolutions Lucario ex &amp; Tyranitar ex Premium Collection (Sam's Club)</t>
        </is>
      </c>
      <c r="B1582" s="3">
        <f>IF(I1582&lt;&gt;"",I1582,IF(J1582&lt;&gt;"",J1582,IF(K1582&lt;&gt;"",K1582,L1582)))</f>
        <v>193.94</v>
      </c>
      <c r="C1582" s="3">
        <f>MEDIAN(I1582:L1582)</f>
        <v>193.94</v>
      </c>
      <c r="D1582" s="3">
        <f>ROUND(C1582*(1-Settings!$B$2),2)</f>
        <v>135.76</v>
      </c>
      <c r="E1582" s="3">
        <f>ROUND(C1582*(1-Settings!$B$3),2)</f>
        <v>135.76</v>
      </c>
      <c r="F1582" s="2" t="inlineStr">
        <is>
          <t>Pokemon</t>
        </is>
      </c>
      <c r="G1582" s="2" t="inlineStr">
        <is>
          <t>Coffret</t>
        </is>
      </c>
      <c r="H1582" s="2" t="inlineStr">
        <is>
          <t>Miscellaneous Cards &amp; Products</t>
        </is>
      </c>
      <c r="I1582" s="3" t="n"/>
      <c r="J1582" s="3" t="n">
        <v>193.94</v>
      </c>
      <c r="K1582" s="3" t="n">
        <v>220</v>
      </c>
      <c r="L1582" s="3" t="n">
        <v>184.94</v>
      </c>
      <c r="M1582" s="2" t="inlineStr">
        <is>
          <t>TCGplayer</t>
        </is>
      </c>
      <c r="O1582" s="4" t="inlineStr">
        <is>
          <t>https://www.tcgplayer.com/product/648365</t>
        </is>
      </c>
    </row>
    <row r="1583">
      <c r="A1583" s="2" t="inlineStr">
        <is>
          <t>Professor Juniper Premium Tournament Collection Box</t>
        </is>
      </c>
      <c r="B1583" s="3">
        <f>IF(I1583&lt;&gt;"",I1583,IF(J1583&lt;&gt;"",J1583,IF(K1583&lt;&gt;"",K1583,L1583)))</f>
        <v>111.98</v>
      </c>
      <c r="C1583" s="3">
        <f>MEDIAN(I1583:L1583)</f>
        <v>111.98</v>
      </c>
      <c r="D1583" s="3">
        <f>ROUND(C1583*(1-Settings!$B$2),2)</f>
        <v>78.39</v>
      </c>
      <c r="E1583" s="3">
        <f>ROUND(C1583*(1-Settings!$B$3),2)</f>
        <v>78.39</v>
      </c>
      <c r="F1583" s="2" t="inlineStr">
        <is>
          <t>Pokemon</t>
        </is>
      </c>
      <c r="G1583" s="2" t="inlineStr">
        <is>
          <t>Coffret</t>
        </is>
      </c>
      <c r="H1583" s="2" t="inlineStr">
        <is>
          <t>Miscellaneous Cards &amp; Products</t>
        </is>
      </c>
      <c r="I1583" s="3" t="n"/>
      <c r="J1583" s="3" t="n">
        <v>111.98</v>
      </c>
      <c r="K1583" s="3" t="n">
        <v>151.97</v>
      </c>
      <c r="L1583" s="3" t="n">
        <v>13.25</v>
      </c>
      <c r="M1583" s="2" t="inlineStr">
        <is>
          <t>TCGplayer</t>
        </is>
      </c>
      <c r="O1583" s="4" t="inlineStr">
        <is>
          <t>https://www.tcgplayer.com/product/268713</t>
        </is>
      </c>
    </row>
    <row r="1584">
      <c r="A1584" s="2" t="inlineStr">
        <is>
          <t>Reshiram &amp; Archaludon ex Box [Set of 2]</t>
        </is>
      </c>
      <c r="B1584" s="3">
        <f>IF(I1584&lt;&gt;"",I1584,IF(J1584&lt;&gt;"",J1584,IF(K1584&lt;&gt;"",K1584,L1584)))</f>
        <v>61.04</v>
      </c>
      <c r="C1584" s="3">
        <f>MEDIAN(I1584:L1584)</f>
        <v>67.99</v>
      </c>
      <c r="D1584" s="3">
        <f>ROUND(C1584*(1-Settings!$B$2),2)</f>
        <v>47.59</v>
      </c>
      <c r="E1584" s="3">
        <f>ROUND(C1584*(1-Settings!$B$3),2)</f>
        <v>47.59</v>
      </c>
      <c r="F1584" s="2" t="inlineStr">
        <is>
          <t>Pokemon</t>
        </is>
      </c>
      <c r="G1584" s="2" t="inlineStr">
        <is>
          <t>Coffret</t>
        </is>
      </c>
      <c r="H1584" s="2" t="inlineStr">
        <is>
          <t>Miscellaneous Cards &amp; Products</t>
        </is>
      </c>
      <c r="I1584" s="3" t="n"/>
      <c r="J1584" s="3" t="n">
        <v>61.04</v>
      </c>
      <c r="K1584" s="3" t="n">
        <v>80</v>
      </c>
      <c r="L1584" s="3" t="n">
        <v>67.98999999999999</v>
      </c>
      <c r="M1584" s="2" t="inlineStr">
        <is>
          <t>TCGplayer</t>
        </is>
      </c>
      <c r="O1584" s="4" t="inlineStr">
        <is>
          <t>https://www.tcgplayer.com/product/670267</t>
        </is>
      </c>
    </row>
    <row r="1585">
      <c r="A1585" s="2" t="inlineStr">
        <is>
          <t>Reshiram &amp; Charizard GX Premium Collection</t>
        </is>
      </c>
      <c r="B1585" s="3">
        <f>IF(I1585&lt;&gt;"",I1585,IF(J1585&lt;&gt;"",J1585,IF(K1585&lt;&gt;"",K1585,L1585)))</f>
        <v>289.91</v>
      </c>
      <c r="C1585" s="3">
        <f>MEDIAN(I1585:L1585)</f>
        <v>315.0</v>
      </c>
      <c r="D1585" s="3">
        <f>ROUND(C1585*(1-Settings!$B$2),2)</f>
        <v>220.5</v>
      </c>
      <c r="E1585" s="3">
        <f>ROUND(C1585*(1-Settings!$B$3),2)</f>
        <v>220.5</v>
      </c>
      <c r="F1585" s="2" t="inlineStr">
        <is>
          <t>Pokemon</t>
        </is>
      </c>
      <c r="G1585" s="2" t="inlineStr">
        <is>
          <t>Coffret</t>
        </is>
      </c>
      <c r="H1585" s="2" t="inlineStr">
        <is>
          <t>Miscellaneous Cards &amp; Products</t>
        </is>
      </c>
      <c r="I1585" s="3" t="n"/>
      <c r="J1585" s="3" t="n">
        <v>289.91</v>
      </c>
      <c r="K1585" s="3" t="n">
        <v>365</v>
      </c>
      <c r="L1585" s="3" t="n">
        <v>315</v>
      </c>
      <c r="M1585" s="2" t="inlineStr">
        <is>
          <t>TCGplayer</t>
        </is>
      </c>
      <c r="O1585" s="4" t="inlineStr">
        <is>
          <t>https://www.tcgplayer.com/product/248208</t>
        </is>
      </c>
    </row>
    <row r="1586">
      <c r="A1586" s="2" t="inlineStr">
        <is>
          <t>Reshiram ex Box</t>
        </is>
      </c>
      <c r="B1586" s="3">
        <f>IF(I1586&lt;&gt;"",I1586,IF(J1586&lt;&gt;"",J1586,IF(K1586&lt;&gt;"",K1586,L1586)))</f>
        <v>41.84</v>
      </c>
      <c r="C1586" s="3">
        <f>MEDIAN(I1586:L1586)</f>
        <v>43.51</v>
      </c>
      <c r="D1586" s="3">
        <f>ROUND(C1586*(1-Settings!$B$2),2)</f>
        <v>30.46</v>
      </c>
      <c r="E1586" s="3">
        <f>ROUND(C1586*(1-Settings!$B$3),2)</f>
        <v>30.46</v>
      </c>
      <c r="F1586" s="2" t="inlineStr">
        <is>
          <t>Pokemon</t>
        </is>
      </c>
      <c r="G1586" s="2" t="inlineStr">
        <is>
          <t>Coffret</t>
        </is>
      </c>
      <c r="H1586" s="2" t="inlineStr">
        <is>
          <t>Miscellaneous Cards &amp; Products</t>
        </is>
      </c>
      <c r="I1586" s="3" t="n"/>
      <c r="J1586" s="3" t="n">
        <v>41.84</v>
      </c>
      <c r="K1586" s="3" t="n">
        <v>62.34</v>
      </c>
      <c r="L1586" s="3" t="n">
        <v>43.51</v>
      </c>
      <c r="M1586" s="2" t="inlineStr">
        <is>
          <t>TCGplayer</t>
        </is>
      </c>
      <c r="O1586" s="4" t="inlineStr">
        <is>
          <t>https://www.tcgplayer.com/product/666512</t>
        </is>
      </c>
    </row>
    <row r="1587">
      <c r="A1587" s="2" t="inlineStr">
        <is>
          <t>Retail Exclusive Pokemon Paldean Fates Mini Tins + Poke Ball Tin</t>
        </is>
      </c>
      <c r="B1587" s="3">
        <f>IF(I1587&lt;&gt;"",I1587,IF(J1587&lt;&gt;"",J1587,IF(K1587&lt;&gt;"",K1587,L1587)))</f>
        <v>160.76</v>
      </c>
      <c r="C1587" s="3">
        <f>MEDIAN(I1587:L1587)</f>
        <v>210.0</v>
      </c>
      <c r="D1587" s="3">
        <f>ROUND(C1587*(1-Settings!$B$2),2)</f>
        <v>147.0</v>
      </c>
      <c r="E1587" s="3">
        <f>ROUND(C1587*(1-Settings!$B$3),2)</f>
        <v>147.0</v>
      </c>
      <c r="F1587" s="2" t="inlineStr">
        <is>
          <t>Pokemon</t>
        </is>
      </c>
      <c r="G1587" s="2" t="inlineStr">
        <is>
          <t>Coffret</t>
        </is>
      </c>
      <c r="H1587" s="2" t="inlineStr">
        <is>
          <t>Miscellaneous Cards &amp; Products</t>
        </is>
      </c>
      <c r="I1587" s="3" t="n"/>
      <c r="J1587" s="3" t="n">
        <v>160.76</v>
      </c>
      <c r="K1587" s="3" t="n">
        <v>219.88</v>
      </c>
      <c r="L1587" s="3" t="n">
        <v>210</v>
      </c>
      <c r="M1587" s="2" t="inlineStr">
        <is>
          <t>TCGplayer</t>
        </is>
      </c>
      <c r="O1587" s="4" t="inlineStr">
        <is>
          <t>https://www.tcgplayer.com/product/616737</t>
        </is>
      </c>
    </row>
    <row r="1588">
      <c r="A1588" s="2" t="inlineStr">
        <is>
          <t>Roaring Moon ex Box</t>
        </is>
      </c>
      <c r="B1588" s="3">
        <f>IF(I1588&lt;&gt;"",I1588,IF(J1588&lt;&gt;"",J1588,IF(K1588&lt;&gt;"",K1588,L1588)))</f>
        <v>46.83</v>
      </c>
      <c r="C1588" s="3">
        <f>MEDIAN(I1588:L1588)</f>
        <v>46.83</v>
      </c>
      <c r="D1588" s="3">
        <f>ROUND(C1588*(1-Settings!$B$2),2)</f>
        <v>32.78</v>
      </c>
      <c r="E1588" s="3">
        <f>ROUND(C1588*(1-Settings!$B$3),2)</f>
        <v>32.78</v>
      </c>
      <c r="F1588" s="2" t="inlineStr">
        <is>
          <t>Pokemon</t>
        </is>
      </c>
      <c r="G1588" s="2" t="inlineStr">
        <is>
          <t>Coffret</t>
        </is>
      </c>
      <c r="H1588" s="2" t="inlineStr">
        <is>
          <t>Miscellaneous Cards &amp; Products</t>
        </is>
      </c>
      <c r="I1588" s="3" t="n"/>
      <c r="J1588" s="3" t="n">
        <v>46.83</v>
      </c>
      <c r="K1588" s="3" t="n">
        <v>59.95</v>
      </c>
      <c r="L1588" s="3" t="n">
        <v>45</v>
      </c>
      <c r="M1588" s="2" t="inlineStr">
        <is>
          <t>TCGplayer</t>
        </is>
      </c>
      <c r="O1588" s="4" t="inlineStr">
        <is>
          <t>https://www.tcgplayer.com/product/516577</t>
        </is>
      </c>
    </row>
    <row r="1589">
      <c r="A1589" s="2" t="inlineStr">
        <is>
          <t>Salamence Dragons Tin</t>
        </is>
      </c>
      <c r="B1589" s="3">
        <f>IF(I1589&lt;&gt;"",I1589,IF(J1589&lt;&gt;"",J1589,IF(K1589&lt;&gt;"",K1589,L1589)))</f>
        <v>57.05</v>
      </c>
      <c r="C1589" s="3">
        <f>MEDIAN(I1589:L1589)</f>
        <v>75.0</v>
      </c>
      <c r="D1589" s="3">
        <f>ROUND(C1589*(1-Settings!$B$2),2)</f>
        <v>52.5</v>
      </c>
      <c r="E1589" s="3">
        <f>ROUND(C1589*(1-Settings!$B$3),2)</f>
        <v>52.5</v>
      </c>
      <c r="F1589" s="2" t="inlineStr">
        <is>
          <t>Pokemon</t>
        </is>
      </c>
      <c r="G1589" s="2" t="inlineStr">
        <is>
          <t>Coffret</t>
        </is>
      </c>
      <c r="H1589" s="2" t="inlineStr">
        <is>
          <t>Miscellaneous Cards &amp; Products</t>
        </is>
      </c>
      <c r="I1589" s="3" t="n"/>
      <c r="J1589" s="3" t="n">
        <v>57.05</v>
      </c>
      <c r="K1589" s="3" t="n">
        <v>75</v>
      </c>
      <c r="L1589" s="3" t="n">
        <v>75</v>
      </c>
      <c r="M1589" s="2" t="inlineStr">
        <is>
          <t>TCGplayer</t>
        </is>
      </c>
      <c r="O1589" s="4" t="inlineStr">
        <is>
          <t>https://www.tcgplayer.com/product/218438</t>
        </is>
      </c>
    </row>
    <row r="1590">
      <c r="A1590" s="2" t="inlineStr">
        <is>
          <t>Salamence ex &amp; Reshiram ex Premium Collection</t>
        </is>
      </c>
      <c r="B1590" s="3">
        <f>IF(I1590&lt;&gt;"",I1590,IF(J1590&lt;&gt;"",J1590,IF(K1590&lt;&gt;"",K1590,L1590)))</f>
        <v>91.71</v>
      </c>
      <c r="C1590" s="3">
        <f>MEDIAN(I1590:L1590)</f>
        <v>91.71</v>
      </c>
      <c r="D1590" s="3">
        <f>ROUND(C1590*(1-Settings!$B$2),2)</f>
        <v>64.2</v>
      </c>
      <c r="E1590" s="3">
        <f>ROUND(C1590*(1-Settings!$B$3),2)</f>
        <v>64.2</v>
      </c>
      <c r="F1590" s="2" t="inlineStr">
        <is>
          <t>Pokemon</t>
        </is>
      </c>
      <c r="G1590" s="2" t="inlineStr">
        <is>
          <t>Coffret</t>
        </is>
      </c>
      <c r="H1590" s="2" t="inlineStr">
        <is>
          <t>Miscellaneous Cards &amp; Products</t>
        </is>
      </c>
      <c r="I1590" s="3" t="n"/>
      <c r="J1590" s="3" t="n">
        <v>91.70999999999999</v>
      </c>
      <c r="K1590" s="3" t="n">
        <v>95.19</v>
      </c>
      <c r="L1590" s="3" t="n">
        <v>84.98999999999999</v>
      </c>
      <c r="M1590" s="2" t="inlineStr">
        <is>
          <t>TCGplayer</t>
        </is>
      </c>
      <c r="O1590" s="4" t="inlineStr">
        <is>
          <t>https://www.tcgplayer.com/product/653899</t>
        </is>
      </c>
    </row>
    <row r="1591">
      <c r="A1591" s="2" t="inlineStr">
        <is>
          <t>Shaymin VSTAR Premium Collection</t>
        </is>
      </c>
      <c r="B1591" s="3">
        <f>IF(I1591&lt;&gt;"",I1591,IF(J1591&lt;&gt;"",J1591,IF(K1591&lt;&gt;"",K1591,L1591)))</f>
        <v>128.85</v>
      </c>
      <c r="C1591" s="3">
        <f>MEDIAN(I1591:L1591)</f>
        <v>150.0</v>
      </c>
      <c r="D1591" s="3">
        <f>ROUND(C1591*(1-Settings!$B$2),2)</f>
        <v>105.0</v>
      </c>
      <c r="E1591" s="3">
        <f>ROUND(C1591*(1-Settings!$B$3),2)</f>
        <v>105.0</v>
      </c>
      <c r="F1591" s="2" t="inlineStr">
        <is>
          <t>Pokemon</t>
        </is>
      </c>
      <c r="G1591" s="2" t="inlineStr">
        <is>
          <t>Coffret</t>
        </is>
      </c>
      <c r="H1591" s="2" t="inlineStr">
        <is>
          <t>Miscellaneous Cards &amp; Products</t>
        </is>
      </c>
      <c r="I1591" s="3" t="n"/>
      <c r="J1591" s="3" t="n">
        <v>128.85</v>
      </c>
      <c r="K1591" s="3" t="n">
        <v>179.99</v>
      </c>
      <c r="L1591" s="3" t="n">
        <v>150</v>
      </c>
      <c r="M1591" s="2" t="inlineStr">
        <is>
          <t>TCGplayer</t>
        </is>
      </c>
      <c r="O1591" s="4" t="inlineStr">
        <is>
          <t>https://www.tcgplayer.com/product/286619</t>
        </is>
      </c>
    </row>
    <row r="1592">
      <c r="A1592" s="2" t="inlineStr">
        <is>
          <t>Sinnoh Star Mini Tin [Chimchar]</t>
        </is>
      </c>
      <c r="B1592" s="3">
        <f>IF(I1592&lt;&gt;"",I1592,IF(J1592&lt;&gt;"",J1592,IF(K1592&lt;&gt;"",K1592,L1592)))</f>
        <v>37.48</v>
      </c>
      <c r="C1592" s="3">
        <f>MEDIAN(I1592:L1592)</f>
        <v>39.99</v>
      </c>
      <c r="D1592" s="3">
        <f>ROUND(C1592*(1-Settings!$B$2),2)</f>
        <v>27.99</v>
      </c>
      <c r="E1592" s="3">
        <f>ROUND(C1592*(1-Settings!$B$3),2)</f>
        <v>27.99</v>
      </c>
      <c r="F1592" s="2" t="inlineStr">
        <is>
          <t>Pokemon</t>
        </is>
      </c>
      <c r="G1592" s="2" t="inlineStr">
        <is>
          <t>Coffret</t>
        </is>
      </c>
      <c r="H1592" s="2" t="inlineStr">
        <is>
          <t>Miscellaneous Cards &amp; Products</t>
        </is>
      </c>
      <c r="I1592" s="3" t="n"/>
      <c r="J1592" s="3" t="n">
        <v>37.48</v>
      </c>
      <c r="K1592" s="3" t="n">
        <v>44.99</v>
      </c>
      <c r="L1592" s="3" t="n">
        <v>39.99</v>
      </c>
      <c r="M1592" s="2" t="inlineStr">
        <is>
          <t>TCGplayer</t>
        </is>
      </c>
      <c r="O1592" s="4" t="inlineStr">
        <is>
          <t>https://www.tcgplayer.com/product/262641</t>
        </is>
      </c>
    </row>
    <row r="1593">
      <c r="A1593" s="2" t="inlineStr">
        <is>
          <t>Sinnoh Star Mini Tin [Munchlax]</t>
        </is>
      </c>
      <c r="B1593" s="3">
        <f>IF(I1593&lt;&gt;"",I1593,IF(J1593&lt;&gt;"",J1593,IF(K1593&lt;&gt;"",K1593,L1593)))</f>
        <v>97.0</v>
      </c>
      <c r="C1593" s="3">
        <f>MEDIAN(I1593:L1593)</f>
        <v>95.995</v>
      </c>
      <c r="D1593" s="3">
        <f>ROUND(C1593*(1-Settings!$B$2),2)</f>
        <v>67.2</v>
      </c>
      <c r="E1593" s="3">
        <f>ROUND(C1593*(1-Settings!$B$3),2)</f>
        <v>67.2</v>
      </c>
      <c r="F1593" s="2" t="inlineStr">
        <is>
          <t>Pokemon</t>
        </is>
      </c>
      <c r="G1593" s="2" t="inlineStr">
        <is>
          <t>Coffret</t>
        </is>
      </c>
      <c r="H1593" s="2" t="inlineStr">
        <is>
          <t>Miscellaneous Cards &amp; Products</t>
        </is>
      </c>
      <c r="I1593" s="3" t="n"/>
      <c r="J1593" s="3" t="n"/>
      <c r="K1593" s="3" t="n">
        <v>97</v>
      </c>
      <c r="L1593" s="3" t="n">
        <v>94.98999999999999</v>
      </c>
      <c r="M1593" s="2" t="inlineStr">
        <is>
          <t>TCGplayer</t>
        </is>
      </c>
      <c r="O1593" s="4" t="inlineStr">
        <is>
          <t>https://www.tcgplayer.com/product/262642</t>
        </is>
      </c>
    </row>
    <row r="1594">
      <c r="A1594" s="2" t="inlineStr">
        <is>
          <t>Sinnoh Star Mini Tin [Piplup]</t>
        </is>
      </c>
      <c r="B1594" s="3">
        <f>IF(I1594&lt;&gt;"",I1594,IF(J1594&lt;&gt;"",J1594,IF(K1594&lt;&gt;"",K1594,L1594)))</f>
        <v>42.28</v>
      </c>
      <c r="C1594" s="3">
        <f>MEDIAN(I1594:L1594)</f>
        <v>80.0</v>
      </c>
      <c r="D1594" s="3">
        <f>ROUND(C1594*(1-Settings!$B$2),2)</f>
        <v>56.0</v>
      </c>
      <c r="E1594" s="3">
        <f>ROUND(C1594*(1-Settings!$B$3),2)</f>
        <v>56.0</v>
      </c>
      <c r="F1594" s="2" t="inlineStr">
        <is>
          <t>Pokemon</t>
        </is>
      </c>
      <c r="G1594" s="2" t="inlineStr">
        <is>
          <t>Coffret</t>
        </is>
      </c>
      <c r="H1594" s="2" t="inlineStr">
        <is>
          <t>Miscellaneous Cards &amp; Products</t>
        </is>
      </c>
      <c r="I1594" s="3" t="n"/>
      <c r="J1594" s="3" t="n">
        <v>42.28</v>
      </c>
      <c r="K1594" s="3" t="n">
        <v>94.48999999999999</v>
      </c>
      <c r="L1594" s="3" t="n">
        <v>80</v>
      </c>
      <c r="M1594" s="2" t="inlineStr">
        <is>
          <t>TCGplayer</t>
        </is>
      </c>
      <c r="O1594" s="4" t="inlineStr">
        <is>
          <t>https://www.tcgplayer.com/product/262638</t>
        </is>
      </c>
    </row>
    <row r="1595">
      <c r="A1595" s="2" t="inlineStr">
        <is>
          <t>Sinnoh Star Mini Tin [Set of 5]</t>
        </is>
      </c>
      <c r="B1595" s="3">
        <f>IF(I1595&lt;&gt;"",I1595,IF(J1595&lt;&gt;"",J1595,IF(K1595&lt;&gt;"",K1595,L1595)))</f>
        <v>149.69</v>
      </c>
      <c r="C1595" s="3">
        <f>MEDIAN(I1595:L1595)</f>
        <v>200.0</v>
      </c>
      <c r="D1595" s="3">
        <f>ROUND(C1595*(1-Settings!$B$2),2)</f>
        <v>140.0</v>
      </c>
      <c r="E1595" s="3">
        <f>ROUND(C1595*(1-Settings!$B$3),2)</f>
        <v>140.0</v>
      </c>
      <c r="F1595" s="2" t="inlineStr">
        <is>
          <t>Pokemon</t>
        </is>
      </c>
      <c r="G1595" s="2" t="inlineStr">
        <is>
          <t>Coffret</t>
        </is>
      </c>
      <c r="H1595" s="2" t="inlineStr">
        <is>
          <t>Miscellaneous Cards &amp; Products</t>
        </is>
      </c>
      <c r="I1595" s="3" t="n"/>
      <c r="J1595" s="3" t="n">
        <v>149.69</v>
      </c>
      <c r="K1595" s="3" t="n">
        <v>257.49</v>
      </c>
      <c r="L1595" s="3" t="n">
        <v>200</v>
      </c>
      <c r="M1595" s="2" t="inlineStr">
        <is>
          <t>TCGplayer</t>
        </is>
      </c>
      <c r="O1595" s="4" t="inlineStr">
        <is>
          <t>https://www.tcgplayer.com/product/263258</t>
        </is>
      </c>
    </row>
    <row r="1596">
      <c r="A1596" s="2" t="inlineStr">
        <is>
          <t>Sinnoh Star Mini Tin [Turtwig]</t>
        </is>
      </c>
      <c r="B1596" s="3">
        <f>IF(I1596&lt;&gt;"",I1596,IF(J1596&lt;&gt;"",J1596,IF(K1596&lt;&gt;"",K1596,L1596)))</f>
        <v>34.03</v>
      </c>
      <c r="C1596" s="3">
        <f>MEDIAN(I1596:L1596)</f>
        <v>45.99</v>
      </c>
      <c r="D1596" s="3">
        <f>ROUND(C1596*(1-Settings!$B$2),2)</f>
        <v>32.19</v>
      </c>
      <c r="E1596" s="3">
        <f>ROUND(C1596*(1-Settings!$B$3),2)</f>
        <v>32.19</v>
      </c>
      <c r="F1596" s="2" t="inlineStr">
        <is>
          <t>Pokemon</t>
        </is>
      </c>
      <c r="G1596" s="2" t="inlineStr">
        <is>
          <t>Coffret</t>
        </is>
      </c>
      <c r="H1596" s="2" t="inlineStr">
        <is>
          <t>Miscellaneous Cards &amp; Products</t>
        </is>
      </c>
      <c r="I1596" s="3" t="n"/>
      <c r="J1596" s="3" t="n">
        <v>34.03</v>
      </c>
      <c r="K1596" s="3" t="n">
        <v>47.99</v>
      </c>
      <c r="L1596" s="3" t="n">
        <v>45.99</v>
      </c>
      <c r="M1596" s="2" t="inlineStr">
        <is>
          <t>TCGplayer</t>
        </is>
      </c>
      <c r="O1596" s="4" t="inlineStr">
        <is>
          <t>https://www.tcgplayer.com/product/262640</t>
        </is>
      </c>
    </row>
    <row r="1597">
      <c r="A1597" s="2" t="inlineStr">
        <is>
          <t>Sinnoh Stars Mini Tins 5-Pack</t>
        </is>
      </c>
      <c r="B1597" s="3">
        <f>IF(I1597&lt;&gt;"",I1597,IF(J1597&lt;&gt;"",J1597,IF(K1597&lt;&gt;"",K1597,L1597)))</f>
        <v>199.99</v>
      </c>
      <c r="C1597" s="3">
        <f>MEDIAN(I1597:L1597)</f>
        <v>225.0</v>
      </c>
      <c r="D1597" s="3">
        <f>ROUND(C1597*(1-Settings!$B$2),2)</f>
        <v>157.5</v>
      </c>
      <c r="E1597" s="3">
        <f>ROUND(C1597*(1-Settings!$B$3),2)</f>
        <v>157.5</v>
      </c>
      <c r="F1597" s="2" t="inlineStr">
        <is>
          <t>Pokemon</t>
        </is>
      </c>
      <c r="G1597" s="2" t="inlineStr">
        <is>
          <t>Coffret</t>
        </is>
      </c>
      <c r="H1597" s="2" t="inlineStr">
        <is>
          <t>Miscellaneous Cards &amp; Products</t>
        </is>
      </c>
      <c r="I1597" s="3" t="n"/>
      <c r="J1597" s="3" t="n">
        <v>199.99</v>
      </c>
      <c r="K1597" s="3" t="n">
        <v>237</v>
      </c>
      <c r="L1597" s="3" t="n">
        <v>225</v>
      </c>
      <c r="M1597" s="2" t="inlineStr">
        <is>
          <t>TCGplayer</t>
        </is>
      </c>
      <c r="O1597" s="4" t="inlineStr">
        <is>
          <t>https://www.tcgplayer.com/product/532539</t>
        </is>
      </c>
    </row>
    <row r="1598">
      <c r="A1598" s="2" t="inlineStr">
        <is>
          <t>Slashing Legends Tin [Koraidon ex]</t>
        </is>
      </c>
      <c r="B1598" s="3">
        <f>IF(I1598&lt;&gt;"",I1598,IF(J1598&lt;&gt;"",J1598,IF(K1598&lt;&gt;"",K1598,L1598)))</f>
        <v>35.62</v>
      </c>
      <c r="C1598" s="3">
        <f>MEDIAN(I1598:L1598)</f>
        <v>35.62</v>
      </c>
      <c r="D1598" s="3">
        <f>ROUND(C1598*(1-Settings!$B$2),2)</f>
        <v>24.93</v>
      </c>
      <c r="E1598" s="3">
        <f>ROUND(C1598*(1-Settings!$B$3),2)</f>
        <v>24.93</v>
      </c>
      <c r="F1598" s="2" t="inlineStr">
        <is>
          <t>Pokemon</t>
        </is>
      </c>
      <c r="G1598" s="2" t="inlineStr">
        <is>
          <t>Coffret</t>
        </is>
      </c>
      <c r="H1598" s="2" t="inlineStr">
        <is>
          <t>Miscellaneous Cards &amp; Products</t>
        </is>
      </c>
      <c r="I1598" s="3" t="n"/>
      <c r="J1598" s="3" t="n">
        <v>35.62</v>
      </c>
      <c r="K1598" s="3" t="n">
        <v>46.99</v>
      </c>
      <c r="L1598" s="3" t="n">
        <v>5.99</v>
      </c>
      <c r="M1598" s="2" t="inlineStr">
        <is>
          <t>TCGplayer</t>
        </is>
      </c>
      <c r="O1598" s="4" t="inlineStr">
        <is>
          <t>https://www.tcgplayer.com/product/623647</t>
        </is>
      </c>
    </row>
    <row r="1599">
      <c r="A1599" s="2" t="inlineStr">
        <is>
          <t>Slashing Legends Tin [Zacian ex]</t>
        </is>
      </c>
      <c r="B1599" s="3">
        <f>IF(I1599&lt;&gt;"",I1599,IF(J1599&lt;&gt;"",J1599,IF(K1599&lt;&gt;"",K1599,L1599)))</f>
        <v>37.45</v>
      </c>
      <c r="C1599" s="3">
        <f>MEDIAN(I1599:L1599)</f>
        <v>37.45</v>
      </c>
      <c r="D1599" s="3">
        <f>ROUND(C1599*(1-Settings!$B$2),2)</f>
        <v>26.22</v>
      </c>
      <c r="E1599" s="3">
        <f>ROUND(C1599*(1-Settings!$B$3),2)</f>
        <v>26.22</v>
      </c>
      <c r="F1599" s="2" t="inlineStr">
        <is>
          <t>Pokemon</t>
        </is>
      </c>
      <c r="G1599" s="2" t="inlineStr">
        <is>
          <t>Coffret</t>
        </is>
      </c>
      <c r="H1599" s="2" t="inlineStr">
        <is>
          <t>Miscellaneous Cards &amp; Products</t>
        </is>
      </c>
      <c r="I1599" s="3" t="n"/>
      <c r="J1599" s="3" t="n">
        <v>37.45</v>
      </c>
      <c r="K1599" s="3" t="n">
        <v>46.99</v>
      </c>
      <c r="L1599" s="3" t="n">
        <v>5</v>
      </c>
      <c r="M1599" s="2" t="inlineStr">
        <is>
          <t>TCGplayer</t>
        </is>
      </c>
      <c r="O1599" s="4" t="inlineStr">
        <is>
          <t>https://www.tcgplayer.com/product/623648</t>
        </is>
      </c>
    </row>
    <row r="1600">
      <c r="A1600" s="2" t="inlineStr">
        <is>
          <t>Small But Mighty Premium Collection</t>
        </is>
      </c>
      <c r="B1600" s="3">
        <f>IF(I1600&lt;&gt;"",I1600,IF(J1600&lt;&gt;"",J1600,IF(K1600&lt;&gt;"",K1600,L1600)))</f>
        <v>854.41</v>
      </c>
      <c r="C1600" s="3">
        <f>MEDIAN(I1600:L1600)</f>
        <v>924.97</v>
      </c>
      <c r="D1600" s="3">
        <f>ROUND(C1600*(1-Settings!$B$2),2)</f>
        <v>647.48</v>
      </c>
      <c r="E1600" s="3">
        <f>ROUND(C1600*(1-Settings!$B$3),2)</f>
        <v>647.48</v>
      </c>
      <c r="F1600" s="2" t="inlineStr">
        <is>
          <t>Pokemon</t>
        </is>
      </c>
      <c r="G1600" s="2" t="inlineStr">
        <is>
          <t>Coffret</t>
        </is>
      </c>
      <c r="H1600" s="2" t="inlineStr">
        <is>
          <t>Miscellaneous Cards &amp; Products</t>
        </is>
      </c>
      <c r="I1600" s="3" t="n"/>
      <c r="J1600" s="3" t="n">
        <v>854.41</v>
      </c>
      <c r="K1600" s="3" t="n">
        <v>1200</v>
      </c>
      <c r="L1600" s="3" t="n">
        <v>924.97</v>
      </c>
      <c r="M1600" s="2" t="inlineStr">
        <is>
          <t>TCGplayer</t>
        </is>
      </c>
      <c r="O1600" s="4" t="inlineStr">
        <is>
          <t>https://www.tcgplayer.com/product/226128</t>
        </is>
      </c>
    </row>
    <row r="1601">
      <c r="A1601" s="2" t="inlineStr">
        <is>
          <t>Snorlax &amp; Lapras VMAX Collection</t>
        </is>
      </c>
      <c r="B1601" s="3">
        <f>IF(I1601&lt;&gt;"",I1601,IF(J1601&lt;&gt;"",J1601,IF(K1601&lt;&gt;"",K1601,L1601)))</f>
        <v>516.33</v>
      </c>
      <c r="C1601" s="3">
        <f>MEDIAN(I1601:L1601)</f>
        <v>800.0</v>
      </c>
      <c r="D1601" s="3">
        <f>ROUND(C1601*(1-Settings!$B$2),2)</f>
        <v>560.0</v>
      </c>
      <c r="E1601" s="3">
        <f>ROUND(C1601*(1-Settings!$B$3),2)</f>
        <v>560.0</v>
      </c>
      <c r="F1601" s="2" t="inlineStr">
        <is>
          <t>Pokemon</t>
        </is>
      </c>
      <c r="G1601" s="2" t="inlineStr">
        <is>
          <t>Coffret</t>
        </is>
      </c>
      <c r="H1601" s="2" t="inlineStr">
        <is>
          <t>Miscellaneous Cards &amp; Products</t>
        </is>
      </c>
      <c r="I1601" s="3" t="n"/>
      <c r="J1601" s="3" t="n">
        <v>516.33</v>
      </c>
      <c r="K1601" s="3" t="n">
        <v>1150</v>
      </c>
      <c r="L1601" s="3" t="n">
        <v>800</v>
      </c>
      <c r="M1601" s="2" t="inlineStr">
        <is>
          <t>TCGplayer</t>
        </is>
      </c>
      <c r="O1601" s="4" t="inlineStr">
        <is>
          <t>https://www.tcgplayer.com/product/653192</t>
        </is>
      </c>
    </row>
    <row r="1602">
      <c r="A1602" s="2" t="inlineStr">
        <is>
          <t>Snorlax ex &amp; Blissey ex Special Collection</t>
        </is>
      </c>
      <c r="B1602" s="3">
        <f>IF(I1602&lt;&gt;"",I1602,IF(J1602&lt;&gt;"",J1602,IF(K1602&lt;&gt;"",K1602,L1602)))</f>
        <v>81.23</v>
      </c>
      <c r="C1602" s="3">
        <f>MEDIAN(I1602:L1602)</f>
        <v>81.23</v>
      </c>
      <c r="D1602" s="3">
        <f>ROUND(C1602*(1-Settings!$B$2),2)</f>
        <v>56.86</v>
      </c>
      <c r="E1602" s="3">
        <f>ROUND(C1602*(1-Settings!$B$3),2)</f>
        <v>56.86</v>
      </c>
      <c r="F1602" s="2" t="inlineStr">
        <is>
          <t>Pokemon</t>
        </is>
      </c>
      <c r="G1602" s="2" t="inlineStr">
        <is>
          <t>Coffret</t>
        </is>
      </c>
      <c r="H1602" s="2" t="inlineStr">
        <is>
          <t>Miscellaneous Cards &amp; Products</t>
        </is>
      </c>
      <c r="I1602" s="3" t="n"/>
      <c r="J1602" s="3" t="n">
        <v>81.23</v>
      </c>
      <c r="K1602" s="3" t="n">
        <v>93.41</v>
      </c>
      <c r="L1602" s="3" t="n">
        <v>79.01000000000001</v>
      </c>
      <c r="M1602" s="2" t="inlineStr">
        <is>
          <t>TCGplayer</t>
        </is>
      </c>
      <c r="O1602" s="4" t="inlineStr">
        <is>
          <t>https://www.tcgplayer.com/product/662770</t>
        </is>
      </c>
    </row>
    <row r="1603">
      <c r="A1603" s="2" t="inlineStr">
        <is>
          <t>Spring 2022 Collector Bundle</t>
        </is>
      </c>
      <c r="B1603" s="3">
        <f>IF(I1603&lt;&gt;"",I1603,IF(J1603&lt;&gt;"",J1603,IF(K1603&lt;&gt;"",K1603,L1603)))</f>
        <v>107.02</v>
      </c>
      <c r="C1603" s="3">
        <f>MEDIAN(I1603:L1603)</f>
        <v>119.68</v>
      </c>
      <c r="D1603" s="3">
        <f>ROUND(C1603*(1-Settings!$B$2),2)</f>
        <v>83.78</v>
      </c>
      <c r="E1603" s="3">
        <f>ROUND(C1603*(1-Settings!$B$3),2)</f>
        <v>83.78</v>
      </c>
      <c r="F1603" s="2" t="inlineStr">
        <is>
          <t>Pokemon</t>
        </is>
      </c>
      <c r="G1603" s="2" t="inlineStr">
        <is>
          <t>Coffret</t>
        </is>
      </c>
      <c r="H1603" s="2" t="inlineStr">
        <is>
          <t>Miscellaneous Cards &amp; Products</t>
        </is>
      </c>
      <c r="I1603" s="3" t="n"/>
      <c r="J1603" s="3" t="n">
        <v>107.02</v>
      </c>
      <c r="K1603" s="3" t="n">
        <v>179.97</v>
      </c>
      <c r="L1603" s="3" t="n">
        <v>119.68</v>
      </c>
      <c r="M1603" s="2" t="inlineStr">
        <is>
          <t>TCGplayer</t>
        </is>
      </c>
      <c r="O1603" s="4" t="inlineStr">
        <is>
          <t>https://www.tcgplayer.com/product/261779</t>
        </is>
      </c>
    </row>
    <row r="1604">
      <c r="A1604" s="2" t="inlineStr">
        <is>
          <t>Spring 2022 Collector Chest</t>
        </is>
      </c>
      <c r="B1604" s="3">
        <f>IF(I1604&lt;&gt;"",I1604,IF(J1604&lt;&gt;"",J1604,IF(K1604&lt;&gt;"",K1604,L1604)))</f>
        <v>84.61</v>
      </c>
      <c r="C1604" s="3">
        <f>MEDIAN(I1604:L1604)</f>
        <v>84.61</v>
      </c>
      <c r="D1604" s="3">
        <f>ROUND(C1604*(1-Settings!$B$2),2)</f>
        <v>59.23</v>
      </c>
      <c r="E1604" s="3">
        <f>ROUND(C1604*(1-Settings!$B$3),2)</f>
        <v>59.23</v>
      </c>
      <c r="F1604" s="2" t="inlineStr">
        <is>
          <t>Pokemon</t>
        </is>
      </c>
      <c r="G1604" s="2" t="inlineStr">
        <is>
          <t>Coffret</t>
        </is>
      </c>
      <c r="H1604" s="2" t="inlineStr">
        <is>
          <t>Miscellaneous Cards &amp; Products</t>
        </is>
      </c>
      <c r="I1604" s="3" t="n"/>
      <c r="J1604" s="3" t="n">
        <v>84.61</v>
      </c>
      <c r="K1604" s="3" t="n">
        <v>98.84999999999999</v>
      </c>
      <c r="L1604" s="3" t="n">
        <v>69.98999999999999</v>
      </c>
      <c r="M1604" s="2" t="inlineStr">
        <is>
          <t>TCGplayer</t>
        </is>
      </c>
      <c r="O1604" s="4" t="inlineStr">
        <is>
          <t>https://www.tcgplayer.com/product/265252</t>
        </is>
      </c>
    </row>
    <row r="1605">
      <c r="A1605" s="2" t="inlineStr">
        <is>
          <t>Strong Bonds Tin [Gardevoir]</t>
        </is>
      </c>
      <c r="B1605" s="3">
        <f>IF(I1605&lt;&gt;"",I1605,IF(J1605&lt;&gt;"",J1605,IF(K1605&lt;&gt;"",K1605,L1605)))</f>
        <v>60.47</v>
      </c>
      <c r="C1605" s="3">
        <f>MEDIAN(I1605:L1605)</f>
        <v>67.99</v>
      </c>
      <c r="D1605" s="3">
        <f>ROUND(C1605*(1-Settings!$B$2),2)</f>
        <v>47.59</v>
      </c>
      <c r="E1605" s="3">
        <f>ROUND(C1605*(1-Settings!$B$3),2)</f>
        <v>47.59</v>
      </c>
      <c r="F1605" s="2" t="inlineStr">
        <is>
          <t>Pokemon</t>
        </is>
      </c>
      <c r="G1605" s="2" t="inlineStr">
        <is>
          <t>Coffret</t>
        </is>
      </c>
      <c r="H1605" s="2" t="inlineStr">
        <is>
          <t>Miscellaneous Cards &amp; Products</t>
        </is>
      </c>
      <c r="I1605" s="3" t="n"/>
      <c r="J1605" s="3" t="n">
        <v>60.47</v>
      </c>
      <c r="K1605" s="3" t="n">
        <v>81.18000000000001</v>
      </c>
      <c r="L1605" s="3" t="n">
        <v>67.98999999999999</v>
      </c>
      <c r="M1605" s="2" t="inlineStr">
        <is>
          <t>TCGplayer</t>
        </is>
      </c>
      <c r="O1605" s="4" t="inlineStr">
        <is>
          <t>https://www.tcgplayer.com/product/229747</t>
        </is>
      </c>
    </row>
    <row r="1606">
      <c r="A1606" s="2" t="inlineStr">
        <is>
          <t>Summer 2023 Collector's Chest Tin</t>
        </is>
      </c>
      <c r="B1606" s="3">
        <f>IF(I1606&lt;&gt;"",I1606,IF(J1606&lt;&gt;"",J1606,IF(K1606&lt;&gt;"",K1606,L1606)))</f>
        <v>87.38</v>
      </c>
      <c r="C1606" s="3">
        <f>MEDIAN(I1606:L1606)</f>
        <v>87.69</v>
      </c>
      <c r="D1606" s="3">
        <f>ROUND(C1606*(1-Settings!$B$2),2)</f>
        <v>61.38</v>
      </c>
      <c r="E1606" s="3">
        <f>ROUND(C1606*(1-Settings!$B$3),2)</f>
        <v>61.38</v>
      </c>
      <c r="F1606" s="2" t="inlineStr">
        <is>
          <t>Pokemon</t>
        </is>
      </c>
      <c r="G1606" s="2" t="inlineStr">
        <is>
          <t>Coffret</t>
        </is>
      </c>
      <c r="H1606" s="2" t="inlineStr">
        <is>
          <t>Miscellaneous Cards &amp; Products</t>
        </is>
      </c>
      <c r="I1606" s="3" t="n"/>
      <c r="J1606" s="3" t="n">
        <v>87.38</v>
      </c>
      <c r="K1606" s="3" t="n">
        <v>89.81999999999999</v>
      </c>
      <c r="L1606" s="3" t="n">
        <v>87.69</v>
      </c>
      <c r="M1606" s="2" t="inlineStr">
        <is>
          <t>TCGplayer</t>
        </is>
      </c>
      <c r="O1606" s="4" t="inlineStr">
        <is>
          <t>https://www.tcgplayer.com/product/497870</t>
        </is>
      </c>
    </row>
    <row r="1607">
      <c r="A1607" s="2" t="inlineStr">
        <is>
          <t>Sword &amp; Shield Ultra-Premium Collection - Zacian &amp; Zamazenta</t>
        </is>
      </c>
      <c r="B1607" s="3">
        <f>IF(I1607&lt;&gt;"",I1607,IF(J1607&lt;&gt;"",J1607,IF(K1607&lt;&gt;"",K1607,L1607)))</f>
        <v>365.2</v>
      </c>
      <c r="C1607" s="3">
        <f>MEDIAN(I1607:L1607)</f>
        <v>365.2</v>
      </c>
      <c r="D1607" s="3">
        <f>ROUND(C1607*(1-Settings!$B$2),2)</f>
        <v>255.64</v>
      </c>
      <c r="E1607" s="3">
        <f>ROUND(C1607*(1-Settings!$B$3),2)</f>
        <v>255.64</v>
      </c>
      <c r="F1607" s="2" t="inlineStr">
        <is>
          <t>Pokemon</t>
        </is>
      </c>
      <c r="G1607" s="2" t="inlineStr">
        <is>
          <t>Coffret</t>
        </is>
      </c>
      <c r="H1607" s="2" t="inlineStr">
        <is>
          <t>Miscellaneous Cards &amp; Products</t>
        </is>
      </c>
      <c r="I1607" s="3" t="n"/>
      <c r="J1607" s="3" t="n">
        <v>365.2</v>
      </c>
      <c r="K1607" s="3" t="n">
        <v>449.32</v>
      </c>
      <c r="L1607" s="3" t="n">
        <v>362.04</v>
      </c>
      <c r="M1607" s="2" t="inlineStr">
        <is>
          <t>TCGplayer</t>
        </is>
      </c>
      <c r="O1607" s="4" t="inlineStr">
        <is>
          <t>https://www.tcgplayer.com/product/226136</t>
        </is>
      </c>
    </row>
    <row r="1608">
      <c r="A1608" s="2" t="inlineStr">
        <is>
          <t>TAG TEAM Generations Premium Collection</t>
        </is>
      </c>
      <c r="B1608" s="3">
        <f>IF(I1608&lt;&gt;"",I1608,IF(J1608&lt;&gt;"",J1608,IF(K1608&lt;&gt;"",K1608,L1608)))</f>
        <v>1815.0</v>
      </c>
      <c r="C1608" s="3">
        <f>MEDIAN(I1608:L1608)</f>
        <v>2400.0</v>
      </c>
      <c r="D1608" s="3">
        <f>ROUND(C1608*(1-Settings!$B$2),2)</f>
        <v>1680.0</v>
      </c>
      <c r="E1608" s="3">
        <f>ROUND(C1608*(1-Settings!$B$3),2)</f>
        <v>1680.0</v>
      </c>
      <c r="F1608" s="2" t="inlineStr">
        <is>
          <t>Pokemon</t>
        </is>
      </c>
      <c r="G1608" s="2" t="inlineStr">
        <is>
          <t>Coffret</t>
        </is>
      </c>
      <c r="H1608" s="2" t="inlineStr">
        <is>
          <t>Miscellaneous Cards &amp; Products</t>
        </is>
      </c>
      <c r="I1608" s="3" t="n"/>
      <c r="J1608" s="3" t="n">
        <v>1815</v>
      </c>
      <c r="K1608" s="3" t="n">
        <v>2699.99</v>
      </c>
      <c r="L1608" s="3" t="n">
        <v>2400</v>
      </c>
      <c r="M1608" s="2" t="inlineStr">
        <is>
          <t>TCGplayer</t>
        </is>
      </c>
      <c r="O1608" s="4" t="inlineStr">
        <is>
          <t>https://www.tcgplayer.com/product/200172</t>
        </is>
      </c>
    </row>
    <row r="1609">
      <c r="A1609" s="2" t="inlineStr">
        <is>
          <t>TAG TEAM Powers Collection [Espeon &amp; Deoxys GX]</t>
        </is>
      </c>
      <c r="B1609" s="3">
        <f>IF(I1609&lt;&gt;"",I1609,IF(J1609&lt;&gt;"",J1609,IF(K1609&lt;&gt;"",K1609,L1609)))</f>
        <v>1914.49</v>
      </c>
      <c r="C1609" s="3">
        <f>MEDIAN(I1609:L1609)</f>
        <v>1907.22</v>
      </c>
      <c r="D1609" s="3">
        <f>ROUND(C1609*(1-Settings!$B$2),2)</f>
        <v>1335.05</v>
      </c>
      <c r="E1609" s="3">
        <f>ROUND(C1609*(1-Settings!$B$3),2)</f>
        <v>1335.05</v>
      </c>
      <c r="F1609" s="2" t="inlineStr">
        <is>
          <t>Pokemon</t>
        </is>
      </c>
      <c r="G1609" s="2" t="inlineStr">
        <is>
          <t>Coffret</t>
        </is>
      </c>
      <c r="H1609" s="2" t="inlineStr">
        <is>
          <t>Miscellaneous Cards &amp; Products</t>
        </is>
      </c>
      <c r="I1609" s="3" t="n"/>
      <c r="J1609" s="3" t="n"/>
      <c r="K1609" s="3" t="n">
        <v>1914.49</v>
      </c>
      <c r="L1609" s="3" t="n">
        <v>1899.95</v>
      </c>
      <c r="M1609" s="2" t="inlineStr">
        <is>
          <t>TCGplayer</t>
        </is>
      </c>
      <c r="O1609" s="4" t="inlineStr">
        <is>
          <t>https://www.tcgplayer.com/product/209532</t>
        </is>
      </c>
    </row>
    <row r="1610">
      <c r="A1610" s="2" t="inlineStr">
        <is>
          <t>TAG TEAM Powers Collection [Umbreon &amp; Darkrai GX]</t>
        </is>
      </c>
      <c r="B1610" s="3">
        <f>IF(I1610&lt;&gt;"",I1610,IF(J1610&lt;&gt;"",J1610,IF(K1610&lt;&gt;"",K1610,L1610)))</f>
        <v>1849.99</v>
      </c>
      <c r="C1610" s="3">
        <f>MEDIAN(I1610:L1610)</f>
        <v>1899.94</v>
      </c>
      <c r="D1610" s="3">
        <f>ROUND(C1610*(1-Settings!$B$2),2)</f>
        <v>1329.96</v>
      </c>
      <c r="E1610" s="3">
        <f>ROUND(C1610*(1-Settings!$B$3),2)</f>
        <v>1329.96</v>
      </c>
      <c r="F1610" s="2" t="inlineStr">
        <is>
          <t>Pokemon</t>
        </is>
      </c>
      <c r="G1610" s="2" t="inlineStr">
        <is>
          <t>Coffret</t>
        </is>
      </c>
      <c r="H1610" s="2" t="inlineStr">
        <is>
          <t>Miscellaneous Cards &amp; Products</t>
        </is>
      </c>
      <c r="I1610" s="3" t="n"/>
      <c r="J1610" s="3" t="n">
        <v>1849.99</v>
      </c>
      <c r="K1610" s="3" t="n">
        <v>2200</v>
      </c>
      <c r="L1610" s="3" t="n">
        <v>1899.94</v>
      </c>
      <c r="M1610" s="2" t="inlineStr">
        <is>
          <t>TCGplayer</t>
        </is>
      </c>
      <c r="O1610" s="4" t="inlineStr">
        <is>
          <t>https://www.tcgplayer.com/product/209533</t>
        </is>
      </c>
    </row>
    <row r="1611">
      <c r="A1611" s="2" t="inlineStr">
        <is>
          <t>Tapu Koko Box (International Version)</t>
        </is>
      </c>
      <c r="B1611" s="3">
        <f>IF(I1611&lt;&gt;"",I1611,IF(J1611&lt;&gt;"",J1611,IF(K1611&lt;&gt;"",K1611,L1611)))</f>
        <v>86.79</v>
      </c>
      <c r="C1611" s="3">
        <f>MEDIAN(I1611:L1611)</f>
        <v>94.99</v>
      </c>
      <c r="D1611" s="3">
        <f>ROUND(C1611*(1-Settings!$B$2),2)</f>
        <v>66.49</v>
      </c>
      <c r="E1611" s="3">
        <f>ROUND(C1611*(1-Settings!$B$3),2)</f>
        <v>66.49</v>
      </c>
      <c r="F1611" s="2" t="inlineStr">
        <is>
          <t>Pokemon</t>
        </is>
      </c>
      <c r="G1611" s="2" t="inlineStr">
        <is>
          <t>Coffret</t>
        </is>
      </c>
      <c r="H1611" s="2" t="inlineStr">
        <is>
          <t>Miscellaneous Cards &amp; Products</t>
        </is>
      </c>
      <c r="I1611" s="3" t="n"/>
      <c r="J1611" s="3" t="n">
        <v>86.79000000000001</v>
      </c>
      <c r="K1611" s="3" t="n">
        <v>100</v>
      </c>
      <c r="L1611" s="3" t="n">
        <v>94.98999999999999</v>
      </c>
      <c r="M1611" s="2" t="inlineStr">
        <is>
          <t>TCGplayer</t>
        </is>
      </c>
      <c r="O1611" s="4" t="inlineStr">
        <is>
          <t>https://www.tcgplayer.com/product/230426</t>
        </is>
      </c>
    </row>
    <row r="1612">
      <c r="A1612" s="2" t="inlineStr">
        <is>
          <t>Team Rocket Tin [Set of 3]</t>
        </is>
      </c>
      <c r="B1612" s="3">
        <f>IF(I1612&lt;&gt;"",I1612,IF(J1612&lt;&gt;"",J1612,IF(K1612&lt;&gt;"",K1612,L1612)))</f>
        <v>153.88</v>
      </c>
      <c r="C1612" s="3">
        <f>MEDIAN(I1612:L1612)</f>
        <v>170.0</v>
      </c>
      <c r="D1612" s="3">
        <f>ROUND(C1612*(1-Settings!$B$2),2)</f>
        <v>119.0</v>
      </c>
      <c r="E1612" s="3">
        <f>ROUND(C1612*(1-Settings!$B$3),2)</f>
        <v>119.0</v>
      </c>
      <c r="F1612" s="2" t="inlineStr">
        <is>
          <t>Pokemon</t>
        </is>
      </c>
      <c r="G1612" s="2" t="inlineStr">
        <is>
          <t>Coffret</t>
        </is>
      </c>
      <c r="H1612" s="2" t="inlineStr">
        <is>
          <t>Miscellaneous Cards &amp; Products</t>
        </is>
      </c>
      <c r="I1612" s="3" t="n"/>
      <c r="J1612" s="3" t="n">
        <v>153.88</v>
      </c>
      <c r="K1612" s="3" t="n">
        <v>203.11</v>
      </c>
      <c r="L1612" s="3" t="n">
        <v>170</v>
      </c>
      <c r="M1612" s="2" t="inlineStr">
        <is>
          <t>TCGplayer</t>
        </is>
      </c>
      <c r="O1612" s="4" t="inlineStr">
        <is>
          <t>https://www.tcgplayer.com/product/653216</t>
        </is>
      </c>
    </row>
    <row r="1613">
      <c r="A1613" s="2" t="inlineStr">
        <is>
          <t>Team Rocket Tin [Team Rocket's Mewtwo ex]</t>
        </is>
      </c>
      <c r="B1613" s="3">
        <f>IF(I1613&lt;&gt;"",I1613,IF(J1613&lt;&gt;"",J1613,IF(K1613&lt;&gt;"",K1613,L1613)))</f>
        <v>61.22</v>
      </c>
      <c r="C1613" s="3">
        <f>MEDIAN(I1613:L1613)</f>
        <v>61.22</v>
      </c>
      <c r="D1613" s="3">
        <f>ROUND(C1613*(1-Settings!$B$2),2)</f>
        <v>42.85</v>
      </c>
      <c r="E1613" s="3">
        <f>ROUND(C1613*(1-Settings!$B$3),2)</f>
        <v>42.85</v>
      </c>
      <c r="F1613" s="2" t="inlineStr">
        <is>
          <t>Pokemon</t>
        </is>
      </c>
      <c r="G1613" s="2" t="inlineStr">
        <is>
          <t>Coffret</t>
        </is>
      </c>
      <c r="H1613" s="2" t="inlineStr">
        <is>
          <t>Miscellaneous Cards &amp; Products</t>
        </is>
      </c>
      <c r="I1613" s="3" t="n"/>
      <c r="J1613" s="3" t="n">
        <v>61.22</v>
      </c>
      <c r="K1613" s="3" t="n">
        <v>62.03</v>
      </c>
      <c r="L1613" s="3" t="n">
        <v>51.98</v>
      </c>
      <c r="M1613" s="2" t="inlineStr">
        <is>
          <t>TCGplayer</t>
        </is>
      </c>
      <c r="O1613" s="4" t="inlineStr">
        <is>
          <t>https://www.tcgplayer.com/product/649193</t>
        </is>
      </c>
    </row>
    <row r="1614">
      <c r="A1614" s="2" t="inlineStr">
        <is>
          <t>Team Rocket Tin [Team Rocket's Mewtwo ex] (International Version)</t>
        </is>
      </c>
      <c r="B1614" s="3">
        <f>IF(I1614&lt;&gt;"",I1614,IF(J1614&lt;&gt;"",J1614,IF(K1614&lt;&gt;"",K1614,L1614)))</f>
        <v>114.99</v>
      </c>
      <c r="C1614" s="3">
        <f>MEDIAN(I1614:L1614)</f>
        <v>114.99</v>
      </c>
      <c r="D1614" s="3">
        <f>ROUND(C1614*(1-Settings!$B$2),2)</f>
        <v>80.49</v>
      </c>
      <c r="E1614" s="3">
        <f>ROUND(C1614*(1-Settings!$B$3),2)</f>
        <v>80.49</v>
      </c>
      <c r="F1614" s="2" t="inlineStr">
        <is>
          <t>Pokemon</t>
        </is>
      </c>
      <c r="G1614" s="2" t="inlineStr">
        <is>
          <t>Coffret</t>
        </is>
      </c>
      <c r="H1614" s="2" t="inlineStr">
        <is>
          <t>Miscellaneous Cards &amp; Products</t>
        </is>
      </c>
      <c r="I1614" s="3" t="n"/>
      <c r="J1614" s="3" t="n">
        <v>114.99</v>
      </c>
      <c r="K1614" s="3" t="n"/>
      <c r="L1614" s="3" t="n"/>
      <c r="M1614" s="2" t="inlineStr">
        <is>
          <t>TCGplayer</t>
        </is>
      </c>
      <c r="O1614" s="4" t="inlineStr">
        <is>
          <t>https://www.tcgplayer.com/product/649200</t>
        </is>
      </c>
    </row>
    <row r="1615">
      <c r="A1615" s="2" t="inlineStr">
        <is>
          <t>Team Rocket Tin [Team Rocket's Nidoking ex]</t>
        </is>
      </c>
      <c r="B1615" s="3">
        <f>IF(I1615&lt;&gt;"",I1615,IF(J1615&lt;&gt;"",J1615,IF(K1615&lt;&gt;"",K1615,L1615)))</f>
        <v>47.58</v>
      </c>
      <c r="C1615" s="3">
        <f>MEDIAN(I1615:L1615)</f>
        <v>47.58</v>
      </c>
      <c r="D1615" s="3">
        <f>ROUND(C1615*(1-Settings!$B$2),2)</f>
        <v>33.31</v>
      </c>
      <c r="E1615" s="3">
        <f>ROUND(C1615*(1-Settings!$B$3),2)</f>
        <v>33.31</v>
      </c>
      <c r="F1615" s="2" t="inlineStr">
        <is>
          <t>Pokemon</t>
        </is>
      </c>
      <c r="G1615" s="2" t="inlineStr">
        <is>
          <t>Coffret</t>
        </is>
      </c>
      <c r="H1615" s="2" t="inlineStr">
        <is>
          <t>Miscellaneous Cards &amp; Products</t>
        </is>
      </c>
      <c r="I1615" s="3" t="n"/>
      <c r="J1615" s="3" t="n">
        <v>47.58</v>
      </c>
      <c r="K1615" s="3" t="n">
        <v>49.99</v>
      </c>
      <c r="L1615" s="3" t="n">
        <v>40</v>
      </c>
      <c r="M1615" s="2" t="inlineStr">
        <is>
          <t>TCGplayer</t>
        </is>
      </c>
      <c r="O1615" s="4" t="inlineStr">
        <is>
          <t>https://www.tcgplayer.com/product/649194</t>
        </is>
      </c>
    </row>
    <row r="1616">
      <c r="A1616" s="2" t="inlineStr">
        <is>
          <t>Team Rocket Tin [Team Rocket's Nidoking ex] (International Version)</t>
        </is>
      </c>
      <c r="B1616" s="3">
        <f>IF(I1616&lt;&gt;"",I1616,IF(J1616&lt;&gt;"",J1616,IF(K1616&lt;&gt;"",K1616,L1616)))</f>
        <v>99.99</v>
      </c>
      <c r="C1616" s="3">
        <f>MEDIAN(I1616:L1616)</f>
        <v>99.99</v>
      </c>
      <c r="D1616" s="3">
        <f>ROUND(C1616*(1-Settings!$B$2),2)</f>
        <v>69.99</v>
      </c>
      <c r="E1616" s="3">
        <f>ROUND(C1616*(1-Settings!$B$3),2)</f>
        <v>69.99</v>
      </c>
      <c r="F1616" s="2" t="inlineStr">
        <is>
          <t>Pokemon</t>
        </is>
      </c>
      <c r="G1616" s="2" t="inlineStr">
        <is>
          <t>Coffret</t>
        </is>
      </c>
      <c r="H1616" s="2" t="inlineStr">
        <is>
          <t>Miscellaneous Cards &amp; Products</t>
        </is>
      </c>
      <c r="I1616" s="3" t="n"/>
      <c r="J1616" s="3" t="n"/>
      <c r="K1616" s="3" t="n">
        <v>99.98999999999999</v>
      </c>
      <c r="L1616" s="3" t="n">
        <v>99.98999999999999</v>
      </c>
      <c r="M1616" s="2" t="inlineStr">
        <is>
          <t>TCGplayer</t>
        </is>
      </c>
      <c r="O1616" s="4" t="inlineStr">
        <is>
          <t>https://www.tcgplayer.com/product/649199</t>
        </is>
      </c>
    </row>
    <row r="1617">
      <c r="A1617" s="2" t="inlineStr">
        <is>
          <t>Team Rocket Tin [Team Rocket's Persian ex]</t>
        </is>
      </c>
      <c r="B1617" s="3">
        <f>IF(I1617&lt;&gt;"",I1617,IF(J1617&lt;&gt;"",J1617,IF(K1617&lt;&gt;"",K1617,L1617)))</f>
        <v>48.48</v>
      </c>
      <c r="C1617" s="3">
        <f>MEDIAN(I1617:L1617)</f>
        <v>48.48</v>
      </c>
      <c r="D1617" s="3">
        <f>ROUND(C1617*(1-Settings!$B$2),2)</f>
        <v>33.94</v>
      </c>
      <c r="E1617" s="3">
        <f>ROUND(C1617*(1-Settings!$B$3),2)</f>
        <v>33.94</v>
      </c>
      <c r="F1617" s="2" t="inlineStr">
        <is>
          <t>Pokemon</t>
        </is>
      </c>
      <c r="G1617" s="2" t="inlineStr">
        <is>
          <t>Coffret</t>
        </is>
      </c>
      <c r="H1617" s="2" t="inlineStr">
        <is>
          <t>Miscellaneous Cards &amp; Products</t>
        </is>
      </c>
      <c r="I1617" s="3" t="n"/>
      <c r="J1617" s="3" t="n">
        <v>48.48</v>
      </c>
      <c r="K1617" s="3" t="n">
        <v>50</v>
      </c>
      <c r="L1617" s="3" t="n">
        <v>45.99</v>
      </c>
      <c r="M1617" s="2" t="inlineStr">
        <is>
          <t>TCGplayer</t>
        </is>
      </c>
      <c r="O1617" s="4" t="inlineStr">
        <is>
          <t>https://www.tcgplayer.com/product/649195</t>
        </is>
      </c>
    </row>
    <row r="1618">
      <c r="A1618" s="2" t="inlineStr">
        <is>
          <t>Team Rocket Tin [Team Rocket's Persian ex] (International Version)</t>
        </is>
      </c>
      <c r="B1618" s="3">
        <f>IF(I1618&lt;&gt;"",I1618,IF(J1618&lt;&gt;"",J1618,IF(K1618&lt;&gt;"",K1618,L1618)))</f>
        <v>99.99</v>
      </c>
      <c r="C1618" s="3">
        <f>MEDIAN(I1618:L1618)</f>
        <v>99.99</v>
      </c>
      <c r="D1618" s="3">
        <f>ROUND(C1618*(1-Settings!$B$2),2)</f>
        <v>69.99</v>
      </c>
      <c r="E1618" s="3">
        <f>ROUND(C1618*(1-Settings!$B$3),2)</f>
        <v>69.99</v>
      </c>
      <c r="F1618" s="2" t="inlineStr">
        <is>
          <t>Pokemon</t>
        </is>
      </c>
      <c r="G1618" s="2" t="inlineStr">
        <is>
          <t>Coffret</t>
        </is>
      </c>
      <c r="H1618" s="2" t="inlineStr">
        <is>
          <t>Miscellaneous Cards &amp; Products</t>
        </is>
      </c>
      <c r="I1618" s="3" t="n"/>
      <c r="J1618" s="3" t="n">
        <v>99.98999999999999</v>
      </c>
      <c r="K1618" s="3" t="n"/>
      <c r="L1618" s="3" t="n"/>
      <c r="M1618" s="2" t="inlineStr">
        <is>
          <t>TCGplayer</t>
        </is>
      </c>
      <c r="O1618" s="4" t="inlineStr">
        <is>
          <t>https://www.tcgplayer.com/product/649197</t>
        </is>
      </c>
    </row>
    <row r="1619">
      <c r="A1619" s="2" t="inlineStr">
        <is>
          <t>Team Rocket's Mewtwo ex Box</t>
        </is>
      </c>
      <c r="B1619" s="3">
        <f>IF(I1619&lt;&gt;"",I1619,IF(J1619&lt;&gt;"",J1619,IF(K1619&lt;&gt;"",K1619,L1619)))</f>
        <v>57.07</v>
      </c>
      <c r="C1619" s="3">
        <f>MEDIAN(I1619:L1619)</f>
        <v>57.07</v>
      </c>
      <c r="D1619" s="3">
        <f>ROUND(C1619*(1-Settings!$B$2),2)</f>
        <v>39.95</v>
      </c>
      <c r="E1619" s="3">
        <f>ROUND(C1619*(1-Settings!$B$3),2)</f>
        <v>39.95</v>
      </c>
      <c r="F1619" s="2" t="inlineStr">
        <is>
          <t>Pokemon</t>
        </is>
      </c>
      <c r="G1619" s="2" t="inlineStr">
        <is>
          <t>Coffret</t>
        </is>
      </c>
      <c r="H1619" s="2" t="inlineStr">
        <is>
          <t>Miscellaneous Cards &amp; Products</t>
        </is>
      </c>
      <c r="I1619" s="3" t="n"/>
      <c r="J1619" s="3" t="n">
        <v>57.07</v>
      </c>
      <c r="K1619" s="3" t="n">
        <v>60</v>
      </c>
      <c r="L1619" s="3" t="n">
        <v>53.98</v>
      </c>
      <c r="M1619" s="2" t="inlineStr">
        <is>
          <t>TCGplayer</t>
        </is>
      </c>
      <c r="O1619" s="4" t="inlineStr">
        <is>
          <t>https://www.tcgplayer.com/product/625695</t>
        </is>
      </c>
    </row>
    <row r="1620">
      <c r="A1620" s="2" t="inlineStr">
        <is>
          <t>Team Rocket’s Moltres ex Ultra-Premium Collection</t>
        </is>
      </c>
      <c r="B1620" s="3">
        <f>IF(I1620&lt;&gt;"",I1620,IF(J1620&lt;&gt;"",J1620,IF(K1620&lt;&gt;"",K1620,L1620)))</f>
        <v>328.9</v>
      </c>
      <c r="C1620" s="3">
        <f>MEDIAN(I1620:L1620)</f>
        <v>328.9</v>
      </c>
      <c r="D1620" s="3">
        <f>ROUND(C1620*(1-Settings!$B$2),2)</f>
        <v>230.23</v>
      </c>
      <c r="E1620" s="3">
        <f>ROUND(C1620*(1-Settings!$B$3),2)</f>
        <v>230.23</v>
      </c>
      <c r="F1620" s="2" t="inlineStr">
        <is>
          <t>Pokemon</t>
        </is>
      </c>
      <c r="G1620" s="2" t="inlineStr">
        <is>
          <t>Coffret</t>
        </is>
      </c>
      <c r="H1620" s="2" t="inlineStr">
        <is>
          <t>Miscellaneous Cards &amp; Products</t>
        </is>
      </c>
      <c r="I1620" s="3" t="n"/>
      <c r="J1620" s="3" t="n">
        <v>328.9</v>
      </c>
      <c r="K1620" s="3" t="n">
        <v>398</v>
      </c>
      <c r="L1620" s="3" t="n">
        <v>304.99</v>
      </c>
      <c r="M1620" s="2" t="inlineStr">
        <is>
          <t>TCGplayer</t>
        </is>
      </c>
      <c r="O1620" s="4" t="inlineStr">
        <is>
          <t>https://www.tcgplayer.com/product/656997</t>
        </is>
      </c>
    </row>
    <row r="1621">
      <c r="A1621" s="2" t="inlineStr">
        <is>
          <t>Tera Team Premium Collection</t>
        </is>
      </c>
      <c r="B1621" s="3">
        <f>IF(I1621&lt;&gt;"",I1621,IF(J1621&lt;&gt;"",J1621,IF(K1621&lt;&gt;"",K1621,L1621)))</f>
        <v>93.53</v>
      </c>
      <c r="C1621" s="3">
        <f>MEDIAN(I1621:L1621)</f>
        <v>93.53</v>
      </c>
      <c r="D1621" s="3">
        <f>ROUND(C1621*(1-Settings!$B$2),2)</f>
        <v>65.47</v>
      </c>
      <c r="E1621" s="3">
        <f>ROUND(C1621*(1-Settings!$B$3),2)</f>
        <v>65.47</v>
      </c>
      <c r="F1621" s="2" t="inlineStr">
        <is>
          <t>Pokemon</t>
        </is>
      </c>
      <c r="G1621" s="2" t="inlineStr">
        <is>
          <t>Coffret</t>
        </is>
      </c>
      <c r="H1621" s="2" t="inlineStr">
        <is>
          <t>Miscellaneous Cards &amp; Products</t>
        </is>
      </c>
      <c r="I1621" s="3" t="n"/>
      <c r="J1621" s="3" t="n">
        <v>93.53</v>
      </c>
      <c r="K1621" s="3" t="n">
        <v>111.48</v>
      </c>
      <c r="L1621" s="3" t="n">
        <v>78.98999999999999</v>
      </c>
      <c r="M1621" s="2" t="inlineStr">
        <is>
          <t>TCGplayer</t>
        </is>
      </c>
      <c r="O1621" s="4" t="inlineStr">
        <is>
          <t>https://www.tcgplayer.com/product/594539</t>
        </is>
      </c>
    </row>
    <row r="1622">
      <c r="A1622" s="2" t="inlineStr">
        <is>
          <t>Terapagos ex Ultra-Premium Collection</t>
        </is>
      </c>
      <c r="B1622" s="3">
        <f>IF(I1622&lt;&gt;"",I1622,IF(J1622&lt;&gt;"",J1622,IF(K1622&lt;&gt;"",K1622,L1622)))</f>
        <v>250.98</v>
      </c>
      <c r="C1622" s="3">
        <f>MEDIAN(I1622:L1622)</f>
        <v>250.98</v>
      </c>
      <c r="D1622" s="3">
        <f>ROUND(C1622*(1-Settings!$B$2),2)</f>
        <v>175.69</v>
      </c>
      <c r="E1622" s="3">
        <f>ROUND(C1622*(1-Settings!$B$3),2)</f>
        <v>175.69</v>
      </c>
      <c r="F1622" s="2" t="inlineStr">
        <is>
          <t>Pokemon</t>
        </is>
      </c>
      <c r="G1622" s="2" t="inlineStr">
        <is>
          <t>Coffret</t>
        </is>
      </c>
      <c r="H1622" s="2" t="inlineStr">
        <is>
          <t>Miscellaneous Cards &amp; Products</t>
        </is>
      </c>
      <c r="I1622" s="3" t="n"/>
      <c r="J1622" s="3" t="n">
        <v>250.98</v>
      </c>
      <c r="K1622" s="3" t="n">
        <v>277.73</v>
      </c>
      <c r="L1622" s="3" t="n">
        <v>10</v>
      </c>
      <c r="M1622" s="2" t="inlineStr">
        <is>
          <t>TCGplayer</t>
        </is>
      </c>
      <c r="O1622" s="4" t="inlineStr">
        <is>
          <t>https://www.tcgplayer.com/product/575198</t>
        </is>
      </c>
    </row>
    <row r="1623">
      <c r="A1623" s="2" t="inlineStr">
        <is>
          <t>Trainer's Legendary Box [Ho-Oh]</t>
        </is>
      </c>
      <c r="B1623" s="3">
        <f>IF(I1623&lt;&gt;"",I1623,IF(J1623&lt;&gt;"",J1623,IF(K1623&lt;&gt;"",K1623,L1623)))</f>
        <v>248.99</v>
      </c>
      <c r="C1623" s="3">
        <f>MEDIAN(I1623:L1623)</f>
        <v>248.99</v>
      </c>
      <c r="D1623" s="3">
        <f>ROUND(C1623*(1-Settings!$B$2),2)</f>
        <v>174.29</v>
      </c>
      <c r="E1623" s="3">
        <f>ROUND(C1623*(1-Settings!$B$3),2)</f>
        <v>174.29</v>
      </c>
      <c r="F1623" s="2" t="inlineStr">
        <is>
          <t>Pokemon</t>
        </is>
      </c>
      <c r="G1623" s="2" t="inlineStr">
        <is>
          <t>Coffret</t>
        </is>
      </c>
      <c r="H1623" s="2" t="inlineStr">
        <is>
          <t>Miscellaneous Cards &amp; Products</t>
        </is>
      </c>
      <c r="I1623" s="3" t="n"/>
      <c r="J1623" s="3" t="n">
        <v>248.99</v>
      </c>
      <c r="K1623" s="3" t="n">
        <v>254.95</v>
      </c>
      <c r="L1623" s="3" t="n">
        <v>244.99</v>
      </c>
      <c r="M1623" s="2" t="inlineStr">
        <is>
          <t>TCGplayer</t>
        </is>
      </c>
      <c r="O1623" s="4" t="inlineStr">
        <is>
          <t>https://www.tcgplayer.com/product/477255</t>
        </is>
      </c>
    </row>
    <row r="1624">
      <c r="A1624" s="2" t="inlineStr">
        <is>
          <t>Trainer's Legendary Box [Lugia]</t>
        </is>
      </c>
      <c r="B1624" s="3">
        <f>IF(I1624&lt;&gt;"",I1624,IF(J1624&lt;&gt;"",J1624,IF(K1624&lt;&gt;"",K1624,L1624)))</f>
        <v>244.74</v>
      </c>
      <c r="C1624" s="3">
        <f>MEDIAN(I1624:L1624)</f>
        <v>274.99</v>
      </c>
      <c r="D1624" s="3">
        <f>ROUND(C1624*(1-Settings!$B$2),2)</f>
        <v>192.49</v>
      </c>
      <c r="E1624" s="3">
        <f>ROUND(C1624*(1-Settings!$B$3),2)</f>
        <v>192.49</v>
      </c>
      <c r="F1624" s="2" t="inlineStr">
        <is>
          <t>Pokemon</t>
        </is>
      </c>
      <c r="G1624" s="2" t="inlineStr">
        <is>
          <t>Coffret</t>
        </is>
      </c>
      <c r="H1624" s="2" t="inlineStr">
        <is>
          <t>Miscellaneous Cards &amp; Products</t>
        </is>
      </c>
      <c r="I1624" s="3" t="n"/>
      <c r="J1624" s="3" t="n">
        <v>244.74</v>
      </c>
      <c r="K1624" s="3" t="n">
        <v>290</v>
      </c>
      <c r="L1624" s="3" t="n">
        <v>274.99</v>
      </c>
      <c r="M1624" s="2" t="inlineStr">
        <is>
          <t>TCGplayer</t>
        </is>
      </c>
      <c r="O1624" s="4" t="inlineStr">
        <is>
          <t>https://www.tcgplayer.com/product/477254</t>
        </is>
      </c>
    </row>
    <row r="1625">
      <c r="A1625" s="2" t="inlineStr">
        <is>
          <t>Triple Whammy Tin [Darkrai]</t>
        </is>
      </c>
      <c r="B1625" s="3">
        <f>IF(I1625&lt;&gt;"",I1625,IF(J1625&lt;&gt;"",J1625,IF(K1625&lt;&gt;"",K1625,L1625)))</f>
        <v>23.97</v>
      </c>
      <c r="C1625" s="3">
        <f>MEDIAN(I1625:L1625)</f>
        <v>23.97</v>
      </c>
      <c r="D1625" s="3">
        <f>ROUND(C1625*(1-Settings!$B$2),2)</f>
        <v>16.78</v>
      </c>
      <c r="E1625" s="3">
        <f>ROUND(C1625*(1-Settings!$B$3),2)</f>
        <v>16.78</v>
      </c>
      <c r="F1625" s="2" t="inlineStr">
        <is>
          <t>Pokemon</t>
        </is>
      </c>
      <c r="G1625" s="2" t="inlineStr">
        <is>
          <t>Coffret</t>
        </is>
      </c>
      <c r="H1625" s="2" t="inlineStr">
        <is>
          <t>Miscellaneous Cards &amp; Products</t>
        </is>
      </c>
      <c r="I1625" s="3" t="n"/>
      <c r="J1625" s="3" t="n">
        <v>23.97</v>
      </c>
      <c r="K1625" s="3" t="n">
        <v>27</v>
      </c>
      <c r="L1625" s="3" t="n">
        <v>2.99</v>
      </c>
      <c r="M1625" s="2" t="inlineStr">
        <is>
          <t>TCGplayer</t>
        </is>
      </c>
      <c r="O1625" s="4" t="inlineStr">
        <is>
          <t>https://www.tcgplayer.com/product/591146</t>
        </is>
      </c>
    </row>
    <row r="1626">
      <c r="A1626" s="2" t="inlineStr">
        <is>
          <t>Triple Whammy Tin [Slaking]</t>
        </is>
      </c>
      <c r="B1626" s="3">
        <f>IF(I1626&lt;&gt;"",I1626,IF(J1626&lt;&gt;"",J1626,IF(K1626&lt;&gt;"",K1626,L1626)))</f>
        <v>23.72</v>
      </c>
      <c r="C1626" s="3">
        <f>MEDIAN(I1626:L1626)</f>
        <v>23.72</v>
      </c>
      <c r="D1626" s="3">
        <f>ROUND(C1626*(1-Settings!$B$2),2)</f>
        <v>16.6</v>
      </c>
      <c r="E1626" s="3">
        <f>ROUND(C1626*(1-Settings!$B$3),2)</f>
        <v>16.6</v>
      </c>
      <c r="F1626" s="2" t="inlineStr">
        <is>
          <t>Pokemon</t>
        </is>
      </c>
      <c r="G1626" s="2" t="inlineStr">
        <is>
          <t>Coffret</t>
        </is>
      </c>
      <c r="H1626" s="2" t="inlineStr">
        <is>
          <t>Miscellaneous Cards &amp; Products</t>
        </is>
      </c>
      <c r="I1626" s="3" t="n"/>
      <c r="J1626" s="3" t="n">
        <v>23.72</v>
      </c>
      <c r="K1626" s="3" t="n">
        <v>25</v>
      </c>
      <c r="L1626" s="3" t="n">
        <v>2.99</v>
      </c>
      <c r="M1626" s="2" t="inlineStr">
        <is>
          <t>TCGplayer</t>
        </is>
      </c>
      <c r="O1626" s="4" t="inlineStr">
        <is>
          <t>https://www.tcgplayer.com/product/591147</t>
        </is>
      </c>
    </row>
    <row r="1627">
      <c r="A1627" s="2" t="inlineStr">
        <is>
          <t>Triple Whammy Tin [Tyranitar]</t>
        </is>
      </c>
      <c r="B1627" s="3">
        <f>IF(I1627&lt;&gt;"",I1627,IF(J1627&lt;&gt;"",J1627,IF(K1627&lt;&gt;"",K1627,L1627)))</f>
        <v>26.06</v>
      </c>
      <c r="C1627" s="3">
        <f>MEDIAN(I1627:L1627)</f>
        <v>26.06</v>
      </c>
      <c r="D1627" s="3">
        <f>ROUND(C1627*(1-Settings!$B$2),2)</f>
        <v>18.24</v>
      </c>
      <c r="E1627" s="3">
        <f>ROUND(C1627*(1-Settings!$B$3),2)</f>
        <v>18.24</v>
      </c>
      <c r="F1627" s="2" t="inlineStr">
        <is>
          <t>Pokemon</t>
        </is>
      </c>
      <c r="G1627" s="2" t="inlineStr">
        <is>
          <t>Coffret</t>
        </is>
      </c>
      <c r="H1627" s="2" t="inlineStr">
        <is>
          <t>Miscellaneous Cards &amp; Products</t>
        </is>
      </c>
      <c r="I1627" s="3" t="n"/>
      <c r="J1627" s="3" t="n">
        <v>26.06</v>
      </c>
      <c r="K1627" s="3" t="n">
        <v>26.99</v>
      </c>
      <c r="L1627" s="3" t="n">
        <v>2.99</v>
      </c>
      <c r="M1627" s="2" t="inlineStr">
        <is>
          <t>TCGplayer</t>
        </is>
      </c>
      <c r="O1627" s="4" t="inlineStr">
        <is>
          <t>https://www.tcgplayer.com/product/591145</t>
        </is>
      </c>
    </row>
    <row r="1628">
      <c r="A1628" s="2" t="inlineStr">
        <is>
          <t>Triple Whammy Tins [Set of 3]</t>
        </is>
      </c>
      <c r="B1628" s="3">
        <f>IF(I1628&lt;&gt;"",I1628,IF(J1628&lt;&gt;"",J1628,IF(K1628&lt;&gt;"",K1628,L1628)))</f>
        <v>63.91</v>
      </c>
      <c r="C1628" s="3">
        <f>MEDIAN(I1628:L1628)</f>
        <v>63.92</v>
      </c>
      <c r="D1628" s="3">
        <f>ROUND(C1628*(1-Settings!$B$2),2)</f>
        <v>44.74</v>
      </c>
      <c r="E1628" s="3">
        <f>ROUND(C1628*(1-Settings!$B$3),2)</f>
        <v>44.74</v>
      </c>
      <c r="F1628" s="2" t="inlineStr">
        <is>
          <t>Pokemon</t>
        </is>
      </c>
      <c r="G1628" s="2" t="inlineStr">
        <is>
          <t>Coffret</t>
        </is>
      </c>
      <c r="H1628" s="2" t="inlineStr">
        <is>
          <t>Miscellaneous Cards &amp; Products</t>
        </is>
      </c>
      <c r="I1628" s="3" t="n"/>
      <c r="J1628" s="3" t="n">
        <v>63.91</v>
      </c>
      <c r="K1628" s="3" t="n">
        <v>69.98999999999999</v>
      </c>
      <c r="L1628" s="3" t="n">
        <v>63.92</v>
      </c>
      <c r="M1628" s="2" t="inlineStr">
        <is>
          <t>TCGplayer</t>
        </is>
      </c>
      <c r="O1628" s="4" t="inlineStr">
        <is>
          <t>https://www.tcgplayer.com/product/648588</t>
        </is>
      </c>
    </row>
    <row r="1629">
      <c r="A1629" s="2" t="inlineStr">
        <is>
          <t>Tsareena Ex Box</t>
        </is>
      </c>
      <c r="B1629" s="3">
        <f>IF(I1629&lt;&gt;"",I1629,IF(J1629&lt;&gt;"",J1629,IF(K1629&lt;&gt;"",K1629,L1629)))</f>
        <v>67.58</v>
      </c>
      <c r="C1629" s="3">
        <f>MEDIAN(I1629:L1629)</f>
        <v>97.47</v>
      </c>
      <c r="D1629" s="3">
        <f>ROUND(C1629*(1-Settings!$B$2),2)</f>
        <v>68.23</v>
      </c>
      <c r="E1629" s="3">
        <f>ROUND(C1629*(1-Settings!$B$3),2)</f>
        <v>68.23</v>
      </c>
      <c r="F1629" s="2" t="inlineStr">
        <is>
          <t>Pokemon</t>
        </is>
      </c>
      <c r="G1629" s="2" t="inlineStr">
        <is>
          <t>Coffret</t>
        </is>
      </c>
      <c r="H1629" s="2" t="inlineStr">
        <is>
          <t>Miscellaneous Cards &amp; Products</t>
        </is>
      </c>
      <c r="I1629" s="3" t="n"/>
      <c r="J1629" s="3" t="n">
        <v>67.58</v>
      </c>
      <c r="K1629" s="3" t="n">
        <v>112.5</v>
      </c>
      <c r="L1629" s="3" t="n">
        <v>97.47</v>
      </c>
      <c r="M1629" s="2" t="inlineStr">
        <is>
          <t>TCGplayer</t>
        </is>
      </c>
      <c r="O1629" s="4" t="inlineStr">
        <is>
          <t>https://www.tcgplayer.com/product/596517</t>
        </is>
      </c>
    </row>
    <row r="1630">
      <c r="A1630" s="2" t="inlineStr">
        <is>
          <t>Tyranitar Ex Box</t>
        </is>
      </c>
      <c r="B1630" s="3">
        <f>IF(I1630&lt;&gt;"",I1630,IF(J1630&lt;&gt;"",J1630,IF(K1630&lt;&gt;"",K1630,L1630)))</f>
        <v>74.53</v>
      </c>
      <c r="C1630" s="3">
        <f>MEDIAN(I1630:L1630)</f>
        <v>95.0</v>
      </c>
      <c r="D1630" s="3">
        <f>ROUND(C1630*(1-Settings!$B$2),2)</f>
        <v>66.5</v>
      </c>
      <c r="E1630" s="3">
        <f>ROUND(C1630*(1-Settings!$B$3),2)</f>
        <v>66.5</v>
      </c>
      <c r="F1630" s="2" t="inlineStr">
        <is>
          <t>Pokemon</t>
        </is>
      </c>
      <c r="G1630" s="2" t="inlineStr">
        <is>
          <t>Coffret</t>
        </is>
      </c>
      <c r="H1630" s="2" t="inlineStr">
        <is>
          <t>Miscellaneous Cards &amp; Products</t>
        </is>
      </c>
      <c r="I1630" s="3" t="n"/>
      <c r="J1630" s="3" t="n">
        <v>74.53</v>
      </c>
      <c r="K1630" s="3" t="n">
        <v>99.98999999999999</v>
      </c>
      <c r="L1630" s="3" t="n">
        <v>95</v>
      </c>
      <c r="M1630" s="2" t="inlineStr">
        <is>
          <t>TCGplayer</t>
        </is>
      </c>
      <c r="O1630" s="4" t="inlineStr">
        <is>
          <t>https://www.tcgplayer.com/product/596518</t>
        </is>
      </c>
    </row>
    <row r="1631">
      <c r="A1631" s="2" t="inlineStr">
        <is>
          <t>V Battle Deck Bundle [Deoxys V / Zeraora V]</t>
        </is>
      </c>
      <c r="B1631" s="3">
        <f>IF(I1631&lt;&gt;"",I1631,IF(J1631&lt;&gt;"",J1631,IF(K1631&lt;&gt;"",K1631,L1631)))</f>
        <v>32.82</v>
      </c>
      <c r="C1631" s="3">
        <f>MEDIAN(I1631:L1631)</f>
        <v>32.82</v>
      </c>
      <c r="D1631" s="3">
        <f>ROUND(C1631*(1-Settings!$B$2),2)</f>
        <v>22.97</v>
      </c>
      <c r="E1631" s="3">
        <f>ROUND(C1631*(1-Settings!$B$3),2)</f>
        <v>22.97</v>
      </c>
      <c r="F1631" s="2" t="inlineStr">
        <is>
          <t>Pokemon</t>
        </is>
      </c>
      <c r="G1631" s="2" t="inlineStr">
        <is>
          <t>Coffret</t>
        </is>
      </c>
      <c r="H1631" s="2" t="inlineStr">
        <is>
          <t>Miscellaneous Cards &amp; Products</t>
        </is>
      </c>
      <c r="I1631" s="3" t="n"/>
      <c r="J1631" s="3" t="n">
        <v>32.82</v>
      </c>
      <c r="K1631" s="3" t="n">
        <v>33.88</v>
      </c>
      <c r="L1631" s="3" t="n">
        <v>22.32</v>
      </c>
      <c r="M1631" s="2" t="inlineStr">
        <is>
          <t>TCGplayer</t>
        </is>
      </c>
      <c r="O1631" s="4" t="inlineStr">
        <is>
          <t>https://www.tcgplayer.com/product/280864</t>
        </is>
      </c>
    </row>
    <row r="1632">
      <c r="A1632" s="2" t="inlineStr">
        <is>
          <t>V Battle Deck Bundle [Lycanroc V / Corviknight V]</t>
        </is>
      </c>
      <c r="B1632" s="3">
        <f>IF(I1632&lt;&gt;"",I1632,IF(J1632&lt;&gt;"",J1632,IF(K1632&lt;&gt;"",K1632,L1632)))</f>
        <v>25.1</v>
      </c>
      <c r="C1632" s="3">
        <f>MEDIAN(I1632:L1632)</f>
        <v>25.0</v>
      </c>
      <c r="D1632" s="3">
        <f>ROUND(C1632*(1-Settings!$B$2),2)</f>
        <v>17.5</v>
      </c>
      <c r="E1632" s="3">
        <f>ROUND(C1632*(1-Settings!$B$3),2)</f>
        <v>17.5</v>
      </c>
      <c r="F1632" s="2" t="inlineStr">
        <is>
          <t>Pokemon</t>
        </is>
      </c>
      <c r="G1632" s="2" t="inlineStr">
        <is>
          <t>Coffret</t>
        </is>
      </c>
      <c r="H1632" s="2" t="inlineStr">
        <is>
          <t>Miscellaneous Cards &amp; Products</t>
        </is>
      </c>
      <c r="I1632" s="3" t="n"/>
      <c r="J1632" s="3" t="n">
        <v>25.1</v>
      </c>
      <c r="K1632" s="3" t="n">
        <v>25</v>
      </c>
      <c r="L1632" s="3" t="n">
        <v>20.61</v>
      </c>
      <c r="M1632" s="2" t="inlineStr">
        <is>
          <t>TCGplayer</t>
        </is>
      </c>
      <c r="O1632" s="4" t="inlineStr">
        <is>
          <t>https://www.tcgplayer.com/product/263542</t>
        </is>
      </c>
    </row>
    <row r="1633">
      <c r="A1633" s="2" t="inlineStr">
        <is>
          <t>V Battle Deck Bundle [Rayquaza V/Noivern V]</t>
        </is>
      </c>
      <c r="B1633" s="3">
        <f>IF(I1633&lt;&gt;"",I1633,IF(J1633&lt;&gt;"",J1633,IF(K1633&lt;&gt;"",K1633,L1633)))</f>
        <v>55.68</v>
      </c>
      <c r="C1633" s="3">
        <f>MEDIAN(I1633:L1633)</f>
        <v>59.99</v>
      </c>
      <c r="D1633" s="3">
        <f>ROUND(C1633*(1-Settings!$B$2),2)</f>
        <v>41.99</v>
      </c>
      <c r="E1633" s="3">
        <f>ROUND(C1633*(1-Settings!$B$3),2)</f>
        <v>41.99</v>
      </c>
      <c r="F1633" s="2" t="inlineStr">
        <is>
          <t>Pokemon</t>
        </is>
      </c>
      <c r="G1633" s="2" t="inlineStr">
        <is>
          <t>Coffret</t>
        </is>
      </c>
      <c r="H1633" s="2" t="inlineStr">
        <is>
          <t>Miscellaneous Cards &amp; Products</t>
        </is>
      </c>
      <c r="I1633" s="3" t="n"/>
      <c r="J1633" s="3" t="n">
        <v>55.68</v>
      </c>
      <c r="K1633" s="3" t="n">
        <v>69</v>
      </c>
      <c r="L1633" s="3" t="n">
        <v>59.99</v>
      </c>
      <c r="M1633" s="2" t="inlineStr">
        <is>
          <t>TCGplayer</t>
        </is>
      </c>
      <c r="O1633" s="4" t="inlineStr">
        <is>
          <t>https://www.tcgplayer.com/product/245728</t>
        </is>
      </c>
    </row>
    <row r="1634">
      <c r="A1634" s="2" t="inlineStr">
        <is>
          <t>V Battle Deck Bundle [Venusaur V/Blastoise V]</t>
        </is>
      </c>
      <c r="B1634" s="3">
        <f>IF(I1634&lt;&gt;"",I1634,IF(J1634&lt;&gt;"",J1634,IF(K1634&lt;&gt;"",K1634,L1634)))</f>
        <v>74.05</v>
      </c>
      <c r="C1634" s="3">
        <f>MEDIAN(I1634:L1634)</f>
        <v>89.99</v>
      </c>
      <c r="D1634" s="3">
        <f>ROUND(C1634*(1-Settings!$B$2),2)</f>
        <v>62.99</v>
      </c>
      <c r="E1634" s="3">
        <f>ROUND(C1634*(1-Settings!$B$3),2)</f>
        <v>62.99</v>
      </c>
      <c r="F1634" s="2" t="inlineStr">
        <is>
          <t>Pokemon</t>
        </is>
      </c>
      <c r="G1634" s="2" t="inlineStr">
        <is>
          <t>Coffret</t>
        </is>
      </c>
      <c r="H1634" s="2" t="inlineStr">
        <is>
          <t>Miscellaneous Cards &amp; Products</t>
        </is>
      </c>
      <c r="I1634" s="3" t="n"/>
      <c r="J1634" s="3" t="n">
        <v>74.05</v>
      </c>
      <c r="K1634" s="3" t="n">
        <v>89.98999999999999</v>
      </c>
      <c r="L1634" s="3" t="n">
        <v>89.98999999999999</v>
      </c>
      <c r="M1634" s="2" t="inlineStr">
        <is>
          <t>TCGplayer</t>
        </is>
      </c>
      <c r="O1634" s="4" t="inlineStr">
        <is>
          <t>https://www.tcgplayer.com/product/230394</t>
        </is>
      </c>
    </row>
    <row r="1635">
      <c r="A1635" s="2" t="inlineStr">
        <is>
          <t>V Battle Deck Bundle [Victini V/Gardevoir V]</t>
        </is>
      </c>
      <c r="B1635" s="3">
        <f>IF(I1635&lt;&gt;"",I1635,IF(J1635&lt;&gt;"",J1635,IF(K1635&lt;&gt;"",K1635,L1635)))</f>
        <v>42.87</v>
      </c>
      <c r="C1635" s="3">
        <f>MEDIAN(I1635:L1635)</f>
        <v>38.5</v>
      </c>
      <c r="D1635" s="3">
        <f>ROUND(C1635*(1-Settings!$B$2),2)</f>
        <v>26.95</v>
      </c>
      <c r="E1635" s="3">
        <f>ROUND(C1635*(1-Settings!$B$3),2)</f>
        <v>26.95</v>
      </c>
      <c r="F1635" s="2" t="inlineStr">
        <is>
          <t>Pokemon</t>
        </is>
      </c>
      <c r="G1635" s="2" t="inlineStr">
        <is>
          <t>Coffret</t>
        </is>
      </c>
      <c r="H1635" s="2" t="inlineStr">
        <is>
          <t>Miscellaneous Cards &amp; Products</t>
        </is>
      </c>
      <c r="I1635" s="3" t="n"/>
      <c r="J1635" s="3" t="n">
        <v>42.87</v>
      </c>
      <c r="K1635" s="3" t="n">
        <v>38.5</v>
      </c>
      <c r="L1635" s="3" t="n">
        <v>36</v>
      </c>
      <c r="M1635" s="2" t="inlineStr">
        <is>
          <t>TCGplayer</t>
        </is>
      </c>
      <c r="O1635" s="4" t="inlineStr">
        <is>
          <t>https://www.tcgplayer.com/product/233354</t>
        </is>
      </c>
    </row>
    <row r="1636">
      <c r="A1636" s="2" t="inlineStr">
        <is>
          <t>V Forces Tin [Galarian Slowbro V]</t>
        </is>
      </c>
      <c r="B1636" s="3">
        <f>IF(I1636&lt;&gt;"",I1636,IF(J1636&lt;&gt;"",J1636,IF(K1636&lt;&gt;"",K1636,L1636)))</f>
        <v>73.51</v>
      </c>
      <c r="C1636" s="3">
        <f>MEDIAN(I1636:L1636)</f>
        <v>77.01</v>
      </c>
      <c r="D1636" s="3">
        <f>ROUND(C1636*(1-Settings!$B$2),2)</f>
        <v>53.91</v>
      </c>
      <c r="E1636" s="3">
        <f>ROUND(C1636*(1-Settings!$B$3),2)</f>
        <v>53.91</v>
      </c>
      <c r="F1636" s="2" t="inlineStr">
        <is>
          <t>Pokemon</t>
        </is>
      </c>
      <c r="G1636" s="2" t="inlineStr">
        <is>
          <t>Coffret</t>
        </is>
      </c>
      <c r="H1636" s="2" t="inlineStr">
        <is>
          <t>Miscellaneous Cards &amp; Products</t>
        </is>
      </c>
      <c r="I1636" s="3" t="n"/>
      <c r="J1636" s="3" t="n">
        <v>73.51000000000001</v>
      </c>
      <c r="K1636" s="3" t="n">
        <v>100</v>
      </c>
      <c r="L1636" s="3" t="n">
        <v>77.01000000000001</v>
      </c>
      <c r="M1636" s="2" t="inlineStr">
        <is>
          <t>TCGplayer</t>
        </is>
      </c>
      <c r="O1636" s="4" t="inlineStr">
        <is>
          <t>https://www.tcgplayer.com/product/230400</t>
        </is>
      </c>
    </row>
    <row r="1637">
      <c r="A1637" s="2" t="inlineStr">
        <is>
          <t>V Forces Tin [Lucario V]</t>
        </is>
      </c>
      <c r="B1637" s="3">
        <f>IF(I1637&lt;&gt;"",I1637,IF(J1637&lt;&gt;"",J1637,IF(K1637&lt;&gt;"",K1637,L1637)))</f>
        <v>64.0</v>
      </c>
      <c r="C1637" s="3">
        <f>MEDIAN(I1637:L1637)</f>
        <v>130.0</v>
      </c>
      <c r="D1637" s="3">
        <f>ROUND(C1637*(1-Settings!$B$2),2)</f>
        <v>91.0</v>
      </c>
      <c r="E1637" s="3">
        <f>ROUND(C1637*(1-Settings!$B$3),2)</f>
        <v>91.0</v>
      </c>
      <c r="F1637" s="2" t="inlineStr">
        <is>
          <t>Pokemon</t>
        </is>
      </c>
      <c r="G1637" s="2" t="inlineStr">
        <is>
          <t>Coffret</t>
        </is>
      </c>
      <c r="H1637" s="2" t="inlineStr">
        <is>
          <t>Miscellaneous Cards &amp; Products</t>
        </is>
      </c>
      <c r="I1637" s="3" t="n"/>
      <c r="J1637" s="3" t="n">
        <v>64</v>
      </c>
      <c r="K1637" s="3" t="n">
        <v>133.48</v>
      </c>
      <c r="L1637" s="3" t="n">
        <v>130</v>
      </c>
      <c r="M1637" s="2" t="inlineStr">
        <is>
          <t>TCGplayer</t>
        </is>
      </c>
      <c r="O1637" s="4" t="inlineStr">
        <is>
          <t>https://www.tcgplayer.com/product/230401</t>
        </is>
      </c>
    </row>
    <row r="1638">
      <c r="A1638" s="2" t="inlineStr">
        <is>
          <t>V Forces Tin [Mew V]</t>
        </is>
      </c>
      <c r="B1638" s="3">
        <f>IF(I1638&lt;&gt;"",I1638,IF(J1638&lt;&gt;"",J1638,IF(K1638&lt;&gt;"",K1638,L1638)))</f>
        <v>74.49</v>
      </c>
      <c r="C1638" s="3">
        <f>MEDIAN(I1638:L1638)</f>
        <v>80.0</v>
      </c>
      <c r="D1638" s="3">
        <f>ROUND(C1638*(1-Settings!$B$2),2)</f>
        <v>56.0</v>
      </c>
      <c r="E1638" s="3">
        <f>ROUND(C1638*(1-Settings!$B$3),2)</f>
        <v>56.0</v>
      </c>
      <c r="F1638" s="2" t="inlineStr">
        <is>
          <t>Pokemon</t>
        </is>
      </c>
      <c r="G1638" s="2" t="inlineStr">
        <is>
          <t>Coffret</t>
        </is>
      </c>
      <c r="H1638" s="2" t="inlineStr">
        <is>
          <t>Miscellaneous Cards &amp; Products</t>
        </is>
      </c>
      <c r="I1638" s="3" t="n"/>
      <c r="J1638" s="3" t="n">
        <v>74.48999999999999</v>
      </c>
      <c r="K1638" s="3" t="n">
        <v>94</v>
      </c>
      <c r="L1638" s="3" t="n">
        <v>80</v>
      </c>
      <c r="M1638" s="2" t="inlineStr">
        <is>
          <t>TCGplayer</t>
        </is>
      </c>
      <c r="O1638" s="4" t="inlineStr">
        <is>
          <t>https://www.tcgplayer.com/product/230402</t>
        </is>
      </c>
    </row>
    <row r="1639">
      <c r="A1639" s="2" t="inlineStr">
        <is>
          <t>V Forces Tin [Set of 3]</t>
        </is>
      </c>
      <c r="B1639" s="3">
        <f>IF(I1639&lt;&gt;"",I1639,IF(J1639&lt;&gt;"",J1639,IF(K1639&lt;&gt;"",K1639,L1639)))</f>
        <v>206.32</v>
      </c>
      <c r="C1639" s="3">
        <f>MEDIAN(I1639:L1639)</f>
        <v>206.32</v>
      </c>
      <c r="D1639" s="3">
        <f>ROUND(C1639*(1-Settings!$B$2),2)</f>
        <v>144.42</v>
      </c>
      <c r="E1639" s="3">
        <f>ROUND(C1639*(1-Settings!$B$3),2)</f>
        <v>144.42</v>
      </c>
      <c r="F1639" s="2" t="inlineStr">
        <is>
          <t>Pokemon</t>
        </is>
      </c>
      <c r="G1639" s="2" t="inlineStr">
        <is>
          <t>Coffret</t>
        </is>
      </c>
      <c r="H1639" s="2" t="inlineStr">
        <is>
          <t>Miscellaneous Cards &amp; Products</t>
        </is>
      </c>
      <c r="I1639" s="3" t="n"/>
      <c r="J1639" s="3" t="n">
        <v>206.32</v>
      </c>
      <c r="K1639" s="3" t="n">
        <v>206.32</v>
      </c>
      <c r="L1639" s="3" t="n">
        <v>206.32</v>
      </c>
      <c r="M1639" s="2" t="inlineStr">
        <is>
          <t>TCGplayer</t>
        </is>
      </c>
      <c r="O1639" s="4" t="inlineStr">
        <is>
          <t>https://www.tcgplayer.com/product/230403</t>
        </is>
      </c>
    </row>
    <row r="1640">
      <c r="A1640" s="2" t="inlineStr">
        <is>
          <t>V Heroes Tin [Espeon V]</t>
        </is>
      </c>
      <c r="B1640" s="3">
        <f>IF(I1640&lt;&gt;"",I1640,IF(J1640&lt;&gt;"",J1640,IF(K1640&lt;&gt;"",K1640,L1640)))</f>
        <v>82.04</v>
      </c>
      <c r="C1640" s="3">
        <f>MEDIAN(I1640:L1640)</f>
        <v>85.0</v>
      </c>
      <c r="D1640" s="3">
        <f>ROUND(C1640*(1-Settings!$B$2),2)</f>
        <v>59.5</v>
      </c>
      <c r="E1640" s="3">
        <f>ROUND(C1640*(1-Settings!$B$3),2)</f>
        <v>59.5</v>
      </c>
      <c r="F1640" s="2" t="inlineStr">
        <is>
          <t>Pokemon</t>
        </is>
      </c>
      <c r="G1640" s="2" t="inlineStr">
        <is>
          <t>Coffret</t>
        </is>
      </c>
      <c r="H1640" s="2" t="inlineStr">
        <is>
          <t>Miscellaneous Cards &amp; Products</t>
        </is>
      </c>
      <c r="I1640" s="3" t="n"/>
      <c r="J1640" s="3" t="n">
        <v>82.04000000000001</v>
      </c>
      <c r="K1640" s="3" t="n">
        <v>130</v>
      </c>
      <c r="L1640" s="3" t="n">
        <v>85</v>
      </c>
      <c r="M1640" s="2" t="inlineStr">
        <is>
          <t>TCGplayer</t>
        </is>
      </c>
      <c r="O1640" s="4" t="inlineStr">
        <is>
          <t>https://www.tcgplayer.com/product/262969</t>
        </is>
      </c>
    </row>
    <row r="1641">
      <c r="A1641" s="2" t="inlineStr">
        <is>
          <t>V Heroes Tin [Espeon V] (International Version)</t>
        </is>
      </c>
      <c r="B1641" s="3">
        <f>IF(I1641&lt;&gt;"",I1641,IF(J1641&lt;&gt;"",J1641,IF(K1641&lt;&gt;"",K1641,L1641)))</f>
        <v>70.04</v>
      </c>
      <c r="C1641" s="3">
        <f>MEDIAN(I1641:L1641)</f>
        <v>96.85</v>
      </c>
      <c r="D1641" s="3">
        <f>ROUND(C1641*(1-Settings!$B$2),2)</f>
        <v>67.8</v>
      </c>
      <c r="E1641" s="3">
        <f>ROUND(C1641*(1-Settings!$B$3),2)</f>
        <v>67.8</v>
      </c>
      <c r="F1641" s="2" t="inlineStr">
        <is>
          <t>Pokemon</t>
        </is>
      </c>
      <c r="G1641" s="2" t="inlineStr">
        <is>
          <t>Coffret</t>
        </is>
      </c>
      <c r="H1641" s="2" t="inlineStr">
        <is>
          <t>Miscellaneous Cards &amp; Products</t>
        </is>
      </c>
      <c r="I1641" s="3" t="n"/>
      <c r="J1641" s="3" t="n">
        <v>70.04000000000001</v>
      </c>
      <c r="K1641" s="3" t="n">
        <v>98.84</v>
      </c>
      <c r="L1641" s="3" t="n">
        <v>96.84999999999999</v>
      </c>
      <c r="M1641" s="2" t="inlineStr">
        <is>
          <t>TCGplayer</t>
        </is>
      </c>
      <c r="O1641" s="4" t="inlineStr">
        <is>
          <t>https://www.tcgplayer.com/product/270153</t>
        </is>
      </c>
    </row>
    <row r="1642">
      <c r="A1642" s="2" t="inlineStr">
        <is>
          <t>V Heroes Tin [Set of 3]</t>
        </is>
      </c>
      <c r="B1642" s="3">
        <f>IF(I1642&lt;&gt;"",I1642,IF(J1642&lt;&gt;"",J1642,IF(K1642&lt;&gt;"",K1642,L1642)))</f>
        <v>299.73</v>
      </c>
      <c r="C1642" s="3">
        <f>MEDIAN(I1642:L1642)</f>
        <v>299.73</v>
      </c>
      <c r="D1642" s="3">
        <f>ROUND(C1642*(1-Settings!$B$2),2)</f>
        <v>209.81</v>
      </c>
      <c r="E1642" s="3">
        <f>ROUND(C1642*(1-Settings!$B$3),2)</f>
        <v>209.81</v>
      </c>
      <c r="F1642" s="2" t="inlineStr">
        <is>
          <t>Pokemon</t>
        </is>
      </c>
      <c r="G1642" s="2" t="inlineStr">
        <is>
          <t>Coffret</t>
        </is>
      </c>
      <c r="H1642" s="2" t="inlineStr">
        <is>
          <t>Miscellaneous Cards &amp; Products</t>
        </is>
      </c>
      <c r="I1642" s="3" t="n"/>
      <c r="J1642" s="3" t="n">
        <v>299.73</v>
      </c>
      <c r="K1642" s="3" t="n">
        <v>324.93</v>
      </c>
      <c r="L1642" s="3" t="n">
        <v>289.92</v>
      </c>
      <c r="M1642" s="2" t="inlineStr">
        <is>
          <t>TCGplayer</t>
        </is>
      </c>
      <c r="O1642" s="4" t="inlineStr">
        <is>
          <t>https://www.tcgplayer.com/product/262972</t>
        </is>
      </c>
    </row>
    <row r="1643">
      <c r="A1643" s="2" t="inlineStr">
        <is>
          <t>V Heroes Tin [Set of 3] (International Version)</t>
        </is>
      </c>
      <c r="B1643" s="3">
        <f>IF(I1643&lt;&gt;"",I1643,IF(J1643&lt;&gt;"",J1643,IF(K1643&lt;&gt;"",K1643,L1643)))</f>
        <v>195.95</v>
      </c>
      <c r="C1643" s="3">
        <f>MEDIAN(I1643:L1643)</f>
        <v>295.0</v>
      </c>
      <c r="D1643" s="3">
        <f>ROUND(C1643*(1-Settings!$B$2),2)</f>
        <v>206.5</v>
      </c>
      <c r="E1643" s="3">
        <f>ROUND(C1643*(1-Settings!$B$3),2)</f>
        <v>206.5</v>
      </c>
      <c r="F1643" s="2" t="inlineStr">
        <is>
          <t>Pokemon</t>
        </is>
      </c>
      <c r="G1643" s="2" t="inlineStr">
        <is>
          <t>Coffret</t>
        </is>
      </c>
      <c r="H1643" s="2" t="inlineStr">
        <is>
          <t>Miscellaneous Cards &amp; Products</t>
        </is>
      </c>
      <c r="I1643" s="3" t="n"/>
      <c r="J1643" s="3" t="n">
        <v>195.95</v>
      </c>
      <c r="K1643" s="3" t="n">
        <v>295</v>
      </c>
      <c r="L1643" s="3" t="n">
        <v>295</v>
      </c>
      <c r="M1643" s="2" t="inlineStr">
        <is>
          <t>TCGplayer</t>
        </is>
      </c>
      <c r="O1643" s="4" t="inlineStr">
        <is>
          <t>https://www.tcgplayer.com/product/270154</t>
        </is>
      </c>
    </row>
    <row r="1644">
      <c r="A1644" s="2" t="inlineStr">
        <is>
          <t>V Heroes Tin [Sylveon V]</t>
        </is>
      </c>
      <c r="B1644" s="3">
        <f>IF(I1644&lt;&gt;"",I1644,IF(J1644&lt;&gt;"",J1644,IF(K1644&lt;&gt;"",K1644,L1644)))</f>
        <v>107.59</v>
      </c>
      <c r="C1644" s="3">
        <f>MEDIAN(I1644:L1644)</f>
        <v>107.59</v>
      </c>
      <c r="D1644" s="3">
        <f>ROUND(C1644*(1-Settings!$B$2),2)</f>
        <v>75.31</v>
      </c>
      <c r="E1644" s="3">
        <f>ROUND(C1644*(1-Settings!$B$3),2)</f>
        <v>75.31</v>
      </c>
      <c r="F1644" s="2" t="inlineStr">
        <is>
          <t>Pokemon</t>
        </is>
      </c>
      <c r="G1644" s="2" t="inlineStr">
        <is>
          <t>Coffret</t>
        </is>
      </c>
      <c r="H1644" s="2" t="inlineStr">
        <is>
          <t>Miscellaneous Cards &amp; Products</t>
        </is>
      </c>
      <c r="I1644" s="3" t="n"/>
      <c r="J1644" s="3" t="n">
        <v>107.59</v>
      </c>
      <c r="K1644" s="3" t="n">
        <v>123.75</v>
      </c>
      <c r="L1644" s="3" t="n">
        <v>14.99</v>
      </c>
      <c r="M1644" s="2" t="inlineStr">
        <is>
          <t>TCGplayer</t>
        </is>
      </c>
      <c r="O1644" s="4" t="inlineStr">
        <is>
          <t>https://www.tcgplayer.com/product/262970</t>
        </is>
      </c>
    </row>
    <row r="1645">
      <c r="A1645" s="2" t="inlineStr">
        <is>
          <t>V Heroes Tin [Sylveon V] (International Version)</t>
        </is>
      </c>
      <c r="B1645" s="3">
        <f>IF(I1645&lt;&gt;"",I1645,IF(J1645&lt;&gt;"",J1645,IF(K1645&lt;&gt;"",K1645,L1645)))</f>
        <v>72.59</v>
      </c>
      <c r="C1645" s="3">
        <f>MEDIAN(I1645:L1645)</f>
        <v>98.7</v>
      </c>
      <c r="D1645" s="3">
        <f>ROUND(C1645*(1-Settings!$B$2),2)</f>
        <v>69.09</v>
      </c>
      <c r="E1645" s="3">
        <f>ROUND(C1645*(1-Settings!$B$3),2)</f>
        <v>69.09</v>
      </c>
      <c r="F1645" s="2" t="inlineStr">
        <is>
          <t>Pokemon</t>
        </is>
      </c>
      <c r="G1645" s="2" t="inlineStr">
        <is>
          <t>Coffret</t>
        </is>
      </c>
      <c r="H1645" s="2" t="inlineStr">
        <is>
          <t>Miscellaneous Cards &amp; Products</t>
        </is>
      </c>
      <c r="I1645" s="3" t="n"/>
      <c r="J1645" s="3" t="n">
        <v>72.59</v>
      </c>
      <c r="K1645" s="3" t="n">
        <v>99.98999999999999</v>
      </c>
      <c r="L1645" s="3" t="n">
        <v>98.7</v>
      </c>
      <c r="M1645" s="2" t="inlineStr">
        <is>
          <t>TCGplayer</t>
        </is>
      </c>
      <c r="O1645" s="4" t="inlineStr">
        <is>
          <t>https://www.tcgplayer.com/product/270151</t>
        </is>
      </c>
    </row>
    <row r="1646">
      <c r="A1646" s="2" t="inlineStr">
        <is>
          <t>V Heroes Tin [Umbreon V]</t>
        </is>
      </c>
      <c r="B1646" s="3">
        <f>IF(I1646&lt;&gt;"",I1646,IF(J1646&lt;&gt;"",J1646,IF(K1646&lt;&gt;"",K1646,L1646)))</f>
        <v>116.6</v>
      </c>
      <c r="C1646" s="3">
        <f>MEDIAN(I1646:L1646)</f>
        <v>116.6</v>
      </c>
      <c r="D1646" s="3">
        <f>ROUND(C1646*(1-Settings!$B$2),2)</f>
        <v>81.62</v>
      </c>
      <c r="E1646" s="3">
        <f>ROUND(C1646*(1-Settings!$B$3),2)</f>
        <v>81.62</v>
      </c>
      <c r="F1646" s="2" t="inlineStr">
        <is>
          <t>Pokemon</t>
        </is>
      </c>
      <c r="G1646" s="2" t="inlineStr">
        <is>
          <t>Coffret</t>
        </is>
      </c>
      <c r="H1646" s="2" t="inlineStr">
        <is>
          <t>Miscellaneous Cards &amp; Products</t>
        </is>
      </c>
      <c r="I1646" s="3" t="n"/>
      <c r="J1646" s="3" t="n">
        <v>116.6</v>
      </c>
      <c r="K1646" s="3" t="n">
        <v>130.98</v>
      </c>
      <c r="L1646" s="3" t="n">
        <v>14.99</v>
      </c>
      <c r="M1646" s="2" t="inlineStr">
        <is>
          <t>TCGplayer</t>
        </is>
      </c>
      <c r="O1646" s="4" t="inlineStr">
        <is>
          <t>https://www.tcgplayer.com/product/262971</t>
        </is>
      </c>
    </row>
    <row r="1647">
      <c r="A1647" s="2" t="inlineStr">
        <is>
          <t>V Heroes Tin [Umbreon V] (International Version)</t>
        </is>
      </c>
      <c r="B1647" s="3">
        <f>IF(I1647&lt;&gt;"",I1647,IF(J1647&lt;&gt;"",J1647,IF(K1647&lt;&gt;"",K1647,L1647)))</f>
        <v>72.6</v>
      </c>
      <c r="C1647" s="3">
        <f>MEDIAN(I1647:L1647)</f>
        <v>72.6</v>
      </c>
      <c r="D1647" s="3">
        <f>ROUND(C1647*(1-Settings!$B$2),2)</f>
        <v>50.82</v>
      </c>
      <c r="E1647" s="3">
        <f>ROUND(C1647*(1-Settings!$B$3),2)</f>
        <v>50.82</v>
      </c>
      <c r="F1647" s="2" t="inlineStr">
        <is>
          <t>Pokemon</t>
        </is>
      </c>
      <c r="G1647" s="2" t="inlineStr">
        <is>
          <t>Coffret</t>
        </is>
      </c>
      <c r="H1647" s="2" t="inlineStr">
        <is>
          <t>Miscellaneous Cards &amp; Products</t>
        </is>
      </c>
      <c r="I1647" s="3" t="n"/>
      <c r="J1647" s="3" t="n">
        <v>72.59999999999999</v>
      </c>
      <c r="K1647" s="3" t="n">
        <v>91.7</v>
      </c>
      <c r="L1647" s="3" t="n">
        <v>71.52</v>
      </c>
      <c r="M1647" s="2" t="inlineStr">
        <is>
          <t>TCGplayer</t>
        </is>
      </c>
      <c r="O1647" s="4" t="inlineStr">
        <is>
          <t>https://www.tcgplayer.com/product/270152</t>
        </is>
      </c>
    </row>
    <row r="1648">
      <c r="A1648" s="2" t="inlineStr">
        <is>
          <t>V Powers Tin [Eevee V]</t>
        </is>
      </c>
      <c r="B1648" s="3">
        <f>IF(I1648&lt;&gt;"",I1648,IF(J1648&lt;&gt;"",J1648,IF(K1648&lt;&gt;"",K1648,L1648)))</f>
        <v>102.32</v>
      </c>
      <c r="C1648" s="3">
        <f>MEDIAN(I1648:L1648)</f>
        <v>102.32</v>
      </c>
      <c r="D1648" s="3">
        <f>ROUND(C1648*(1-Settings!$B$2),2)</f>
        <v>71.62</v>
      </c>
      <c r="E1648" s="3">
        <f>ROUND(C1648*(1-Settings!$B$3),2)</f>
        <v>71.62</v>
      </c>
      <c r="F1648" s="2" t="inlineStr">
        <is>
          <t>Pokemon</t>
        </is>
      </c>
      <c r="G1648" s="2" t="inlineStr">
        <is>
          <t>Coffret</t>
        </is>
      </c>
      <c r="H1648" s="2" t="inlineStr">
        <is>
          <t>Miscellaneous Cards &amp; Products</t>
        </is>
      </c>
      <c r="I1648" s="3" t="n"/>
      <c r="J1648" s="3" t="n">
        <v>102.32</v>
      </c>
      <c r="K1648" s="3" t="n">
        <v>104.97</v>
      </c>
      <c r="L1648" s="3" t="n">
        <v>90</v>
      </c>
      <c r="M1648" s="2" t="inlineStr">
        <is>
          <t>TCGplayer</t>
        </is>
      </c>
      <c r="O1648" s="4" t="inlineStr">
        <is>
          <t>https://www.tcgplayer.com/product/220310</t>
        </is>
      </c>
    </row>
    <row r="1649">
      <c r="A1649" s="2" t="inlineStr">
        <is>
          <t>V Powers Tin [Eternatus V]</t>
        </is>
      </c>
      <c r="B1649" s="3">
        <f>IF(I1649&lt;&gt;"",I1649,IF(J1649&lt;&gt;"",J1649,IF(K1649&lt;&gt;"",K1649,L1649)))</f>
        <v>68.63</v>
      </c>
      <c r="C1649" s="3">
        <f>MEDIAN(I1649:L1649)</f>
        <v>68.63</v>
      </c>
      <c r="D1649" s="3">
        <f>ROUND(C1649*(1-Settings!$B$2),2)</f>
        <v>48.04</v>
      </c>
      <c r="E1649" s="3">
        <f>ROUND(C1649*(1-Settings!$B$3),2)</f>
        <v>48.04</v>
      </c>
      <c r="F1649" s="2" t="inlineStr">
        <is>
          <t>Pokemon</t>
        </is>
      </c>
      <c r="G1649" s="2" t="inlineStr">
        <is>
          <t>Coffret</t>
        </is>
      </c>
      <c r="H1649" s="2" t="inlineStr">
        <is>
          <t>Miscellaneous Cards &amp; Products</t>
        </is>
      </c>
      <c r="I1649" s="3" t="n"/>
      <c r="J1649" s="3" t="n">
        <v>68.63</v>
      </c>
      <c r="K1649" s="3" t="n">
        <v>82.48</v>
      </c>
      <c r="L1649" s="3" t="n">
        <v>60</v>
      </c>
      <c r="M1649" s="2" t="inlineStr">
        <is>
          <t>TCGplayer</t>
        </is>
      </c>
      <c r="O1649" s="4" t="inlineStr">
        <is>
          <t>https://www.tcgplayer.com/product/220311</t>
        </is>
      </c>
    </row>
    <row r="1650">
      <c r="A1650" s="2" t="inlineStr">
        <is>
          <t>V Powers Tin [Eternatus V] (International Version)</t>
        </is>
      </c>
      <c r="B1650" s="3">
        <f>IF(I1650&lt;&gt;"",I1650,IF(J1650&lt;&gt;"",J1650,IF(K1650&lt;&gt;"",K1650,L1650)))</f>
        <v>46.49</v>
      </c>
      <c r="C1650" s="3">
        <f>MEDIAN(I1650:L1650)</f>
        <v>46.49</v>
      </c>
      <c r="D1650" s="3">
        <f>ROUND(C1650*(1-Settings!$B$2),2)</f>
        <v>32.54</v>
      </c>
      <c r="E1650" s="3">
        <f>ROUND(C1650*(1-Settings!$B$3),2)</f>
        <v>32.54</v>
      </c>
      <c r="F1650" s="2" t="inlineStr">
        <is>
          <t>Pokemon</t>
        </is>
      </c>
      <c r="G1650" s="2" t="inlineStr">
        <is>
          <t>Coffret</t>
        </is>
      </c>
      <c r="H1650" s="2" t="inlineStr">
        <is>
          <t>Miscellaneous Cards &amp; Products</t>
        </is>
      </c>
      <c r="I1650" s="3" t="n"/>
      <c r="J1650" s="3" t="n">
        <v>46.49</v>
      </c>
      <c r="K1650" s="3" t="n">
        <v>51.5</v>
      </c>
      <c r="L1650" s="3" t="n">
        <v>45.99</v>
      </c>
      <c r="M1650" s="2" t="inlineStr">
        <is>
          <t>TCGplayer</t>
        </is>
      </c>
      <c r="O1650" s="4" t="inlineStr">
        <is>
          <t>https://www.tcgplayer.com/product/256832</t>
        </is>
      </c>
    </row>
    <row r="1651">
      <c r="A1651" s="2" t="inlineStr">
        <is>
          <t>V Powers Tin [Pikachu V]</t>
        </is>
      </c>
      <c r="B1651" s="3">
        <f>IF(I1651&lt;&gt;"",I1651,IF(J1651&lt;&gt;"",J1651,IF(K1651&lt;&gt;"",K1651,L1651)))</f>
        <v>79.65</v>
      </c>
      <c r="C1651" s="3">
        <f>MEDIAN(I1651:L1651)</f>
        <v>79.65</v>
      </c>
      <c r="D1651" s="3">
        <f>ROUND(C1651*(1-Settings!$B$2),2)</f>
        <v>55.76</v>
      </c>
      <c r="E1651" s="3">
        <f>ROUND(C1651*(1-Settings!$B$3),2)</f>
        <v>55.76</v>
      </c>
      <c r="F1651" s="2" t="inlineStr">
        <is>
          <t>Pokemon</t>
        </is>
      </c>
      <c r="G1651" s="2" t="inlineStr">
        <is>
          <t>Coffret</t>
        </is>
      </c>
      <c r="H1651" s="2" t="inlineStr">
        <is>
          <t>Miscellaneous Cards &amp; Products</t>
        </is>
      </c>
      <c r="I1651" s="3" t="n"/>
      <c r="J1651" s="3" t="n">
        <v>79.65000000000001</v>
      </c>
      <c r="K1651" s="3" t="n">
        <v>89.98</v>
      </c>
      <c r="L1651" s="3" t="n">
        <v>75</v>
      </c>
      <c r="M1651" s="2" t="inlineStr">
        <is>
          <t>TCGplayer</t>
        </is>
      </c>
      <c r="O1651" s="4" t="inlineStr">
        <is>
          <t>https://www.tcgplayer.com/product/220308</t>
        </is>
      </c>
    </row>
    <row r="1652">
      <c r="A1652" s="2" t="inlineStr">
        <is>
          <t>V Powers Tin [Pikachu V] (International Version)</t>
        </is>
      </c>
      <c r="B1652" s="3">
        <f>IF(I1652&lt;&gt;"",I1652,IF(J1652&lt;&gt;"",J1652,IF(K1652&lt;&gt;"",K1652,L1652)))</f>
        <v>57.62</v>
      </c>
      <c r="C1652" s="3">
        <f>MEDIAN(I1652:L1652)</f>
        <v>57.62</v>
      </c>
      <c r="D1652" s="3">
        <f>ROUND(C1652*(1-Settings!$B$2),2)</f>
        <v>40.33</v>
      </c>
      <c r="E1652" s="3">
        <f>ROUND(C1652*(1-Settings!$B$3),2)</f>
        <v>40.33</v>
      </c>
      <c r="F1652" s="2" t="inlineStr">
        <is>
          <t>Pokemon</t>
        </is>
      </c>
      <c r="G1652" s="2" t="inlineStr">
        <is>
          <t>Coffret</t>
        </is>
      </c>
      <c r="H1652" s="2" t="inlineStr">
        <is>
          <t>Miscellaneous Cards &amp; Products</t>
        </is>
      </c>
      <c r="I1652" s="3" t="n"/>
      <c r="J1652" s="3" t="n">
        <v>57.62</v>
      </c>
      <c r="K1652" s="3" t="n">
        <v>69</v>
      </c>
      <c r="L1652" s="3" t="n">
        <v>56.97</v>
      </c>
      <c r="M1652" s="2" t="inlineStr">
        <is>
          <t>TCGplayer</t>
        </is>
      </c>
      <c r="O1652" s="4" t="inlineStr">
        <is>
          <t>https://www.tcgplayer.com/product/256830</t>
        </is>
      </c>
    </row>
    <row r="1653">
      <c r="A1653" s="2" t="inlineStr">
        <is>
          <t>V Powers Tin [Set of 3]</t>
        </is>
      </c>
      <c r="B1653" s="3">
        <f>IF(I1653&lt;&gt;"",I1653,IF(J1653&lt;&gt;"",J1653,IF(K1653&lt;&gt;"",K1653,L1653)))</f>
        <v>239.99</v>
      </c>
      <c r="C1653" s="3">
        <f>MEDIAN(I1653:L1653)</f>
        <v>244.0</v>
      </c>
      <c r="D1653" s="3">
        <f>ROUND(C1653*(1-Settings!$B$2),2)</f>
        <v>170.8</v>
      </c>
      <c r="E1653" s="3">
        <f>ROUND(C1653*(1-Settings!$B$3),2)</f>
        <v>170.8</v>
      </c>
      <c r="F1653" s="2" t="inlineStr">
        <is>
          <t>Pokemon</t>
        </is>
      </c>
      <c r="G1653" s="2" t="inlineStr">
        <is>
          <t>Coffret</t>
        </is>
      </c>
      <c r="H1653" s="2" t="inlineStr">
        <is>
          <t>Miscellaneous Cards &amp; Products</t>
        </is>
      </c>
      <c r="I1653" s="3" t="n"/>
      <c r="J1653" s="3" t="n">
        <v>239.99</v>
      </c>
      <c r="K1653" s="3" t="n">
        <v>244</v>
      </c>
      <c r="L1653" s="3" t="n">
        <v>244</v>
      </c>
      <c r="M1653" s="2" t="inlineStr">
        <is>
          <t>TCGplayer</t>
        </is>
      </c>
      <c r="O1653" s="4" t="inlineStr">
        <is>
          <t>https://www.tcgplayer.com/product/221761</t>
        </is>
      </c>
    </row>
    <row r="1654">
      <c r="A1654" s="2" t="inlineStr">
        <is>
          <t>V Powers Tin [Set of 3] (International Version)</t>
        </is>
      </c>
      <c r="B1654" s="3">
        <f>IF(I1654&lt;&gt;"",I1654,IF(J1654&lt;&gt;"",J1654,IF(K1654&lt;&gt;"",K1654,L1654)))</f>
        <v>142.55</v>
      </c>
      <c r="C1654" s="3">
        <f>MEDIAN(I1654:L1654)</f>
        <v>188.0</v>
      </c>
      <c r="D1654" s="3">
        <f>ROUND(C1654*(1-Settings!$B$2),2)</f>
        <v>131.6</v>
      </c>
      <c r="E1654" s="3">
        <f>ROUND(C1654*(1-Settings!$B$3),2)</f>
        <v>131.6</v>
      </c>
      <c r="F1654" s="2" t="inlineStr">
        <is>
          <t>Pokemon</t>
        </is>
      </c>
      <c r="G1654" s="2" t="inlineStr">
        <is>
          <t>Coffret</t>
        </is>
      </c>
      <c r="H1654" s="2" t="inlineStr">
        <is>
          <t>Miscellaneous Cards &amp; Products</t>
        </is>
      </c>
      <c r="I1654" s="3" t="n"/>
      <c r="J1654" s="3" t="n">
        <v>142.55</v>
      </c>
      <c r="K1654" s="3" t="n">
        <v>299.99</v>
      </c>
      <c r="L1654" s="3" t="n">
        <v>188</v>
      </c>
      <c r="M1654" s="2" t="inlineStr">
        <is>
          <t>TCGplayer</t>
        </is>
      </c>
      <c r="O1654" s="4" t="inlineStr">
        <is>
          <t>https://www.tcgplayer.com/product/256833</t>
        </is>
      </c>
    </row>
    <row r="1655">
      <c r="A1655" s="2" t="inlineStr">
        <is>
          <t>Vaporeon VMAX Premium Collection</t>
        </is>
      </c>
      <c r="B1655" s="3">
        <f>IF(I1655&lt;&gt;"",I1655,IF(J1655&lt;&gt;"",J1655,IF(K1655&lt;&gt;"",K1655,L1655)))</f>
        <v>372.3</v>
      </c>
      <c r="C1655" s="3">
        <f>MEDIAN(I1655:L1655)</f>
        <v>372.3</v>
      </c>
      <c r="D1655" s="3">
        <f>ROUND(C1655*(1-Settings!$B$2),2)</f>
        <v>260.61</v>
      </c>
      <c r="E1655" s="3">
        <f>ROUND(C1655*(1-Settings!$B$3),2)</f>
        <v>260.61</v>
      </c>
      <c r="F1655" s="2" t="inlineStr">
        <is>
          <t>Pokemon</t>
        </is>
      </c>
      <c r="G1655" s="2" t="inlineStr">
        <is>
          <t>Coffret</t>
        </is>
      </c>
      <c r="H1655" s="2" t="inlineStr">
        <is>
          <t>Miscellaneous Cards &amp; Products</t>
        </is>
      </c>
      <c r="I1655" s="3" t="n"/>
      <c r="J1655" s="3" t="n">
        <v>372.3</v>
      </c>
      <c r="K1655" s="3" t="n">
        <v>429.99</v>
      </c>
      <c r="L1655" s="3" t="n">
        <v>330</v>
      </c>
      <c r="M1655" s="2" t="inlineStr">
        <is>
          <t>TCGplayer</t>
        </is>
      </c>
      <c r="O1655" s="4" t="inlineStr">
        <is>
          <t>https://www.tcgplayer.com/product/249689</t>
        </is>
      </c>
    </row>
    <row r="1656">
      <c r="A1656" s="2" t="inlineStr">
        <is>
          <t>Venusaur ex &amp; Blastoise ex Premium Collection</t>
        </is>
      </c>
      <c r="B1656" s="3">
        <f>IF(I1656&lt;&gt;"",I1656,IF(J1656&lt;&gt;"",J1656,IF(K1656&lt;&gt;"",K1656,L1656)))</f>
        <v>84.44</v>
      </c>
      <c r="C1656" s="3">
        <f>MEDIAN(I1656:L1656)</f>
        <v>89.0</v>
      </c>
      <c r="D1656" s="3">
        <f>ROUND(C1656*(1-Settings!$B$2),2)</f>
        <v>62.3</v>
      </c>
      <c r="E1656" s="3">
        <f>ROUND(C1656*(1-Settings!$B$3),2)</f>
        <v>62.3</v>
      </c>
      <c r="F1656" s="2" t="inlineStr">
        <is>
          <t>Pokemon</t>
        </is>
      </c>
      <c r="G1656" s="2" t="inlineStr">
        <is>
          <t>Coffret</t>
        </is>
      </c>
      <c r="H1656" s="2" t="inlineStr">
        <is>
          <t>Miscellaneous Cards &amp; Products</t>
        </is>
      </c>
      <c r="I1656" s="3" t="n"/>
      <c r="J1656" s="3" t="n">
        <v>84.44</v>
      </c>
      <c r="K1656" s="3" t="n">
        <v>99.98999999999999</v>
      </c>
      <c r="L1656" s="3" t="n">
        <v>89</v>
      </c>
      <c r="M1656" s="2" t="inlineStr">
        <is>
          <t>TCGplayer</t>
        </is>
      </c>
      <c r="O1656" s="4" t="inlineStr">
        <is>
          <t>https://www.tcgplayer.com/product/635621</t>
        </is>
      </c>
    </row>
    <row r="1657">
      <c r="A1657" s="2" t="inlineStr">
        <is>
          <t>Venusaur VMAX Battle Box</t>
        </is>
      </c>
      <c r="B1657" s="3">
        <f>IF(I1657&lt;&gt;"",I1657,IF(J1657&lt;&gt;"",J1657,IF(K1657&lt;&gt;"",K1657,L1657)))</f>
        <v>86.13</v>
      </c>
      <c r="C1657" s="3">
        <f>MEDIAN(I1657:L1657)</f>
        <v>86.13</v>
      </c>
      <c r="D1657" s="3">
        <f>ROUND(C1657*(1-Settings!$B$2),2)</f>
        <v>60.29</v>
      </c>
      <c r="E1657" s="3">
        <f>ROUND(C1657*(1-Settings!$B$3),2)</f>
        <v>60.29</v>
      </c>
      <c r="F1657" s="2" t="inlineStr">
        <is>
          <t>Pokemon</t>
        </is>
      </c>
      <c r="G1657" s="2" t="inlineStr">
        <is>
          <t>Coffret</t>
        </is>
      </c>
      <c r="H1657" s="2" t="inlineStr">
        <is>
          <t>Miscellaneous Cards &amp; Products</t>
        </is>
      </c>
      <c r="I1657" s="3" t="n"/>
      <c r="J1657" s="3" t="n">
        <v>86.13</v>
      </c>
      <c r="K1657" s="3" t="n">
        <v>104.95</v>
      </c>
      <c r="L1657" s="3" t="n">
        <v>80</v>
      </c>
      <c r="M1657" s="2" t="inlineStr">
        <is>
          <t>TCGplayer</t>
        </is>
      </c>
      <c r="O1657" s="4" t="inlineStr">
        <is>
          <t>https://www.tcgplayer.com/product/231294</t>
        </is>
      </c>
    </row>
    <row r="1658">
      <c r="A1658" s="2" t="inlineStr">
        <is>
          <t>Vibrant Paldea Mini Tin [Arboliva]</t>
        </is>
      </c>
      <c r="B1658" s="3">
        <f>IF(I1658&lt;&gt;"",I1658,IF(J1658&lt;&gt;"",J1658,IF(K1658&lt;&gt;"",K1658,L1658)))</f>
        <v>25.97</v>
      </c>
      <c r="C1658" s="3">
        <f>MEDIAN(I1658:L1658)</f>
        <v>50.0</v>
      </c>
      <c r="D1658" s="3">
        <f>ROUND(C1658*(1-Settings!$B$2),2)</f>
        <v>35.0</v>
      </c>
      <c r="E1658" s="3">
        <f>ROUND(C1658*(1-Settings!$B$3),2)</f>
        <v>35.0</v>
      </c>
      <c r="F1658" s="2" t="inlineStr">
        <is>
          <t>Pokemon</t>
        </is>
      </c>
      <c r="G1658" s="2" t="inlineStr">
        <is>
          <t>Coffret</t>
        </is>
      </c>
      <c r="H1658" s="2" t="inlineStr">
        <is>
          <t>Miscellaneous Cards &amp; Products</t>
        </is>
      </c>
      <c r="I1658" s="3" t="n"/>
      <c r="J1658" s="3" t="n">
        <v>25.97</v>
      </c>
      <c r="K1658" s="3" t="n">
        <v>54.99</v>
      </c>
      <c r="L1658" s="3" t="n">
        <v>50</v>
      </c>
      <c r="M1658" s="2" t="inlineStr">
        <is>
          <t>TCGplayer</t>
        </is>
      </c>
      <c r="O1658" s="4" t="inlineStr">
        <is>
          <t>https://www.tcgplayer.com/product/554181</t>
        </is>
      </c>
    </row>
    <row r="1659">
      <c r="A1659" s="2" t="inlineStr">
        <is>
          <t>Vibrant Paldea Mini Tin [Ceruledge]</t>
        </is>
      </c>
      <c r="B1659" s="3">
        <f>IF(I1659&lt;&gt;"",I1659,IF(J1659&lt;&gt;"",J1659,IF(K1659&lt;&gt;"",K1659,L1659)))</f>
        <v>47.0</v>
      </c>
      <c r="C1659" s="3">
        <f>MEDIAN(I1659:L1659)</f>
        <v>45.0</v>
      </c>
      <c r="D1659" s="3">
        <f>ROUND(C1659*(1-Settings!$B$2),2)</f>
        <v>31.5</v>
      </c>
      <c r="E1659" s="3">
        <f>ROUND(C1659*(1-Settings!$B$3),2)</f>
        <v>31.5</v>
      </c>
      <c r="F1659" s="2" t="inlineStr">
        <is>
          <t>Pokemon</t>
        </is>
      </c>
      <c r="G1659" s="2" t="inlineStr">
        <is>
          <t>Coffret</t>
        </is>
      </c>
      <c r="H1659" s="2" t="inlineStr">
        <is>
          <t>Miscellaneous Cards &amp; Products</t>
        </is>
      </c>
      <c r="I1659" s="3" t="n"/>
      <c r="J1659" s="3" t="n">
        <v>47</v>
      </c>
      <c r="K1659" s="3" t="n">
        <v>45</v>
      </c>
      <c r="L1659" s="3" t="n">
        <v>45</v>
      </c>
      <c r="M1659" s="2" t="inlineStr">
        <is>
          <t>TCGplayer</t>
        </is>
      </c>
      <c r="O1659" s="4" t="inlineStr">
        <is>
          <t>https://www.tcgplayer.com/product/554183</t>
        </is>
      </c>
    </row>
    <row r="1660">
      <c r="A1660" s="2" t="inlineStr">
        <is>
          <t>Vibrant Paldea Mini Tin [Dachsbun]</t>
        </is>
      </c>
      <c r="B1660" s="3">
        <f>IF(I1660&lt;&gt;"",I1660,IF(J1660&lt;&gt;"",J1660,IF(K1660&lt;&gt;"",K1660,L1660)))</f>
        <v>43.0</v>
      </c>
      <c r="C1660" s="3">
        <f>MEDIAN(I1660:L1660)</f>
        <v>43.0</v>
      </c>
      <c r="D1660" s="3">
        <f>ROUND(C1660*(1-Settings!$B$2),2)</f>
        <v>30.1</v>
      </c>
      <c r="E1660" s="3">
        <f>ROUND(C1660*(1-Settings!$B$3),2)</f>
        <v>30.1</v>
      </c>
      <c r="F1660" s="2" t="inlineStr">
        <is>
          <t>Pokemon</t>
        </is>
      </c>
      <c r="G1660" s="2" t="inlineStr">
        <is>
          <t>Coffret</t>
        </is>
      </c>
      <c r="H1660" s="2" t="inlineStr">
        <is>
          <t>Miscellaneous Cards &amp; Products</t>
        </is>
      </c>
      <c r="I1660" s="3" t="n"/>
      <c r="J1660" s="3" t="n">
        <v>43</v>
      </c>
      <c r="K1660" s="3" t="n"/>
      <c r="L1660" s="3" t="n"/>
      <c r="M1660" s="2" t="inlineStr">
        <is>
          <t>TCGplayer</t>
        </is>
      </c>
      <c r="O1660" s="4" t="inlineStr">
        <is>
          <t>https://www.tcgplayer.com/product/554179</t>
        </is>
      </c>
    </row>
    <row r="1661">
      <c r="A1661" s="2" t="inlineStr">
        <is>
          <t>Vibrant Paldea Mini Tin [Espathra]</t>
        </is>
      </c>
      <c r="B1661" s="3">
        <f>IF(I1661&lt;&gt;"",I1661,IF(J1661&lt;&gt;"",J1661,IF(K1661&lt;&gt;"",K1661,L1661)))</f>
        <v>24.57</v>
      </c>
      <c r="C1661" s="3">
        <f>MEDIAN(I1661:L1661)</f>
        <v>22.0</v>
      </c>
      <c r="D1661" s="3">
        <f>ROUND(C1661*(1-Settings!$B$2),2)</f>
        <v>15.4</v>
      </c>
      <c r="E1661" s="3">
        <f>ROUND(C1661*(1-Settings!$B$3),2)</f>
        <v>15.4</v>
      </c>
      <c r="F1661" s="2" t="inlineStr">
        <is>
          <t>Pokemon</t>
        </is>
      </c>
      <c r="G1661" s="2" t="inlineStr">
        <is>
          <t>Coffret</t>
        </is>
      </c>
      <c r="H1661" s="2" t="inlineStr">
        <is>
          <t>Miscellaneous Cards &amp; Products</t>
        </is>
      </c>
      <c r="I1661" s="3" t="n"/>
      <c r="J1661" s="3" t="n">
        <v>24.57</v>
      </c>
      <c r="K1661" s="3" t="n">
        <v>22</v>
      </c>
      <c r="L1661" s="3" t="n">
        <v>22</v>
      </c>
      <c r="M1661" s="2" t="inlineStr">
        <is>
          <t>TCGplayer</t>
        </is>
      </c>
      <c r="O1661" s="4" t="inlineStr">
        <is>
          <t>https://www.tcgplayer.com/product/554180</t>
        </is>
      </c>
    </row>
    <row r="1662">
      <c r="A1662" s="2" t="inlineStr">
        <is>
          <t>Vibrant Paldea Mini Tin [Palafin]</t>
        </is>
      </c>
      <c r="B1662" s="3">
        <f>IF(I1662&lt;&gt;"",I1662,IF(J1662&lt;&gt;"",J1662,IF(K1662&lt;&gt;"",K1662,L1662)))</f>
        <v>28.5</v>
      </c>
      <c r="C1662" s="3">
        <f>MEDIAN(I1662:L1662)</f>
        <v>25.25</v>
      </c>
      <c r="D1662" s="3">
        <f>ROUND(C1662*(1-Settings!$B$2),2)</f>
        <v>17.68</v>
      </c>
      <c r="E1662" s="3">
        <f>ROUND(C1662*(1-Settings!$B$3),2)</f>
        <v>17.68</v>
      </c>
      <c r="F1662" s="2" t="inlineStr">
        <is>
          <t>Pokemon</t>
        </is>
      </c>
      <c r="G1662" s="2" t="inlineStr">
        <is>
          <t>Coffret</t>
        </is>
      </c>
      <c r="H1662" s="2" t="inlineStr">
        <is>
          <t>Miscellaneous Cards &amp; Products</t>
        </is>
      </c>
      <c r="I1662" s="3" t="n"/>
      <c r="J1662" s="3" t="n"/>
      <c r="K1662" s="3" t="n">
        <v>28.5</v>
      </c>
      <c r="L1662" s="3" t="n">
        <v>22</v>
      </c>
      <c r="M1662" s="2" t="inlineStr">
        <is>
          <t>TCGplayer</t>
        </is>
      </c>
      <c r="O1662" s="4" t="inlineStr">
        <is>
          <t>https://www.tcgplayer.com/product/554182</t>
        </is>
      </c>
    </row>
    <row r="1663">
      <c r="A1663" s="2" t="inlineStr">
        <is>
          <t>Virizion V Box</t>
        </is>
      </c>
      <c r="B1663" s="3">
        <f>IF(I1663&lt;&gt;"",I1663,IF(J1663&lt;&gt;"",J1663,IF(K1663&lt;&gt;"",K1663,L1663)))</f>
        <v>65.62</v>
      </c>
      <c r="C1663" s="3">
        <f>MEDIAN(I1663:L1663)</f>
        <v>74.98</v>
      </c>
      <c r="D1663" s="3">
        <f>ROUND(C1663*(1-Settings!$B$2),2)</f>
        <v>52.49</v>
      </c>
      <c r="E1663" s="3">
        <f>ROUND(C1663*(1-Settings!$B$3),2)</f>
        <v>52.49</v>
      </c>
      <c r="F1663" s="2" t="inlineStr">
        <is>
          <t>Pokemon</t>
        </is>
      </c>
      <c r="G1663" s="2" t="inlineStr">
        <is>
          <t>Coffret</t>
        </is>
      </c>
      <c r="H1663" s="2" t="inlineStr">
        <is>
          <t>Miscellaneous Cards &amp; Products</t>
        </is>
      </c>
      <c r="I1663" s="3" t="n"/>
      <c r="J1663" s="3" t="n">
        <v>65.62</v>
      </c>
      <c r="K1663" s="3" t="n">
        <v>80</v>
      </c>
      <c r="L1663" s="3" t="n">
        <v>74.98</v>
      </c>
      <c r="M1663" s="2" t="inlineStr">
        <is>
          <t>TCGplayer</t>
        </is>
      </c>
      <c r="O1663" s="4" t="inlineStr">
        <is>
          <t>https://www.tcgplayer.com/product/280847</t>
        </is>
      </c>
    </row>
    <row r="1664">
      <c r="A1664" s="2" t="inlineStr">
        <is>
          <t>VMAX Dragons Premium Collection</t>
        </is>
      </c>
      <c r="B1664" s="3">
        <f>IF(I1664&lt;&gt;"",I1664,IF(J1664&lt;&gt;"",J1664,IF(K1664&lt;&gt;"",K1664,L1664)))</f>
        <v>245.58</v>
      </c>
      <c r="C1664" s="3">
        <f>MEDIAN(I1664:L1664)</f>
        <v>297.99</v>
      </c>
      <c r="D1664" s="3">
        <f>ROUND(C1664*(1-Settings!$B$2),2)</f>
        <v>208.59</v>
      </c>
      <c r="E1664" s="3">
        <f>ROUND(C1664*(1-Settings!$B$3),2)</f>
        <v>208.59</v>
      </c>
      <c r="F1664" s="2" t="inlineStr">
        <is>
          <t>Pokemon</t>
        </is>
      </c>
      <c r="G1664" s="2" t="inlineStr">
        <is>
          <t>Coffret</t>
        </is>
      </c>
      <c r="H1664" s="2" t="inlineStr">
        <is>
          <t>Miscellaneous Cards &amp; Products</t>
        </is>
      </c>
      <c r="I1664" s="3" t="n"/>
      <c r="J1664" s="3" t="n">
        <v>245.58</v>
      </c>
      <c r="K1664" s="3" t="n">
        <v>349.95</v>
      </c>
      <c r="L1664" s="3" t="n">
        <v>297.99</v>
      </c>
      <c r="M1664" s="2" t="inlineStr">
        <is>
          <t>TCGplayer</t>
        </is>
      </c>
      <c r="O1664" s="4" t="inlineStr">
        <is>
          <t>https://www.tcgplayer.com/product/287228</t>
        </is>
      </c>
    </row>
    <row r="1665">
      <c r="A1665" s="2" t="inlineStr">
        <is>
          <t>Zeraora VMAX &amp; VSTAR Battle Box</t>
        </is>
      </c>
      <c r="B1665" s="3">
        <f>IF(I1665&lt;&gt;"",I1665,IF(J1665&lt;&gt;"",J1665,IF(K1665&lt;&gt;"",K1665,L1665)))</f>
        <v>101.52</v>
      </c>
      <c r="C1665" s="3">
        <f>MEDIAN(I1665:L1665)</f>
        <v>134.98</v>
      </c>
      <c r="D1665" s="3">
        <f>ROUND(C1665*(1-Settings!$B$2),2)</f>
        <v>94.49</v>
      </c>
      <c r="E1665" s="3">
        <f>ROUND(C1665*(1-Settings!$B$3),2)</f>
        <v>94.49</v>
      </c>
      <c r="F1665" s="2" t="inlineStr">
        <is>
          <t>Pokemon</t>
        </is>
      </c>
      <c r="G1665" s="2" t="inlineStr">
        <is>
          <t>Coffret</t>
        </is>
      </c>
      <c r="H1665" s="2" t="inlineStr">
        <is>
          <t>Miscellaneous Cards &amp; Products</t>
        </is>
      </c>
      <c r="I1665" s="3" t="n"/>
      <c r="J1665" s="3" t="n">
        <v>101.52</v>
      </c>
      <c r="K1665" s="3" t="n">
        <v>135</v>
      </c>
      <c r="L1665" s="3" t="n">
        <v>134.98</v>
      </c>
      <c r="M1665" s="2" t="inlineStr">
        <is>
          <t>TCGplayer</t>
        </is>
      </c>
      <c r="O1665" s="4" t="inlineStr">
        <is>
          <t>https://www.tcgplayer.com/product/282003</t>
        </is>
      </c>
    </row>
    <row r="1666">
      <c r="A1666" s="2" t="inlineStr">
        <is>
          <t>Neo Destiny 2-Pack Blister</t>
        </is>
      </c>
      <c r="B1666" s="3">
        <f>IF(I1666&lt;&gt;"",I1666,IF(J1666&lt;&gt;"",J1666,IF(K1666&lt;&gt;"",K1666,L1666)))</f>
        <v>1212.5</v>
      </c>
      <c r="C1666" s="3">
        <f>MEDIAN(I1666:L1666)</f>
        <v>1212.5</v>
      </c>
      <c r="D1666" s="3">
        <f>ROUND(C1666*(1-Settings!$B$2),2)</f>
        <v>848.75</v>
      </c>
      <c r="E1666" s="3">
        <f>ROUND(C1666*(1-Settings!$B$3),2)</f>
        <v>848.75</v>
      </c>
      <c r="F1666" s="2" t="inlineStr">
        <is>
          <t>Pokemon</t>
        </is>
      </c>
      <c r="G1666" s="2" t="inlineStr">
        <is>
          <t>Coffret</t>
        </is>
      </c>
      <c r="H1666" s="2" t="inlineStr">
        <is>
          <t>Neo Destiny</t>
        </is>
      </c>
      <c r="I1666" s="3" t="n">
        <v>1212.5</v>
      </c>
      <c r="J1666" s="3" t="n"/>
      <c r="K1666" s="3" t="n"/>
      <c r="L1666" s="3" t="n"/>
      <c r="M1666" s="2" t="inlineStr">
        <is>
          <t>PriceCharting</t>
        </is>
      </c>
      <c r="N1666" s="4" t="inlineStr">
        <is>
          <t>https://www.pricecharting.com/game/pokemon-neo-destiny/2-pack-blister</t>
        </is>
      </c>
    </row>
    <row r="1667">
      <c r="A1667" s="2" t="inlineStr">
        <is>
          <t>Neo Discovery 2-Pack Blister</t>
        </is>
      </c>
      <c r="B1667" s="3">
        <f>IF(I1667&lt;&gt;"",I1667,IF(J1667&lt;&gt;"",J1667,IF(K1667&lt;&gt;"",K1667,L1667)))</f>
        <v>1026.3</v>
      </c>
      <c r="C1667" s="3">
        <f>MEDIAN(I1667:L1667)</f>
        <v>1026.3</v>
      </c>
      <c r="D1667" s="3">
        <f>ROUND(C1667*(1-Settings!$B$2),2)</f>
        <v>718.41</v>
      </c>
      <c r="E1667" s="3">
        <f>ROUND(C1667*(1-Settings!$B$3),2)</f>
        <v>718.41</v>
      </c>
      <c r="F1667" s="2" t="inlineStr">
        <is>
          <t>Pokemon</t>
        </is>
      </c>
      <c r="G1667" s="2" t="inlineStr">
        <is>
          <t>Coffret</t>
        </is>
      </c>
      <c r="H1667" s="2" t="inlineStr">
        <is>
          <t>Neo Discovery</t>
        </is>
      </c>
      <c r="I1667" s="3" t="n">
        <v>1026.3</v>
      </c>
      <c r="J1667" s="3" t="n"/>
      <c r="K1667" s="3" t="n"/>
      <c r="L1667" s="3" t="n"/>
      <c r="M1667" s="2" t="inlineStr">
        <is>
          <t>PriceCharting</t>
        </is>
      </c>
      <c r="N1667" s="4" t="inlineStr">
        <is>
          <t>https://www.pricecharting.com/game/pokemon-neo-discovery/2-pack-blister</t>
        </is>
      </c>
    </row>
    <row r="1668">
      <c r="A1668" s="2" t="inlineStr">
        <is>
          <t>Neo Genesis 2-Pack Blister</t>
        </is>
      </c>
      <c r="B1668" s="3">
        <f>IF(I1668&lt;&gt;"",I1668,IF(J1668&lt;&gt;"",J1668,IF(K1668&lt;&gt;"",K1668,L1668)))</f>
        <v>1249.99</v>
      </c>
      <c r="C1668" s="3">
        <f>MEDIAN(I1668:L1668)</f>
        <v>1249.99</v>
      </c>
      <c r="D1668" s="3">
        <f>ROUND(C1668*(1-Settings!$B$2),2)</f>
        <v>874.99</v>
      </c>
      <c r="E1668" s="3">
        <f>ROUND(C1668*(1-Settings!$B$3),2)</f>
        <v>874.99</v>
      </c>
      <c r="F1668" s="2" t="inlineStr">
        <is>
          <t>Pokemon</t>
        </is>
      </c>
      <c r="G1668" s="2" t="inlineStr">
        <is>
          <t>Coffret</t>
        </is>
      </c>
      <c r="H1668" s="2" t="inlineStr">
        <is>
          <t>Neo Genesis</t>
        </is>
      </c>
      <c r="I1668" s="3" t="n">
        <v>1249.99</v>
      </c>
      <c r="J1668" s="3" t="n"/>
      <c r="K1668" s="3" t="n"/>
      <c r="L1668" s="3" t="n"/>
      <c r="M1668" s="2" t="inlineStr">
        <is>
          <t>PriceCharting</t>
        </is>
      </c>
      <c r="N1668" s="4" t="inlineStr">
        <is>
          <t>https://www.pricecharting.com/game/pokemon-neo-genesis/2-pack-blister</t>
        </is>
      </c>
    </row>
    <row r="1669">
      <c r="A1669" s="2" t="inlineStr">
        <is>
          <t>Neo Premium File 1</t>
        </is>
      </c>
      <c r="B1669" s="3">
        <f>IF(I1669&lt;&gt;"",I1669,IF(J1669&lt;&gt;"",J1669,IF(K1669&lt;&gt;"",K1669,L1669)))</f>
        <v>235.82</v>
      </c>
      <c r="C1669" s="3">
        <f>MEDIAN(I1669:L1669)</f>
        <v>217.885</v>
      </c>
      <c r="D1669" s="3">
        <f>ROUND(C1669*(1-Settings!$B$2),2)</f>
        <v>152.52</v>
      </c>
      <c r="E1669" s="3">
        <f>ROUND(C1669*(1-Settings!$B$3),2)</f>
        <v>152.52</v>
      </c>
      <c r="F1669" s="2" t="inlineStr">
        <is>
          <t>Pokemon</t>
        </is>
      </c>
      <c r="G1669" s="2" t="inlineStr">
        <is>
          <t>Coffret</t>
        </is>
      </c>
      <c r="H1669" s="2" t="inlineStr">
        <is>
          <t>Neo Premium File 1</t>
        </is>
      </c>
      <c r="I1669" s="3" t="n"/>
      <c r="J1669" s="3" t="n">
        <v>235.82</v>
      </c>
      <c r="K1669" s="3" t="n"/>
      <c r="L1669" s="3" t="n">
        <v>199.95</v>
      </c>
      <c r="M1669" s="2" t="inlineStr">
        <is>
          <t>TCGplayer</t>
        </is>
      </c>
      <c r="O1669" s="4" t="inlineStr">
        <is>
          <t>https://www.tcgplayer.com/product/703888</t>
        </is>
      </c>
    </row>
    <row r="1670">
      <c r="A1670" s="2" t="inlineStr">
        <is>
          <t>Neo Premium File 2</t>
        </is>
      </c>
      <c r="B1670" s="3">
        <f>IF(I1670&lt;&gt;"",I1670,IF(J1670&lt;&gt;"",J1670,IF(K1670&lt;&gt;"",K1670,L1670)))</f>
        <v>599.99</v>
      </c>
      <c r="C1670" s="3">
        <f>MEDIAN(I1670:L1670)</f>
        <v>599.99</v>
      </c>
      <c r="D1670" s="3">
        <f>ROUND(C1670*(1-Settings!$B$2),2)</f>
        <v>419.99</v>
      </c>
      <c r="E1670" s="3">
        <f>ROUND(C1670*(1-Settings!$B$3),2)</f>
        <v>419.99</v>
      </c>
      <c r="F1670" s="2" t="inlineStr">
        <is>
          <t>Pokemon</t>
        </is>
      </c>
      <c r="G1670" s="2" t="inlineStr">
        <is>
          <t>Coffret</t>
        </is>
      </c>
      <c r="H1670" s="2" t="inlineStr">
        <is>
          <t>Neo Premium File 2</t>
        </is>
      </c>
      <c r="I1670" s="3" t="n"/>
      <c r="J1670" s="3" t="n"/>
      <c r="K1670" s="3" t="n"/>
      <c r="L1670" s="3" t="n">
        <v>599.99</v>
      </c>
      <c r="M1670" s="2" t="inlineStr">
        <is>
          <t>TCGplayer</t>
        </is>
      </c>
      <c r="O1670" s="4" t="inlineStr">
        <is>
          <t>https://www.tcgplayer.com/product/721778</t>
        </is>
      </c>
    </row>
    <row r="1671">
      <c r="A1671" s="2" t="inlineStr">
        <is>
          <t>Neo Revelation 2-Pack Blister</t>
        </is>
      </c>
      <c r="B1671" s="3">
        <f>IF(I1671&lt;&gt;"",I1671,IF(J1671&lt;&gt;"",J1671,IF(K1671&lt;&gt;"",K1671,L1671)))</f>
        <v>1999.99</v>
      </c>
      <c r="C1671" s="3">
        <f>MEDIAN(I1671:L1671)</f>
        <v>1999.99</v>
      </c>
      <c r="D1671" s="3">
        <f>ROUND(C1671*(1-Settings!$B$2),2)</f>
        <v>1399.99</v>
      </c>
      <c r="E1671" s="3">
        <f>ROUND(C1671*(1-Settings!$B$3),2)</f>
        <v>1399.99</v>
      </c>
      <c r="F1671" s="2" t="inlineStr">
        <is>
          <t>Pokemon</t>
        </is>
      </c>
      <c r="G1671" s="2" t="inlineStr">
        <is>
          <t>Coffret</t>
        </is>
      </c>
      <c r="H1671" s="2" t="inlineStr">
        <is>
          <t>Neo Revelation</t>
        </is>
      </c>
      <c r="I1671" s="3" t="n">
        <v>1999.99</v>
      </c>
      <c r="J1671" s="3" t="n"/>
      <c r="K1671" s="3" t="n"/>
      <c r="L1671" s="3" t="n"/>
      <c r="M1671" s="2" t="inlineStr">
        <is>
          <t>PriceCharting</t>
        </is>
      </c>
      <c r="N1671" s="4" t="inlineStr">
        <is>
          <t>https://www.pricecharting.com/game/pokemon-neo-revelation/2-pack-blister</t>
        </is>
      </c>
    </row>
    <row r="1672">
      <c r="A1672" s="2" t="inlineStr">
        <is>
          <t>EX Tin [Kyurem]</t>
        </is>
      </c>
      <c r="B1672" s="3">
        <f>IF(I1672&lt;&gt;"",I1672,IF(J1672&lt;&gt;"",J1672,IF(K1672&lt;&gt;"",K1672,L1672)))</f>
        <v>700.0</v>
      </c>
      <c r="C1672" s="3">
        <f>MEDIAN(I1672:L1672)</f>
        <v>700.0</v>
      </c>
      <c r="D1672" s="3">
        <f>ROUND(C1672*(1-Settings!$B$2),2)</f>
        <v>490.0</v>
      </c>
      <c r="E1672" s="3">
        <f>ROUND(C1672*(1-Settings!$B$3),2)</f>
        <v>490.0</v>
      </c>
      <c r="F1672" s="2" t="inlineStr">
        <is>
          <t>Pokemon</t>
        </is>
      </c>
      <c r="G1672" s="2" t="inlineStr">
        <is>
          <t>Coffret</t>
        </is>
      </c>
      <c r="H1672" s="2" t="inlineStr">
        <is>
          <t>Next Destinies</t>
        </is>
      </c>
      <c r="I1672" s="3" t="n"/>
      <c r="J1672" s="3" t="n">
        <v>700</v>
      </c>
      <c r="K1672" s="3" t="n"/>
      <c r="L1672" s="3" t="n"/>
      <c r="M1672" s="2" t="inlineStr">
        <is>
          <t>TCGplayer</t>
        </is>
      </c>
      <c r="O1672" s="4" t="inlineStr">
        <is>
          <t>https://www.tcgplayer.com/product/98637</t>
        </is>
      </c>
    </row>
    <row r="1673">
      <c r="A1673" s="2" t="inlineStr">
        <is>
          <t>Next Destinies 2-Pack Blister</t>
        </is>
      </c>
      <c r="B1673" s="3">
        <f>IF(I1673&lt;&gt;"",I1673,IF(J1673&lt;&gt;"",J1673,IF(K1673&lt;&gt;"",K1673,L1673)))</f>
        <v>216.18</v>
      </c>
      <c r="C1673" s="3">
        <f>MEDIAN(I1673:L1673)</f>
        <v>216.18</v>
      </c>
      <c r="D1673" s="3">
        <f>ROUND(C1673*(1-Settings!$B$2),2)</f>
        <v>151.33</v>
      </c>
      <c r="E1673" s="3">
        <f>ROUND(C1673*(1-Settings!$B$3),2)</f>
        <v>151.33</v>
      </c>
      <c r="F1673" s="2" t="inlineStr">
        <is>
          <t>Pokemon</t>
        </is>
      </c>
      <c r="G1673" s="2" t="inlineStr">
        <is>
          <t>Coffret</t>
        </is>
      </c>
      <c r="H1673" s="2" t="inlineStr">
        <is>
          <t>Next Destinies</t>
        </is>
      </c>
      <c r="I1673" s="3" t="n">
        <v>216.18</v>
      </c>
      <c r="J1673" s="3" t="n"/>
      <c r="K1673" s="3" t="n"/>
      <c r="L1673" s="3" t="n"/>
      <c r="M1673" s="2" t="inlineStr">
        <is>
          <t>PriceCharting</t>
        </is>
      </c>
      <c r="N1673" s="4" t="inlineStr">
        <is>
          <t>https://www.pricecharting.com/game/pokemon-next-destinies/2-pack-blister</t>
        </is>
      </c>
    </row>
    <row r="1674">
      <c r="A1674" s="2" t="inlineStr">
        <is>
          <t>Next Destinies Black Kyurem Box</t>
        </is>
      </c>
      <c r="B1674" s="3">
        <f>IF(I1674&lt;&gt;"",I1674,IF(J1674&lt;&gt;"",J1674,IF(K1674&lt;&gt;"",K1674,L1674)))</f>
        <v>551.18</v>
      </c>
      <c r="C1674" s="3">
        <f>MEDIAN(I1674:L1674)</f>
        <v>551.18</v>
      </c>
      <c r="D1674" s="3">
        <f>ROUND(C1674*(1-Settings!$B$2),2)</f>
        <v>385.83</v>
      </c>
      <c r="E1674" s="3">
        <f>ROUND(C1674*(1-Settings!$B$3),2)</f>
        <v>385.83</v>
      </c>
      <c r="F1674" s="2" t="inlineStr">
        <is>
          <t>Pokemon</t>
        </is>
      </c>
      <c r="G1674" s="2" t="inlineStr">
        <is>
          <t>Coffret</t>
        </is>
      </c>
      <c r="H1674" s="2" t="inlineStr">
        <is>
          <t>Next Destinies</t>
        </is>
      </c>
      <c r="I1674" s="3" t="n">
        <v>551.1799999999999</v>
      </c>
      <c r="J1674" s="3" t="n"/>
      <c r="K1674" s="3" t="n"/>
      <c r="L1674" s="3" t="n"/>
      <c r="M1674" s="2" t="inlineStr">
        <is>
          <t>PriceCharting</t>
        </is>
      </c>
      <c r="N1674" s="4" t="inlineStr">
        <is>
          <t>https://www.pricecharting.com/game/pokemon-next-destinies/black-kyurem-box</t>
        </is>
      </c>
    </row>
    <row r="1675">
      <c r="A1675" s="2" t="inlineStr">
        <is>
          <t>Noble Victories Scraggy 2-Pack Blister</t>
        </is>
      </c>
      <c r="B1675" s="3">
        <f>IF(I1675&lt;&gt;"",I1675,IF(J1675&lt;&gt;"",J1675,IF(K1675&lt;&gt;"",K1675,L1675)))</f>
        <v>200.0</v>
      </c>
      <c r="C1675" s="3">
        <f>MEDIAN(I1675:L1675)</f>
        <v>200.0</v>
      </c>
      <c r="D1675" s="3">
        <f>ROUND(C1675*(1-Settings!$B$2),2)</f>
        <v>140.0</v>
      </c>
      <c r="E1675" s="3">
        <f>ROUND(C1675*(1-Settings!$B$3),2)</f>
        <v>140.0</v>
      </c>
      <c r="F1675" s="2" t="inlineStr">
        <is>
          <t>Pokemon</t>
        </is>
      </c>
      <c r="G1675" s="2" t="inlineStr">
        <is>
          <t>Coffret</t>
        </is>
      </c>
      <c r="H1675" s="2" t="inlineStr">
        <is>
          <t>Noble Victories</t>
        </is>
      </c>
      <c r="I1675" s="3" t="n">
        <v>200</v>
      </c>
      <c r="J1675" s="3" t="n"/>
      <c r="K1675" s="3" t="n"/>
      <c r="L1675" s="3" t="n"/>
      <c r="M1675" s="2" t="inlineStr">
        <is>
          <t>PriceCharting</t>
        </is>
      </c>
      <c r="N1675" s="4" t="inlineStr">
        <is>
          <t>https://www.pricecharting.com/game/pokemon-noble-victories/scraggy-2-pack-blister</t>
        </is>
      </c>
    </row>
    <row r="1676">
      <c r="A1676" s="2" t="inlineStr">
        <is>
          <t>Obsidian Flames Build &amp; Battle Stadium</t>
        </is>
      </c>
      <c r="B1676" s="3">
        <f>IF(I1676&lt;&gt;"",I1676,IF(J1676&lt;&gt;"",J1676,IF(K1676&lt;&gt;"",K1676,L1676)))</f>
        <v>147.5</v>
      </c>
      <c r="C1676" s="3">
        <f>MEDIAN(I1676:L1676)</f>
        <v>147.5</v>
      </c>
      <c r="D1676" s="3">
        <f>ROUND(C1676*(1-Settings!$B$2),2)</f>
        <v>103.25</v>
      </c>
      <c r="E1676" s="3">
        <f>ROUND(C1676*(1-Settings!$B$3),2)</f>
        <v>103.25</v>
      </c>
      <c r="F1676" s="2" t="inlineStr">
        <is>
          <t>Pokemon</t>
        </is>
      </c>
      <c r="G1676" s="2" t="inlineStr">
        <is>
          <t>Coffret</t>
        </is>
      </c>
      <c r="H1676" s="2" t="inlineStr">
        <is>
          <t>Obsidian Flames</t>
        </is>
      </c>
      <c r="I1676" s="3" t="n">
        <v>147.5</v>
      </c>
      <c r="J1676" s="3" t="n"/>
      <c r="K1676" s="3" t="n"/>
      <c r="L1676" s="3" t="n"/>
      <c r="M1676" s="2" t="inlineStr">
        <is>
          <t>PriceCharting</t>
        </is>
      </c>
      <c r="N1676" s="4" t="inlineStr">
        <is>
          <t>https://www.pricecharting.com/game/pokemon-obsidian-flames/build-&amp;-battle-stadium</t>
        </is>
      </c>
    </row>
    <row r="1677">
      <c r="A1677" s="2" t="inlineStr">
        <is>
          <t>Obsidian Flames Eevee 3-Pack Blister</t>
        </is>
      </c>
      <c r="B1677" s="3">
        <f>IF(I1677&lt;&gt;"",I1677,IF(J1677&lt;&gt;"",J1677,IF(K1677&lt;&gt;"",K1677,L1677)))</f>
        <v>40.8</v>
      </c>
      <c r="C1677" s="3">
        <f>MEDIAN(I1677:L1677)</f>
        <v>40.8</v>
      </c>
      <c r="D1677" s="3">
        <f>ROUND(C1677*(1-Settings!$B$2),2)</f>
        <v>28.56</v>
      </c>
      <c r="E1677" s="3">
        <f>ROUND(C1677*(1-Settings!$B$3),2)</f>
        <v>28.56</v>
      </c>
      <c r="F1677" s="2" t="inlineStr">
        <is>
          <t>Pokemon</t>
        </is>
      </c>
      <c r="G1677" s="2" t="inlineStr">
        <is>
          <t>Coffret</t>
        </is>
      </c>
      <c r="H1677" s="2" t="inlineStr">
        <is>
          <t>Obsidian Flames</t>
        </is>
      </c>
      <c r="I1677" s="3" t="n">
        <v>40.8</v>
      </c>
      <c r="J1677" s="3" t="n"/>
      <c r="K1677" s="3" t="n"/>
      <c r="L1677" s="3" t="n"/>
      <c r="M1677" s="2" t="inlineStr">
        <is>
          <t>PriceCharting</t>
        </is>
      </c>
      <c r="N1677" s="4" t="inlineStr">
        <is>
          <t>https://www.pricecharting.com/game/pokemon-obsidian-flames/eevee-3-pack-blister</t>
        </is>
      </c>
    </row>
    <row r="1678">
      <c r="A1678" s="2" t="inlineStr">
        <is>
          <t>Obsidian Flames Elite Trainer Box [Pokemon Center]</t>
        </is>
      </c>
      <c r="B1678" s="3">
        <f>IF(I1678&lt;&gt;"",I1678,IF(J1678&lt;&gt;"",J1678,IF(K1678&lt;&gt;"",K1678,L1678)))</f>
        <v>630.0</v>
      </c>
      <c r="C1678" s="3">
        <f>MEDIAN(I1678:L1678)</f>
        <v>630.0</v>
      </c>
      <c r="D1678" s="3">
        <f>ROUND(C1678*(1-Settings!$B$2),2)</f>
        <v>441.0</v>
      </c>
      <c r="E1678" s="3">
        <f>ROUND(C1678*(1-Settings!$B$3),2)</f>
        <v>441.0</v>
      </c>
      <c r="F1678" s="2" t="inlineStr">
        <is>
          <t>Pokemon</t>
        </is>
      </c>
      <c r="G1678" s="2" t="inlineStr">
        <is>
          <t>Coffret</t>
        </is>
      </c>
      <c r="H1678" s="2" t="inlineStr">
        <is>
          <t>Obsidian Flames</t>
        </is>
      </c>
      <c r="I1678" s="3" t="n">
        <v>630</v>
      </c>
      <c r="J1678" s="3" t="n"/>
      <c r="K1678" s="3" t="n"/>
      <c r="L1678" s="3" t="n"/>
      <c r="M1678" s="2" t="inlineStr">
        <is>
          <t>PriceCharting</t>
        </is>
      </c>
      <c r="N1678" s="4" t="inlineStr">
        <is>
          <t>https://www.pricecharting.com/game/pokemon-obsidian-flames/elite-trainer-box-pokemon-center</t>
        </is>
      </c>
    </row>
    <row r="1679">
      <c r="A1679" s="2" t="inlineStr">
        <is>
          <t>Obsidian Flames Gyarados EX Premium Collection</t>
        </is>
      </c>
      <c r="B1679" s="3">
        <f>IF(I1679&lt;&gt;"",I1679,IF(J1679&lt;&gt;"",J1679,IF(K1679&lt;&gt;"",K1679,L1679)))</f>
        <v>125.93</v>
      </c>
      <c r="C1679" s="3">
        <f>MEDIAN(I1679:L1679)</f>
        <v>125.93</v>
      </c>
      <c r="D1679" s="3">
        <f>ROUND(C1679*(1-Settings!$B$2),2)</f>
        <v>88.15</v>
      </c>
      <c r="E1679" s="3">
        <f>ROUND(C1679*(1-Settings!$B$3),2)</f>
        <v>88.15</v>
      </c>
      <c r="F1679" s="2" t="inlineStr">
        <is>
          <t>Pokemon</t>
        </is>
      </c>
      <c r="G1679" s="2" t="inlineStr">
        <is>
          <t>Coffret</t>
        </is>
      </c>
      <c r="H1679" s="2" t="inlineStr">
        <is>
          <t>Obsidian Flames</t>
        </is>
      </c>
      <c r="I1679" s="3" t="n">
        <v>125.93</v>
      </c>
      <c r="J1679" s="3" t="n"/>
      <c r="K1679" s="3" t="n"/>
      <c r="L1679" s="3" t="n"/>
      <c r="M1679" s="2" t="inlineStr">
        <is>
          <t>PriceCharting</t>
        </is>
      </c>
      <c r="N1679" s="4" t="inlineStr">
        <is>
          <t>https://www.pricecharting.com/game/pokemon-obsidian-flames/gyarados-ex-premium-collection</t>
        </is>
      </c>
    </row>
    <row r="1680">
      <c r="A1680" s="2" t="inlineStr">
        <is>
          <t>Obsidian Flames Hanger Box</t>
        </is>
      </c>
      <c r="B1680" s="3">
        <f>IF(I1680&lt;&gt;"",I1680,IF(J1680&lt;&gt;"",J1680,IF(K1680&lt;&gt;"",K1680,L1680)))</f>
        <v>31.1</v>
      </c>
      <c r="C1680" s="3">
        <f>MEDIAN(I1680:L1680)</f>
        <v>31.1</v>
      </c>
      <c r="D1680" s="3">
        <f>ROUND(C1680*(1-Settings!$B$2),2)</f>
        <v>21.77</v>
      </c>
      <c r="E1680" s="3">
        <f>ROUND(C1680*(1-Settings!$B$3),2)</f>
        <v>21.77</v>
      </c>
      <c r="F1680" s="2" t="inlineStr">
        <is>
          <t>Pokemon</t>
        </is>
      </c>
      <c r="G1680" s="2" t="inlineStr">
        <is>
          <t>Coffret</t>
        </is>
      </c>
      <c r="H1680" s="2" t="inlineStr">
        <is>
          <t>Obsidian Flames</t>
        </is>
      </c>
      <c r="I1680" s="3" t="n">
        <v>31.1</v>
      </c>
      <c r="J1680" s="3" t="n"/>
      <c r="K1680" s="3" t="n"/>
      <c r="L1680" s="3" t="n"/>
      <c r="M1680" s="2" t="inlineStr">
        <is>
          <t>PriceCharting</t>
        </is>
      </c>
      <c r="N1680" s="4" t="inlineStr">
        <is>
          <t>https://www.pricecharting.com/game/pokemon-obsidian-flames/hanger-box</t>
        </is>
      </c>
    </row>
    <row r="1681">
      <c r="A1681" s="2" t="inlineStr">
        <is>
          <t>Paldea Evolved Elite Trainer Box [Pokemon Center]</t>
        </is>
      </c>
      <c r="B1681" s="3">
        <f>IF(I1681&lt;&gt;"",I1681,IF(J1681&lt;&gt;"",J1681,IF(K1681&lt;&gt;"",K1681,L1681)))</f>
        <v>574.99</v>
      </c>
      <c r="C1681" s="3">
        <f>MEDIAN(I1681:L1681)</f>
        <v>574.99</v>
      </c>
      <c r="D1681" s="3">
        <f>ROUND(C1681*(1-Settings!$B$2),2)</f>
        <v>402.49</v>
      </c>
      <c r="E1681" s="3">
        <f>ROUND(C1681*(1-Settings!$B$3),2)</f>
        <v>402.49</v>
      </c>
      <c r="F1681" s="2" t="inlineStr">
        <is>
          <t>Pokemon</t>
        </is>
      </c>
      <c r="G1681" s="2" t="inlineStr">
        <is>
          <t>Coffret</t>
        </is>
      </c>
      <c r="H1681" s="2" t="inlineStr">
        <is>
          <t>Paldea Evolved</t>
        </is>
      </c>
      <c r="I1681" s="3" t="n">
        <v>574.99</v>
      </c>
      <c r="J1681" s="3" t="n"/>
      <c r="K1681" s="3" t="n"/>
      <c r="L1681" s="3" t="n"/>
      <c r="M1681" s="2" t="inlineStr">
        <is>
          <t>PriceCharting</t>
        </is>
      </c>
      <c r="N1681" s="4" t="inlineStr">
        <is>
          <t>https://www.pricecharting.com/game/pokemon-paldea-evolved/elite-trainer-box-pokemon-center</t>
        </is>
      </c>
    </row>
    <row r="1682">
      <c r="A1682" s="2" t="inlineStr">
        <is>
          <t>Paldea Evolved Koraidon Ex Tin</t>
        </is>
      </c>
      <c r="B1682" s="3">
        <f>IF(I1682&lt;&gt;"",I1682,IF(J1682&lt;&gt;"",J1682,IF(K1682&lt;&gt;"",K1682,L1682)))</f>
        <v>40.17</v>
      </c>
      <c r="C1682" s="3">
        <f>MEDIAN(I1682:L1682)</f>
        <v>40.17</v>
      </c>
      <c r="D1682" s="3">
        <f>ROUND(C1682*(1-Settings!$B$2),2)</f>
        <v>28.12</v>
      </c>
      <c r="E1682" s="3">
        <f>ROUND(C1682*(1-Settings!$B$3),2)</f>
        <v>28.12</v>
      </c>
      <c r="F1682" s="2" t="inlineStr">
        <is>
          <t>Pokemon</t>
        </is>
      </c>
      <c r="G1682" s="2" t="inlineStr">
        <is>
          <t>Coffret</t>
        </is>
      </c>
      <c r="H1682" s="2" t="inlineStr">
        <is>
          <t>Paldea Evolved</t>
        </is>
      </c>
      <c r="I1682" s="3" t="n">
        <v>40.17</v>
      </c>
      <c r="J1682" s="3" t="n"/>
      <c r="K1682" s="3" t="n"/>
      <c r="L1682" s="3" t="n"/>
      <c r="M1682" s="2" t="inlineStr">
        <is>
          <t>PriceCharting</t>
        </is>
      </c>
      <c r="N1682" s="4" t="inlineStr">
        <is>
          <t>https://www.pricecharting.com/game/pokemon-paldea-evolved/koraidon-ex-tin</t>
        </is>
      </c>
    </row>
    <row r="1683">
      <c r="A1683" s="2" t="inlineStr">
        <is>
          <t>Paldea Evolved Paldea Legends Koraidon Tin</t>
        </is>
      </c>
      <c r="B1683" s="3">
        <f>IF(I1683&lt;&gt;"",I1683,IF(J1683&lt;&gt;"",J1683,IF(K1683&lt;&gt;"",K1683,L1683)))</f>
        <v>48.34</v>
      </c>
      <c r="C1683" s="3">
        <f>MEDIAN(I1683:L1683)</f>
        <v>48.34</v>
      </c>
      <c r="D1683" s="3">
        <f>ROUND(C1683*(1-Settings!$B$2),2)</f>
        <v>33.84</v>
      </c>
      <c r="E1683" s="3">
        <f>ROUND(C1683*(1-Settings!$B$3),2)</f>
        <v>33.84</v>
      </c>
      <c r="F1683" s="2" t="inlineStr">
        <is>
          <t>Pokemon</t>
        </is>
      </c>
      <c r="G1683" s="2" t="inlineStr">
        <is>
          <t>Coffret</t>
        </is>
      </c>
      <c r="H1683" s="2" t="inlineStr">
        <is>
          <t>Paldea Evolved</t>
        </is>
      </c>
      <c r="I1683" s="3" t="n">
        <v>48.34</v>
      </c>
      <c r="J1683" s="3" t="n"/>
      <c r="K1683" s="3" t="n"/>
      <c r="L1683" s="3" t="n"/>
      <c r="M1683" s="2" t="inlineStr">
        <is>
          <t>PriceCharting</t>
        </is>
      </c>
      <c r="N1683" s="4" t="inlineStr">
        <is>
          <t>https://www.pricecharting.com/game/pokemon-paldea-evolved/paldea-legends-koraidon-tin</t>
        </is>
      </c>
    </row>
    <row r="1684">
      <c r="A1684" s="2" t="inlineStr">
        <is>
          <t>Paldea Evolved Paldea Legends Miraidon Tin</t>
        </is>
      </c>
      <c r="B1684" s="3">
        <f>IF(I1684&lt;&gt;"",I1684,IF(J1684&lt;&gt;"",J1684,IF(K1684&lt;&gt;"",K1684,L1684)))</f>
        <v>52.55</v>
      </c>
      <c r="C1684" s="3">
        <f>MEDIAN(I1684:L1684)</f>
        <v>52.55</v>
      </c>
      <c r="D1684" s="3">
        <f>ROUND(C1684*(1-Settings!$B$2),2)</f>
        <v>36.79</v>
      </c>
      <c r="E1684" s="3">
        <f>ROUND(C1684*(1-Settings!$B$3),2)</f>
        <v>36.79</v>
      </c>
      <c r="F1684" s="2" t="inlineStr">
        <is>
          <t>Pokemon</t>
        </is>
      </c>
      <c r="G1684" s="2" t="inlineStr">
        <is>
          <t>Coffret</t>
        </is>
      </c>
      <c r="H1684" s="2" t="inlineStr">
        <is>
          <t>Paldea Evolved</t>
        </is>
      </c>
      <c r="I1684" s="3" t="n">
        <v>52.55</v>
      </c>
      <c r="J1684" s="3" t="n"/>
      <c r="K1684" s="3" t="n"/>
      <c r="L1684" s="3" t="n"/>
      <c r="M1684" s="2" t="inlineStr">
        <is>
          <t>PriceCharting</t>
        </is>
      </c>
      <c r="N1684" s="4" t="inlineStr">
        <is>
          <t>https://www.pricecharting.com/game/pokemon-paldea-evolved/paldea-legends-miraidon-tin</t>
        </is>
      </c>
    </row>
    <row r="1685">
      <c r="A1685" s="2" t="inlineStr">
        <is>
          <t>Paldean Fates 5-Mini Tin Set</t>
        </is>
      </c>
      <c r="B1685" s="3">
        <f>IF(I1685&lt;&gt;"",I1685,IF(J1685&lt;&gt;"",J1685,IF(K1685&lt;&gt;"",K1685,L1685)))</f>
        <v>387.79</v>
      </c>
      <c r="C1685" s="3">
        <f>MEDIAN(I1685:L1685)</f>
        <v>387.79</v>
      </c>
      <c r="D1685" s="3">
        <f>ROUND(C1685*(1-Settings!$B$2),2)</f>
        <v>271.45</v>
      </c>
      <c r="E1685" s="3">
        <f>ROUND(C1685*(1-Settings!$B$3),2)</f>
        <v>271.45</v>
      </c>
      <c r="F1685" s="2" t="inlineStr">
        <is>
          <t>Pokemon</t>
        </is>
      </c>
      <c r="G1685" s="2" t="inlineStr">
        <is>
          <t>Coffret</t>
        </is>
      </c>
      <c r="H1685" s="2" t="inlineStr">
        <is>
          <t>Paldean Fates</t>
        </is>
      </c>
      <c r="I1685" s="3" t="n">
        <v>387.79</v>
      </c>
      <c r="J1685" s="3" t="n"/>
      <c r="K1685" s="3" t="n"/>
      <c r="L1685" s="3" t="n"/>
      <c r="M1685" s="2" t="inlineStr">
        <is>
          <t>PriceCharting</t>
        </is>
      </c>
      <c r="N1685" s="4" t="inlineStr">
        <is>
          <t>https://www.pricecharting.com/game/pokemon-paldean-fates/5-mini-tin-set</t>
        </is>
      </c>
    </row>
    <row r="1686">
      <c r="A1686" s="2" t="inlineStr">
        <is>
          <t>Paldean Fates Elite Trainer Box [Pokemon Center]</t>
        </is>
      </c>
      <c r="B1686" s="3">
        <f>IF(I1686&lt;&gt;"",I1686,IF(J1686&lt;&gt;"",J1686,IF(K1686&lt;&gt;"",K1686,L1686)))</f>
        <v>548.21</v>
      </c>
      <c r="C1686" s="3">
        <f>MEDIAN(I1686:L1686)</f>
        <v>548.21</v>
      </c>
      <c r="D1686" s="3">
        <f>ROUND(C1686*(1-Settings!$B$2),2)</f>
        <v>383.75</v>
      </c>
      <c r="E1686" s="3">
        <f>ROUND(C1686*(1-Settings!$B$3),2)</f>
        <v>383.75</v>
      </c>
      <c r="F1686" s="2" t="inlineStr">
        <is>
          <t>Pokemon</t>
        </is>
      </c>
      <c r="G1686" s="2" t="inlineStr">
        <is>
          <t>Coffret</t>
        </is>
      </c>
      <c r="H1686" s="2" t="inlineStr">
        <is>
          <t>Paldean Fates</t>
        </is>
      </c>
      <c r="I1686" s="3" t="n">
        <v>548.21</v>
      </c>
      <c r="J1686" s="3" t="n"/>
      <c r="K1686" s="3" t="n"/>
      <c r="L1686" s="3" t="n"/>
      <c r="M1686" s="2" t="inlineStr">
        <is>
          <t>PriceCharting</t>
        </is>
      </c>
      <c r="N1686" s="4" t="inlineStr">
        <is>
          <t>https://www.pricecharting.com/game/pokemon-paldean-fates/elite-trainer-box-pokemon-center</t>
        </is>
      </c>
    </row>
    <row r="1687">
      <c r="A1687" s="2" t="inlineStr">
        <is>
          <t>Paldean Fates Meowscarada ex Premium Collection Box</t>
        </is>
      </c>
      <c r="B1687" s="3">
        <f>IF(I1687&lt;&gt;"",I1687,IF(J1687&lt;&gt;"",J1687,IF(K1687&lt;&gt;"",K1687,L1687)))</f>
        <v>236.73</v>
      </c>
      <c r="C1687" s="3">
        <f>MEDIAN(I1687:L1687)</f>
        <v>236.73</v>
      </c>
      <c r="D1687" s="3">
        <f>ROUND(C1687*(1-Settings!$B$2),2)</f>
        <v>165.71</v>
      </c>
      <c r="E1687" s="3">
        <f>ROUND(C1687*(1-Settings!$B$3),2)</f>
        <v>165.71</v>
      </c>
      <c r="F1687" s="2" t="inlineStr">
        <is>
          <t>Pokemon</t>
        </is>
      </c>
      <c r="G1687" s="2" t="inlineStr">
        <is>
          <t>Coffret</t>
        </is>
      </c>
      <c r="H1687" s="2" t="inlineStr">
        <is>
          <t>Paldean Fates</t>
        </is>
      </c>
      <c r="I1687" s="3" t="n">
        <v>236.73</v>
      </c>
      <c r="J1687" s="3" t="n"/>
      <c r="K1687" s="3" t="n"/>
      <c r="L1687" s="3" t="n"/>
      <c r="M1687" s="2" t="inlineStr">
        <is>
          <t>PriceCharting</t>
        </is>
      </c>
      <c r="N1687" s="4" t="inlineStr">
        <is>
          <t>https://www.pricecharting.com/game/pokemon-paldean-fates/meowscarada-ex-premium-collection-box</t>
        </is>
      </c>
    </row>
    <row r="1688">
      <c r="A1688" s="2" t="inlineStr">
        <is>
          <t>Paldean Fates Quaquaval ex Premium Collection Box</t>
        </is>
      </c>
      <c r="B1688" s="3">
        <f>IF(I1688&lt;&gt;"",I1688,IF(J1688&lt;&gt;"",J1688,IF(K1688&lt;&gt;"",K1688,L1688)))</f>
        <v>230.0</v>
      </c>
      <c r="C1688" s="3">
        <f>MEDIAN(I1688:L1688)</f>
        <v>230.0</v>
      </c>
      <c r="D1688" s="3">
        <f>ROUND(C1688*(1-Settings!$B$2),2)</f>
        <v>161.0</v>
      </c>
      <c r="E1688" s="3">
        <f>ROUND(C1688*(1-Settings!$B$3),2)</f>
        <v>161.0</v>
      </c>
      <c r="F1688" s="2" t="inlineStr">
        <is>
          <t>Pokemon</t>
        </is>
      </c>
      <c r="G1688" s="2" t="inlineStr">
        <is>
          <t>Coffret</t>
        </is>
      </c>
      <c r="H1688" s="2" t="inlineStr">
        <is>
          <t>Paldean Fates</t>
        </is>
      </c>
      <c r="I1688" s="3" t="n">
        <v>230</v>
      </c>
      <c r="J1688" s="3" t="n"/>
      <c r="K1688" s="3" t="n"/>
      <c r="L1688" s="3" t="n"/>
      <c r="M1688" s="2" t="inlineStr">
        <is>
          <t>PriceCharting</t>
        </is>
      </c>
      <c r="N1688" s="4" t="inlineStr">
        <is>
          <t>https://www.pricecharting.com/game/pokemon-paldean-fates/quaquaval-ex-premium-collection-box</t>
        </is>
      </c>
    </row>
    <row r="1689">
      <c r="A1689" s="2" t="inlineStr">
        <is>
          <t>Paldean Fates Sealed Charizard ex Tin</t>
        </is>
      </c>
      <c r="B1689" s="3">
        <f>IF(I1689&lt;&gt;"",I1689,IF(J1689&lt;&gt;"",J1689,IF(K1689&lt;&gt;"",K1689,L1689)))</f>
        <v>199.99</v>
      </c>
      <c r="C1689" s="3">
        <f>MEDIAN(I1689:L1689)</f>
        <v>199.99</v>
      </c>
      <c r="D1689" s="3">
        <f>ROUND(C1689*(1-Settings!$B$2),2)</f>
        <v>139.99</v>
      </c>
      <c r="E1689" s="3">
        <f>ROUND(C1689*(1-Settings!$B$3),2)</f>
        <v>139.99</v>
      </c>
      <c r="F1689" s="2" t="inlineStr">
        <is>
          <t>Pokemon</t>
        </is>
      </c>
      <c r="G1689" s="2" t="inlineStr">
        <is>
          <t>Coffret</t>
        </is>
      </c>
      <c r="H1689" s="2" t="inlineStr">
        <is>
          <t>Paldean Fates</t>
        </is>
      </c>
      <c r="I1689" s="3" t="n">
        <v>199.99</v>
      </c>
      <c r="J1689" s="3" t="n"/>
      <c r="K1689" s="3" t="n"/>
      <c r="L1689" s="3" t="n"/>
      <c r="M1689" s="2" t="inlineStr">
        <is>
          <t>PriceCharting</t>
        </is>
      </c>
      <c r="N1689" s="4" t="inlineStr">
        <is>
          <t>https://www.pricecharting.com/game/pokemon-paldean-fates/sealed-charizard-ex-tin</t>
        </is>
      </c>
    </row>
    <row r="1690">
      <c r="A1690" s="2" t="inlineStr">
        <is>
          <t>Paldean Fates Sealed Great Tusk Ex Tin</t>
        </is>
      </c>
      <c r="B1690" s="3">
        <f>IF(I1690&lt;&gt;"",I1690,IF(J1690&lt;&gt;"",J1690,IF(K1690&lt;&gt;"",K1690,L1690)))</f>
        <v>140.58</v>
      </c>
      <c r="C1690" s="3">
        <f>MEDIAN(I1690:L1690)</f>
        <v>140.58</v>
      </c>
      <c r="D1690" s="3">
        <f>ROUND(C1690*(1-Settings!$B$2),2)</f>
        <v>98.41</v>
      </c>
      <c r="E1690" s="3">
        <f>ROUND(C1690*(1-Settings!$B$3),2)</f>
        <v>98.41</v>
      </c>
      <c r="F1690" s="2" t="inlineStr">
        <is>
          <t>Pokemon</t>
        </is>
      </c>
      <c r="G1690" s="2" t="inlineStr">
        <is>
          <t>Coffret</t>
        </is>
      </c>
      <c r="H1690" s="2" t="inlineStr">
        <is>
          <t>Paldean Fates</t>
        </is>
      </c>
      <c r="I1690" s="3" t="n">
        <v>140.58</v>
      </c>
      <c r="J1690" s="3" t="n"/>
      <c r="K1690" s="3" t="n"/>
      <c r="L1690" s="3" t="n"/>
      <c r="M1690" s="2" t="inlineStr">
        <is>
          <t>PriceCharting</t>
        </is>
      </c>
      <c r="N1690" s="4" t="inlineStr">
        <is>
          <t>https://www.pricecharting.com/game/pokemon-paldean-fates/sealed-great-tusk-ex-tin</t>
        </is>
      </c>
    </row>
    <row r="1691">
      <c r="A1691" s="2" t="inlineStr">
        <is>
          <t>Paldean Fates Sealed Iron Treads Ex Tin</t>
        </is>
      </c>
      <c r="B1691" s="3">
        <f>IF(I1691&lt;&gt;"",I1691,IF(J1691&lt;&gt;"",J1691,IF(K1691&lt;&gt;"",K1691,L1691)))</f>
        <v>129.64</v>
      </c>
      <c r="C1691" s="3">
        <f>MEDIAN(I1691:L1691)</f>
        <v>129.64</v>
      </c>
      <c r="D1691" s="3">
        <f>ROUND(C1691*(1-Settings!$B$2),2)</f>
        <v>90.75</v>
      </c>
      <c r="E1691" s="3">
        <f>ROUND(C1691*(1-Settings!$B$3),2)</f>
        <v>90.75</v>
      </c>
      <c r="F1691" s="2" t="inlineStr">
        <is>
          <t>Pokemon</t>
        </is>
      </c>
      <c r="G1691" s="2" t="inlineStr">
        <is>
          <t>Coffret</t>
        </is>
      </c>
      <c r="H1691" s="2" t="inlineStr">
        <is>
          <t>Paldean Fates</t>
        </is>
      </c>
      <c r="I1691" s="3" t="n">
        <v>129.64</v>
      </c>
      <c r="J1691" s="3" t="n"/>
      <c r="K1691" s="3" t="n"/>
      <c r="L1691" s="3" t="n"/>
      <c r="M1691" s="2" t="inlineStr">
        <is>
          <t>PriceCharting</t>
        </is>
      </c>
      <c r="N1691" s="4" t="inlineStr">
        <is>
          <t>https://www.pricecharting.com/game/pokemon-paldean-fates/sealed-iron-treads-ex-tin</t>
        </is>
      </c>
    </row>
    <row r="1692">
      <c r="A1692" s="2" t="inlineStr">
        <is>
          <t>Paldean Fates Skeledirge ex Premium Collection Box</t>
        </is>
      </c>
      <c r="B1692" s="3">
        <f>IF(I1692&lt;&gt;"",I1692,IF(J1692&lt;&gt;"",J1692,IF(K1692&lt;&gt;"",K1692,L1692)))</f>
        <v>241.83</v>
      </c>
      <c r="C1692" s="3">
        <f>MEDIAN(I1692:L1692)</f>
        <v>241.83</v>
      </c>
      <c r="D1692" s="3">
        <f>ROUND(C1692*(1-Settings!$B$2),2)</f>
        <v>169.28</v>
      </c>
      <c r="E1692" s="3">
        <f>ROUND(C1692*(1-Settings!$B$3),2)</f>
        <v>169.28</v>
      </c>
      <c r="F1692" s="2" t="inlineStr">
        <is>
          <t>Pokemon</t>
        </is>
      </c>
      <c r="G1692" s="2" t="inlineStr">
        <is>
          <t>Coffret</t>
        </is>
      </c>
      <c r="H1692" s="2" t="inlineStr">
        <is>
          <t>Paldean Fates</t>
        </is>
      </c>
      <c r="I1692" s="3" t="n">
        <v>241.83</v>
      </c>
      <c r="J1692" s="3" t="n"/>
      <c r="K1692" s="3" t="n"/>
      <c r="L1692" s="3" t="n"/>
      <c r="M1692" s="2" t="inlineStr">
        <is>
          <t>PriceCharting</t>
        </is>
      </c>
      <c r="N1692" s="4" t="inlineStr">
        <is>
          <t>https://www.pricecharting.com/game/pokemon-paldean-fates/skeledirge-ex-premium-collection-box</t>
        </is>
      </c>
    </row>
    <row r="1693">
      <c r="A1693" s="2" t="inlineStr">
        <is>
          <t>Paradox Rift Arctibax 3-Pack Blister</t>
        </is>
      </c>
      <c r="B1693" s="3">
        <f>IF(I1693&lt;&gt;"",I1693,IF(J1693&lt;&gt;"",J1693,IF(K1693&lt;&gt;"",K1693,L1693)))</f>
        <v>30.11</v>
      </c>
      <c r="C1693" s="3">
        <f>MEDIAN(I1693:L1693)</f>
        <v>30.11</v>
      </c>
      <c r="D1693" s="3">
        <f>ROUND(C1693*(1-Settings!$B$2),2)</f>
        <v>21.08</v>
      </c>
      <c r="E1693" s="3">
        <f>ROUND(C1693*(1-Settings!$B$3),2)</f>
        <v>21.08</v>
      </c>
      <c r="F1693" s="2" t="inlineStr">
        <is>
          <t>Pokemon</t>
        </is>
      </c>
      <c r="G1693" s="2" t="inlineStr">
        <is>
          <t>Coffret</t>
        </is>
      </c>
      <c r="H1693" s="2" t="inlineStr">
        <is>
          <t>Paradox Rift</t>
        </is>
      </c>
      <c r="I1693" s="3" t="n">
        <v>30.11</v>
      </c>
      <c r="J1693" s="3" t="n"/>
      <c r="K1693" s="3" t="n"/>
      <c r="L1693" s="3" t="n"/>
      <c r="M1693" s="2" t="inlineStr">
        <is>
          <t>PriceCharting</t>
        </is>
      </c>
      <c r="N1693" s="4" t="inlineStr">
        <is>
          <t>https://www.pricecharting.com/game/pokemon-paradox-rift/arctibax-3-pack-blister</t>
        </is>
      </c>
    </row>
    <row r="1694">
      <c r="A1694" s="2" t="inlineStr">
        <is>
          <t>Paradox Rift Combined Powers Premium Collection Box</t>
        </is>
      </c>
      <c r="B1694" s="3">
        <f>IF(I1694&lt;&gt;"",I1694,IF(J1694&lt;&gt;"",J1694,IF(K1694&lt;&gt;"",K1694,L1694)))</f>
        <v>124.79</v>
      </c>
      <c r="C1694" s="3">
        <f>MEDIAN(I1694:L1694)</f>
        <v>124.79</v>
      </c>
      <c r="D1694" s="3">
        <f>ROUND(C1694*(1-Settings!$B$2),2)</f>
        <v>87.35</v>
      </c>
      <c r="E1694" s="3">
        <f>ROUND(C1694*(1-Settings!$B$3),2)</f>
        <v>87.35</v>
      </c>
      <c r="F1694" s="2" t="inlineStr">
        <is>
          <t>Pokemon</t>
        </is>
      </c>
      <c r="G1694" s="2" t="inlineStr">
        <is>
          <t>Coffret</t>
        </is>
      </c>
      <c r="H1694" s="2" t="inlineStr">
        <is>
          <t>Paradox Rift</t>
        </is>
      </c>
      <c r="I1694" s="3" t="n">
        <v>124.79</v>
      </c>
      <c r="J1694" s="3" t="n"/>
      <c r="K1694" s="3" t="n"/>
      <c r="L1694" s="3" t="n"/>
      <c r="M1694" s="2" t="inlineStr">
        <is>
          <t>PriceCharting</t>
        </is>
      </c>
      <c r="N1694" s="4" t="inlineStr">
        <is>
          <t>https://www.pricecharting.com/game/pokemon-paradox-rift/combined-powers-premium-collection-box</t>
        </is>
      </c>
    </row>
    <row r="1695">
      <c r="A1695" s="2" t="inlineStr">
        <is>
          <t>Paradox Rift Elite Trainer Box [Iron Valiant Pokemon Center]</t>
        </is>
      </c>
      <c r="B1695" s="3">
        <f>IF(I1695&lt;&gt;"",I1695,IF(J1695&lt;&gt;"",J1695,IF(K1695&lt;&gt;"",K1695,L1695)))</f>
        <v>190.59</v>
      </c>
      <c r="C1695" s="3">
        <f>MEDIAN(I1695:L1695)</f>
        <v>190.59</v>
      </c>
      <c r="D1695" s="3">
        <f>ROUND(C1695*(1-Settings!$B$2),2)</f>
        <v>133.41</v>
      </c>
      <c r="E1695" s="3">
        <f>ROUND(C1695*(1-Settings!$B$3),2)</f>
        <v>133.41</v>
      </c>
      <c r="F1695" s="2" t="inlineStr">
        <is>
          <t>Pokemon</t>
        </is>
      </c>
      <c r="G1695" s="2" t="inlineStr">
        <is>
          <t>Coffret</t>
        </is>
      </c>
      <c r="H1695" s="2" t="inlineStr">
        <is>
          <t>Paradox Rift</t>
        </is>
      </c>
      <c r="I1695" s="3" t="n">
        <v>190.59</v>
      </c>
      <c r="J1695" s="3" t="n"/>
      <c r="K1695" s="3" t="n"/>
      <c r="L1695" s="3" t="n"/>
      <c r="M1695" s="2" t="inlineStr">
        <is>
          <t>PriceCharting</t>
        </is>
      </c>
      <c r="N1695" s="4" t="inlineStr">
        <is>
          <t>https://www.pricecharting.com/game/pokemon-paradox-rift/elite-trainer-box-iron-valiant-pokemon-center</t>
        </is>
      </c>
    </row>
    <row r="1696">
      <c r="A1696" s="2" t="inlineStr">
        <is>
          <t>Paradox Rift Elite Trainer Box [Roaring Moon Pokemon Center]</t>
        </is>
      </c>
      <c r="B1696" s="3">
        <f>IF(I1696&lt;&gt;"",I1696,IF(J1696&lt;&gt;"",J1696,IF(K1696&lt;&gt;"",K1696,L1696)))</f>
        <v>210.0</v>
      </c>
      <c r="C1696" s="3">
        <f>MEDIAN(I1696:L1696)</f>
        <v>210.0</v>
      </c>
      <c r="D1696" s="3">
        <f>ROUND(C1696*(1-Settings!$B$2),2)</f>
        <v>147.0</v>
      </c>
      <c r="E1696" s="3">
        <f>ROUND(C1696*(1-Settings!$B$3),2)</f>
        <v>147.0</v>
      </c>
      <c r="F1696" s="2" t="inlineStr">
        <is>
          <t>Pokemon</t>
        </is>
      </c>
      <c r="G1696" s="2" t="inlineStr">
        <is>
          <t>Coffret</t>
        </is>
      </c>
      <c r="H1696" s="2" t="inlineStr">
        <is>
          <t>Paradox Rift</t>
        </is>
      </c>
      <c r="I1696" s="3" t="n">
        <v>210</v>
      </c>
      <c r="J1696" s="3" t="n"/>
      <c r="K1696" s="3" t="n"/>
      <c r="L1696" s="3" t="n"/>
      <c r="M1696" s="2" t="inlineStr">
        <is>
          <t>PriceCharting</t>
        </is>
      </c>
      <c r="N1696" s="4" t="inlineStr">
        <is>
          <t>https://www.pricecharting.com/game/pokemon-paradox-rift/elite-trainer-box-roaring-moon-pokemon-center</t>
        </is>
      </c>
    </row>
    <row r="1697">
      <c r="A1697" s="2" t="inlineStr">
        <is>
          <t>Paradox Rift Triple Whammy Tin [Darkrai]</t>
        </is>
      </c>
      <c r="B1697" s="3">
        <f>IF(I1697&lt;&gt;"",I1697,IF(J1697&lt;&gt;"",J1697,IF(K1697&lt;&gt;"",K1697,L1697)))</f>
        <v>25.35</v>
      </c>
      <c r="C1697" s="3">
        <f>MEDIAN(I1697:L1697)</f>
        <v>25.35</v>
      </c>
      <c r="D1697" s="3">
        <f>ROUND(C1697*(1-Settings!$B$2),2)</f>
        <v>17.75</v>
      </c>
      <c r="E1697" s="3">
        <f>ROUND(C1697*(1-Settings!$B$3),2)</f>
        <v>17.75</v>
      </c>
      <c r="F1697" s="2" t="inlineStr">
        <is>
          <t>Pokemon</t>
        </is>
      </c>
      <c r="G1697" s="2" t="inlineStr">
        <is>
          <t>Coffret</t>
        </is>
      </c>
      <c r="H1697" s="2" t="inlineStr">
        <is>
          <t>Paradox Rift</t>
        </is>
      </c>
      <c r="I1697" s="3" t="n">
        <v>25.35</v>
      </c>
      <c r="J1697" s="3" t="n"/>
      <c r="K1697" s="3" t="n"/>
      <c r="L1697" s="3" t="n"/>
      <c r="M1697" s="2" t="inlineStr">
        <is>
          <t>PriceCharting</t>
        </is>
      </c>
      <c r="N1697" s="4" t="inlineStr">
        <is>
          <t>https://www.pricecharting.com/game/pokemon-paradox-rift/triple-whammy-tin-darkrai</t>
        </is>
      </c>
    </row>
    <row r="1698">
      <c r="A1698" s="2" t="inlineStr">
        <is>
          <t>Paradox Rift Triple Whammy Tin [Slaking]</t>
        </is>
      </c>
      <c r="B1698" s="3">
        <f>IF(I1698&lt;&gt;"",I1698,IF(J1698&lt;&gt;"",J1698,IF(K1698&lt;&gt;"",K1698,L1698)))</f>
        <v>24.59</v>
      </c>
      <c r="C1698" s="3">
        <f>MEDIAN(I1698:L1698)</f>
        <v>24.59</v>
      </c>
      <c r="D1698" s="3">
        <f>ROUND(C1698*(1-Settings!$B$2),2)</f>
        <v>17.21</v>
      </c>
      <c r="E1698" s="3">
        <f>ROUND(C1698*(1-Settings!$B$3),2)</f>
        <v>17.21</v>
      </c>
      <c r="F1698" s="2" t="inlineStr">
        <is>
          <t>Pokemon</t>
        </is>
      </c>
      <c r="G1698" s="2" t="inlineStr">
        <is>
          <t>Coffret</t>
        </is>
      </c>
      <c r="H1698" s="2" t="inlineStr">
        <is>
          <t>Paradox Rift</t>
        </is>
      </c>
      <c r="I1698" s="3" t="n">
        <v>24.59</v>
      </c>
      <c r="J1698" s="3" t="n"/>
      <c r="K1698" s="3" t="n"/>
      <c r="L1698" s="3" t="n"/>
      <c r="M1698" s="2" t="inlineStr">
        <is>
          <t>PriceCharting</t>
        </is>
      </c>
      <c r="N1698" s="4" t="inlineStr">
        <is>
          <t>https://www.pricecharting.com/game/pokemon-paradox-rift/triple-whammy-tin-slaking</t>
        </is>
      </c>
    </row>
    <row r="1699">
      <c r="A1699" s="2" t="inlineStr">
        <is>
          <t>Paradox Rift Triple Whammy Tin [Tyranitar]</t>
        </is>
      </c>
      <c r="B1699" s="3">
        <f>IF(I1699&lt;&gt;"",I1699,IF(J1699&lt;&gt;"",J1699,IF(K1699&lt;&gt;"",K1699,L1699)))</f>
        <v>25.43</v>
      </c>
      <c r="C1699" s="3">
        <f>MEDIAN(I1699:L1699)</f>
        <v>25.43</v>
      </c>
      <c r="D1699" s="3">
        <f>ROUND(C1699*(1-Settings!$B$2),2)</f>
        <v>17.8</v>
      </c>
      <c r="E1699" s="3">
        <f>ROUND(C1699*(1-Settings!$B$3),2)</f>
        <v>17.8</v>
      </c>
      <c r="F1699" s="2" t="inlineStr">
        <is>
          <t>Pokemon</t>
        </is>
      </c>
      <c r="G1699" s="2" t="inlineStr">
        <is>
          <t>Coffret</t>
        </is>
      </c>
      <c r="H1699" s="2" t="inlineStr">
        <is>
          <t>Paradox Rift</t>
        </is>
      </c>
      <c r="I1699" s="3" t="n">
        <v>25.43</v>
      </c>
      <c r="J1699" s="3" t="n"/>
      <c r="K1699" s="3" t="n"/>
      <c r="L1699" s="3" t="n"/>
      <c r="M1699" s="2" t="inlineStr">
        <is>
          <t>PriceCharting</t>
        </is>
      </c>
      <c r="N1699" s="4" t="inlineStr">
        <is>
          <t>https://www.pricecharting.com/game/pokemon-paradox-rift/triple-whammy-tin-tyranitar</t>
        </is>
      </c>
    </row>
    <row r="1700">
      <c r="A1700" s="2" t="inlineStr">
        <is>
          <t>Perfect Order Booster Bundle</t>
        </is>
      </c>
      <c r="B1700" s="3">
        <f>IF(I1700&lt;&gt;"",I1700,IF(J1700&lt;&gt;"",J1700,IF(K1700&lt;&gt;"",K1700,L1700)))</f>
        <v>37.13</v>
      </c>
      <c r="C1700" s="3">
        <f>MEDIAN(I1700:L1700)</f>
        <v>37.13</v>
      </c>
      <c r="D1700" s="3">
        <f>ROUND(C1700*(1-Settings!$B$2),2)</f>
        <v>25.99</v>
      </c>
      <c r="E1700" s="3">
        <f>ROUND(C1700*(1-Settings!$B$3),2)</f>
        <v>25.99</v>
      </c>
      <c r="F1700" s="2" t="inlineStr">
        <is>
          <t>Pokemon</t>
        </is>
      </c>
      <c r="G1700" s="2" t="inlineStr">
        <is>
          <t>Coffret</t>
        </is>
      </c>
      <c r="H1700" s="2" t="inlineStr">
        <is>
          <t>Perfect Order</t>
        </is>
      </c>
      <c r="I1700" s="3" t="n">
        <v>37.13</v>
      </c>
      <c r="J1700" s="3" t="n"/>
      <c r="K1700" s="3" t="n"/>
      <c r="L1700" s="3" t="n"/>
      <c r="M1700" s="2" t="inlineStr">
        <is>
          <t>PriceCharting</t>
        </is>
      </c>
      <c r="N1700" s="4" t="inlineStr">
        <is>
          <t>https://www.pricecharting.com/game/pokemon-perfect-order/booster-bundle</t>
        </is>
      </c>
    </row>
    <row r="1701">
      <c r="A1701" s="2" t="inlineStr">
        <is>
          <t>Perfect Order Build &amp; Battle Box</t>
        </is>
      </c>
      <c r="B1701" s="3">
        <f>IF(I1701&lt;&gt;"",I1701,IF(J1701&lt;&gt;"",J1701,IF(K1701&lt;&gt;"",K1701,L1701)))</f>
        <v>37.5</v>
      </c>
      <c r="C1701" s="3">
        <f>MEDIAN(I1701:L1701)</f>
        <v>37.5</v>
      </c>
      <c r="D1701" s="3">
        <f>ROUND(C1701*(1-Settings!$B$2),2)</f>
        <v>26.25</v>
      </c>
      <c r="E1701" s="3">
        <f>ROUND(C1701*(1-Settings!$B$3),2)</f>
        <v>26.25</v>
      </c>
      <c r="F1701" s="2" t="inlineStr">
        <is>
          <t>Pokemon</t>
        </is>
      </c>
      <c r="G1701" s="2" t="inlineStr">
        <is>
          <t>Coffret</t>
        </is>
      </c>
      <c r="H1701" s="2" t="inlineStr">
        <is>
          <t>Perfect Order</t>
        </is>
      </c>
      <c r="I1701" s="3" t="n">
        <v>37.5</v>
      </c>
      <c r="J1701" s="3" t="n"/>
      <c r="K1701" s="3" t="n"/>
      <c r="L1701" s="3" t="n"/>
      <c r="M1701" s="2" t="inlineStr">
        <is>
          <t>PriceCharting</t>
        </is>
      </c>
      <c r="N1701" s="4" t="inlineStr">
        <is>
          <t>https://www.pricecharting.com/game/pokemon-perfect-order/build-&amp;-battle-box</t>
        </is>
      </c>
    </row>
    <row r="1702">
      <c r="A1702" s="2" t="inlineStr">
        <is>
          <t>Perfect Order Elite Trainer Box</t>
        </is>
      </c>
      <c r="B1702" s="3">
        <f>IF(I1702&lt;&gt;"",I1702,IF(J1702&lt;&gt;"",J1702,IF(K1702&lt;&gt;"",K1702,L1702)))</f>
        <v>70.09</v>
      </c>
      <c r="C1702" s="3">
        <f>MEDIAN(I1702:L1702)</f>
        <v>70.09</v>
      </c>
      <c r="D1702" s="3">
        <f>ROUND(C1702*(1-Settings!$B$2),2)</f>
        <v>49.06</v>
      </c>
      <c r="E1702" s="3">
        <f>ROUND(C1702*(1-Settings!$B$3),2)</f>
        <v>49.06</v>
      </c>
      <c r="F1702" s="2" t="inlineStr">
        <is>
          <t>Pokemon</t>
        </is>
      </c>
      <c r="G1702" s="2" t="inlineStr">
        <is>
          <t>Coffret</t>
        </is>
      </c>
      <c r="H1702" s="2" t="inlineStr">
        <is>
          <t>Perfect Order</t>
        </is>
      </c>
      <c r="I1702" s="3" t="n">
        <v>70.09</v>
      </c>
      <c r="J1702" s="3" t="n"/>
      <c r="K1702" s="3" t="n"/>
      <c r="L1702" s="3" t="n"/>
      <c r="M1702" s="2" t="inlineStr">
        <is>
          <t>PriceCharting</t>
        </is>
      </c>
      <c r="N1702" s="4" t="inlineStr">
        <is>
          <t>https://www.pricecharting.com/game/pokemon-perfect-order/elite-trainer-box</t>
        </is>
      </c>
    </row>
    <row r="1703">
      <c r="A1703" s="2" t="inlineStr">
        <is>
          <t>Perfect Order Elite Trainer Box [Pokemon Center]</t>
        </is>
      </c>
      <c r="B1703" s="3">
        <f>IF(I1703&lt;&gt;"",I1703,IF(J1703&lt;&gt;"",J1703,IF(K1703&lt;&gt;"",K1703,L1703)))</f>
        <v>117.49</v>
      </c>
      <c r="C1703" s="3">
        <f>MEDIAN(I1703:L1703)</f>
        <v>117.49</v>
      </c>
      <c r="D1703" s="3">
        <f>ROUND(C1703*(1-Settings!$B$2),2)</f>
        <v>82.24</v>
      </c>
      <c r="E1703" s="3">
        <f>ROUND(C1703*(1-Settings!$B$3),2)</f>
        <v>82.24</v>
      </c>
      <c r="F1703" s="2" t="inlineStr">
        <is>
          <t>Pokemon</t>
        </is>
      </c>
      <c r="G1703" s="2" t="inlineStr">
        <is>
          <t>Coffret</t>
        </is>
      </c>
      <c r="H1703" s="2" t="inlineStr">
        <is>
          <t>Perfect Order</t>
        </is>
      </c>
      <c r="I1703" s="3" t="n">
        <v>117.49</v>
      </c>
      <c r="J1703" s="3" t="n"/>
      <c r="K1703" s="3" t="n"/>
      <c r="L1703" s="3" t="n"/>
      <c r="M1703" s="2" t="inlineStr">
        <is>
          <t>PriceCharting</t>
        </is>
      </c>
      <c r="N1703" s="4" t="inlineStr">
        <is>
          <t>https://www.pricecharting.com/game/pokemon-perfect-order/elite-trainer-box-pokemon-center</t>
        </is>
      </c>
    </row>
    <row r="1704">
      <c r="A1704" s="2" t="inlineStr">
        <is>
          <t>Phantasmal Flames Booster Bundle</t>
        </is>
      </c>
      <c r="B1704" s="3">
        <f>IF(I1704&lt;&gt;"",I1704,IF(J1704&lt;&gt;"",J1704,IF(K1704&lt;&gt;"",K1704,L1704)))</f>
        <v>82.86</v>
      </c>
      <c r="C1704" s="3">
        <f>MEDIAN(I1704:L1704)</f>
        <v>82.86</v>
      </c>
      <c r="D1704" s="3">
        <f>ROUND(C1704*(1-Settings!$B$2),2)</f>
        <v>58.0</v>
      </c>
      <c r="E1704" s="3">
        <f>ROUND(C1704*(1-Settings!$B$3),2)</f>
        <v>58.0</v>
      </c>
      <c r="F1704" s="2" t="inlineStr">
        <is>
          <t>Pokemon</t>
        </is>
      </c>
      <c r="G1704" s="2" t="inlineStr">
        <is>
          <t>Coffret</t>
        </is>
      </c>
      <c r="H1704" s="2" t="inlineStr">
        <is>
          <t>Phantasmal Flames</t>
        </is>
      </c>
      <c r="I1704" s="3" t="n">
        <v>82.86</v>
      </c>
      <c r="J1704" s="3" t="n"/>
      <c r="K1704" s="3" t="n"/>
      <c r="L1704" s="3" t="n"/>
      <c r="M1704" s="2" t="inlineStr">
        <is>
          <t>PriceCharting</t>
        </is>
      </c>
      <c r="N1704" s="4" t="inlineStr">
        <is>
          <t>https://www.pricecharting.com/game/pokemon-phantasmal-flames/booster-bundle</t>
        </is>
      </c>
    </row>
    <row r="1705">
      <c r="A1705" s="2" t="inlineStr">
        <is>
          <t>Phantasmal Flames Build &amp; Battle Box</t>
        </is>
      </c>
      <c r="B1705" s="3">
        <f>IF(I1705&lt;&gt;"",I1705,IF(J1705&lt;&gt;"",J1705,IF(K1705&lt;&gt;"",K1705,L1705)))</f>
        <v>63.49</v>
      </c>
      <c r="C1705" s="3">
        <f>MEDIAN(I1705:L1705)</f>
        <v>63.49</v>
      </c>
      <c r="D1705" s="3">
        <f>ROUND(C1705*(1-Settings!$B$2),2)</f>
        <v>44.44</v>
      </c>
      <c r="E1705" s="3">
        <f>ROUND(C1705*(1-Settings!$B$3),2)</f>
        <v>44.44</v>
      </c>
      <c r="F1705" s="2" t="inlineStr">
        <is>
          <t>Pokemon</t>
        </is>
      </c>
      <c r="G1705" s="2" t="inlineStr">
        <is>
          <t>Coffret</t>
        </is>
      </c>
      <c r="H1705" s="2" t="inlineStr">
        <is>
          <t>Phantasmal Flames</t>
        </is>
      </c>
      <c r="I1705" s="3" t="n">
        <v>63.49</v>
      </c>
      <c r="J1705" s="3" t="n"/>
      <c r="K1705" s="3" t="n"/>
      <c r="L1705" s="3" t="n"/>
      <c r="M1705" s="2" t="inlineStr">
        <is>
          <t>PriceCharting</t>
        </is>
      </c>
      <c r="N1705" s="4" t="inlineStr">
        <is>
          <t>https://www.pricecharting.com/game/pokemon-phantasmal-flames/build-&amp;-battle-box</t>
        </is>
      </c>
    </row>
    <row r="1706">
      <c r="A1706" s="2" t="inlineStr">
        <is>
          <t>Phantasmal Flames Elite Trainer Box</t>
        </is>
      </c>
      <c r="B1706" s="3">
        <f>IF(I1706&lt;&gt;"",I1706,IF(J1706&lt;&gt;"",J1706,IF(K1706&lt;&gt;"",K1706,L1706)))</f>
        <v>152.64</v>
      </c>
      <c r="C1706" s="3">
        <f>MEDIAN(I1706:L1706)</f>
        <v>152.64</v>
      </c>
      <c r="D1706" s="3">
        <f>ROUND(C1706*(1-Settings!$B$2),2)</f>
        <v>106.85</v>
      </c>
      <c r="E1706" s="3">
        <f>ROUND(C1706*(1-Settings!$B$3),2)</f>
        <v>106.85</v>
      </c>
      <c r="F1706" s="2" t="inlineStr">
        <is>
          <t>Pokemon</t>
        </is>
      </c>
      <c r="G1706" s="2" t="inlineStr">
        <is>
          <t>Coffret</t>
        </is>
      </c>
      <c r="H1706" s="2" t="inlineStr">
        <is>
          <t>Phantasmal Flames</t>
        </is>
      </c>
      <c r="I1706" s="3" t="n">
        <v>152.64</v>
      </c>
      <c r="J1706" s="3" t="n"/>
      <c r="K1706" s="3" t="n"/>
      <c r="L1706" s="3" t="n"/>
      <c r="M1706" s="2" t="inlineStr">
        <is>
          <t>PriceCharting</t>
        </is>
      </c>
      <c r="N1706" s="4" t="inlineStr">
        <is>
          <t>https://www.pricecharting.com/game/pokemon-phantasmal-flames/elite-trainer-box</t>
        </is>
      </c>
    </row>
    <row r="1707">
      <c r="A1707" s="2" t="inlineStr">
        <is>
          <t>Phantasmal Flames Elite Trainer Box [Pokemon Center]</t>
        </is>
      </c>
      <c r="B1707" s="3">
        <f>IF(I1707&lt;&gt;"",I1707,IF(J1707&lt;&gt;"",J1707,IF(K1707&lt;&gt;"",K1707,L1707)))</f>
        <v>280.0</v>
      </c>
      <c r="C1707" s="3">
        <f>MEDIAN(I1707:L1707)</f>
        <v>280.0</v>
      </c>
      <c r="D1707" s="3">
        <f>ROUND(C1707*(1-Settings!$B$2),2)</f>
        <v>196.0</v>
      </c>
      <c r="E1707" s="3">
        <f>ROUND(C1707*(1-Settings!$B$3),2)</f>
        <v>196.0</v>
      </c>
      <c r="F1707" s="2" t="inlineStr">
        <is>
          <t>Pokemon</t>
        </is>
      </c>
      <c r="G1707" s="2" t="inlineStr">
        <is>
          <t>Coffret</t>
        </is>
      </c>
      <c r="H1707" s="2" t="inlineStr">
        <is>
          <t>Phantasmal Flames</t>
        </is>
      </c>
      <c r="I1707" s="3" t="n">
        <v>280</v>
      </c>
      <c r="J1707" s="3" t="n"/>
      <c r="K1707" s="3" t="n"/>
      <c r="L1707" s="3" t="n"/>
      <c r="M1707" s="2" t="inlineStr">
        <is>
          <t>PriceCharting</t>
        </is>
      </c>
      <c r="N1707" s="4" t="inlineStr">
        <is>
          <t>https://www.pricecharting.com/game/pokemon-phantasmal-flames/elite-trainer-box-pokemon-center</t>
        </is>
      </c>
    </row>
    <row r="1708">
      <c r="A1708" s="2" t="inlineStr">
        <is>
          <t>Phantasmal Flames Mega Charizard X Ex Ultra-Premium Collection</t>
        </is>
      </c>
      <c r="B1708" s="3">
        <f>IF(I1708&lt;&gt;"",I1708,IF(J1708&lt;&gt;"",J1708,IF(K1708&lt;&gt;"",K1708,L1708)))</f>
        <v>223.26</v>
      </c>
      <c r="C1708" s="3">
        <f>MEDIAN(I1708:L1708)</f>
        <v>223.26</v>
      </c>
      <c r="D1708" s="3">
        <f>ROUND(C1708*(1-Settings!$B$2),2)</f>
        <v>156.28</v>
      </c>
      <c r="E1708" s="3">
        <f>ROUND(C1708*(1-Settings!$B$3),2)</f>
        <v>156.28</v>
      </c>
      <c r="F1708" s="2" t="inlineStr">
        <is>
          <t>Pokemon</t>
        </is>
      </c>
      <c r="G1708" s="2" t="inlineStr">
        <is>
          <t>Coffret</t>
        </is>
      </c>
      <c r="H1708" s="2" t="inlineStr">
        <is>
          <t>Phantasmal Flames</t>
        </is>
      </c>
      <c r="I1708" s="3" t="n">
        <v>223.26</v>
      </c>
      <c r="J1708" s="3" t="n"/>
      <c r="K1708" s="3" t="n"/>
      <c r="L1708" s="3" t="n"/>
      <c r="M1708" s="2" t="inlineStr">
        <is>
          <t>PriceCharting</t>
        </is>
      </c>
      <c r="N1708" s="4" t="inlineStr">
        <is>
          <t>https://www.pricecharting.com/game/pokemon-phantasmal-flames/mega-charizard-x-ex-ultra-premium-collection</t>
        </is>
      </c>
    </row>
    <row r="1709">
      <c r="A1709" s="2" t="inlineStr">
        <is>
          <t>Phantom Forces 3-Pack Blister</t>
        </is>
      </c>
      <c r="B1709" s="3">
        <f>IF(I1709&lt;&gt;"",I1709,IF(J1709&lt;&gt;"",J1709,IF(K1709&lt;&gt;"",K1709,L1709)))</f>
        <v>847.81</v>
      </c>
      <c r="C1709" s="3">
        <f>MEDIAN(I1709:L1709)</f>
        <v>847.81</v>
      </c>
      <c r="D1709" s="3">
        <f>ROUND(C1709*(1-Settings!$B$2),2)</f>
        <v>593.47</v>
      </c>
      <c r="E1709" s="3">
        <f>ROUND(C1709*(1-Settings!$B$3),2)</f>
        <v>593.47</v>
      </c>
      <c r="F1709" s="2" t="inlineStr">
        <is>
          <t>Pokemon</t>
        </is>
      </c>
      <c r="G1709" s="2" t="inlineStr">
        <is>
          <t>Coffret</t>
        </is>
      </c>
      <c r="H1709" s="2" t="inlineStr">
        <is>
          <t>Phantom Forces</t>
        </is>
      </c>
      <c r="I1709" s="3" t="n">
        <v>847.8099999999999</v>
      </c>
      <c r="J1709" s="3" t="n"/>
      <c r="K1709" s="3" t="n"/>
      <c r="L1709" s="3" t="n"/>
      <c r="M1709" s="2" t="inlineStr">
        <is>
          <t>PriceCharting</t>
        </is>
      </c>
      <c r="N1709" s="4" t="inlineStr">
        <is>
          <t>https://www.pricecharting.com/game/pokemon-phantom-forces/3-pack-blister</t>
        </is>
      </c>
    </row>
    <row r="1710">
      <c r="A1710" s="2" t="inlineStr">
        <is>
          <t>Pikachu World Collection Promo Set (2010)</t>
        </is>
      </c>
      <c r="B1710" s="3">
        <f>IF(I1710&lt;&gt;"",I1710,IF(J1710&lt;&gt;"",J1710,IF(K1710&lt;&gt;"",K1710,L1710)))</f>
        <v>450.0</v>
      </c>
      <c r="C1710" s="3">
        <f>MEDIAN(I1710:L1710)</f>
        <v>450.0</v>
      </c>
      <c r="D1710" s="3">
        <f>ROUND(C1710*(1-Settings!$B$2),2)</f>
        <v>315.0</v>
      </c>
      <c r="E1710" s="3">
        <f>ROUND(C1710*(1-Settings!$B$3),2)</f>
        <v>315.0</v>
      </c>
      <c r="F1710" s="2" t="inlineStr">
        <is>
          <t>Pokemon</t>
        </is>
      </c>
      <c r="G1710" s="2" t="inlineStr">
        <is>
          <t>Coffret</t>
        </is>
      </c>
      <c r="H1710" s="2" t="inlineStr">
        <is>
          <t>Pikachu World Collection Promos</t>
        </is>
      </c>
      <c r="I1710" s="3" t="n"/>
      <c r="J1710" s="3" t="n"/>
      <c r="K1710" s="3" t="n"/>
      <c r="L1710" s="3" t="n">
        <v>450</v>
      </c>
      <c r="M1710" s="2" t="inlineStr">
        <is>
          <t>TCGplayer</t>
        </is>
      </c>
      <c r="O1710" s="4" t="inlineStr">
        <is>
          <t>https://www.tcgplayer.com/product/215162</t>
        </is>
      </c>
    </row>
    <row r="1711">
      <c r="A1711" s="2" t="inlineStr">
        <is>
          <t>Pitch Black 3-Pack Blister</t>
        </is>
      </c>
      <c r="B1711" s="3">
        <f>IF(I1711&lt;&gt;"",I1711,IF(J1711&lt;&gt;"",J1711,IF(K1711&lt;&gt;"",K1711,L1711)))</f>
        <v>20.89</v>
      </c>
      <c r="C1711" s="3">
        <f>MEDIAN(I1711:L1711)</f>
        <v>20.89</v>
      </c>
      <c r="D1711" s="3">
        <f>ROUND(C1711*(1-Settings!$B$2),2)</f>
        <v>14.62</v>
      </c>
      <c r="E1711" s="3">
        <f>ROUND(C1711*(1-Settings!$B$3),2)</f>
        <v>14.62</v>
      </c>
      <c r="F1711" s="2" t="inlineStr">
        <is>
          <t>Pokemon</t>
        </is>
      </c>
      <c r="G1711" s="2" t="inlineStr">
        <is>
          <t>Coffret</t>
        </is>
      </c>
      <c r="H1711" s="2" t="inlineStr">
        <is>
          <t>Pitch Black</t>
        </is>
      </c>
      <c r="I1711" s="3" t="n">
        <v>20.89</v>
      </c>
      <c r="J1711" s="3" t="n"/>
      <c r="K1711" s="3" t="n"/>
      <c r="L1711" s="3" t="n"/>
      <c r="M1711" s="2" t="inlineStr">
        <is>
          <t>PriceCharting</t>
        </is>
      </c>
      <c r="N1711" s="4" t="inlineStr">
        <is>
          <t>https://www.pricecharting.com/game/pokemon-pitch-black/3-pack-blister</t>
        </is>
      </c>
    </row>
    <row r="1712">
      <c r="A1712" s="2" t="inlineStr">
        <is>
          <t>Pitch Black Booster Bundle</t>
        </is>
      </c>
      <c r="B1712" s="3">
        <f>IF(I1712&lt;&gt;"",I1712,IF(J1712&lt;&gt;"",J1712,IF(K1712&lt;&gt;"",K1712,L1712)))</f>
        <v>39.7</v>
      </c>
      <c r="C1712" s="3">
        <f>MEDIAN(I1712:L1712)</f>
        <v>39.7</v>
      </c>
      <c r="D1712" s="3">
        <f>ROUND(C1712*(1-Settings!$B$2),2)</f>
        <v>27.79</v>
      </c>
      <c r="E1712" s="3">
        <f>ROUND(C1712*(1-Settings!$B$3),2)</f>
        <v>27.79</v>
      </c>
      <c r="F1712" s="2" t="inlineStr">
        <is>
          <t>Pokemon</t>
        </is>
      </c>
      <c r="G1712" s="2" t="inlineStr">
        <is>
          <t>Coffret</t>
        </is>
      </c>
      <c r="H1712" s="2" t="inlineStr">
        <is>
          <t>Pitch Black</t>
        </is>
      </c>
      <c r="I1712" s="3" t="n">
        <v>39.7</v>
      </c>
      <c r="J1712" s="3" t="n"/>
      <c r="K1712" s="3" t="n"/>
      <c r="L1712" s="3" t="n"/>
      <c r="M1712" s="2" t="inlineStr">
        <is>
          <t>PriceCharting</t>
        </is>
      </c>
      <c r="N1712" s="4" t="inlineStr">
        <is>
          <t>https://www.pricecharting.com/game/pokemon-pitch-black/booster-bundle</t>
        </is>
      </c>
    </row>
    <row r="1713">
      <c r="A1713" s="2" t="inlineStr">
        <is>
          <t>Pitch Black Build &amp; Battle Box</t>
        </is>
      </c>
      <c r="B1713" s="3">
        <f>IF(I1713&lt;&gt;"",I1713,IF(J1713&lt;&gt;"",J1713,IF(K1713&lt;&gt;"",K1713,L1713)))</f>
        <v>37.94</v>
      </c>
      <c r="C1713" s="3">
        <f>MEDIAN(I1713:L1713)</f>
        <v>37.94</v>
      </c>
      <c r="D1713" s="3">
        <f>ROUND(C1713*(1-Settings!$B$2),2)</f>
        <v>26.56</v>
      </c>
      <c r="E1713" s="3">
        <f>ROUND(C1713*(1-Settings!$B$3),2)</f>
        <v>26.56</v>
      </c>
      <c r="F1713" s="2" t="inlineStr">
        <is>
          <t>Pokemon</t>
        </is>
      </c>
      <c r="G1713" s="2" t="inlineStr">
        <is>
          <t>Coffret</t>
        </is>
      </c>
      <c r="H1713" s="2" t="inlineStr">
        <is>
          <t>Pitch Black</t>
        </is>
      </c>
      <c r="I1713" s="3" t="n">
        <v>37.94</v>
      </c>
      <c r="J1713" s="3" t="n"/>
      <c r="K1713" s="3" t="n"/>
      <c r="L1713" s="3" t="n"/>
      <c r="M1713" s="2" t="inlineStr">
        <is>
          <t>PriceCharting</t>
        </is>
      </c>
      <c r="N1713" s="4" t="inlineStr">
        <is>
          <t>https://www.pricecharting.com/game/pokemon-pitch-black/build-&amp;-battle-box</t>
        </is>
      </c>
    </row>
    <row r="1714">
      <c r="A1714" s="2" t="inlineStr">
        <is>
          <t>Pitch Black Elite Trainer Box</t>
        </is>
      </c>
      <c r="B1714" s="3">
        <f>IF(I1714&lt;&gt;"",I1714,IF(J1714&lt;&gt;"",J1714,IF(K1714&lt;&gt;"",K1714,L1714)))</f>
        <v>73.38</v>
      </c>
      <c r="C1714" s="3">
        <f>MEDIAN(I1714:L1714)</f>
        <v>73.38</v>
      </c>
      <c r="D1714" s="3">
        <f>ROUND(C1714*(1-Settings!$B$2),2)</f>
        <v>51.37</v>
      </c>
      <c r="E1714" s="3">
        <f>ROUND(C1714*(1-Settings!$B$3),2)</f>
        <v>51.37</v>
      </c>
      <c r="F1714" s="2" t="inlineStr">
        <is>
          <t>Pokemon</t>
        </is>
      </c>
      <c r="G1714" s="2" t="inlineStr">
        <is>
          <t>Coffret</t>
        </is>
      </c>
      <c r="H1714" s="2" t="inlineStr">
        <is>
          <t>Pitch Black</t>
        </is>
      </c>
      <c r="I1714" s="3" t="n">
        <v>73.38</v>
      </c>
      <c r="J1714" s="3" t="n"/>
      <c r="K1714" s="3" t="n"/>
      <c r="L1714" s="3" t="n"/>
      <c r="M1714" s="2" t="inlineStr">
        <is>
          <t>PriceCharting</t>
        </is>
      </c>
      <c r="N1714" s="4" t="inlineStr">
        <is>
          <t>https://www.pricecharting.com/game/pokemon-pitch-black/elite-trainer-box</t>
        </is>
      </c>
    </row>
    <row r="1715">
      <c r="A1715" s="2" t="inlineStr">
        <is>
          <t>Pitch Black Elite Trainer Box [Pokemon Center]</t>
        </is>
      </c>
      <c r="B1715" s="3">
        <f>IF(I1715&lt;&gt;"",I1715,IF(J1715&lt;&gt;"",J1715,IF(K1715&lt;&gt;"",K1715,L1715)))</f>
        <v>117.77</v>
      </c>
      <c r="C1715" s="3">
        <f>MEDIAN(I1715:L1715)</f>
        <v>117.77</v>
      </c>
      <c r="D1715" s="3">
        <f>ROUND(C1715*(1-Settings!$B$2),2)</f>
        <v>82.44</v>
      </c>
      <c r="E1715" s="3">
        <f>ROUND(C1715*(1-Settings!$B$3),2)</f>
        <v>82.44</v>
      </c>
      <c r="F1715" s="2" t="inlineStr">
        <is>
          <t>Pokemon</t>
        </is>
      </c>
      <c r="G1715" s="2" t="inlineStr">
        <is>
          <t>Coffret</t>
        </is>
      </c>
      <c r="H1715" s="2" t="inlineStr">
        <is>
          <t>Pitch Black</t>
        </is>
      </c>
      <c r="I1715" s="3" t="n">
        <v>117.77</v>
      </c>
      <c r="J1715" s="3" t="n"/>
      <c r="K1715" s="3" t="n"/>
      <c r="L1715" s="3" t="n"/>
      <c r="M1715" s="2" t="inlineStr">
        <is>
          <t>PriceCharting</t>
        </is>
      </c>
      <c r="N1715" s="4" t="inlineStr">
        <is>
          <t>https://www.pricecharting.com/game/pokemon-pitch-black/elite-trainer-box-pokemon-center</t>
        </is>
      </c>
    </row>
    <row r="1716">
      <c r="A1716" s="2" t="inlineStr">
        <is>
          <t>Plasma Blast Elite Trainer Box</t>
        </is>
      </c>
      <c r="B1716" s="3">
        <f>IF(I1716&lt;&gt;"",I1716,IF(J1716&lt;&gt;"",J1716,IF(K1716&lt;&gt;"",K1716,L1716)))</f>
        <v>6349.5</v>
      </c>
      <c r="C1716" s="3">
        <f>MEDIAN(I1716:L1716)</f>
        <v>6349.5</v>
      </c>
      <c r="D1716" s="3">
        <f>ROUND(C1716*(1-Settings!$B$2),2)</f>
        <v>4444.65</v>
      </c>
      <c r="E1716" s="3">
        <f>ROUND(C1716*(1-Settings!$B$3),2)</f>
        <v>4444.65</v>
      </c>
      <c r="F1716" s="2" t="inlineStr">
        <is>
          <t>Pokemon</t>
        </is>
      </c>
      <c r="G1716" s="2" t="inlineStr">
        <is>
          <t>Coffret</t>
        </is>
      </c>
      <c r="H1716" s="2" t="inlineStr">
        <is>
          <t>Plasma Blast</t>
        </is>
      </c>
      <c r="I1716" s="3" t="n">
        <v>6349.5</v>
      </c>
      <c r="J1716" s="3" t="n"/>
      <c r="K1716" s="3" t="n"/>
      <c r="L1716" s="3" t="n"/>
      <c r="M1716" s="2" t="inlineStr">
        <is>
          <t>PriceCharting</t>
        </is>
      </c>
      <c r="N1716" s="4" t="inlineStr">
        <is>
          <t>https://www.pricecharting.com/game/pokemon-plasma-blast/elite-trainer-box</t>
        </is>
      </c>
    </row>
    <row r="1717">
      <c r="A1717" s="2" t="inlineStr">
        <is>
          <t>Team Plasma Tin [Deoxys EX]</t>
        </is>
      </c>
      <c r="B1717" s="3">
        <f>IF(I1717&lt;&gt;"",I1717,IF(J1717&lt;&gt;"",J1717,IF(K1717&lt;&gt;"",K1717,L1717)))</f>
        <v>1000.0</v>
      </c>
      <c r="C1717" s="3">
        <f>MEDIAN(I1717:L1717)</f>
        <v>19999.99</v>
      </c>
      <c r="D1717" s="3">
        <f>ROUND(C1717*(1-Settings!$B$2),2)</f>
        <v>13999.99</v>
      </c>
      <c r="E1717" s="3">
        <f>ROUND(C1717*(1-Settings!$B$3),2)</f>
        <v>13999.99</v>
      </c>
      <c r="F1717" s="2" t="inlineStr">
        <is>
          <t>Pokemon</t>
        </is>
      </c>
      <c r="G1717" s="2" t="inlineStr">
        <is>
          <t>Coffret</t>
        </is>
      </c>
      <c r="H1717" s="2" t="inlineStr">
        <is>
          <t>Plasma Blast</t>
        </is>
      </c>
      <c r="I1717" s="3" t="n"/>
      <c r="J1717" s="3" t="n">
        <v>1000</v>
      </c>
      <c r="K1717" s="3" t="n">
        <v>19999.99</v>
      </c>
      <c r="L1717" s="3" t="n">
        <v>19999.99</v>
      </c>
      <c r="M1717" s="2" t="inlineStr">
        <is>
          <t>TCGplayer</t>
        </is>
      </c>
      <c r="O1717" s="4" t="inlineStr">
        <is>
          <t>https://www.tcgplayer.com/product/137096</t>
        </is>
      </c>
    </row>
    <row r="1718">
      <c r="A1718" s="2" t="inlineStr">
        <is>
          <t>Plasma Storm 2-Pack Blister</t>
        </is>
      </c>
      <c r="B1718" s="3">
        <f>IF(I1718&lt;&gt;"",I1718,IF(J1718&lt;&gt;"",J1718,IF(K1718&lt;&gt;"",K1718,L1718)))</f>
        <v>654.88</v>
      </c>
      <c r="C1718" s="3">
        <f>MEDIAN(I1718:L1718)</f>
        <v>654.88</v>
      </c>
      <c r="D1718" s="3">
        <f>ROUND(C1718*(1-Settings!$B$2),2)</f>
        <v>458.42</v>
      </c>
      <c r="E1718" s="3">
        <f>ROUND(C1718*(1-Settings!$B$3),2)</f>
        <v>458.42</v>
      </c>
      <c r="F1718" s="2" t="inlineStr">
        <is>
          <t>Pokemon</t>
        </is>
      </c>
      <c r="G1718" s="2" t="inlineStr">
        <is>
          <t>Coffret</t>
        </is>
      </c>
      <c r="H1718" s="2" t="inlineStr">
        <is>
          <t>Plasma Storm</t>
        </is>
      </c>
      <c r="I1718" s="3" t="n">
        <v>654.88</v>
      </c>
      <c r="J1718" s="3" t="n"/>
      <c r="K1718" s="3" t="n"/>
      <c r="L1718" s="3" t="n"/>
      <c r="M1718" s="2" t="inlineStr">
        <is>
          <t>PriceCharting</t>
        </is>
      </c>
      <c r="N1718" s="4" t="inlineStr">
        <is>
          <t>https://www.pricecharting.com/game/pokemon-plasma-storm/2-pack-blister</t>
        </is>
      </c>
    </row>
    <row r="1719">
      <c r="A1719" s="2" t="inlineStr">
        <is>
          <t>Plasma Storm Elite Trainer Box</t>
        </is>
      </c>
      <c r="B1719" s="3">
        <f>IF(I1719&lt;&gt;"",I1719,IF(J1719&lt;&gt;"",J1719,IF(K1719&lt;&gt;"",K1719,L1719)))</f>
        <v>16551.17</v>
      </c>
      <c r="C1719" s="3">
        <f>MEDIAN(I1719:L1719)</f>
        <v>16551.17</v>
      </c>
      <c r="D1719" s="3">
        <f>ROUND(C1719*(1-Settings!$B$2),2)</f>
        <v>11585.82</v>
      </c>
      <c r="E1719" s="3">
        <f>ROUND(C1719*(1-Settings!$B$3),2)</f>
        <v>11585.82</v>
      </c>
      <c r="F1719" s="2" t="inlineStr">
        <is>
          <t>Pokemon</t>
        </is>
      </c>
      <c r="G1719" s="2" t="inlineStr">
        <is>
          <t>Coffret</t>
        </is>
      </c>
      <c r="H1719" s="2" t="inlineStr">
        <is>
          <t>Plasma Storm</t>
        </is>
      </c>
      <c r="I1719" s="3" t="n">
        <v>16551.17</v>
      </c>
      <c r="J1719" s="3" t="n"/>
      <c r="K1719" s="3" t="n"/>
      <c r="L1719" s="3" t="n"/>
      <c r="M1719" s="2" t="inlineStr">
        <is>
          <t>PriceCharting</t>
        </is>
      </c>
      <c r="N1719" s="4" t="inlineStr">
        <is>
          <t>https://www.pricecharting.com/game/pokemon-plasma-storm/elite-trainer-box</t>
        </is>
      </c>
    </row>
    <row r="1720">
      <c r="A1720" s="2" t="inlineStr">
        <is>
          <t>Plasma Storm Garchomp EX Collection Box</t>
        </is>
      </c>
      <c r="B1720" s="3">
        <f>IF(I1720&lt;&gt;"",I1720,IF(J1720&lt;&gt;"",J1720,IF(K1720&lt;&gt;"",K1720,L1720)))</f>
        <v>414.58</v>
      </c>
      <c r="C1720" s="3">
        <f>MEDIAN(I1720:L1720)</f>
        <v>414.58</v>
      </c>
      <c r="D1720" s="3">
        <f>ROUND(C1720*(1-Settings!$B$2),2)</f>
        <v>290.21</v>
      </c>
      <c r="E1720" s="3">
        <f>ROUND(C1720*(1-Settings!$B$3),2)</f>
        <v>290.21</v>
      </c>
      <c r="F1720" s="2" t="inlineStr">
        <is>
          <t>Pokemon</t>
        </is>
      </c>
      <c r="G1720" s="2" t="inlineStr">
        <is>
          <t>Coffret</t>
        </is>
      </c>
      <c r="H1720" s="2" t="inlineStr">
        <is>
          <t>Plasma Storm</t>
        </is>
      </c>
      <c r="I1720" s="3" t="n">
        <v>414.58</v>
      </c>
      <c r="J1720" s="3" t="n"/>
      <c r="K1720" s="3" t="n"/>
      <c r="L1720" s="3" t="n"/>
      <c r="M1720" s="2" t="inlineStr">
        <is>
          <t>PriceCharting</t>
        </is>
      </c>
      <c r="N1720" s="4" t="inlineStr">
        <is>
          <t>https://www.pricecharting.com/game/pokemon-plasma-storm/garchomp-ex-collection-box</t>
        </is>
      </c>
    </row>
    <row r="1721">
      <c r="A1721" s="2" t="inlineStr">
        <is>
          <t>Platinum Series Collection</t>
        </is>
      </c>
      <c r="B1721" s="3">
        <f>IF(I1721&lt;&gt;"",I1721,IF(J1721&lt;&gt;"",J1721,IF(K1721&lt;&gt;"",K1721,L1721)))</f>
        <v>4600.0</v>
      </c>
      <c r="C1721" s="3">
        <f>MEDIAN(I1721:L1721)</f>
        <v>4600.0</v>
      </c>
      <c r="D1721" s="3">
        <f>ROUND(C1721*(1-Settings!$B$2),2)</f>
        <v>3220.0</v>
      </c>
      <c r="E1721" s="3">
        <f>ROUND(C1721*(1-Settings!$B$3),2)</f>
        <v>3220.0</v>
      </c>
      <c r="F1721" s="2" t="inlineStr">
        <is>
          <t>Pokemon</t>
        </is>
      </c>
      <c r="G1721" s="2" t="inlineStr">
        <is>
          <t>Coffret</t>
        </is>
      </c>
      <c r="H1721" s="2" t="inlineStr">
        <is>
          <t>Platinum</t>
        </is>
      </c>
      <c r="I1721" s="3" t="n">
        <v>4600</v>
      </c>
      <c r="J1721" s="3" t="n"/>
      <c r="K1721" s="3" t="n"/>
      <c r="L1721" s="3" t="n"/>
      <c r="M1721" s="2" t="inlineStr">
        <is>
          <t>PriceCharting</t>
        </is>
      </c>
      <c r="N1721" s="4" t="inlineStr">
        <is>
          <t>https://www.pricecharting.com/game/pokemon-platinum/platinum-series-collection</t>
        </is>
      </c>
    </row>
    <row r="1722">
      <c r="A1722" s="2" t="inlineStr">
        <is>
          <t>Pokemon GO Collection [Alolan Exeggutor V]</t>
        </is>
      </c>
      <c r="B1722" s="3">
        <f>IF(I1722&lt;&gt;"",I1722,IF(J1722&lt;&gt;"",J1722,IF(K1722&lt;&gt;"",K1722,L1722)))</f>
        <v>53.47</v>
      </c>
      <c r="C1722" s="3">
        <f>MEDIAN(I1722:L1722)</f>
        <v>55.0</v>
      </c>
      <c r="D1722" s="3">
        <f>ROUND(C1722*(1-Settings!$B$2),2)</f>
        <v>38.5</v>
      </c>
      <c r="E1722" s="3">
        <f>ROUND(C1722*(1-Settings!$B$3),2)</f>
        <v>38.5</v>
      </c>
      <c r="F1722" s="2" t="inlineStr">
        <is>
          <t>Pokemon</t>
        </is>
      </c>
      <c r="G1722" s="2" t="inlineStr">
        <is>
          <t>Coffret</t>
        </is>
      </c>
      <c r="H1722" s="2" t="inlineStr">
        <is>
          <t>Pokemon GO</t>
        </is>
      </c>
      <c r="I1722" s="3" t="n"/>
      <c r="J1722" s="3" t="n">
        <v>53.47</v>
      </c>
      <c r="K1722" s="3" t="n">
        <v>58.99</v>
      </c>
      <c r="L1722" s="3" t="n">
        <v>55</v>
      </c>
      <c r="M1722" s="2" t="inlineStr">
        <is>
          <t>TCGplayer</t>
        </is>
      </c>
      <c r="O1722" s="4" t="inlineStr">
        <is>
          <t>https://www.tcgplayer.com/product/270716</t>
        </is>
      </c>
    </row>
    <row r="1723">
      <c r="A1723" s="2" t="inlineStr">
        <is>
          <t>Pokemon GO Elite Trainer Box</t>
        </is>
      </c>
      <c r="B1723" s="3">
        <f>IF(I1723&lt;&gt;"",I1723,IF(J1723&lt;&gt;"",J1723,IF(K1723&lt;&gt;"",K1723,L1723)))</f>
        <v>162.97</v>
      </c>
      <c r="C1723" s="3">
        <f>MEDIAN(I1723:L1723)</f>
        <v>162.97</v>
      </c>
      <c r="D1723" s="3">
        <f>ROUND(C1723*(1-Settings!$B$2),2)</f>
        <v>114.08</v>
      </c>
      <c r="E1723" s="3">
        <f>ROUND(C1723*(1-Settings!$B$3),2)</f>
        <v>114.08</v>
      </c>
      <c r="F1723" s="2" t="inlineStr">
        <is>
          <t>Pokemon</t>
        </is>
      </c>
      <c r="G1723" s="2" t="inlineStr">
        <is>
          <t>Coffret</t>
        </is>
      </c>
      <c r="H1723" s="2" t="inlineStr">
        <is>
          <t>Pokemon GO</t>
        </is>
      </c>
      <c r="I1723" s="3" t="n"/>
      <c r="J1723" s="3" t="n">
        <v>162.97</v>
      </c>
      <c r="K1723" s="3" t="n">
        <v>189.97</v>
      </c>
      <c r="L1723" s="3" t="n">
        <v>159.55</v>
      </c>
      <c r="M1723" s="2" t="inlineStr">
        <is>
          <t>TCGplayer</t>
        </is>
      </c>
      <c r="O1723" s="4" t="inlineStr">
        <is>
          <t>https://www.tcgplayer.com/product/270708</t>
        </is>
      </c>
    </row>
    <row r="1724">
      <c r="A1724" s="2" t="inlineStr">
        <is>
          <t>Pokemon GO Mini Tin [Blissey]</t>
        </is>
      </c>
      <c r="B1724" s="3">
        <f>IF(I1724&lt;&gt;"",I1724,IF(J1724&lt;&gt;"",J1724,IF(K1724&lt;&gt;"",K1724,L1724)))</f>
        <v>29.56</v>
      </c>
      <c r="C1724" s="3">
        <f>MEDIAN(I1724:L1724)</f>
        <v>49.99</v>
      </c>
      <c r="D1724" s="3">
        <f>ROUND(C1724*(1-Settings!$B$2),2)</f>
        <v>34.99</v>
      </c>
      <c r="E1724" s="3">
        <f>ROUND(C1724*(1-Settings!$B$3),2)</f>
        <v>34.99</v>
      </c>
      <c r="F1724" s="2" t="inlineStr">
        <is>
          <t>Pokemon</t>
        </is>
      </c>
      <c r="G1724" s="2" t="inlineStr">
        <is>
          <t>Coffret</t>
        </is>
      </c>
      <c r="H1724" s="2" t="inlineStr">
        <is>
          <t>Pokemon GO</t>
        </is>
      </c>
      <c r="I1724" s="3" t="n"/>
      <c r="J1724" s="3" t="n">
        <v>29.56</v>
      </c>
      <c r="K1724" s="3" t="n">
        <v>52.97</v>
      </c>
      <c r="L1724" s="3" t="n">
        <v>49.99</v>
      </c>
      <c r="M1724" s="2" t="inlineStr">
        <is>
          <t>TCGplayer</t>
        </is>
      </c>
      <c r="O1724" s="4" t="inlineStr">
        <is>
          <t>https://www.tcgplayer.com/product/270729</t>
        </is>
      </c>
    </row>
    <row r="1725">
      <c r="A1725" s="2" t="inlineStr">
        <is>
          <t>Pokemon GO Mini Tin [Eevee]</t>
        </is>
      </c>
      <c r="B1725" s="3">
        <f>IF(I1725&lt;&gt;"",I1725,IF(J1725&lt;&gt;"",J1725,IF(K1725&lt;&gt;"",K1725,L1725)))</f>
        <v>37.05</v>
      </c>
      <c r="C1725" s="3">
        <f>MEDIAN(I1725:L1725)</f>
        <v>37.05</v>
      </c>
      <c r="D1725" s="3">
        <f>ROUND(C1725*(1-Settings!$B$2),2)</f>
        <v>25.94</v>
      </c>
      <c r="E1725" s="3">
        <f>ROUND(C1725*(1-Settings!$B$3),2)</f>
        <v>25.94</v>
      </c>
      <c r="F1725" s="2" t="inlineStr">
        <is>
          <t>Pokemon</t>
        </is>
      </c>
      <c r="G1725" s="2" t="inlineStr">
        <is>
          <t>Coffret</t>
        </is>
      </c>
      <c r="H1725" s="2" t="inlineStr">
        <is>
          <t>Pokemon GO</t>
        </is>
      </c>
      <c r="I1725" s="3" t="n"/>
      <c r="J1725" s="3" t="n">
        <v>37.05</v>
      </c>
      <c r="K1725" s="3" t="n">
        <v>54.99</v>
      </c>
      <c r="L1725" s="3" t="n">
        <v>10</v>
      </c>
      <c r="M1725" s="2" t="inlineStr">
        <is>
          <t>TCGplayer</t>
        </is>
      </c>
      <c r="O1725" s="4" t="inlineStr">
        <is>
          <t>https://www.tcgplayer.com/product/270731</t>
        </is>
      </c>
    </row>
    <row r="1726">
      <c r="A1726" s="2" t="inlineStr">
        <is>
          <t>Pokemon GO Mini Tin [Magikarp]</t>
        </is>
      </c>
      <c r="B1726" s="3">
        <f>IF(I1726&lt;&gt;"",I1726,IF(J1726&lt;&gt;"",J1726,IF(K1726&lt;&gt;"",K1726,L1726)))</f>
        <v>48.56</v>
      </c>
      <c r="C1726" s="3">
        <f>MEDIAN(I1726:L1726)</f>
        <v>59.99</v>
      </c>
      <c r="D1726" s="3">
        <f>ROUND(C1726*(1-Settings!$B$2),2)</f>
        <v>41.99</v>
      </c>
      <c r="E1726" s="3">
        <f>ROUND(C1726*(1-Settings!$B$3),2)</f>
        <v>41.99</v>
      </c>
      <c r="F1726" s="2" t="inlineStr">
        <is>
          <t>Pokemon</t>
        </is>
      </c>
      <c r="G1726" s="2" t="inlineStr">
        <is>
          <t>Coffret</t>
        </is>
      </c>
      <c r="H1726" s="2" t="inlineStr">
        <is>
          <t>Pokemon GO</t>
        </is>
      </c>
      <c r="I1726" s="3" t="n"/>
      <c r="J1726" s="3" t="n">
        <v>48.56</v>
      </c>
      <c r="K1726" s="3" t="n">
        <v>81.45999999999999</v>
      </c>
      <c r="L1726" s="3" t="n">
        <v>59.99</v>
      </c>
      <c r="M1726" s="2" t="inlineStr">
        <is>
          <t>TCGplayer</t>
        </is>
      </c>
      <c r="O1726" s="4" t="inlineStr">
        <is>
          <t>https://www.tcgplayer.com/product/270728</t>
        </is>
      </c>
    </row>
    <row r="1727">
      <c r="A1727" s="2" t="inlineStr">
        <is>
          <t>Pokemon GO Mini Tin [Pikachu]</t>
        </is>
      </c>
      <c r="B1727" s="3">
        <f>IF(I1727&lt;&gt;"",I1727,IF(J1727&lt;&gt;"",J1727,IF(K1727&lt;&gt;"",K1727,L1727)))</f>
        <v>40.0</v>
      </c>
      <c r="C1727" s="3">
        <f>MEDIAN(I1727:L1727)</f>
        <v>40.0</v>
      </c>
      <c r="D1727" s="3">
        <f>ROUND(C1727*(1-Settings!$B$2),2)</f>
        <v>28.0</v>
      </c>
      <c r="E1727" s="3">
        <f>ROUND(C1727*(1-Settings!$B$3),2)</f>
        <v>28.0</v>
      </c>
      <c r="F1727" s="2" t="inlineStr">
        <is>
          <t>Pokemon</t>
        </is>
      </c>
      <c r="G1727" s="2" t="inlineStr">
        <is>
          <t>Coffret</t>
        </is>
      </c>
      <c r="H1727" s="2" t="inlineStr">
        <is>
          <t>Pokemon GO</t>
        </is>
      </c>
      <c r="I1727" s="3" t="n"/>
      <c r="J1727" s="3" t="n">
        <v>40</v>
      </c>
      <c r="K1727" s="3" t="n">
        <v>54.99</v>
      </c>
      <c r="L1727" s="3" t="n">
        <v>1.5</v>
      </c>
      <c r="M1727" s="2" t="inlineStr">
        <is>
          <t>TCGplayer</t>
        </is>
      </c>
      <c r="O1727" s="4" t="inlineStr">
        <is>
          <t>https://www.tcgplayer.com/product/270730</t>
        </is>
      </c>
    </row>
    <row r="1728">
      <c r="A1728" s="2" t="inlineStr">
        <is>
          <t>Pokemon GO Mini Tin [Set of 5]</t>
        </is>
      </c>
      <c r="B1728" s="3">
        <f>IF(I1728&lt;&gt;"",I1728,IF(J1728&lt;&gt;"",J1728,IF(K1728&lt;&gt;"",K1728,L1728)))</f>
        <v>176.46</v>
      </c>
      <c r="C1728" s="3">
        <f>MEDIAN(I1728:L1728)</f>
        <v>195.0</v>
      </c>
      <c r="D1728" s="3">
        <f>ROUND(C1728*(1-Settings!$B$2),2)</f>
        <v>136.5</v>
      </c>
      <c r="E1728" s="3">
        <f>ROUND(C1728*(1-Settings!$B$3),2)</f>
        <v>136.5</v>
      </c>
      <c r="F1728" s="2" t="inlineStr">
        <is>
          <t>Pokemon</t>
        </is>
      </c>
      <c r="G1728" s="2" t="inlineStr">
        <is>
          <t>Coffret</t>
        </is>
      </c>
      <c r="H1728" s="2" t="inlineStr">
        <is>
          <t>Pokemon GO</t>
        </is>
      </c>
      <c r="I1728" s="3" t="n"/>
      <c r="J1728" s="3" t="n">
        <v>176.46</v>
      </c>
      <c r="K1728" s="3" t="n">
        <v>195</v>
      </c>
      <c r="L1728" s="3" t="n">
        <v>195</v>
      </c>
      <c r="M1728" s="2" t="inlineStr">
        <is>
          <t>TCGplayer</t>
        </is>
      </c>
      <c r="O1728" s="4" t="inlineStr">
        <is>
          <t>https://www.tcgplayer.com/product/271500</t>
        </is>
      </c>
    </row>
    <row r="1729">
      <c r="A1729" s="2" t="inlineStr">
        <is>
          <t>Pokemon GO Mini Tin [Snorlax]</t>
        </is>
      </c>
      <c r="B1729" s="3">
        <f>IF(I1729&lt;&gt;"",I1729,IF(J1729&lt;&gt;"",J1729,IF(K1729&lt;&gt;"",K1729,L1729)))</f>
        <v>58.56</v>
      </c>
      <c r="C1729" s="3">
        <f>MEDIAN(I1729:L1729)</f>
        <v>90.45</v>
      </c>
      <c r="D1729" s="3">
        <f>ROUND(C1729*(1-Settings!$B$2),2)</f>
        <v>63.32</v>
      </c>
      <c r="E1729" s="3">
        <f>ROUND(C1729*(1-Settings!$B$3),2)</f>
        <v>63.32</v>
      </c>
      <c r="F1729" s="2" t="inlineStr">
        <is>
          <t>Pokemon</t>
        </is>
      </c>
      <c r="G1729" s="2" t="inlineStr">
        <is>
          <t>Coffret</t>
        </is>
      </c>
      <c r="H1729" s="2" t="inlineStr">
        <is>
          <t>Pokemon GO</t>
        </is>
      </c>
      <c r="I1729" s="3" t="n"/>
      <c r="J1729" s="3" t="n">
        <v>58.56</v>
      </c>
      <c r="K1729" s="3" t="n">
        <v>98.98</v>
      </c>
      <c r="L1729" s="3" t="n">
        <v>90.45</v>
      </c>
      <c r="M1729" s="2" t="inlineStr">
        <is>
          <t>TCGplayer</t>
        </is>
      </c>
      <c r="O1729" s="4" t="inlineStr">
        <is>
          <t>https://www.tcgplayer.com/product/270732</t>
        </is>
      </c>
    </row>
    <row r="1730">
      <c r="A1730" s="2" t="inlineStr">
        <is>
          <t>Pokemon GO Pin Collection [Bulbasaur]</t>
        </is>
      </c>
      <c r="B1730" s="3">
        <f>IF(I1730&lt;&gt;"",I1730,IF(J1730&lt;&gt;"",J1730,IF(K1730&lt;&gt;"",K1730,L1730)))</f>
        <v>57.57</v>
      </c>
      <c r="C1730" s="3">
        <f>MEDIAN(I1730:L1730)</f>
        <v>61.0</v>
      </c>
      <c r="D1730" s="3">
        <f>ROUND(C1730*(1-Settings!$B$2),2)</f>
        <v>42.7</v>
      </c>
      <c r="E1730" s="3">
        <f>ROUND(C1730*(1-Settings!$B$3),2)</f>
        <v>42.7</v>
      </c>
      <c r="F1730" s="2" t="inlineStr">
        <is>
          <t>Pokemon</t>
        </is>
      </c>
      <c r="G1730" s="2" t="inlineStr">
        <is>
          <t>Coffret</t>
        </is>
      </c>
      <c r="H1730" s="2" t="inlineStr">
        <is>
          <t>Pokemon GO</t>
        </is>
      </c>
      <c r="I1730" s="3" t="n"/>
      <c r="J1730" s="3" t="n">
        <v>57.57</v>
      </c>
      <c r="K1730" s="3" t="n">
        <v>75</v>
      </c>
      <c r="L1730" s="3" t="n">
        <v>61</v>
      </c>
      <c r="M1730" s="2" t="inlineStr">
        <is>
          <t>TCGplayer</t>
        </is>
      </c>
      <c r="O1730" s="4" t="inlineStr">
        <is>
          <t>https://www.tcgplayer.com/product/275825</t>
        </is>
      </c>
    </row>
    <row r="1731">
      <c r="A1731" s="2" t="inlineStr">
        <is>
          <t>Pokemon GO Pin Collection [Charmander]</t>
        </is>
      </c>
      <c r="B1731" s="3">
        <f>IF(I1731&lt;&gt;"",I1731,IF(J1731&lt;&gt;"",J1731,IF(K1731&lt;&gt;"",K1731,L1731)))</f>
        <v>82.89</v>
      </c>
      <c r="C1731" s="3">
        <f>MEDIAN(I1731:L1731)</f>
        <v>84.01</v>
      </c>
      <c r="D1731" s="3">
        <f>ROUND(C1731*(1-Settings!$B$2),2)</f>
        <v>58.81</v>
      </c>
      <c r="E1731" s="3">
        <f>ROUND(C1731*(1-Settings!$B$3),2)</f>
        <v>58.81</v>
      </c>
      <c r="F1731" s="2" t="inlineStr">
        <is>
          <t>Pokemon</t>
        </is>
      </c>
      <c r="G1731" s="2" t="inlineStr">
        <is>
          <t>Coffret</t>
        </is>
      </c>
      <c r="H1731" s="2" t="inlineStr">
        <is>
          <t>Pokemon GO</t>
        </is>
      </c>
      <c r="I1731" s="3" t="n"/>
      <c r="J1731" s="3" t="n">
        <v>82.89</v>
      </c>
      <c r="K1731" s="3" t="n">
        <v>97</v>
      </c>
      <c r="L1731" s="3" t="n">
        <v>84.01000000000001</v>
      </c>
      <c r="M1731" s="2" t="inlineStr">
        <is>
          <t>TCGplayer</t>
        </is>
      </c>
      <c r="O1731" s="4" t="inlineStr">
        <is>
          <t>https://www.tcgplayer.com/product/275826</t>
        </is>
      </c>
    </row>
    <row r="1732">
      <c r="A1732" s="2" t="inlineStr">
        <is>
          <t>Pokemon GO Pin Collection [Set of 3]</t>
        </is>
      </c>
      <c r="B1732" s="3">
        <f>IF(I1732&lt;&gt;"",I1732,IF(J1732&lt;&gt;"",J1732,IF(K1732&lt;&gt;"",K1732,L1732)))</f>
        <v>136.4</v>
      </c>
      <c r="C1732" s="3">
        <f>MEDIAN(I1732:L1732)</f>
        <v>485.0</v>
      </c>
      <c r="D1732" s="3">
        <f>ROUND(C1732*(1-Settings!$B$2),2)</f>
        <v>339.5</v>
      </c>
      <c r="E1732" s="3">
        <f>ROUND(C1732*(1-Settings!$B$3),2)</f>
        <v>339.5</v>
      </c>
      <c r="F1732" s="2" t="inlineStr">
        <is>
          <t>Pokemon</t>
        </is>
      </c>
      <c r="G1732" s="2" t="inlineStr">
        <is>
          <t>Coffret</t>
        </is>
      </c>
      <c r="H1732" s="2" t="inlineStr">
        <is>
          <t>Pokemon GO</t>
        </is>
      </c>
      <c r="I1732" s="3" t="n"/>
      <c r="J1732" s="3" t="n">
        <v>136.4</v>
      </c>
      <c r="K1732" s="3" t="n">
        <v>495.99</v>
      </c>
      <c r="L1732" s="3" t="n">
        <v>485</v>
      </c>
      <c r="M1732" s="2" t="inlineStr">
        <is>
          <t>TCGplayer</t>
        </is>
      </c>
      <c r="O1732" s="4" t="inlineStr">
        <is>
          <t>https://www.tcgplayer.com/product/275845</t>
        </is>
      </c>
    </row>
    <row r="1733">
      <c r="A1733" s="2" t="inlineStr">
        <is>
          <t>Pokemon GO Pin Collection [Squirtle]</t>
        </is>
      </c>
      <c r="B1733" s="3">
        <f>IF(I1733&lt;&gt;"",I1733,IF(J1733&lt;&gt;"",J1733,IF(K1733&lt;&gt;"",K1733,L1733)))</f>
        <v>67.9</v>
      </c>
      <c r="C1733" s="3">
        <f>MEDIAN(I1733:L1733)</f>
        <v>73.0</v>
      </c>
      <c r="D1733" s="3">
        <f>ROUND(C1733*(1-Settings!$B$2),2)</f>
        <v>51.1</v>
      </c>
      <c r="E1733" s="3">
        <f>ROUND(C1733*(1-Settings!$B$3),2)</f>
        <v>51.1</v>
      </c>
      <c r="F1733" s="2" t="inlineStr">
        <is>
          <t>Pokemon</t>
        </is>
      </c>
      <c r="G1733" s="2" t="inlineStr">
        <is>
          <t>Coffret</t>
        </is>
      </c>
      <c r="H1733" s="2" t="inlineStr">
        <is>
          <t>Pokemon GO</t>
        </is>
      </c>
      <c r="I1733" s="3" t="n"/>
      <c r="J1733" s="3" t="n">
        <v>67.90000000000001</v>
      </c>
      <c r="K1733" s="3" t="n">
        <v>92.98999999999999</v>
      </c>
      <c r="L1733" s="3" t="n">
        <v>73</v>
      </c>
      <c r="M1733" s="2" t="inlineStr">
        <is>
          <t>TCGplayer</t>
        </is>
      </c>
      <c r="O1733" s="4" t="inlineStr">
        <is>
          <t>https://www.tcgplayer.com/product/275827</t>
        </is>
      </c>
    </row>
    <row r="1734">
      <c r="A1734" s="2" t="inlineStr">
        <is>
          <t>Pokemon GO Poke Ball Tin - Great Ball</t>
        </is>
      </c>
      <c r="B1734" s="3">
        <f>IF(I1734&lt;&gt;"",I1734,IF(J1734&lt;&gt;"",J1734,IF(K1734&lt;&gt;"",K1734,L1734)))</f>
        <v>51.0</v>
      </c>
      <c r="C1734" s="3">
        <f>MEDIAN(I1734:L1734)</f>
        <v>46.5</v>
      </c>
      <c r="D1734" s="3">
        <f>ROUND(C1734*(1-Settings!$B$2),2)</f>
        <v>32.55</v>
      </c>
      <c r="E1734" s="3">
        <f>ROUND(C1734*(1-Settings!$B$3),2)</f>
        <v>32.55</v>
      </c>
      <c r="F1734" s="2" t="inlineStr">
        <is>
          <t>Pokemon</t>
        </is>
      </c>
      <c r="G1734" s="2" t="inlineStr">
        <is>
          <t>Coffret</t>
        </is>
      </c>
      <c r="H1734" s="2" t="inlineStr">
        <is>
          <t>Pokemon GO</t>
        </is>
      </c>
      <c r="I1734" s="3" t="n"/>
      <c r="J1734" s="3" t="n"/>
      <c r="K1734" s="3" t="n">
        <v>51</v>
      </c>
      <c r="L1734" s="3" t="n">
        <v>42</v>
      </c>
      <c r="M1734" s="2" t="inlineStr">
        <is>
          <t>TCGplayer</t>
        </is>
      </c>
      <c r="O1734" s="4" t="inlineStr">
        <is>
          <t>https://www.tcgplayer.com/product/270733</t>
        </is>
      </c>
    </row>
    <row r="1735">
      <c r="A1735" s="2" t="inlineStr">
        <is>
          <t>Pokemon GO Poke Ball Tin - Poke Ball</t>
        </is>
      </c>
      <c r="B1735" s="3">
        <f>IF(I1735&lt;&gt;"",I1735,IF(J1735&lt;&gt;"",J1735,IF(K1735&lt;&gt;"",K1735,L1735)))</f>
        <v>40.0</v>
      </c>
      <c r="C1735" s="3">
        <f>MEDIAN(I1735:L1735)</f>
        <v>40.0</v>
      </c>
      <c r="D1735" s="3">
        <f>ROUND(C1735*(1-Settings!$B$2),2)</f>
        <v>28.0</v>
      </c>
      <c r="E1735" s="3">
        <f>ROUND(C1735*(1-Settings!$B$3),2)</f>
        <v>28.0</v>
      </c>
      <c r="F1735" s="2" t="inlineStr">
        <is>
          <t>Pokemon</t>
        </is>
      </c>
      <c r="G1735" s="2" t="inlineStr">
        <is>
          <t>Coffret</t>
        </is>
      </c>
      <c r="H1735" s="2" t="inlineStr">
        <is>
          <t>Pokemon GO</t>
        </is>
      </c>
      <c r="I1735" s="3" t="n"/>
      <c r="J1735" s="3" t="n">
        <v>40</v>
      </c>
      <c r="K1735" s="3" t="n"/>
      <c r="L1735" s="3" t="n"/>
      <c r="M1735" s="2" t="inlineStr">
        <is>
          <t>TCGplayer</t>
        </is>
      </c>
      <c r="O1735" s="4" t="inlineStr">
        <is>
          <t>https://www.tcgplayer.com/product/270734</t>
        </is>
      </c>
    </row>
    <row r="1736">
      <c r="A1736" s="2" t="inlineStr">
        <is>
          <t>Pokemon GO Poke Ball Tin - Ultra Ball</t>
        </is>
      </c>
      <c r="B1736" s="3">
        <f>IF(I1736&lt;&gt;"",I1736,IF(J1736&lt;&gt;"",J1736,IF(K1736&lt;&gt;"",K1736,L1736)))</f>
        <v>47.49</v>
      </c>
      <c r="C1736" s="3">
        <f>MEDIAN(I1736:L1736)</f>
        <v>43.745000000000005</v>
      </c>
      <c r="D1736" s="3">
        <f>ROUND(C1736*(1-Settings!$B$2),2)</f>
        <v>30.62</v>
      </c>
      <c r="E1736" s="3">
        <f>ROUND(C1736*(1-Settings!$B$3),2)</f>
        <v>30.62</v>
      </c>
      <c r="F1736" s="2" t="inlineStr">
        <is>
          <t>Pokemon</t>
        </is>
      </c>
      <c r="G1736" s="2" t="inlineStr">
        <is>
          <t>Coffret</t>
        </is>
      </c>
      <c r="H1736" s="2" t="inlineStr">
        <is>
          <t>Pokemon GO</t>
        </is>
      </c>
      <c r="I1736" s="3" t="n"/>
      <c r="J1736" s="3" t="n"/>
      <c r="K1736" s="3" t="n">
        <v>47.49</v>
      </c>
      <c r="L1736" s="3" t="n">
        <v>40</v>
      </c>
      <c r="M1736" s="2" t="inlineStr">
        <is>
          <t>TCGplayer</t>
        </is>
      </c>
      <c r="O1736" s="4" t="inlineStr">
        <is>
          <t>https://www.tcgplayer.com/product/270735</t>
        </is>
      </c>
    </row>
    <row r="1737">
      <c r="A1737" s="2" t="inlineStr">
        <is>
          <t>Pokemon GO Poke Ball Tin [Set of 3]</t>
        </is>
      </c>
      <c r="B1737" s="3">
        <f>IF(I1737&lt;&gt;"",I1737,IF(J1737&lt;&gt;"",J1737,IF(K1737&lt;&gt;"",K1737,L1737)))</f>
        <v>99.87</v>
      </c>
      <c r="C1737" s="3">
        <f>MEDIAN(I1737:L1737)</f>
        <v>99.87</v>
      </c>
      <c r="D1737" s="3">
        <f>ROUND(C1737*(1-Settings!$B$2),2)</f>
        <v>69.91</v>
      </c>
      <c r="E1737" s="3">
        <f>ROUND(C1737*(1-Settings!$B$3),2)</f>
        <v>69.91</v>
      </c>
      <c r="F1737" s="2" t="inlineStr">
        <is>
          <t>Pokemon</t>
        </is>
      </c>
      <c r="G1737" s="2" t="inlineStr">
        <is>
          <t>Coffret</t>
        </is>
      </c>
      <c r="H1737" s="2" t="inlineStr">
        <is>
          <t>Pokemon GO</t>
        </is>
      </c>
      <c r="I1737" s="3" t="n"/>
      <c r="J1737" s="3" t="n">
        <v>99.87</v>
      </c>
      <c r="K1737" s="3" t="n"/>
      <c r="L1737" s="3" t="n"/>
      <c r="M1737" s="2" t="inlineStr">
        <is>
          <t>TCGplayer</t>
        </is>
      </c>
      <c r="O1737" s="4" t="inlineStr">
        <is>
          <t>https://www.tcgplayer.com/product/271501</t>
        </is>
      </c>
    </row>
    <row r="1738">
      <c r="A1738" s="2" t="inlineStr">
        <is>
          <t>Pokemon GO Pokemon Center Elite Trainer Box Plus (Exclusive)</t>
        </is>
      </c>
      <c r="B1738" s="3">
        <f>IF(I1738&lt;&gt;"",I1738,IF(J1738&lt;&gt;"",J1738,IF(K1738&lt;&gt;"",K1738,L1738)))</f>
        <v>238.99</v>
      </c>
      <c r="C1738" s="3">
        <f>MEDIAN(I1738:L1738)</f>
        <v>238.99</v>
      </c>
      <c r="D1738" s="3">
        <f>ROUND(C1738*(1-Settings!$B$2),2)</f>
        <v>167.29</v>
      </c>
      <c r="E1738" s="3">
        <f>ROUND(C1738*(1-Settings!$B$3),2)</f>
        <v>167.29</v>
      </c>
      <c r="F1738" s="2" t="inlineStr">
        <is>
          <t>Pokemon</t>
        </is>
      </c>
      <c r="G1738" s="2" t="inlineStr">
        <is>
          <t>Coffret</t>
        </is>
      </c>
      <c r="H1738" s="2" t="inlineStr">
        <is>
          <t>Pokemon GO</t>
        </is>
      </c>
      <c r="I1738" s="3" t="n"/>
      <c r="J1738" s="3" t="n">
        <v>238.99</v>
      </c>
      <c r="K1738" s="3" t="n">
        <v>285</v>
      </c>
      <c r="L1738" s="3" t="n">
        <v>235.01</v>
      </c>
      <c r="M1738" s="2" t="inlineStr">
        <is>
          <t>TCGplayer</t>
        </is>
      </c>
      <c r="O1738" s="4" t="inlineStr">
        <is>
          <t>https://www.tcgplayer.com/product/270709</t>
        </is>
      </c>
    </row>
    <row r="1739">
      <c r="A1739" s="2" t="inlineStr">
        <is>
          <t>Pokemon GO Premium Collection [Radiant Eevee]</t>
        </is>
      </c>
      <c r="B1739" s="3">
        <f>IF(I1739&lt;&gt;"",I1739,IF(J1739&lt;&gt;"",J1739,IF(K1739&lt;&gt;"",K1739,L1739)))</f>
        <v>168.99</v>
      </c>
      <c r="C1739" s="3">
        <f>MEDIAN(I1739:L1739)</f>
        <v>179.97</v>
      </c>
      <c r="D1739" s="3">
        <f>ROUND(C1739*(1-Settings!$B$2),2)</f>
        <v>125.98</v>
      </c>
      <c r="E1739" s="3">
        <f>ROUND(C1739*(1-Settings!$B$3),2)</f>
        <v>125.98</v>
      </c>
      <c r="F1739" s="2" t="inlineStr">
        <is>
          <t>Pokemon</t>
        </is>
      </c>
      <c r="G1739" s="2" t="inlineStr">
        <is>
          <t>Coffret</t>
        </is>
      </c>
      <c r="H1739" s="2" t="inlineStr">
        <is>
          <t>Pokemon GO</t>
        </is>
      </c>
      <c r="I1739" s="3" t="n"/>
      <c r="J1739" s="3" t="n">
        <v>168.99</v>
      </c>
      <c r="K1739" s="3" t="n">
        <v>197.47</v>
      </c>
      <c r="L1739" s="3" t="n">
        <v>179.97</v>
      </c>
      <c r="M1739" s="2" t="inlineStr">
        <is>
          <t>TCGplayer</t>
        </is>
      </c>
      <c r="O1739" s="4" t="inlineStr">
        <is>
          <t>https://www.tcgplayer.com/product/270717</t>
        </is>
      </c>
    </row>
    <row r="1740">
      <c r="A1740" s="2" t="inlineStr">
        <is>
          <t>Pokemon GO Special Collection - Team Instinct</t>
        </is>
      </c>
      <c r="B1740" s="3">
        <f>IF(I1740&lt;&gt;"",I1740,IF(J1740&lt;&gt;"",J1740,IF(K1740&lt;&gt;"",K1740,L1740)))</f>
        <v>87.09</v>
      </c>
      <c r="C1740" s="3">
        <f>MEDIAN(I1740:L1740)</f>
        <v>99.01</v>
      </c>
      <c r="D1740" s="3">
        <f>ROUND(C1740*(1-Settings!$B$2),2)</f>
        <v>69.31</v>
      </c>
      <c r="E1740" s="3">
        <f>ROUND(C1740*(1-Settings!$B$3),2)</f>
        <v>69.31</v>
      </c>
      <c r="F1740" s="2" t="inlineStr">
        <is>
          <t>Pokemon</t>
        </is>
      </c>
      <c r="G1740" s="2" t="inlineStr">
        <is>
          <t>Coffret</t>
        </is>
      </c>
      <c r="H1740" s="2" t="inlineStr">
        <is>
          <t>Pokemon GO</t>
        </is>
      </c>
      <c r="I1740" s="3" t="n"/>
      <c r="J1740" s="3" t="n">
        <v>87.09</v>
      </c>
      <c r="K1740" s="3" t="n">
        <v>112</v>
      </c>
      <c r="L1740" s="3" t="n">
        <v>99.01000000000001</v>
      </c>
      <c r="M1740" s="2" t="inlineStr">
        <is>
          <t>TCGplayer</t>
        </is>
      </c>
      <c r="O1740" s="4" t="inlineStr">
        <is>
          <t>https://www.tcgplayer.com/product/270713</t>
        </is>
      </c>
    </row>
    <row r="1741">
      <c r="A1741" s="2" t="inlineStr">
        <is>
          <t>Pokemon GO Special Collection - Team Mystic</t>
        </is>
      </c>
      <c r="B1741" s="3">
        <f>IF(I1741&lt;&gt;"",I1741,IF(J1741&lt;&gt;"",J1741,IF(K1741&lt;&gt;"",K1741,L1741)))</f>
        <v>132.8</v>
      </c>
      <c r="C1741" s="3">
        <f>MEDIAN(I1741:L1741)</f>
        <v>132.8</v>
      </c>
      <c r="D1741" s="3">
        <f>ROUND(C1741*(1-Settings!$B$2),2)</f>
        <v>92.96</v>
      </c>
      <c r="E1741" s="3">
        <f>ROUND(C1741*(1-Settings!$B$3),2)</f>
        <v>92.96</v>
      </c>
      <c r="F1741" s="2" t="inlineStr">
        <is>
          <t>Pokemon</t>
        </is>
      </c>
      <c r="G1741" s="2" t="inlineStr">
        <is>
          <t>Coffret</t>
        </is>
      </c>
      <c r="H1741" s="2" t="inlineStr">
        <is>
          <t>Pokemon GO</t>
        </is>
      </c>
      <c r="I1741" s="3" t="n"/>
      <c r="J1741" s="3" t="n">
        <v>132.8</v>
      </c>
      <c r="K1741" s="3" t="n">
        <v>139.5</v>
      </c>
      <c r="L1741" s="3" t="n">
        <v>20</v>
      </c>
      <c r="M1741" s="2" t="inlineStr">
        <is>
          <t>TCGplayer</t>
        </is>
      </c>
      <c r="O1741" s="4" t="inlineStr">
        <is>
          <t>https://www.tcgplayer.com/product/270714</t>
        </is>
      </c>
    </row>
    <row r="1742">
      <c r="A1742" s="2" t="inlineStr">
        <is>
          <t>Pokemon GO Special Collection - Team Valor</t>
        </is>
      </c>
      <c r="B1742" s="3">
        <f>IF(I1742&lt;&gt;"",I1742,IF(J1742&lt;&gt;"",J1742,IF(K1742&lt;&gt;"",K1742,L1742)))</f>
        <v>93.75</v>
      </c>
      <c r="C1742" s="3">
        <f>MEDIAN(I1742:L1742)</f>
        <v>110.0</v>
      </c>
      <c r="D1742" s="3">
        <f>ROUND(C1742*(1-Settings!$B$2),2)</f>
        <v>77.0</v>
      </c>
      <c r="E1742" s="3">
        <f>ROUND(C1742*(1-Settings!$B$3),2)</f>
        <v>77.0</v>
      </c>
      <c r="F1742" s="2" t="inlineStr">
        <is>
          <t>Pokemon</t>
        </is>
      </c>
      <c r="G1742" s="2" t="inlineStr">
        <is>
          <t>Coffret</t>
        </is>
      </c>
      <c r="H1742" s="2" t="inlineStr">
        <is>
          <t>Pokemon GO</t>
        </is>
      </c>
      <c r="I1742" s="3" t="n"/>
      <c r="J1742" s="3" t="n">
        <v>93.75</v>
      </c>
      <c r="K1742" s="3" t="n">
        <v>128</v>
      </c>
      <c r="L1742" s="3" t="n">
        <v>110</v>
      </c>
      <c r="M1742" s="2" t="inlineStr">
        <is>
          <t>TCGplayer</t>
        </is>
      </c>
      <c r="O1742" s="4" t="inlineStr">
        <is>
          <t>https://www.tcgplayer.com/product/270715</t>
        </is>
      </c>
    </row>
    <row r="1743">
      <c r="A1743" s="2" t="inlineStr">
        <is>
          <t>Pokemon GO Special Collection [Set of 3]</t>
        </is>
      </c>
      <c r="B1743" s="3">
        <f>IF(I1743&lt;&gt;"",I1743,IF(J1743&lt;&gt;"",J1743,IF(K1743&lt;&gt;"",K1743,L1743)))</f>
        <v>342.99</v>
      </c>
      <c r="C1743" s="3">
        <f>MEDIAN(I1743:L1743)</f>
        <v>342.99</v>
      </c>
      <c r="D1743" s="3">
        <f>ROUND(C1743*(1-Settings!$B$2),2)</f>
        <v>240.09</v>
      </c>
      <c r="E1743" s="3">
        <f>ROUND(C1743*(1-Settings!$B$3),2)</f>
        <v>240.09</v>
      </c>
      <c r="F1743" s="2" t="inlineStr">
        <is>
          <t>Pokemon</t>
        </is>
      </c>
      <c r="G1743" s="2" t="inlineStr">
        <is>
          <t>Coffret</t>
        </is>
      </c>
      <c r="H1743" s="2" t="inlineStr">
        <is>
          <t>Pokemon GO</t>
        </is>
      </c>
      <c r="I1743" s="3" t="n"/>
      <c r="J1743" s="3" t="n">
        <v>342.99</v>
      </c>
      <c r="K1743" s="3" t="n">
        <v>342.99</v>
      </c>
      <c r="L1743" s="3" t="n">
        <v>342.99</v>
      </c>
      <c r="M1743" s="2" t="inlineStr">
        <is>
          <t>TCGplayer</t>
        </is>
      </c>
      <c r="O1743" s="4" t="inlineStr">
        <is>
          <t>https://www.tcgplayer.com/product/271502</t>
        </is>
      </c>
    </row>
    <row r="1744">
      <c r="A1744" s="2" t="inlineStr">
        <is>
          <t>Pokemon GO Tin [Blissey]</t>
        </is>
      </c>
      <c r="B1744" s="3">
        <f>IF(I1744&lt;&gt;"",I1744,IF(J1744&lt;&gt;"",J1744,IF(K1744&lt;&gt;"",K1744,L1744)))</f>
        <v>49.77</v>
      </c>
      <c r="C1744" s="3">
        <f>MEDIAN(I1744:L1744)</f>
        <v>49.77</v>
      </c>
      <c r="D1744" s="3">
        <f>ROUND(C1744*(1-Settings!$B$2),2)</f>
        <v>34.84</v>
      </c>
      <c r="E1744" s="3">
        <f>ROUND(C1744*(1-Settings!$B$3),2)</f>
        <v>34.84</v>
      </c>
      <c r="F1744" s="2" t="inlineStr">
        <is>
          <t>Pokemon</t>
        </is>
      </c>
      <c r="G1744" s="2" t="inlineStr">
        <is>
          <t>Coffret</t>
        </is>
      </c>
      <c r="H1744" s="2" t="inlineStr">
        <is>
          <t>Pokemon GO</t>
        </is>
      </c>
      <c r="I1744" s="3" t="n"/>
      <c r="J1744" s="3" t="n">
        <v>49.77</v>
      </c>
      <c r="K1744" s="3" t="n">
        <v>65</v>
      </c>
      <c r="L1744" s="3" t="n">
        <v>49.66</v>
      </c>
      <c r="M1744" s="2" t="inlineStr">
        <is>
          <t>TCGplayer</t>
        </is>
      </c>
      <c r="O1744" s="4" t="inlineStr">
        <is>
          <t>https://www.tcgplayer.com/product/270725</t>
        </is>
      </c>
    </row>
    <row r="1745">
      <c r="A1745" s="2" t="inlineStr">
        <is>
          <t>Pokemon GO Tin [Pikachu]</t>
        </is>
      </c>
      <c r="B1745" s="3">
        <f>IF(I1745&lt;&gt;"",I1745,IF(J1745&lt;&gt;"",J1745,IF(K1745&lt;&gt;"",K1745,L1745)))</f>
        <v>71.6</v>
      </c>
      <c r="C1745" s="3">
        <f>MEDIAN(I1745:L1745)</f>
        <v>81.95</v>
      </c>
      <c r="D1745" s="3">
        <f>ROUND(C1745*(1-Settings!$B$2),2)</f>
        <v>57.37</v>
      </c>
      <c r="E1745" s="3">
        <f>ROUND(C1745*(1-Settings!$B$3),2)</f>
        <v>57.37</v>
      </c>
      <c r="F1745" s="2" t="inlineStr">
        <is>
          <t>Pokemon</t>
        </is>
      </c>
      <c r="G1745" s="2" t="inlineStr">
        <is>
          <t>Coffret</t>
        </is>
      </c>
      <c r="H1745" s="2" t="inlineStr">
        <is>
          <t>Pokemon GO</t>
        </is>
      </c>
      <c r="I1745" s="3" t="n"/>
      <c r="J1745" s="3" t="n">
        <v>71.59999999999999</v>
      </c>
      <c r="K1745" s="3" t="n">
        <v>89.98</v>
      </c>
      <c r="L1745" s="3" t="n">
        <v>81.95</v>
      </c>
      <c r="M1745" s="2" t="inlineStr">
        <is>
          <t>TCGplayer</t>
        </is>
      </c>
      <c r="O1745" s="4" t="inlineStr">
        <is>
          <t>https://www.tcgplayer.com/product/270726</t>
        </is>
      </c>
    </row>
    <row r="1746">
      <c r="A1746" s="2" t="inlineStr">
        <is>
          <t>Pokemon GO Tin [Set of 3]</t>
        </is>
      </c>
      <c r="B1746" s="3">
        <f>IF(I1746&lt;&gt;"",I1746,IF(J1746&lt;&gt;"",J1746,IF(K1746&lt;&gt;"",K1746,L1746)))</f>
        <v>163.85</v>
      </c>
      <c r="C1746" s="3">
        <f>MEDIAN(I1746:L1746)</f>
        <v>199.99</v>
      </c>
      <c r="D1746" s="3">
        <f>ROUND(C1746*(1-Settings!$B$2),2)</f>
        <v>139.99</v>
      </c>
      <c r="E1746" s="3">
        <f>ROUND(C1746*(1-Settings!$B$3),2)</f>
        <v>139.99</v>
      </c>
      <c r="F1746" s="2" t="inlineStr">
        <is>
          <t>Pokemon</t>
        </is>
      </c>
      <c r="G1746" s="2" t="inlineStr">
        <is>
          <t>Coffret</t>
        </is>
      </c>
      <c r="H1746" s="2" t="inlineStr">
        <is>
          <t>Pokemon GO</t>
        </is>
      </c>
      <c r="I1746" s="3" t="n"/>
      <c r="J1746" s="3" t="n">
        <v>163.85</v>
      </c>
      <c r="K1746" s="3" t="n">
        <v>200</v>
      </c>
      <c r="L1746" s="3" t="n">
        <v>199.99</v>
      </c>
      <c r="M1746" s="2" t="inlineStr">
        <is>
          <t>TCGplayer</t>
        </is>
      </c>
      <c r="O1746" s="4" t="inlineStr">
        <is>
          <t>https://www.tcgplayer.com/product/271503</t>
        </is>
      </c>
    </row>
    <row r="1747">
      <c r="A1747" s="2" t="inlineStr">
        <is>
          <t>Pokemon GO Tin [Snorlax]</t>
        </is>
      </c>
      <c r="B1747" s="3">
        <f>IF(I1747&lt;&gt;"",I1747,IF(J1747&lt;&gt;"",J1747,IF(K1747&lt;&gt;"",K1747,L1747)))</f>
        <v>72.95</v>
      </c>
      <c r="C1747" s="3">
        <f>MEDIAN(I1747:L1747)</f>
        <v>89.95</v>
      </c>
      <c r="D1747" s="3">
        <f>ROUND(C1747*(1-Settings!$B$2),2)</f>
        <v>62.97</v>
      </c>
      <c r="E1747" s="3">
        <f>ROUND(C1747*(1-Settings!$B$3),2)</f>
        <v>62.97</v>
      </c>
      <c r="F1747" s="2" t="inlineStr">
        <is>
          <t>Pokemon</t>
        </is>
      </c>
      <c r="G1747" s="2" t="inlineStr">
        <is>
          <t>Coffret</t>
        </is>
      </c>
      <c r="H1747" s="2" t="inlineStr">
        <is>
          <t>Pokemon GO</t>
        </is>
      </c>
      <c r="I1747" s="3" t="n"/>
      <c r="J1747" s="3" t="n">
        <v>72.95</v>
      </c>
      <c r="K1747" s="3" t="n">
        <v>98.73999999999999</v>
      </c>
      <c r="L1747" s="3" t="n">
        <v>89.95</v>
      </c>
      <c r="M1747" s="2" t="inlineStr">
        <is>
          <t>TCGplayer</t>
        </is>
      </c>
      <c r="O1747" s="4" t="inlineStr">
        <is>
          <t>https://www.tcgplayer.com/product/270727</t>
        </is>
      </c>
    </row>
    <row r="1748">
      <c r="A1748" s="2" t="inlineStr">
        <is>
          <t>Pokemon GO V Battle Deck Bundle [Mewtwo V/Melmetal V]</t>
        </is>
      </c>
      <c r="B1748" s="3">
        <f>IF(I1748&lt;&gt;"",I1748,IF(J1748&lt;&gt;"",J1748,IF(K1748&lt;&gt;"",K1748,L1748)))</f>
        <v>45.18</v>
      </c>
      <c r="C1748" s="3">
        <f>MEDIAN(I1748:L1748)</f>
        <v>45.18</v>
      </c>
      <c r="D1748" s="3">
        <f>ROUND(C1748*(1-Settings!$B$2),2)</f>
        <v>31.63</v>
      </c>
      <c r="E1748" s="3">
        <f>ROUND(C1748*(1-Settings!$B$3),2)</f>
        <v>31.63</v>
      </c>
      <c r="F1748" s="2" t="inlineStr">
        <is>
          <t>Pokemon</t>
        </is>
      </c>
      <c r="G1748" s="2" t="inlineStr">
        <is>
          <t>Coffret</t>
        </is>
      </c>
      <c r="H1748" s="2" t="inlineStr">
        <is>
          <t>Pokemon GO</t>
        </is>
      </c>
      <c r="I1748" s="3" t="n"/>
      <c r="J1748" s="3" t="n">
        <v>45.18</v>
      </c>
      <c r="K1748" s="3" t="n">
        <v>45.18</v>
      </c>
      <c r="L1748" s="3" t="n">
        <v>33.99</v>
      </c>
      <c r="M1748" s="2" t="inlineStr">
        <is>
          <t>TCGplayer</t>
        </is>
      </c>
      <c r="O1748" s="4" t="inlineStr">
        <is>
          <t>https://www.tcgplayer.com/product/270712</t>
        </is>
      </c>
    </row>
    <row r="1749">
      <c r="A1749" s="2" t="inlineStr">
        <is>
          <t>Primal Clash Elite Trainer Box [Groudon]</t>
        </is>
      </c>
      <c r="B1749" s="3">
        <f>IF(I1749&lt;&gt;"",I1749,IF(J1749&lt;&gt;"",J1749,IF(K1749&lt;&gt;"",K1749,L1749)))</f>
        <v>5625.0</v>
      </c>
      <c r="C1749" s="3">
        <f>MEDIAN(I1749:L1749)</f>
        <v>5625.0</v>
      </c>
      <c r="D1749" s="3">
        <f>ROUND(C1749*(1-Settings!$B$2),2)</f>
        <v>3937.5</v>
      </c>
      <c r="E1749" s="3">
        <f>ROUND(C1749*(1-Settings!$B$3),2)</f>
        <v>3937.5</v>
      </c>
      <c r="F1749" s="2" t="inlineStr">
        <is>
          <t>Pokemon</t>
        </is>
      </c>
      <c r="G1749" s="2" t="inlineStr">
        <is>
          <t>Coffret</t>
        </is>
      </c>
      <c r="H1749" s="2" t="inlineStr">
        <is>
          <t>Primal Clash</t>
        </is>
      </c>
      <c r="I1749" s="3" t="n">
        <v>5625</v>
      </c>
      <c r="J1749" s="3" t="n"/>
      <c r="K1749" s="3" t="n"/>
      <c r="L1749" s="3" t="n"/>
      <c r="M1749" s="2" t="inlineStr">
        <is>
          <t>PriceCharting</t>
        </is>
      </c>
      <c r="N1749" s="4" t="inlineStr">
        <is>
          <t>https://www.pricecharting.com/game/pokemon-primal-clash/elite-trainer-box-groudon</t>
        </is>
      </c>
    </row>
    <row r="1750">
      <c r="A1750" s="2" t="inlineStr">
        <is>
          <t>Primal Clash Primal Groudon Collection Box</t>
        </is>
      </c>
      <c r="B1750" s="3">
        <f>IF(I1750&lt;&gt;"",I1750,IF(J1750&lt;&gt;"",J1750,IF(K1750&lt;&gt;"",K1750,L1750)))</f>
        <v>355.57</v>
      </c>
      <c r="C1750" s="3">
        <f>MEDIAN(I1750:L1750)</f>
        <v>355.57</v>
      </c>
      <c r="D1750" s="3">
        <f>ROUND(C1750*(1-Settings!$B$2),2)</f>
        <v>248.9</v>
      </c>
      <c r="E1750" s="3">
        <f>ROUND(C1750*(1-Settings!$B$3),2)</f>
        <v>248.9</v>
      </c>
      <c r="F1750" s="2" t="inlineStr">
        <is>
          <t>Pokemon</t>
        </is>
      </c>
      <c r="G1750" s="2" t="inlineStr">
        <is>
          <t>Coffret</t>
        </is>
      </c>
      <c r="H1750" s="2" t="inlineStr">
        <is>
          <t>Primal Clash</t>
        </is>
      </c>
      <c r="I1750" s="3" t="n">
        <v>355.57</v>
      </c>
      <c r="J1750" s="3" t="n"/>
      <c r="K1750" s="3" t="n"/>
      <c r="L1750" s="3" t="n"/>
      <c r="M1750" s="2" t="inlineStr">
        <is>
          <t>PriceCharting</t>
        </is>
      </c>
      <c r="N1750" s="4" t="inlineStr">
        <is>
          <t>https://www.pricecharting.com/game/pokemon-primal-clash/primal-groudon-collection-box</t>
        </is>
      </c>
    </row>
    <row r="1751">
      <c r="A1751" s="2" t="inlineStr">
        <is>
          <t>Primal Clash Primal Kyogre Collection Box</t>
        </is>
      </c>
      <c r="B1751" s="3">
        <f>IF(I1751&lt;&gt;"",I1751,IF(J1751&lt;&gt;"",J1751,IF(K1751&lt;&gt;"",K1751,L1751)))</f>
        <v>550.0</v>
      </c>
      <c r="C1751" s="3">
        <f>MEDIAN(I1751:L1751)</f>
        <v>550.0</v>
      </c>
      <c r="D1751" s="3">
        <f>ROUND(C1751*(1-Settings!$B$2),2)</f>
        <v>385.0</v>
      </c>
      <c r="E1751" s="3">
        <f>ROUND(C1751*(1-Settings!$B$3),2)</f>
        <v>385.0</v>
      </c>
      <c r="F1751" s="2" t="inlineStr">
        <is>
          <t>Pokemon</t>
        </is>
      </c>
      <c r="G1751" s="2" t="inlineStr">
        <is>
          <t>Coffret</t>
        </is>
      </c>
      <c r="H1751" s="2" t="inlineStr">
        <is>
          <t>Primal Clash</t>
        </is>
      </c>
      <c r="I1751" s="3" t="n">
        <v>550</v>
      </c>
      <c r="J1751" s="3" t="n"/>
      <c r="K1751" s="3" t="n"/>
      <c r="L1751" s="3" t="n"/>
      <c r="M1751" s="2" t="inlineStr">
        <is>
          <t>PriceCharting</t>
        </is>
      </c>
      <c r="N1751" s="4" t="inlineStr">
        <is>
          <t>https://www.pricecharting.com/game/pokemon-primal-clash/primal-kyogre-collection-box</t>
        </is>
      </c>
    </row>
    <row r="1752">
      <c r="A1752" s="2" t="inlineStr">
        <is>
          <t>Prismatic Evolutions Collectors Chest</t>
        </is>
      </c>
      <c r="B1752" s="3">
        <f>IF(I1752&lt;&gt;"",I1752,IF(J1752&lt;&gt;"",J1752,IF(K1752&lt;&gt;"",K1752,L1752)))</f>
        <v>61.9</v>
      </c>
      <c r="C1752" s="3">
        <f>MEDIAN(I1752:L1752)</f>
        <v>61.9</v>
      </c>
      <c r="D1752" s="3">
        <f>ROUND(C1752*(1-Settings!$B$2),2)</f>
        <v>43.33</v>
      </c>
      <c r="E1752" s="3">
        <f>ROUND(C1752*(1-Settings!$B$3),2)</f>
        <v>43.33</v>
      </c>
      <c r="F1752" s="2" t="inlineStr">
        <is>
          <t>Pokemon</t>
        </is>
      </c>
      <c r="G1752" s="2" t="inlineStr">
        <is>
          <t>Coffret</t>
        </is>
      </c>
      <c r="H1752" s="2" t="inlineStr">
        <is>
          <t>Prismatic Evolutions</t>
        </is>
      </c>
      <c r="I1752" s="3" t="n">
        <v>61.9</v>
      </c>
      <c r="J1752" s="3" t="n"/>
      <c r="K1752" s="3" t="n"/>
      <c r="L1752" s="3" t="n"/>
      <c r="M1752" s="2" t="inlineStr">
        <is>
          <t>PriceCharting</t>
        </is>
      </c>
      <c r="N1752" s="4" t="inlineStr">
        <is>
          <t>https://www.pricecharting.com/game/pokemon-prismatic-evolutions/collectors-chest</t>
        </is>
      </c>
    </row>
    <row r="1753">
      <c r="A1753" s="2" t="inlineStr">
        <is>
          <t>Prismatic Evolutions Costco 2-Pack Trainer Box &amp; Booster Bundle</t>
        </is>
      </c>
      <c r="B1753" s="3">
        <f>IF(I1753&lt;&gt;"",I1753,IF(J1753&lt;&gt;"",J1753,IF(K1753&lt;&gt;"",K1753,L1753)))</f>
        <v>269.0</v>
      </c>
      <c r="C1753" s="3">
        <f>MEDIAN(I1753:L1753)</f>
        <v>269.0</v>
      </c>
      <c r="D1753" s="3">
        <f>ROUND(C1753*(1-Settings!$B$2),2)</f>
        <v>188.3</v>
      </c>
      <c r="E1753" s="3">
        <f>ROUND(C1753*(1-Settings!$B$3),2)</f>
        <v>188.3</v>
      </c>
      <c r="F1753" s="2" t="inlineStr">
        <is>
          <t>Pokemon</t>
        </is>
      </c>
      <c r="G1753" s="2" t="inlineStr">
        <is>
          <t>Coffret</t>
        </is>
      </c>
      <c r="H1753" s="2" t="inlineStr">
        <is>
          <t>Prismatic Evolutions</t>
        </is>
      </c>
      <c r="I1753" s="3" t="n">
        <v>269</v>
      </c>
      <c r="J1753" s="3" t="n"/>
      <c r="K1753" s="3" t="n"/>
      <c r="L1753" s="3" t="n"/>
      <c r="M1753" s="2" t="inlineStr">
        <is>
          <t>PriceCharting</t>
        </is>
      </c>
      <c r="N1753" s="4" t="inlineStr">
        <is>
          <t>https://www.pricecharting.com/game/pokemon-prismatic-evolutions/costco-2-pack-trainer-box-&amp;-booster-bundle</t>
        </is>
      </c>
    </row>
    <row r="1754">
      <c r="A1754" s="2" t="inlineStr">
        <is>
          <t>Prismatic Evolutions Costco 8-Pack Mini Tins</t>
        </is>
      </c>
      <c r="B1754" s="3">
        <f>IF(I1754&lt;&gt;"",I1754,IF(J1754&lt;&gt;"",J1754,IF(K1754&lt;&gt;"",K1754,L1754)))</f>
        <v>274.5</v>
      </c>
      <c r="C1754" s="3">
        <f>MEDIAN(I1754:L1754)</f>
        <v>274.5</v>
      </c>
      <c r="D1754" s="3">
        <f>ROUND(C1754*(1-Settings!$B$2),2)</f>
        <v>192.15</v>
      </c>
      <c r="E1754" s="3">
        <f>ROUND(C1754*(1-Settings!$B$3),2)</f>
        <v>192.15</v>
      </c>
      <c r="F1754" s="2" t="inlineStr">
        <is>
          <t>Pokemon</t>
        </is>
      </c>
      <c r="G1754" s="2" t="inlineStr">
        <is>
          <t>Coffret</t>
        </is>
      </c>
      <c r="H1754" s="2" t="inlineStr">
        <is>
          <t>Prismatic Evolutions</t>
        </is>
      </c>
      <c r="I1754" s="3" t="n">
        <v>274.5</v>
      </c>
      <c r="J1754" s="3" t="n"/>
      <c r="K1754" s="3" t="n"/>
      <c r="L1754" s="3" t="n"/>
      <c r="M1754" s="2" t="inlineStr">
        <is>
          <t>PriceCharting</t>
        </is>
      </c>
      <c r="N1754" s="4" t="inlineStr">
        <is>
          <t>https://www.pricecharting.com/game/pokemon-prismatic-evolutions/costco-8-pack-mini-tins</t>
        </is>
      </c>
    </row>
    <row r="1755">
      <c r="A1755" s="2" t="inlineStr">
        <is>
          <t>Prismatic Evolutions Elite Trainer Box [Pokemon Center]</t>
        </is>
      </c>
      <c r="B1755" s="3">
        <f>IF(I1755&lt;&gt;"",I1755,IF(J1755&lt;&gt;"",J1755,IF(K1755&lt;&gt;"",K1755,L1755)))</f>
        <v>410.53</v>
      </c>
      <c r="C1755" s="3">
        <f>MEDIAN(I1755:L1755)</f>
        <v>410.53</v>
      </c>
      <c r="D1755" s="3">
        <f>ROUND(C1755*(1-Settings!$B$2),2)</f>
        <v>287.37</v>
      </c>
      <c r="E1755" s="3">
        <f>ROUND(C1755*(1-Settings!$B$3),2)</f>
        <v>287.37</v>
      </c>
      <c r="F1755" s="2" t="inlineStr">
        <is>
          <t>Pokemon</t>
        </is>
      </c>
      <c r="G1755" s="2" t="inlineStr">
        <is>
          <t>Coffret</t>
        </is>
      </c>
      <c r="H1755" s="2" t="inlineStr">
        <is>
          <t>Prismatic Evolutions</t>
        </is>
      </c>
      <c r="I1755" s="3" t="n">
        <v>410.53</v>
      </c>
      <c r="J1755" s="3" t="n"/>
      <c r="K1755" s="3" t="n"/>
      <c r="L1755" s="3" t="n"/>
      <c r="M1755" s="2" t="inlineStr">
        <is>
          <t>PriceCharting</t>
        </is>
      </c>
      <c r="N1755" s="4" t="inlineStr">
        <is>
          <t>https://www.pricecharting.com/game/pokemon-prismatic-evolutions/elite-trainer-box-pokemon-center</t>
        </is>
      </c>
    </row>
    <row r="1756">
      <c r="A1756" s="2" t="inlineStr">
        <is>
          <t>Prismatic Evolutions Lucario Ex &amp; Tyranitar Ex Premium Collection</t>
        </is>
      </c>
      <c r="B1756" s="3">
        <f>IF(I1756&lt;&gt;"",I1756,IF(J1756&lt;&gt;"",J1756,IF(K1756&lt;&gt;"",K1756,L1756)))</f>
        <v>195.0</v>
      </c>
      <c r="C1756" s="3">
        <f>MEDIAN(I1756:L1756)</f>
        <v>195.0</v>
      </c>
      <c r="D1756" s="3">
        <f>ROUND(C1756*(1-Settings!$B$2),2)</f>
        <v>136.5</v>
      </c>
      <c r="E1756" s="3">
        <f>ROUND(C1756*(1-Settings!$B$3),2)</f>
        <v>136.5</v>
      </c>
      <c r="F1756" s="2" t="inlineStr">
        <is>
          <t>Pokemon</t>
        </is>
      </c>
      <c r="G1756" s="2" t="inlineStr">
        <is>
          <t>Coffret</t>
        </is>
      </c>
      <c r="H1756" s="2" t="inlineStr">
        <is>
          <t>Prismatic Evolutions</t>
        </is>
      </c>
      <c r="I1756" s="3" t="n">
        <v>195</v>
      </c>
      <c r="J1756" s="3" t="n"/>
      <c r="K1756" s="3" t="n"/>
      <c r="L1756" s="3" t="n"/>
      <c r="M1756" s="2" t="inlineStr">
        <is>
          <t>PriceCharting</t>
        </is>
      </c>
      <c r="N1756" s="4" t="inlineStr">
        <is>
          <t>https://www.pricecharting.com/game/pokemon-prismatic-evolutions/lucario-ex-&amp;-tyranitar-ex-premium-collection</t>
        </is>
      </c>
    </row>
    <row r="1757">
      <c r="A1757" s="2" t="inlineStr">
        <is>
          <t>Prismatic Evolutions Sam's Club Elite Trainer Box And Pokeball</t>
        </is>
      </c>
      <c r="B1757" s="3">
        <f>IF(I1757&lt;&gt;"",I1757,IF(J1757&lt;&gt;"",J1757,IF(K1757&lt;&gt;"",K1757,L1757)))</f>
        <v>183.98</v>
      </c>
      <c r="C1757" s="3">
        <f>MEDIAN(I1757:L1757)</f>
        <v>183.98</v>
      </c>
      <c r="D1757" s="3">
        <f>ROUND(C1757*(1-Settings!$B$2),2)</f>
        <v>128.79</v>
      </c>
      <c r="E1757" s="3">
        <f>ROUND(C1757*(1-Settings!$B$3),2)</f>
        <v>128.79</v>
      </c>
      <c r="F1757" s="2" t="inlineStr">
        <is>
          <t>Pokemon</t>
        </is>
      </c>
      <c r="G1757" s="2" t="inlineStr">
        <is>
          <t>Coffret</t>
        </is>
      </c>
      <c r="H1757" s="2" t="inlineStr">
        <is>
          <t>Prismatic Evolutions</t>
        </is>
      </c>
      <c r="I1757" s="3" t="n">
        <v>183.98</v>
      </c>
      <c r="J1757" s="3" t="n"/>
      <c r="K1757" s="3" t="n"/>
      <c r="L1757" s="3" t="n"/>
      <c r="M1757" s="2" t="inlineStr">
        <is>
          <t>PriceCharting</t>
        </is>
      </c>
      <c r="N1757" s="4" t="inlineStr">
        <is>
          <t>https://www.pricecharting.com/game/pokemon-prismatic-evolutions/sam's-club-elite-trainer-box-and-pokeball</t>
        </is>
      </c>
    </row>
    <row r="1758">
      <c r="A1758" s="2" t="inlineStr">
        <is>
          <t>Prismatic Evolutions Sealed Poster Collection</t>
        </is>
      </c>
      <c r="B1758" s="3">
        <f>IF(I1758&lt;&gt;"",I1758,IF(J1758&lt;&gt;"",J1758,IF(K1758&lt;&gt;"",K1758,L1758)))</f>
        <v>40.91</v>
      </c>
      <c r="C1758" s="3">
        <f>MEDIAN(I1758:L1758)</f>
        <v>40.91</v>
      </c>
      <c r="D1758" s="3">
        <f>ROUND(C1758*(1-Settings!$B$2),2)</f>
        <v>28.64</v>
      </c>
      <c r="E1758" s="3">
        <f>ROUND(C1758*(1-Settings!$B$3),2)</f>
        <v>28.64</v>
      </c>
      <c r="F1758" s="2" t="inlineStr">
        <is>
          <t>Pokemon</t>
        </is>
      </c>
      <c r="G1758" s="2" t="inlineStr">
        <is>
          <t>Coffret</t>
        </is>
      </c>
      <c r="H1758" s="2" t="inlineStr">
        <is>
          <t>Prismatic Evolutions</t>
        </is>
      </c>
      <c r="I1758" s="3" t="n">
        <v>40.91</v>
      </c>
      <c r="J1758" s="3" t="n"/>
      <c r="K1758" s="3" t="n"/>
      <c r="L1758" s="3" t="n"/>
      <c r="M1758" s="2" t="inlineStr">
        <is>
          <t>PriceCharting</t>
        </is>
      </c>
      <c r="N1758" s="4" t="inlineStr">
        <is>
          <t>https://www.pricecharting.com/game/pokemon-prismatic-evolutions/sealed-poster-collection</t>
        </is>
      </c>
    </row>
    <row r="1759">
      <c r="A1759" s="2" t="inlineStr">
        <is>
          <t>Prismatic Evolutions Super Premium Collection Box</t>
        </is>
      </c>
      <c r="B1759" s="3">
        <f>IF(I1759&lt;&gt;"",I1759,IF(J1759&lt;&gt;"",J1759,IF(K1759&lt;&gt;"",K1759,L1759)))</f>
        <v>250.53</v>
      </c>
      <c r="C1759" s="3">
        <f>MEDIAN(I1759:L1759)</f>
        <v>250.53</v>
      </c>
      <c r="D1759" s="3">
        <f>ROUND(C1759*(1-Settings!$B$2),2)</f>
        <v>175.37</v>
      </c>
      <c r="E1759" s="3">
        <f>ROUND(C1759*(1-Settings!$B$3),2)</f>
        <v>175.37</v>
      </c>
      <c r="F1759" s="2" t="inlineStr">
        <is>
          <t>Pokemon</t>
        </is>
      </c>
      <c r="G1759" s="2" t="inlineStr">
        <is>
          <t>Coffret</t>
        </is>
      </c>
      <c r="H1759" s="2" t="inlineStr">
        <is>
          <t>Prismatic Evolutions</t>
        </is>
      </c>
      <c r="I1759" s="3" t="n">
        <v>250.53</v>
      </c>
      <c r="J1759" s="3" t="n"/>
      <c r="K1759" s="3" t="n"/>
      <c r="L1759" s="3" t="n"/>
      <c r="M1759" s="2" t="inlineStr">
        <is>
          <t>PriceCharting</t>
        </is>
      </c>
      <c r="N1759" s="4" t="inlineStr">
        <is>
          <t>https://www.pricecharting.com/game/pokemon-prismatic-evolutions/super-premium-collection-box</t>
        </is>
      </c>
    </row>
    <row r="1760">
      <c r="A1760" s="2" t="inlineStr">
        <is>
          <t>Prismatic Evolutions Surprise Box + Booster Bundle</t>
        </is>
      </c>
      <c r="B1760" s="3">
        <f>IF(I1760&lt;&gt;"",I1760,IF(J1760&lt;&gt;"",J1760,IF(K1760&lt;&gt;"",K1760,L1760)))</f>
        <v>146.25</v>
      </c>
      <c r="C1760" s="3">
        <f>MEDIAN(I1760:L1760)</f>
        <v>146.25</v>
      </c>
      <c r="D1760" s="3">
        <f>ROUND(C1760*(1-Settings!$B$2),2)</f>
        <v>102.38</v>
      </c>
      <c r="E1760" s="3">
        <f>ROUND(C1760*(1-Settings!$B$3),2)</f>
        <v>102.38</v>
      </c>
      <c r="F1760" s="2" t="inlineStr">
        <is>
          <t>Pokemon</t>
        </is>
      </c>
      <c r="G1760" s="2" t="inlineStr">
        <is>
          <t>Coffret</t>
        </is>
      </c>
      <c r="H1760" s="2" t="inlineStr">
        <is>
          <t>Prismatic Evolutions</t>
        </is>
      </c>
      <c r="I1760" s="3" t="n">
        <v>146.25</v>
      </c>
      <c r="J1760" s="3" t="n"/>
      <c r="K1760" s="3" t="n"/>
      <c r="L1760" s="3" t="n"/>
      <c r="M1760" s="2" t="inlineStr">
        <is>
          <t>PriceCharting</t>
        </is>
      </c>
      <c r="N1760" s="4" t="inlineStr">
        <is>
          <t>https://www.pricecharting.com/game/pokemon-prismatic-evolutions/surprise-box-+-booster-bundle</t>
        </is>
      </c>
    </row>
    <row r="1761">
      <c r="A1761" s="2" t="inlineStr">
        <is>
          <t>Promo 2-Pack Blister [Raikou]</t>
        </is>
      </c>
      <c r="B1761" s="3">
        <f>IF(I1761&lt;&gt;"",I1761,IF(J1761&lt;&gt;"",J1761,IF(K1761&lt;&gt;"",K1761,L1761)))</f>
        <v>19.99</v>
      </c>
      <c r="C1761" s="3">
        <f>MEDIAN(I1761:L1761)</f>
        <v>19.99</v>
      </c>
      <c r="D1761" s="3">
        <f>ROUND(C1761*(1-Settings!$B$2),2)</f>
        <v>13.99</v>
      </c>
      <c r="E1761" s="3">
        <f>ROUND(C1761*(1-Settings!$B$3),2)</f>
        <v>13.99</v>
      </c>
      <c r="F1761" s="2" t="inlineStr">
        <is>
          <t>Pokemon</t>
        </is>
      </c>
      <c r="G1761" s="2" t="inlineStr">
        <is>
          <t>Coffret</t>
        </is>
      </c>
      <c r="H1761" s="2" t="inlineStr">
        <is>
          <t>Promo</t>
        </is>
      </c>
      <c r="I1761" s="3" t="n">
        <v>19.99</v>
      </c>
      <c r="J1761" s="3" t="n"/>
      <c r="K1761" s="3" t="n"/>
      <c r="L1761" s="3" t="n"/>
      <c r="M1761" s="2" t="inlineStr">
        <is>
          <t>PriceCharting</t>
        </is>
      </c>
      <c r="N1761" s="4" t="inlineStr">
        <is>
          <t>https://www.pricecharting.com/game/pokemon-promo/2-pack-blister-raikou</t>
        </is>
      </c>
    </row>
    <row r="1762">
      <c r="A1762" s="2" t="inlineStr">
        <is>
          <t>Promo 2-Pack Blister [Vileplume]</t>
        </is>
      </c>
      <c r="B1762" s="3">
        <f>IF(I1762&lt;&gt;"",I1762,IF(J1762&lt;&gt;"",J1762,IF(K1762&lt;&gt;"",K1762,L1762)))</f>
        <v>18.75</v>
      </c>
      <c r="C1762" s="3">
        <f>MEDIAN(I1762:L1762)</f>
        <v>18.75</v>
      </c>
      <c r="D1762" s="3">
        <f>ROUND(C1762*(1-Settings!$B$2),2)</f>
        <v>13.13</v>
      </c>
      <c r="E1762" s="3">
        <f>ROUND(C1762*(1-Settings!$B$3),2)</f>
        <v>13.13</v>
      </c>
      <c r="F1762" s="2" t="inlineStr">
        <is>
          <t>Pokemon</t>
        </is>
      </c>
      <c r="G1762" s="2" t="inlineStr">
        <is>
          <t>Coffret</t>
        </is>
      </c>
      <c r="H1762" s="2" t="inlineStr">
        <is>
          <t>Promo</t>
        </is>
      </c>
      <c r="I1762" s="3" t="n">
        <v>18.75</v>
      </c>
      <c r="J1762" s="3" t="n"/>
      <c r="K1762" s="3" t="n"/>
      <c r="L1762" s="3" t="n"/>
      <c r="M1762" s="2" t="inlineStr">
        <is>
          <t>PriceCharting</t>
        </is>
      </c>
      <c r="N1762" s="4" t="inlineStr">
        <is>
          <t>https://www.pricecharting.com/game/pokemon-promo/2-pack-blister-vileplume</t>
        </is>
      </c>
    </row>
    <row r="1763">
      <c r="A1763" s="2" t="inlineStr">
        <is>
          <t>Promo 2-Pack Blister Pack [Team Rocket's Articuno, Zapdos &amp; Tyranitar]</t>
        </is>
      </c>
      <c r="B1763" s="3">
        <f>IF(I1763&lt;&gt;"",I1763,IF(J1763&lt;&gt;"",J1763,IF(K1763&lt;&gt;"",K1763,L1763)))</f>
        <v>21.99</v>
      </c>
      <c r="C1763" s="3">
        <f>MEDIAN(I1763:L1763)</f>
        <v>21.99</v>
      </c>
      <c r="D1763" s="3">
        <f>ROUND(C1763*(1-Settings!$B$2),2)</f>
        <v>15.39</v>
      </c>
      <c r="E1763" s="3">
        <f>ROUND(C1763*(1-Settings!$B$3),2)</f>
        <v>15.39</v>
      </c>
      <c r="F1763" s="2" t="inlineStr">
        <is>
          <t>Pokemon</t>
        </is>
      </c>
      <c r="G1763" s="2" t="inlineStr">
        <is>
          <t>Coffret</t>
        </is>
      </c>
      <c r="H1763" s="2" t="inlineStr">
        <is>
          <t>Promo</t>
        </is>
      </c>
      <c r="I1763" s="3" t="n">
        <v>21.99</v>
      </c>
      <c r="J1763" s="3" t="n"/>
      <c r="K1763" s="3" t="n"/>
      <c r="L1763" s="3" t="n"/>
      <c r="M1763" s="2" t="inlineStr">
        <is>
          <t>PriceCharting</t>
        </is>
      </c>
      <c r="N1763" s="4" t="inlineStr">
        <is>
          <t>https://www.pricecharting.com/game/pokemon-promo/2-pack-blister-pack-team-rocket's-articuno-zapdos-&amp;-tyranitar</t>
        </is>
      </c>
    </row>
    <row r="1764">
      <c r="A1764" s="2" t="inlineStr">
        <is>
          <t>Promo 2-Pack Blister: Zarude</t>
        </is>
      </c>
      <c r="B1764" s="3">
        <f>IF(I1764&lt;&gt;"",I1764,IF(J1764&lt;&gt;"",J1764,IF(K1764&lt;&gt;"",K1764,L1764)))</f>
        <v>17.68</v>
      </c>
      <c r="C1764" s="3">
        <f>MEDIAN(I1764:L1764)</f>
        <v>17.68</v>
      </c>
      <c r="D1764" s="3">
        <f>ROUND(C1764*(1-Settings!$B$2),2)</f>
        <v>12.38</v>
      </c>
      <c r="E1764" s="3">
        <f>ROUND(C1764*(1-Settings!$B$3),2)</f>
        <v>12.38</v>
      </c>
      <c r="F1764" s="2" t="inlineStr">
        <is>
          <t>Pokemon</t>
        </is>
      </c>
      <c r="G1764" s="2" t="inlineStr">
        <is>
          <t>Coffret</t>
        </is>
      </c>
      <c r="H1764" s="2" t="inlineStr">
        <is>
          <t>Promo</t>
        </is>
      </c>
      <c r="I1764" s="3" t="n">
        <v>17.68</v>
      </c>
      <c r="J1764" s="3" t="n"/>
      <c r="K1764" s="3" t="n"/>
      <c r="L1764" s="3" t="n"/>
      <c r="M1764" s="2" t="inlineStr">
        <is>
          <t>PriceCharting</t>
        </is>
      </c>
      <c r="N1764" s="4" t="inlineStr">
        <is>
          <t>https://www.pricecharting.com/game/pokemon-promo/2-pack-blister-zarude</t>
        </is>
      </c>
    </row>
    <row r="1765">
      <c r="A1765" s="2" t="inlineStr">
        <is>
          <t>Promo 2-Pack Checklane Blister [Zarude]</t>
        </is>
      </c>
      <c r="B1765" s="3">
        <f>IF(I1765&lt;&gt;"",I1765,IF(J1765&lt;&gt;"",J1765,IF(K1765&lt;&gt;"",K1765,L1765)))</f>
        <v>19.47</v>
      </c>
      <c r="C1765" s="3">
        <f>MEDIAN(I1765:L1765)</f>
        <v>19.47</v>
      </c>
      <c r="D1765" s="3">
        <f>ROUND(C1765*(1-Settings!$B$2),2)</f>
        <v>13.63</v>
      </c>
      <c r="E1765" s="3">
        <f>ROUND(C1765*(1-Settings!$B$3),2)</f>
        <v>13.63</v>
      </c>
      <c r="F1765" s="2" t="inlineStr">
        <is>
          <t>Pokemon</t>
        </is>
      </c>
      <c r="G1765" s="2" t="inlineStr">
        <is>
          <t>Coffret</t>
        </is>
      </c>
      <c r="H1765" s="2" t="inlineStr">
        <is>
          <t>Promo</t>
        </is>
      </c>
      <c r="I1765" s="3" t="n">
        <v>19.47</v>
      </c>
      <c r="J1765" s="3" t="n"/>
      <c r="K1765" s="3" t="n"/>
      <c r="L1765" s="3" t="n"/>
      <c r="M1765" s="2" t="inlineStr">
        <is>
          <t>PriceCharting</t>
        </is>
      </c>
      <c r="N1765" s="4" t="inlineStr">
        <is>
          <t>https://www.pricecharting.com/game/pokemon-promo/2-pack-checklane-blister-zarude</t>
        </is>
      </c>
    </row>
    <row r="1766">
      <c r="A1766" s="2" t="inlineStr">
        <is>
          <t>Promo 2025 Holiday Calendar Box [Costco]</t>
        </is>
      </c>
      <c r="B1766" s="3">
        <f>IF(I1766&lt;&gt;"",I1766,IF(J1766&lt;&gt;"",J1766,IF(K1766&lt;&gt;"",K1766,L1766)))</f>
        <v>76.01</v>
      </c>
      <c r="C1766" s="3">
        <f>MEDIAN(I1766:L1766)</f>
        <v>76.01</v>
      </c>
      <c r="D1766" s="3">
        <f>ROUND(C1766*(1-Settings!$B$2),2)</f>
        <v>53.21</v>
      </c>
      <c r="E1766" s="3">
        <f>ROUND(C1766*(1-Settings!$B$3),2)</f>
        <v>53.21</v>
      </c>
      <c r="F1766" s="2" t="inlineStr">
        <is>
          <t>Pokemon</t>
        </is>
      </c>
      <c r="G1766" s="2" t="inlineStr">
        <is>
          <t>Coffret</t>
        </is>
      </c>
      <c r="H1766" s="2" t="inlineStr">
        <is>
          <t>Promo</t>
        </is>
      </c>
      <c r="I1766" s="3" t="n">
        <v>76.01000000000001</v>
      </c>
      <c r="J1766" s="3" t="n"/>
      <c r="K1766" s="3" t="n"/>
      <c r="L1766" s="3" t="n"/>
      <c r="M1766" s="2" t="inlineStr">
        <is>
          <t>PriceCharting</t>
        </is>
      </c>
      <c r="N1766" s="4" t="inlineStr">
        <is>
          <t>https://www.pricecharting.com/game/pokemon-promo/2025-holiday-calendar-box-costco</t>
        </is>
      </c>
    </row>
    <row r="1767">
      <c r="A1767" s="2" t="inlineStr">
        <is>
          <t>Promo 2025 Pokemon Collector Chest</t>
        </is>
      </c>
      <c r="B1767" s="3">
        <f>IF(I1767&lt;&gt;"",I1767,IF(J1767&lt;&gt;"",J1767,IF(K1767&lt;&gt;"",K1767,L1767)))</f>
        <v>48.98</v>
      </c>
      <c r="C1767" s="3">
        <f>MEDIAN(I1767:L1767)</f>
        <v>48.98</v>
      </c>
      <c r="D1767" s="3">
        <f>ROUND(C1767*(1-Settings!$B$2),2)</f>
        <v>34.29</v>
      </c>
      <c r="E1767" s="3">
        <f>ROUND(C1767*(1-Settings!$B$3),2)</f>
        <v>34.29</v>
      </c>
      <c r="F1767" s="2" t="inlineStr">
        <is>
          <t>Pokemon</t>
        </is>
      </c>
      <c r="G1767" s="2" t="inlineStr">
        <is>
          <t>Coffret</t>
        </is>
      </c>
      <c r="H1767" s="2" t="inlineStr">
        <is>
          <t>Promo</t>
        </is>
      </c>
      <c r="I1767" s="3" t="n">
        <v>48.98</v>
      </c>
      <c r="J1767" s="3" t="n"/>
      <c r="K1767" s="3" t="n"/>
      <c r="L1767" s="3" t="n"/>
      <c r="M1767" s="2" t="inlineStr">
        <is>
          <t>PriceCharting</t>
        </is>
      </c>
      <c r="N1767" s="4" t="inlineStr">
        <is>
          <t>https://www.pricecharting.com/game/pokemon-promo/2025-pokemon-collector-chest</t>
        </is>
      </c>
    </row>
    <row r="1768">
      <c r="A1768" s="2" t="inlineStr">
        <is>
          <t>Promo 3-Pack Blister [Carnivine]</t>
        </is>
      </c>
      <c r="B1768" s="3">
        <f>IF(I1768&lt;&gt;"",I1768,IF(J1768&lt;&gt;"",J1768,IF(K1768&lt;&gt;"",K1768,L1768)))</f>
        <v>2700.0</v>
      </c>
      <c r="C1768" s="3">
        <f>MEDIAN(I1768:L1768)</f>
        <v>2700.0</v>
      </c>
      <c r="D1768" s="3">
        <f>ROUND(C1768*(1-Settings!$B$2),2)</f>
        <v>1890.0</v>
      </c>
      <c r="E1768" s="3">
        <f>ROUND(C1768*(1-Settings!$B$3),2)</f>
        <v>1890.0</v>
      </c>
      <c r="F1768" s="2" t="inlineStr">
        <is>
          <t>Pokemon</t>
        </is>
      </c>
      <c r="G1768" s="2" t="inlineStr">
        <is>
          <t>Coffret</t>
        </is>
      </c>
      <c r="H1768" s="2" t="inlineStr">
        <is>
          <t>Promo</t>
        </is>
      </c>
      <c r="I1768" s="3" t="n">
        <v>2700</v>
      </c>
      <c r="J1768" s="3" t="n"/>
      <c r="K1768" s="3" t="n"/>
      <c r="L1768" s="3" t="n"/>
      <c r="M1768" s="2" t="inlineStr">
        <is>
          <t>PriceCharting</t>
        </is>
      </c>
      <c r="N1768" s="4" t="inlineStr">
        <is>
          <t>https://www.pricecharting.com/game/pokemon-promo/3-pack-blister-carnivine</t>
        </is>
      </c>
    </row>
    <row r="1769">
      <c r="A1769" s="2" t="inlineStr">
        <is>
          <t>Promo 3-Pack Blister [Dusknoir]</t>
        </is>
      </c>
      <c r="B1769" s="3">
        <f>IF(I1769&lt;&gt;"",I1769,IF(J1769&lt;&gt;"",J1769,IF(K1769&lt;&gt;"",K1769,L1769)))</f>
        <v>2000.0</v>
      </c>
      <c r="C1769" s="3">
        <f>MEDIAN(I1769:L1769)</f>
        <v>2000.0</v>
      </c>
      <c r="D1769" s="3">
        <f>ROUND(C1769*(1-Settings!$B$2),2)</f>
        <v>1400.0</v>
      </c>
      <c r="E1769" s="3">
        <f>ROUND(C1769*(1-Settings!$B$3),2)</f>
        <v>1400.0</v>
      </c>
      <c r="F1769" s="2" t="inlineStr">
        <is>
          <t>Pokemon</t>
        </is>
      </c>
      <c r="G1769" s="2" t="inlineStr">
        <is>
          <t>Coffret</t>
        </is>
      </c>
      <c r="H1769" s="2" t="inlineStr">
        <is>
          <t>Promo</t>
        </is>
      </c>
      <c r="I1769" s="3" t="n">
        <v>2000</v>
      </c>
      <c r="J1769" s="3" t="n"/>
      <c r="K1769" s="3" t="n"/>
      <c r="L1769" s="3" t="n"/>
      <c r="M1769" s="2" t="inlineStr">
        <is>
          <t>PriceCharting</t>
        </is>
      </c>
      <c r="N1769" s="4" t="inlineStr">
        <is>
          <t>https://www.pricecharting.com/game/pokemon-promo/3-pack-blister-dusknoir</t>
        </is>
      </c>
    </row>
    <row r="1770">
      <c r="A1770" s="2" t="inlineStr">
        <is>
          <t>Promo 3-Pack Blister [Magnezone]</t>
        </is>
      </c>
      <c r="B1770" s="3">
        <f>IF(I1770&lt;&gt;"",I1770,IF(J1770&lt;&gt;"",J1770,IF(K1770&lt;&gt;"",K1770,L1770)))</f>
        <v>1750.0</v>
      </c>
      <c r="C1770" s="3">
        <f>MEDIAN(I1770:L1770)</f>
        <v>1750.0</v>
      </c>
      <c r="D1770" s="3">
        <f>ROUND(C1770*(1-Settings!$B$2),2)</f>
        <v>1225.0</v>
      </c>
      <c r="E1770" s="3">
        <f>ROUND(C1770*(1-Settings!$B$3),2)</f>
        <v>1225.0</v>
      </c>
      <c r="F1770" s="2" t="inlineStr">
        <is>
          <t>Pokemon</t>
        </is>
      </c>
      <c r="G1770" s="2" t="inlineStr">
        <is>
          <t>Coffret</t>
        </is>
      </c>
      <c r="H1770" s="2" t="inlineStr">
        <is>
          <t>Promo</t>
        </is>
      </c>
      <c r="I1770" s="3" t="n">
        <v>1750</v>
      </c>
      <c r="J1770" s="3" t="n"/>
      <c r="K1770" s="3" t="n"/>
      <c r="L1770" s="3" t="n"/>
      <c r="M1770" s="2" t="inlineStr">
        <is>
          <t>PriceCharting</t>
        </is>
      </c>
      <c r="N1770" s="4" t="inlineStr">
        <is>
          <t>https://www.pricecharting.com/game/pokemon-promo/3-pack-blister-magnezone</t>
        </is>
      </c>
    </row>
    <row r="1771">
      <c r="A1771" s="2" t="inlineStr">
        <is>
          <t>Promo 30th CELEBRATION FUTURISTIC BOX [Japanese]</t>
        </is>
      </c>
      <c r="B1771" s="3">
        <f>IF(I1771&lt;&gt;"",I1771,IF(J1771&lt;&gt;"",J1771,IF(K1771&lt;&gt;"",K1771,L1771)))</f>
        <v>595.0</v>
      </c>
      <c r="C1771" s="3">
        <f>MEDIAN(I1771:L1771)</f>
        <v>595.0</v>
      </c>
      <c r="D1771" s="3">
        <f>ROUND(C1771*(1-Settings!$B$2),2)</f>
        <v>416.5</v>
      </c>
      <c r="E1771" s="3">
        <f>ROUND(C1771*(1-Settings!$B$3),2)</f>
        <v>416.5</v>
      </c>
      <c r="F1771" s="2" t="inlineStr">
        <is>
          <t>Pokemon</t>
        </is>
      </c>
      <c r="G1771" s="2" t="inlineStr">
        <is>
          <t>Coffret</t>
        </is>
      </c>
      <c r="H1771" s="2" t="inlineStr">
        <is>
          <t>Promo</t>
        </is>
      </c>
      <c r="I1771" s="3" t="n">
        <v>595</v>
      </c>
      <c r="J1771" s="3" t="n"/>
      <c r="K1771" s="3" t="n"/>
      <c r="L1771" s="3" t="n"/>
      <c r="M1771" s="2" t="inlineStr">
        <is>
          <t>PriceCharting</t>
        </is>
      </c>
      <c r="N1771" s="4" t="inlineStr">
        <is>
          <t>https://www.pricecharting.com/game/pokemon-promo/30th-celebration-futuristic-box-japanese</t>
        </is>
      </c>
    </row>
    <row r="1772">
      <c r="A1772" s="2" t="inlineStr">
        <is>
          <t>Promo 4-Pack Blister Pack</t>
        </is>
      </c>
      <c r="B1772" s="3">
        <f>IF(I1772&lt;&gt;"",I1772,IF(J1772&lt;&gt;"",J1772,IF(K1772&lt;&gt;"",K1772,L1772)))</f>
        <v>1375.0</v>
      </c>
      <c r="C1772" s="3">
        <f>MEDIAN(I1772:L1772)</f>
        <v>1375.0</v>
      </c>
      <c r="D1772" s="3">
        <f>ROUND(C1772*(1-Settings!$B$2),2)</f>
        <v>962.5</v>
      </c>
      <c r="E1772" s="3">
        <f>ROUND(C1772*(1-Settings!$B$3),2)</f>
        <v>962.5</v>
      </c>
      <c r="F1772" s="2" t="inlineStr">
        <is>
          <t>Pokemon</t>
        </is>
      </c>
      <c r="G1772" s="2" t="inlineStr">
        <is>
          <t>Coffret</t>
        </is>
      </c>
      <c r="H1772" s="2" t="inlineStr">
        <is>
          <t>Promo</t>
        </is>
      </c>
      <c r="I1772" s="3" t="n">
        <v>1375</v>
      </c>
      <c r="J1772" s="3" t="n"/>
      <c r="K1772" s="3" t="n"/>
      <c r="L1772" s="3" t="n"/>
      <c r="M1772" s="2" t="inlineStr">
        <is>
          <t>PriceCharting</t>
        </is>
      </c>
      <c r="N1772" s="4" t="inlineStr">
        <is>
          <t>https://www.pricecharting.com/game/pokemon-promo/4-pack-blister-pack</t>
        </is>
      </c>
    </row>
    <row r="1773">
      <c r="A1773" s="2" t="inlineStr">
        <is>
          <t>Promo Alolan Sandslash GX Box</t>
        </is>
      </c>
      <c r="B1773" s="3">
        <f>IF(I1773&lt;&gt;"",I1773,IF(J1773&lt;&gt;"",J1773,IF(K1773&lt;&gt;"",K1773,L1773)))</f>
        <v>370.0</v>
      </c>
      <c r="C1773" s="3">
        <f>MEDIAN(I1773:L1773)</f>
        <v>370.0</v>
      </c>
      <c r="D1773" s="3">
        <f>ROUND(C1773*(1-Settings!$B$2),2)</f>
        <v>259.0</v>
      </c>
      <c r="E1773" s="3">
        <f>ROUND(C1773*(1-Settings!$B$3),2)</f>
        <v>259.0</v>
      </c>
      <c r="F1773" s="2" t="inlineStr">
        <is>
          <t>Pokemon</t>
        </is>
      </c>
      <c r="G1773" s="2" t="inlineStr">
        <is>
          <t>Coffret</t>
        </is>
      </c>
      <c r="H1773" s="2" t="inlineStr">
        <is>
          <t>Promo</t>
        </is>
      </c>
      <c r="I1773" s="3" t="n">
        <v>370</v>
      </c>
      <c r="J1773" s="3" t="n"/>
      <c r="K1773" s="3" t="n"/>
      <c r="L1773" s="3" t="n"/>
      <c r="M1773" s="2" t="inlineStr">
        <is>
          <t>PriceCharting</t>
        </is>
      </c>
      <c r="N1773" s="4" t="inlineStr">
        <is>
          <t>https://www.pricecharting.com/game/pokemon-promo/alolan-sandslash-gx-box</t>
        </is>
      </c>
    </row>
    <row r="1774">
      <c r="A1774" s="2" t="inlineStr">
        <is>
          <t>Promo Annihilape Ex Box</t>
        </is>
      </c>
      <c r="B1774" s="3">
        <f>IF(I1774&lt;&gt;"",I1774,IF(J1774&lt;&gt;"",J1774,IF(K1774&lt;&gt;"",K1774,L1774)))</f>
        <v>53.63</v>
      </c>
      <c r="C1774" s="3">
        <f>MEDIAN(I1774:L1774)</f>
        <v>53.63</v>
      </c>
      <c r="D1774" s="3">
        <f>ROUND(C1774*(1-Settings!$B$2),2)</f>
        <v>37.54</v>
      </c>
      <c r="E1774" s="3">
        <f>ROUND(C1774*(1-Settings!$B$3),2)</f>
        <v>37.54</v>
      </c>
      <c r="F1774" s="2" t="inlineStr">
        <is>
          <t>Pokemon</t>
        </is>
      </c>
      <c r="G1774" s="2" t="inlineStr">
        <is>
          <t>Coffret</t>
        </is>
      </c>
      <c r="H1774" s="2" t="inlineStr">
        <is>
          <t>Promo</t>
        </is>
      </c>
      <c r="I1774" s="3" t="n">
        <v>53.63</v>
      </c>
      <c r="J1774" s="3" t="n"/>
      <c r="K1774" s="3" t="n"/>
      <c r="L1774" s="3" t="n"/>
      <c r="M1774" s="2" t="inlineStr">
        <is>
          <t>PriceCharting</t>
        </is>
      </c>
      <c r="N1774" s="4" t="inlineStr">
        <is>
          <t>https://www.pricecharting.com/game/pokemon-promo/annihilape-ex-box</t>
        </is>
      </c>
    </row>
    <row r="1775">
      <c r="A1775" s="2" t="inlineStr">
        <is>
          <t>Promo Archaludon Ex Box</t>
        </is>
      </c>
      <c r="B1775" s="3">
        <f>IF(I1775&lt;&gt;"",I1775,IF(J1775&lt;&gt;"",J1775,IF(K1775&lt;&gt;"",K1775,L1775)))</f>
        <v>40.19</v>
      </c>
      <c r="C1775" s="3">
        <f>MEDIAN(I1775:L1775)</f>
        <v>40.19</v>
      </c>
      <c r="D1775" s="3">
        <f>ROUND(C1775*(1-Settings!$B$2),2)</f>
        <v>28.13</v>
      </c>
      <c r="E1775" s="3">
        <f>ROUND(C1775*(1-Settings!$B$3),2)</f>
        <v>28.13</v>
      </c>
      <c r="F1775" s="2" t="inlineStr">
        <is>
          <t>Pokemon</t>
        </is>
      </c>
      <c r="G1775" s="2" t="inlineStr">
        <is>
          <t>Coffret</t>
        </is>
      </c>
      <c r="H1775" s="2" t="inlineStr">
        <is>
          <t>Promo</t>
        </is>
      </c>
      <c r="I1775" s="3" t="n">
        <v>40.19</v>
      </c>
      <c r="J1775" s="3" t="n"/>
      <c r="K1775" s="3" t="n"/>
      <c r="L1775" s="3" t="n"/>
      <c r="M1775" s="2" t="inlineStr">
        <is>
          <t>PriceCharting</t>
        </is>
      </c>
      <c r="N1775" s="4" t="inlineStr">
        <is>
          <t>https://www.pricecharting.com/game/pokemon-promo/archaludon-ex-box</t>
        </is>
      </c>
    </row>
    <row r="1776">
      <c r="A1776" s="2" t="inlineStr">
        <is>
          <t>Promo Azure Legends Tin: Dialga Ex</t>
        </is>
      </c>
      <c r="B1776" s="3">
        <f>IF(I1776&lt;&gt;"",I1776,IF(J1776&lt;&gt;"",J1776,IF(K1776&lt;&gt;"",K1776,L1776)))</f>
        <v>35.87</v>
      </c>
      <c r="C1776" s="3">
        <f>MEDIAN(I1776:L1776)</f>
        <v>35.87</v>
      </c>
      <c r="D1776" s="3">
        <f>ROUND(C1776*(1-Settings!$B$2),2)</f>
        <v>25.11</v>
      </c>
      <c r="E1776" s="3">
        <f>ROUND(C1776*(1-Settings!$B$3),2)</f>
        <v>25.11</v>
      </c>
      <c r="F1776" s="2" t="inlineStr">
        <is>
          <t>Pokemon</t>
        </is>
      </c>
      <c r="G1776" s="2" t="inlineStr">
        <is>
          <t>Coffret</t>
        </is>
      </c>
      <c r="H1776" s="2" t="inlineStr">
        <is>
          <t>Promo</t>
        </is>
      </c>
      <c r="I1776" s="3" t="n">
        <v>35.87</v>
      </c>
      <c r="J1776" s="3" t="n"/>
      <c r="K1776" s="3" t="n"/>
      <c r="L1776" s="3" t="n"/>
      <c r="M1776" s="2" t="inlineStr">
        <is>
          <t>PriceCharting</t>
        </is>
      </c>
      <c r="N1776" s="4" t="inlineStr">
        <is>
          <t>https://www.pricecharting.com/game/pokemon-promo/azure-legends-tin-dialga-ex</t>
        </is>
      </c>
    </row>
    <row r="1777">
      <c r="A1777" s="2" t="inlineStr">
        <is>
          <t>Promo Azure Legends Tin: Dialga Ex [International]</t>
        </is>
      </c>
      <c r="B1777" s="3">
        <f>IF(I1777&lt;&gt;"",I1777,IF(J1777&lt;&gt;"",J1777,IF(K1777&lt;&gt;"",K1777,L1777)))</f>
        <v>33.21</v>
      </c>
      <c r="C1777" s="3">
        <f>MEDIAN(I1777:L1777)</f>
        <v>33.21</v>
      </c>
      <c r="D1777" s="3">
        <f>ROUND(C1777*(1-Settings!$B$2),2)</f>
        <v>23.25</v>
      </c>
      <c r="E1777" s="3">
        <f>ROUND(C1777*(1-Settings!$B$3),2)</f>
        <v>23.25</v>
      </c>
      <c r="F1777" s="2" t="inlineStr">
        <is>
          <t>Pokemon</t>
        </is>
      </c>
      <c r="G1777" s="2" t="inlineStr">
        <is>
          <t>Coffret</t>
        </is>
      </c>
      <c r="H1777" s="2" t="inlineStr">
        <is>
          <t>Promo</t>
        </is>
      </c>
      <c r="I1777" s="3" t="n">
        <v>33.21</v>
      </c>
      <c r="J1777" s="3" t="n"/>
      <c r="K1777" s="3" t="n"/>
      <c r="L1777" s="3" t="n"/>
      <c r="M1777" s="2" t="inlineStr">
        <is>
          <t>PriceCharting</t>
        </is>
      </c>
      <c r="N1777" s="4" t="inlineStr">
        <is>
          <t>https://www.pricecharting.com/game/pokemon-promo/azure-legends-tin-dialga-ex-international</t>
        </is>
      </c>
    </row>
    <row r="1778">
      <c r="A1778" s="2" t="inlineStr">
        <is>
          <t>Promo Azure Legends Tin: Kyogre Ex</t>
        </is>
      </c>
      <c r="B1778" s="3">
        <f>IF(I1778&lt;&gt;"",I1778,IF(J1778&lt;&gt;"",J1778,IF(K1778&lt;&gt;"",K1778,L1778)))</f>
        <v>42.5</v>
      </c>
      <c r="C1778" s="3">
        <f>MEDIAN(I1778:L1778)</f>
        <v>42.5</v>
      </c>
      <c r="D1778" s="3">
        <f>ROUND(C1778*(1-Settings!$B$2),2)</f>
        <v>29.75</v>
      </c>
      <c r="E1778" s="3">
        <f>ROUND(C1778*(1-Settings!$B$3),2)</f>
        <v>29.75</v>
      </c>
      <c r="F1778" s="2" t="inlineStr">
        <is>
          <t>Pokemon</t>
        </is>
      </c>
      <c r="G1778" s="2" t="inlineStr">
        <is>
          <t>Coffret</t>
        </is>
      </c>
      <c r="H1778" s="2" t="inlineStr">
        <is>
          <t>Promo</t>
        </is>
      </c>
      <c r="I1778" s="3" t="n">
        <v>42.5</v>
      </c>
      <c r="J1778" s="3" t="n"/>
      <c r="K1778" s="3" t="n"/>
      <c r="L1778" s="3" t="n"/>
      <c r="M1778" s="2" t="inlineStr">
        <is>
          <t>PriceCharting</t>
        </is>
      </c>
      <c r="N1778" s="4" t="inlineStr">
        <is>
          <t>https://www.pricecharting.com/game/pokemon-promo/azure-legends-tin-kyogre-ex</t>
        </is>
      </c>
    </row>
    <row r="1779">
      <c r="A1779" s="2" t="inlineStr">
        <is>
          <t>Promo Azure Legends Tin: Kyogre Ex [International]</t>
        </is>
      </c>
      <c r="B1779" s="3">
        <f>IF(I1779&lt;&gt;"",I1779,IF(J1779&lt;&gt;"",J1779,IF(K1779&lt;&gt;"",K1779,L1779)))</f>
        <v>37.58</v>
      </c>
      <c r="C1779" s="3">
        <f>MEDIAN(I1779:L1779)</f>
        <v>37.58</v>
      </c>
      <c r="D1779" s="3">
        <f>ROUND(C1779*(1-Settings!$B$2),2)</f>
        <v>26.31</v>
      </c>
      <c r="E1779" s="3">
        <f>ROUND(C1779*(1-Settings!$B$3),2)</f>
        <v>26.31</v>
      </c>
      <c r="F1779" s="2" t="inlineStr">
        <is>
          <t>Pokemon</t>
        </is>
      </c>
      <c r="G1779" s="2" t="inlineStr">
        <is>
          <t>Coffret</t>
        </is>
      </c>
      <c r="H1779" s="2" t="inlineStr">
        <is>
          <t>Promo</t>
        </is>
      </c>
      <c r="I1779" s="3" t="n">
        <v>37.58</v>
      </c>
      <c r="J1779" s="3" t="n"/>
      <c r="K1779" s="3" t="n"/>
      <c r="L1779" s="3" t="n"/>
      <c r="M1779" s="2" t="inlineStr">
        <is>
          <t>PriceCharting</t>
        </is>
      </c>
      <c r="N1779" s="4" t="inlineStr">
        <is>
          <t>https://www.pricecharting.com/game/pokemon-promo/azure-legends-tin-kyogre-ex-international</t>
        </is>
      </c>
    </row>
    <row r="1780">
      <c r="A1780" s="2" t="inlineStr">
        <is>
          <t>Promo Azure Legends Tin: Xerneas Ex</t>
        </is>
      </c>
      <c r="B1780" s="3">
        <f>IF(I1780&lt;&gt;"",I1780,IF(J1780&lt;&gt;"",J1780,IF(K1780&lt;&gt;"",K1780,L1780)))</f>
        <v>32.12</v>
      </c>
      <c r="C1780" s="3">
        <f>MEDIAN(I1780:L1780)</f>
        <v>32.12</v>
      </c>
      <c r="D1780" s="3">
        <f>ROUND(C1780*(1-Settings!$B$2),2)</f>
        <v>22.48</v>
      </c>
      <c r="E1780" s="3">
        <f>ROUND(C1780*(1-Settings!$B$3),2)</f>
        <v>22.48</v>
      </c>
      <c r="F1780" s="2" t="inlineStr">
        <is>
          <t>Pokemon</t>
        </is>
      </c>
      <c r="G1780" s="2" t="inlineStr">
        <is>
          <t>Coffret</t>
        </is>
      </c>
      <c r="H1780" s="2" t="inlineStr">
        <is>
          <t>Promo</t>
        </is>
      </c>
      <c r="I1780" s="3" t="n">
        <v>32.12</v>
      </c>
      <c r="J1780" s="3" t="n"/>
      <c r="K1780" s="3" t="n"/>
      <c r="L1780" s="3" t="n"/>
      <c r="M1780" s="2" t="inlineStr">
        <is>
          <t>PriceCharting</t>
        </is>
      </c>
      <c r="N1780" s="4" t="inlineStr">
        <is>
          <t>https://www.pricecharting.com/game/pokemon-promo/azure-legends-tin-xerneas-ex</t>
        </is>
      </c>
    </row>
    <row r="1781">
      <c r="A1781" s="2" t="inlineStr">
        <is>
          <t>Promo Azure Legends Tin: Xerneas Ex [International]</t>
        </is>
      </c>
      <c r="B1781" s="3">
        <f>IF(I1781&lt;&gt;"",I1781,IF(J1781&lt;&gt;"",J1781,IF(K1781&lt;&gt;"",K1781,L1781)))</f>
        <v>34.0</v>
      </c>
      <c r="C1781" s="3">
        <f>MEDIAN(I1781:L1781)</f>
        <v>34.0</v>
      </c>
      <c r="D1781" s="3">
        <f>ROUND(C1781*(1-Settings!$B$2),2)</f>
        <v>23.8</v>
      </c>
      <c r="E1781" s="3">
        <f>ROUND(C1781*(1-Settings!$B$3),2)</f>
        <v>23.8</v>
      </c>
      <c r="F1781" s="2" t="inlineStr">
        <is>
          <t>Pokemon</t>
        </is>
      </c>
      <c r="G1781" s="2" t="inlineStr">
        <is>
          <t>Coffret</t>
        </is>
      </c>
      <c r="H1781" s="2" t="inlineStr">
        <is>
          <t>Promo</t>
        </is>
      </c>
      <c r="I1781" s="3" t="n">
        <v>34</v>
      </c>
      <c r="J1781" s="3" t="n"/>
      <c r="K1781" s="3" t="n"/>
      <c r="L1781" s="3" t="n"/>
      <c r="M1781" s="2" t="inlineStr">
        <is>
          <t>PriceCharting</t>
        </is>
      </c>
      <c r="N1781" s="4" t="inlineStr">
        <is>
          <t>https://www.pricecharting.com/game/pokemon-promo/azure-legends-tin-xerneas-ex-international</t>
        </is>
      </c>
    </row>
    <row r="1782">
      <c r="A1782" s="2" t="inlineStr">
        <is>
          <t>Promo Black Kyurem Ex Box</t>
        </is>
      </c>
      <c r="B1782" s="3">
        <f>IF(I1782&lt;&gt;"",I1782,IF(J1782&lt;&gt;"",J1782,IF(K1782&lt;&gt;"",K1782,L1782)))</f>
        <v>38.95</v>
      </c>
      <c r="C1782" s="3">
        <f>MEDIAN(I1782:L1782)</f>
        <v>38.95</v>
      </c>
      <c r="D1782" s="3">
        <f>ROUND(C1782*(1-Settings!$B$2),2)</f>
        <v>27.27</v>
      </c>
      <c r="E1782" s="3">
        <f>ROUND(C1782*(1-Settings!$B$3),2)</f>
        <v>27.27</v>
      </c>
      <c r="F1782" s="2" t="inlineStr">
        <is>
          <t>Pokemon</t>
        </is>
      </c>
      <c r="G1782" s="2" t="inlineStr">
        <is>
          <t>Coffret</t>
        </is>
      </c>
      <c r="H1782" s="2" t="inlineStr">
        <is>
          <t>Promo</t>
        </is>
      </c>
      <c r="I1782" s="3" t="n">
        <v>38.95</v>
      </c>
      <c r="J1782" s="3" t="n"/>
      <c r="K1782" s="3" t="n"/>
      <c r="L1782" s="3" t="n"/>
      <c r="M1782" s="2" t="inlineStr">
        <is>
          <t>PriceCharting</t>
        </is>
      </c>
      <c r="N1782" s="4" t="inlineStr">
        <is>
          <t>https://www.pricecharting.com/game/pokemon-promo/black-kyurem-ex-box</t>
        </is>
      </c>
    </row>
    <row r="1783">
      <c r="A1783" s="2" t="inlineStr">
        <is>
          <t>Promo Blaziken Ex &amp; Volcanion Ex Premium Collection</t>
        </is>
      </c>
      <c r="B1783" s="3">
        <f>IF(I1783&lt;&gt;"",I1783,IF(J1783&lt;&gt;"",J1783,IF(K1783&lt;&gt;"",K1783,L1783)))</f>
        <v>89.0</v>
      </c>
      <c r="C1783" s="3">
        <f>MEDIAN(I1783:L1783)</f>
        <v>89.0</v>
      </c>
      <c r="D1783" s="3">
        <f>ROUND(C1783*(1-Settings!$B$2),2)</f>
        <v>62.3</v>
      </c>
      <c r="E1783" s="3">
        <f>ROUND(C1783*(1-Settings!$B$3),2)</f>
        <v>62.3</v>
      </c>
      <c r="F1783" s="2" t="inlineStr">
        <is>
          <t>Pokemon</t>
        </is>
      </c>
      <c r="G1783" s="2" t="inlineStr">
        <is>
          <t>Coffret</t>
        </is>
      </c>
      <c r="H1783" s="2" t="inlineStr">
        <is>
          <t>Promo</t>
        </is>
      </c>
      <c r="I1783" s="3" t="n">
        <v>89</v>
      </c>
      <c r="J1783" s="3" t="n"/>
      <c r="K1783" s="3" t="n"/>
      <c r="L1783" s="3" t="n"/>
      <c r="M1783" s="2" t="inlineStr">
        <is>
          <t>PriceCharting</t>
        </is>
      </c>
      <c r="N1783" s="4" t="inlineStr">
        <is>
          <t>https://www.pricecharting.com/game/pokemon-promo/blaziken-ex-&amp;-volcanion-ex-premium-collection</t>
        </is>
      </c>
    </row>
    <row r="1784">
      <c r="A1784" s="2" t="inlineStr">
        <is>
          <t>Promo Celebi &amp; Venusaur Tin</t>
        </is>
      </c>
      <c r="B1784" s="3">
        <f>IF(I1784&lt;&gt;"",I1784,IF(J1784&lt;&gt;"",J1784,IF(K1784&lt;&gt;"",K1784,L1784)))</f>
        <v>630.0</v>
      </c>
      <c r="C1784" s="3">
        <f>MEDIAN(I1784:L1784)</f>
        <v>630.0</v>
      </c>
      <c r="D1784" s="3">
        <f>ROUND(C1784*(1-Settings!$B$2),2)</f>
        <v>441.0</v>
      </c>
      <c r="E1784" s="3">
        <f>ROUND(C1784*(1-Settings!$B$3),2)</f>
        <v>441.0</v>
      </c>
      <c r="F1784" s="2" t="inlineStr">
        <is>
          <t>Pokemon</t>
        </is>
      </c>
      <c r="G1784" s="2" t="inlineStr">
        <is>
          <t>Coffret</t>
        </is>
      </c>
      <c r="H1784" s="2" t="inlineStr">
        <is>
          <t>Promo</t>
        </is>
      </c>
      <c r="I1784" s="3" t="n">
        <v>630</v>
      </c>
      <c r="J1784" s="3" t="n"/>
      <c r="K1784" s="3" t="n"/>
      <c r="L1784" s="3" t="n"/>
      <c r="M1784" s="2" t="inlineStr">
        <is>
          <t>PriceCharting</t>
        </is>
      </c>
      <c r="N1784" s="4" t="inlineStr">
        <is>
          <t>https://www.pricecharting.com/game/pokemon-promo/celebi-&amp;-venusaur-tin</t>
        </is>
      </c>
    </row>
    <row r="1785">
      <c r="A1785" s="2" t="inlineStr">
        <is>
          <t>Promo Charizard Ex Special Collection Box</t>
        </is>
      </c>
      <c r="B1785" s="3">
        <f>IF(I1785&lt;&gt;"",I1785,IF(J1785&lt;&gt;"",J1785,IF(K1785&lt;&gt;"",K1785,L1785)))</f>
        <v>59.84</v>
      </c>
      <c r="C1785" s="3">
        <f>MEDIAN(I1785:L1785)</f>
        <v>59.84</v>
      </c>
      <c r="D1785" s="3">
        <f>ROUND(C1785*(1-Settings!$B$2),2)</f>
        <v>41.89</v>
      </c>
      <c r="E1785" s="3">
        <f>ROUND(C1785*(1-Settings!$B$3),2)</f>
        <v>41.89</v>
      </c>
      <c r="F1785" s="2" t="inlineStr">
        <is>
          <t>Pokemon</t>
        </is>
      </c>
      <c r="G1785" s="2" t="inlineStr">
        <is>
          <t>Coffret</t>
        </is>
      </c>
      <c r="H1785" s="2" t="inlineStr">
        <is>
          <t>Promo</t>
        </is>
      </c>
      <c r="I1785" s="3" t="n">
        <v>59.84</v>
      </c>
      <c r="J1785" s="3" t="n"/>
      <c r="K1785" s="3" t="n"/>
      <c r="L1785" s="3" t="n"/>
      <c r="M1785" s="2" t="inlineStr">
        <is>
          <t>PriceCharting</t>
        </is>
      </c>
      <c r="N1785" s="4" t="inlineStr">
        <is>
          <t>https://www.pricecharting.com/game/pokemon-promo/charizard-ex-special-collection-box</t>
        </is>
      </c>
    </row>
    <row r="1786">
      <c r="A1786" s="2" t="inlineStr">
        <is>
          <t>Promo Charizard Ex Super Premium Collection Box</t>
        </is>
      </c>
      <c r="B1786" s="3">
        <f>IF(I1786&lt;&gt;"",I1786,IF(J1786&lt;&gt;"",J1786,IF(K1786&lt;&gt;"",K1786,L1786)))</f>
        <v>118.75</v>
      </c>
      <c r="C1786" s="3">
        <f>MEDIAN(I1786:L1786)</f>
        <v>118.75</v>
      </c>
      <c r="D1786" s="3">
        <f>ROUND(C1786*(1-Settings!$B$2),2)</f>
        <v>83.13</v>
      </c>
      <c r="E1786" s="3">
        <f>ROUND(C1786*(1-Settings!$B$3),2)</f>
        <v>83.13</v>
      </c>
      <c r="F1786" s="2" t="inlineStr">
        <is>
          <t>Pokemon</t>
        </is>
      </c>
      <c r="G1786" s="2" t="inlineStr">
        <is>
          <t>Coffret</t>
        </is>
      </c>
      <c r="H1786" s="2" t="inlineStr">
        <is>
          <t>Promo</t>
        </is>
      </c>
      <c r="I1786" s="3" t="n">
        <v>118.75</v>
      </c>
      <c r="J1786" s="3" t="n"/>
      <c r="K1786" s="3" t="n"/>
      <c r="L1786" s="3" t="n"/>
      <c r="M1786" s="2" t="inlineStr">
        <is>
          <t>PriceCharting</t>
        </is>
      </c>
      <c r="N1786" s="4" t="inlineStr">
        <is>
          <t>https://www.pricecharting.com/game/pokemon-promo/charizard-ex-super-premium-collection-box</t>
        </is>
      </c>
    </row>
    <row r="1787">
      <c r="A1787" s="2" t="inlineStr">
        <is>
          <t>Promo Charizard EX Tin</t>
        </is>
      </c>
      <c r="B1787" s="3">
        <f>IF(I1787&lt;&gt;"",I1787,IF(J1787&lt;&gt;"",J1787,IF(K1787&lt;&gt;"",K1787,L1787)))</f>
        <v>29.5</v>
      </c>
      <c r="C1787" s="3">
        <f>MEDIAN(I1787:L1787)</f>
        <v>29.5</v>
      </c>
      <c r="D1787" s="3">
        <f>ROUND(C1787*(1-Settings!$B$2),2)</f>
        <v>20.65</v>
      </c>
      <c r="E1787" s="3">
        <f>ROUND(C1787*(1-Settings!$B$3),2)</f>
        <v>20.65</v>
      </c>
      <c r="F1787" s="2" t="inlineStr">
        <is>
          <t>Pokemon</t>
        </is>
      </c>
      <c r="G1787" s="2" t="inlineStr">
        <is>
          <t>Coffret</t>
        </is>
      </c>
      <c r="H1787" s="2" t="inlineStr">
        <is>
          <t>Promo</t>
        </is>
      </c>
      <c r="I1787" s="3" t="n">
        <v>29.5</v>
      </c>
      <c r="J1787" s="3" t="n"/>
      <c r="K1787" s="3" t="n"/>
      <c r="L1787" s="3" t="n"/>
      <c r="M1787" s="2" t="inlineStr">
        <is>
          <t>PriceCharting</t>
        </is>
      </c>
      <c r="N1787" s="4" t="inlineStr">
        <is>
          <t>https://www.pricecharting.com/game/pokemon-promo/charizard-ex-tin</t>
        </is>
      </c>
    </row>
    <row r="1788">
      <c r="A1788" s="2" t="inlineStr">
        <is>
          <t>Promo Checklane 2-Pack Blister [Pawmot] [3-Tab]</t>
        </is>
      </c>
      <c r="B1788" s="3">
        <f>IF(I1788&lt;&gt;"",I1788,IF(J1788&lt;&gt;"",J1788,IF(K1788&lt;&gt;"",K1788,L1788)))</f>
        <v>30.65</v>
      </c>
      <c r="C1788" s="3">
        <f>MEDIAN(I1788:L1788)</f>
        <v>30.65</v>
      </c>
      <c r="D1788" s="3">
        <f>ROUND(C1788*(1-Settings!$B$2),2)</f>
        <v>21.46</v>
      </c>
      <c r="E1788" s="3">
        <f>ROUND(C1788*(1-Settings!$B$3),2)</f>
        <v>21.46</v>
      </c>
      <c r="F1788" s="2" t="inlineStr">
        <is>
          <t>Pokemon</t>
        </is>
      </c>
      <c r="G1788" s="2" t="inlineStr">
        <is>
          <t>Coffret</t>
        </is>
      </c>
      <c r="H1788" s="2" t="inlineStr">
        <is>
          <t>Promo</t>
        </is>
      </c>
      <c r="I1788" s="3" t="n">
        <v>30.65</v>
      </c>
      <c r="J1788" s="3" t="n"/>
      <c r="K1788" s="3" t="n"/>
      <c r="L1788" s="3" t="n"/>
      <c r="M1788" s="2" t="inlineStr">
        <is>
          <t>PriceCharting</t>
        </is>
      </c>
      <c r="N1788" s="4" t="inlineStr">
        <is>
          <t>https://www.pricecharting.com/game/pokemon-promo/checklane-2-pack-blister-pawmot-3-tab</t>
        </is>
      </c>
    </row>
    <row r="1789">
      <c r="A1789" s="2" t="inlineStr">
        <is>
          <t>Promo Darkrai Vstar Premium Collection Box</t>
        </is>
      </c>
      <c r="B1789" s="3">
        <f>IF(I1789&lt;&gt;"",I1789,IF(J1789&lt;&gt;"",J1789,IF(K1789&lt;&gt;"",K1789,L1789)))</f>
        <v>140.0</v>
      </c>
      <c r="C1789" s="3">
        <f>MEDIAN(I1789:L1789)</f>
        <v>140.0</v>
      </c>
      <c r="D1789" s="3">
        <f>ROUND(C1789*(1-Settings!$B$2),2)</f>
        <v>98.0</v>
      </c>
      <c r="E1789" s="3">
        <f>ROUND(C1789*(1-Settings!$B$3),2)</f>
        <v>98.0</v>
      </c>
      <c r="F1789" s="2" t="inlineStr">
        <is>
          <t>Pokemon</t>
        </is>
      </c>
      <c r="G1789" s="2" t="inlineStr">
        <is>
          <t>Coffret</t>
        </is>
      </c>
      <c r="H1789" s="2" t="inlineStr">
        <is>
          <t>Promo</t>
        </is>
      </c>
      <c r="I1789" s="3" t="n">
        <v>140</v>
      </c>
      <c r="J1789" s="3" t="n"/>
      <c r="K1789" s="3" t="n"/>
      <c r="L1789" s="3" t="n"/>
      <c r="M1789" s="2" t="inlineStr">
        <is>
          <t>PriceCharting</t>
        </is>
      </c>
      <c r="N1789" s="4" t="inlineStr">
        <is>
          <t>https://www.pricecharting.com/game/pokemon-promo/darkrai-vstar-premium-collection-box</t>
        </is>
      </c>
    </row>
    <row r="1790">
      <c r="A1790" s="2" t="inlineStr">
        <is>
          <t>Promo Deoxys VMAX &amp; VSTAR Battle Box</t>
        </is>
      </c>
      <c r="B1790" s="3">
        <f>IF(I1790&lt;&gt;"",I1790,IF(J1790&lt;&gt;"",J1790,IF(K1790&lt;&gt;"",K1790,L1790)))</f>
        <v>81.17</v>
      </c>
      <c r="C1790" s="3">
        <f>MEDIAN(I1790:L1790)</f>
        <v>81.17</v>
      </c>
      <c r="D1790" s="3">
        <f>ROUND(C1790*(1-Settings!$B$2),2)</f>
        <v>56.82</v>
      </c>
      <c r="E1790" s="3">
        <f>ROUND(C1790*(1-Settings!$B$3),2)</f>
        <v>56.82</v>
      </c>
      <c r="F1790" s="2" t="inlineStr">
        <is>
          <t>Pokemon</t>
        </is>
      </c>
      <c r="G1790" s="2" t="inlineStr">
        <is>
          <t>Coffret</t>
        </is>
      </c>
      <c r="H1790" s="2" t="inlineStr">
        <is>
          <t>Promo</t>
        </is>
      </c>
      <c r="I1790" s="3" t="n">
        <v>81.17</v>
      </c>
      <c r="J1790" s="3" t="n"/>
      <c r="K1790" s="3" t="n"/>
      <c r="L1790" s="3" t="n"/>
      <c r="M1790" s="2" t="inlineStr">
        <is>
          <t>PriceCharting</t>
        </is>
      </c>
      <c r="N1790" s="4" t="inlineStr">
        <is>
          <t>https://www.pricecharting.com/game/pokemon-promo/deoxys-vmax-&amp;-vstar-battle-box</t>
        </is>
      </c>
    </row>
    <row r="1791">
      <c r="A1791" s="2" t="inlineStr">
        <is>
          <t>Promo Divergent Powers Tin [Hisuian Decidueye V]</t>
        </is>
      </c>
      <c r="B1791" s="3">
        <f>IF(I1791&lt;&gt;"",I1791,IF(J1791&lt;&gt;"",J1791,IF(K1791&lt;&gt;"",K1791,L1791)))</f>
        <v>98.0</v>
      </c>
      <c r="C1791" s="3">
        <f>MEDIAN(I1791:L1791)</f>
        <v>98.0</v>
      </c>
      <c r="D1791" s="3">
        <f>ROUND(C1791*(1-Settings!$B$2),2)</f>
        <v>68.6</v>
      </c>
      <c r="E1791" s="3">
        <f>ROUND(C1791*(1-Settings!$B$3),2)</f>
        <v>68.6</v>
      </c>
      <c r="F1791" s="2" t="inlineStr">
        <is>
          <t>Pokemon</t>
        </is>
      </c>
      <c r="G1791" s="2" t="inlineStr">
        <is>
          <t>Coffret</t>
        </is>
      </c>
      <c r="H1791" s="2" t="inlineStr">
        <is>
          <t>Promo</t>
        </is>
      </c>
      <c r="I1791" s="3" t="n">
        <v>98</v>
      </c>
      <c r="J1791" s="3" t="n"/>
      <c r="K1791" s="3" t="n"/>
      <c r="L1791" s="3" t="n"/>
      <c r="M1791" s="2" t="inlineStr">
        <is>
          <t>PriceCharting</t>
        </is>
      </c>
      <c r="N1791" s="4" t="inlineStr">
        <is>
          <t>https://www.pricecharting.com/game/pokemon-promo/divergent-powers-tin-hisuian-decidueye-v</t>
        </is>
      </c>
    </row>
    <row r="1792">
      <c r="A1792" s="2" t="inlineStr">
        <is>
          <t>Promo Divergent Powers Tin [Hisuian Decidueye V] [International]</t>
        </is>
      </c>
      <c r="B1792" s="3">
        <f>IF(I1792&lt;&gt;"",I1792,IF(J1792&lt;&gt;"",J1792,IF(K1792&lt;&gt;"",K1792,L1792)))</f>
        <v>42.64</v>
      </c>
      <c r="C1792" s="3">
        <f>MEDIAN(I1792:L1792)</f>
        <v>42.64</v>
      </c>
      <c r="D1792" s="3">
        <f>ROUND(C1792*(1-Settings!$B$2),2)</f>
        <v>29.85</v>
      </c>
      <c r="E1792" s="3">
        <f>ROUND(C1792*(1-Settings!$B$3),2)</f>
        <v>29.85</v>
      </c>
      <c r="F1792" s="2" t="inlineStr">
        <is>
          <t>Pokemon</t>
        </is>
      </c>
      <c r="G1792" s="2" t="inlineStr">
        <is>
          <t>Coffret</t>
        </is>
      </c>
      <c r="H1792" s="2" t="inlineStr">
        <is>
          <t>Promo</t>
        </is>
      </c>
      <c r="I1792" s="3" t="n">
        <v>42.64</v>
      </c>
      <c r="J1792" s="3" t="n"/>
      <c r="K1792" s="3" t="n"/>
      <c r="L1792" s="3" t="n"/>
      <c r="M1792" s="2" t="inlineStr">
        <is>
          <t>PriceCharting</t>
        </is>
      </c>
      <c r="N1792" s="4" t="inlineStr">
        <is>
          <t>https://www.pricecharting.com/game/pokemon-promo/divergent-powers-tin-hisuian-decidueye-v-international</t>
        </is>
      </c>
    </row>
    <row r="1793">
      <c r="A1793" s="2" t="inlineStr">
        <is>
          <t>Promo Divergent Powers Tin [Hisuian Samurott V]</t>
        </is>
      </c>
      <c r="B1793" s="3">
        <f>IF(I1793&lt;&gt;"",I1793,IF(J1793&lt;&gt;"",J1793,IF(K1793&lt;&gt;"",K1793,L1793)))</f>
        <v>97.0</v>
      </c>
      <c r="C1793" s="3">
        <f>MEDIAN(I1793:L1793)</f>
        <v>97.0</v>
      </c>
      <c r="D1793" s="3">
        <f>ROUND(C1793*(1-Settings!$B$2),2)</f>
        <v>67.9</v>
      </c>
      <c r="E1793" s="3">
        <f>ROUND(C1793*(1-Settings!$B$3),2)</f>
        <v>67.9</v>
      </c>
      <c r="F1793" s="2" t="inlineStr">
        <is>
          <t>Pokemon</t>
        </is>
      </c>
      <c r="G1793" s="2" t="inlineStr">
        <is>
          <t>Coffret</t>
        </is>
      </c>
      <c r="H1793" s="2" t="inlineStr">
        <is>
          <t>Promo</t>
        </is>
      </c>
      <c r="I1793" s="3" t="n">
        <v>97</v>
      </c>
      <c r="J1793" s="3" t="n"/>
      <c r="K1793" s="3" t="n"/>
      <c r="L1793" s="3" t="n"/>
      <c r="M1793" s="2" t="inlineStr">
        <is>
          <t>PriceCharting</t>
        </is>
      </c>
      <c r="N1793" s="4" t="inlineStr">
        <is>
          <t>https://www.pricecharting.com/game/pokemon-promo/divergent-powers-tin-hisuian-samurott-v</t>
        </is>
      </c>
    </row>
    <row r="1794">
      <c r="A1794" s="2" t="inlineStr">
        <is>
          <t>Promo Divergent Powers Tin [Hisuian Samurott V] [International]</t>
        </is>
      </c>
      <c r="B1794" s="3">
        <f>IF(I1794&lt;&gt;"",I1794,IF(J1794&lt;&gt;"",J1794,IF(K1794&lt;&gt;"",K1794,L1794)))</f>
        <v>72.96</v>
      </c>
      <c r="C1794" s="3">
        <f>MEDIAN(I1794:L1794)</f>
        <v>72.96</v>
      </c>
      <c r="D1794" s="3">
        <f>ROUND(C1794*(1-Settings!$B$2),2)</f>
        <v>51.07</v>
      </c>
      <c r="E1794" s="3">
        <f>ROUND(C1794*(1-Settings!$B$3),2)</f>
        <v>51.07</v>
      </c>
      <c r="F1794" s="2" t="inlineStr">
        <is>
          <t>Pokemon</t>
        </is>
      </c>
      <c r="G1794" s="2" t="inlineStr">
        <is>
          <t>Coffret</t>
        </is>
      </c>
      <c r="H1794" s="2" t="inlineStr">
        <is>
          <t>Promo</t>
        </is>
      </c>
      <c r="I1794" s="3" t="n">
        <v>72.95999999999999</v>
      </c>
      <c r="J1794" s="3" t="n"/>
      <c r="K1794" s="3" t="n"/>
      <c r="L1794" s="3" t="n"/>
      <c r="M1794" s="2" t="inlineStr">
        <is>
          <t>PriceCharting</t>
        </is>
      </c>
      <c r="N1794" s="4" t="inlineStr">
        <is>
          <t>https://www.pricecharting.com/game/pokemon-promo/divergent-powers-tin-hisuian-samurott-v-international</t>
        </is>
      </c>
    </row>
    <row r="1795">
      <c r="A1795" s="2" t="inlineStr">
        <is>
          <t>Promo Divergent Powers Tin [Hisuian Typhlosion V]</t>
        </is>
      </c>
      <c r="B1795" s="3">
        <f>IF(I1795&lt;&gt;"",I1795,IF(J1795&lt;&gt;"",J1795,IF(K1795&lt;&gt;"",K1795,L1795)))</f>
        <v>111.0</v>
      </c>
      <c r="C1795" s="3">
        <f>MEDIAN(I1795:L1795)</f>
        <v>111.0</v>
      </c>
      <c r="D1795" s="3">
        <f>ROUND(C1795*(1-Settings!$B$2),2)</f>
        <v>77.7</v>
      </c>
      <c r="E1795" s="3">
        <f>ROUND(C1795*(1-Settings!$B$3),2)</f>
        <v>77.7</v>
      </c>
      <c r="F1795" s="2" t="inlineStr">
        <is>
          <t>Pokemon</t>
        </is>
      </c>
      <c r="G1795" s="2" t="inlineStr">
        <is>
          <t>Coffret</t>
        </is>
      </c>
      <c r="H1795" s="2" t="inlineStr">
        <is>
          <t>Promo</t>
        </is>
      </c>
      <c r="I1795" s="3" t="n">
        <v>111</v>
      </c>
      <c r="J1795" s="3" t="n"/>
      <c r="K1795" s="3" t="n"/>
      <c r="L1795" s="3" t="n"/>
      <c r="M1795" s="2" t="inlineStr">
        <is>
          <t>PriceCharting</t>
        </is>
      </c>
      <c r="N1795" s="4" t="inlineStr">
        <is>
          <t>https://www.pricecharting.com/game/pokemon-promo/divergent-powers-tin-hisuian-typhlosion-v</t>
        </is>
      </c>
    </row>
    <row r="1796">
      <c r="A1796" s="2" t="inlineStr">
        <is>
          <t>Promo Divergent Powers Tin [Hisuian Typhlosion V] [International]</t>
        </is>
      </c>
      <c r="B1796" s="3">
        <f>IF(I1796&lt;&gt;"",I1796,IF(J1796&lt;&gt;"",J1796,IF(K1796&lt;&gt;"",K1796,L1796)))</f>
        <v>61.88</v>
      </c>
      <c r="C1796" s="3">
        <f>MEDIAN(I1796:L1796)</f>
        <v>61.88</v>
      </c>
      <c r="D1796" s="3">
        <f>ROUND(C1796*(1-Settings!$B$2),2)</f>
        <v>43.32</v>
      </c>
      <c r="E1796" s="3">
        <f>ROUND(C1796*(1-Settings!$B$3),2)</f>
        <v>43.32</v>
      </c>
      <c r="F1796" s="2" t="inlineStr">
        <is>
          <t>Pokemon</t>
        </is>
      </c>
      <c r="G1796" s="2" t="inlineStr">
        <is>
          <t>Coffret</t>
        </is>
      </c>
      <c r="H1796" s="2" t="inlineStr">
        <is>
          <t>Promo</t>
        </is>
      </c>
      <c r="I1796" s="3" t="n">
        <v>61.88</v>
      </c>
      <c r="J1796" s="3" t="n"/>
      <c r="K1796" s="3" t="n"/>
      <c r="L1796" s="3" t="n"/>
      <c r="M1796" s="2" t="inlineStr">
        <is>
          <t>PriceCharting</t>
        </is>
      </c>
      <c r="N1796" s="4" t="inlineStr">
        <is>
          <t>https://www.pricecharting.com/game/pokemon-promo/divergent-powers-tin-hisuian-typhlosion-v-international</t>
        </is>
      </c>
    </row>
    <row r="1797">
      <c r="A1797" s="2" t="inlineStr">
        <is>
          <t>Promo Dragon Stacking Tin</t>
        </is>
      </c>
      <c r="B1797" s="3">
        <f>IF(I1797&lt;&gt;"",I1797,IF(J1797&lt;&gt;"",J1797,IF(K1797&lt;&gt;"",K1797,L1797)))</f>
        <v>33.54</v>
      </c>
      <c r="C1797" s="3">
        <f>MEDIAN(I1797:L1797)</f>
        <v>33.54</v>
      </c>
      <c r="D1797" s="3">
        <f>ROUND(C1797*(1-Settings!$B$2),2)</f>
        <v>23.48</v>
      </c>
      <c r="E1797" s="3">
        <f>ROUND(C1797*(1-Settings!$B$3),2)</f>
        <v>23.48</v>
      </c>
      <c r="F1797" s="2" t="inlineStr">
        <is>
          <t>Pokemon</t>
        </is>
      </c>
      <c r="G1797" s="2" t="inlineStr">
        <is>
          <t>Coffret</t>
        </is>
      </c>
      <c r="H1797" s="2" t="inlineStr">
        <is>
          <t>Promo</t>
        </is>
      </c>
      <c r="I1797" s="3" t="n">
        <v>33.54</v>
      </c>
      <c r="J1797" s="3" t="n"/>
      <c r="K1797" s="3" t="n"/>
      <c r="L1797" s="3" t="n"/>
      <c r="M1797" s="2" t="inlineStr">
        <is>
          <t>PriceCharting</t>
        </is>
      </c>
      <c r="N1797" s="4" t="inlineStr">
        <is>
          <t>https://www.pricecharting.com/game/pokemon-promo/dragon-stacking-tin</t>
        </is>
      </c>
    </row>
    <row r="1798">
      <c r="A1798" s="2" t="inlineStr">
        <is>
          <t>Promo Eevee &amp; Snorlax GX Tin</t>
        </is>
      </c>
      <c r="B1798" s="3">
        <f>IF(I1798&lt;&gt;"",I1798,IF(J1798&lt;&gt;"",J1798,IF(K1798&lt;&gt;"",K1798,L1798)))</f>
        <v>757.3</v>
      </c>
      <c r="C1798" s="3">
        <f>MEDIAN(I1798:L1798)</f>
        <v>757.3</v>
      </c>
      <c r="D1798" s="3">
        <f>ROUND(C1798*(1-Settings!$B$2),2)</f>
        <v>530.11</v>
      </c>
      <c r="E1798" s="3">
        <f>ROUND(C1798*(1-Settings!$B$3),2)</f>
        <v>530.11</v>
      </c>
      <c r="F1798" s="2" t="inlineStr">
        <is>
          <t>Pokemon</t>
        </is>
      </c>
      <c r="G1798" s="2" t="inlineStr">
        <is>
          <t>Coffret</t>
        </is>
      </c>
      <c r="H1798" s="2" t="inlineStr">
        <is>
          <t>Promo</t>
        </is>
      </c>
      <c r="I1798" s="3" t="n">
        <v>757.3</v>
      </c>
      <c r="J1798" s="3" t="n"/>
      <c r="K1798" s="3" t="n"/>
      <c r="L1798" s="3" t="n"/>
      <c r="M1798" s="2" t="inlineStr">
        <is>
          <t>PriceCharting</t>
        </is>
      </c>
      <c r="N1798" s="4" t="inlineStr">
        <is>
          <t>https://www.pricecharting.com/game/pokemon-promo/eevee-&amp;-snorlax-gx-tin</t>
        </is>
      </c>
    </row>
    <row r="1799">
      <c r="A1799" s="2" t="inlineStr">
        <is>
          <t>Promo Eevee Pokemon Treasure Chest Tin</t>
        </is>
      </c>
      <c r="B1799" s="3">
        <f>IF(I1799&lt;&gt;"",I1799,IF(J1799&lt;&gt;"",J1799,IF(K1799&lt;&gt;"",K1799,L1799)))</f>
        <v>100.0</v>
      </c>
      <c r="C1799" s="3">
        <f>MEDIAN(I1799:L1799)</f>
        <v>100.0</v>
      </c>
      <c r="D1799" s="3">
        <f>ROUND(C1799*(1-Settings!$B$2),2)</f>
        <v>70.0</v>
      </c>
      <c r="E1799" s="3">
        <f>ROUND(C1799*(1-Settings!$B$3),2)</f>
        <v>70.0</v>
      </c>
      <c r="F1799" s="2" t="inlineStr">
        <is>
          <t>Pokemon</t>
        </is>
      </c>
      <c r="G1799" s="2" t="inlineStr">
        <is>
          <t>Coffret</t>
        </is>
      </c>
      <c r="H1799" s="2" t="inlineStr">
        <is>
          <t>Promo</t>
        </is>
      </c>
      <c r="I1799" s="3" t="n">
        <v>100</v>
      </c>
      <c r="J1799" s="3" t="n"/>
      <c r="K1799" s="3" t="n"/>
      <c r="L1799" s="3" t="n"/>
      <c r="M1799" s="2" t="inlineStr">
        <is>
          <t>PriceCharting</t>
        </is>
      </c>
      <c r="N1799" s="4" t="inlineStr">
        <is>
          <t>https://www.pricecharting.com/game/pokemon-promo/eevee-pokemon-treasure-chest-tin</t>
        </is>
      </c>
    </row>
    <row r="1800">
      <c r="A1800" s="2" t="inlineStr">
        <is>
          <t>Promo Enhanced 2-Pack Blister Pack [Galarian Articuno, Galarian Zapdos, &amp; Galarian Moltres]</t>
        </is>
      </c>
      <c r="B1800" s="3">
        <f>IF(I1800&lt;&gt;"",I1800,IF(J1800&lt;&gt;"",J1800,IF(K1800&lt;&gt;"",K1800,L1800)))</f>
        <v>52.48</v>
      </c>
      <c r="C1800" s="3">
        <f>MEDIAN(I1800:L1800)</f>
        <v>52.48</v>
      </c>
      <c r="D1800" s="3">
        <f>ROUND(C1800*(1-Settings!$B$2),2)</f>
        <v>36.74</v>
      </c>
      <c r="E1800" s="3">
        <f>ROUND(C1800*(1-Settings!$B$3),2)</f>
        <v>36.74</v>
      </c>
      <c r="F1800" s="2" t="inlineStr">
        <is>
          <t>Pokemon</t>
        </is>
      </c>
      <c r="G1800" s="2" t="inlineStr">
        <is>
          <t>Coffret</t>
        </is>
      </c>
      <c r="H1800" s="2" t="inlineStr">
        <is>
          <t>Promo</t>
        </is>
      </c>
      <c r="I1800" s="3" t="n">
        <v>52.48</v>
      </c>
      <c r="J1800" s="3" t="n"/>
      <c r="K1800" s="3" t="n"/>
      <c r="L1800" s="3" t="n"/>
      <c r="M1800" s="2" t="inlineStr">
        <is>
          <t>PriceCharting</t>
        </is>
      </c>
      <c r="N1800" s="4" t="inlineStr">
        <is>
          <t>https://www.pricecharting.com/game/pokemon-promo/enhanced-2-pack-blister-pack-galarian-articuno-galarian-zapdos-&amp;-galarian-moltres</t>
        </is>
      </c>
    </row>
    <row r="1801">
      <c r="A1801" s="2" t="inlineStr">
        <is>
          <t>Promo Enhanced 2-Pack Blister Pack: Gengar, Marshadow, Team Rocket's Mimikyu</t>
        </is>
      </c>
      <c r="B1801" s="3">
        <f>IF(I1801&lt;&gt;"",I1801,IF(J1801&lt;&gt;"",J1801,IF(K1801&lt;&gt;"",K1801,L1801)))</f>
        <v>24.95</v>
      </c>
      <c r="C1801" s="3">
        <f>MEDIAN(I1801:L1801)</f>
        <v>24.95</v>
      </c>
      <c r="D1801" s="3">
        <f>ROUND(C1801*(1-Settings!$B$2),2)</f>
        <v>17.47</v>
      </c>
      <c r="E1801" s="3">
        <f>ROUND(C1801*(1-Settings!$B$3),2)</f>
        <v>17.47</v>
      </c>
      <c r="F1801" s="2" t="inlineStr">
        <is>
          <t>Pokemon</t>
        </is>
      </c>
      <c r="G1801" s="2" t="inlineStr">
        <is>
          <t>Coffret</t>
        </is>
      </c>
      <c r="H1801" s="2" t="inlineStr">
        <is>
          <t>Promo</t>
        </is>
      </c>
      <c r="I1801" s="3" t="n">
        <v>24.95</v>
      </c>
      <c r="J1801" s="3" t="n"/>
      <c r="K1801" s="3" t="n"/>
      <c r="L1801" s="3" t="n"/>
      <c r="M1801" s="2" t="inlineStr">
        <is>
          <t>PriceCharting</t>
        </is>
      </c>
      <c r="N1801" s="4" t="inlineStr">
        <is>
          <t>https://www.pricecharting.com/game/pokemon-promo/enhanced-2-pack-blister-pack-gengar-marshadow-team-rocket's-mimikyu</t>
        </is>
      </c>
    </row>
    <row r="1802">
      <c r="A1802" s="2" t="inlineStr">
        <is>
          <t>Promo Enhanced 2-Pack Blister Pack: Latios, Zekrom &amp; Palkia</t>
        </is>
      </c>
      <c r="B1802" s="3">
        <f>IF(I1802&lt;&gt;"",I1802,IF(J1802&lt;&gt;"",J1802,IF(K1802&lt;&gt;"",K1802,L1802)))</f>
        <v>18.93</v>
      </c>
      <c r="C1802" s="3">
        <f>MEDIAN(I1802:L1802)</f>
        <v>18.93</v>
      </c>
      <c r="D1802" s="3">
        <f>ROUND(C1802*(1-Settings!$B$2),2)</f>
        <v>13.25</v>
      </c>
      <c r="E1802" s="3">
        <f>ROUND(C1802*(1-Settings!$B$3),2)</f>
        <v>13.25</v>
      </c>
      <c r="F1802" s="2" t="inlineStr">
        <is>
          <t>Pokemon</t>
        </is>
      </c>
      <c r="G1802" s="2" t="inlineStr">
        <is>
          <t>Coffret</t>
        </is>
      </c>
      <c r="H1802" s="2" t="inlineStr">
        <is>
          <t>Promo</t>
        </is>
      </c>
      <c r="I1802" s="3" t="n">
        <v>18.93</v>
      </c>
      <c r="J1802" s="3" t="n"/>
      <c r="K1802" s="3" t="n"/>
      <c r="L1802" s="3" t="n"/>
      <c r="M1802" s="2" t="inlineStr">
        <is>
          <t>PriceCharting</t>
        </is>
      </c>
      <c r="N1802" s="4" t="inlineStr">
        <is>
          <t>https://www.pricecharting.com/game/pokemon-promo/enhanced-2-pack-blister-pack-latios-zekrom-&amp;-palkia</t>
        </is>
      </c>
    </row>
    <row r="1803">
      <c r="A1803" s="2" t="inlineStr">
        <is>
          <t>Promo Evolving Powers Premium Collection</t>
        </is>
      </c>
      <c r="B1803" s="3">
        <f>IF(I1803&lt;&gt;"",I1803,IF(J1803&lt;&gt;"",J1803,IF(K1803&lt;&gt;"",K1803,L1803)))</f>
        <v>193.29</v>
      </c>
      <c r="C1803" s="3">
        <f>MEDIAN(I1803:L1803)</f>
        <v>193.29</v>
      </c>
      <c r="D1803" s="3">
        <f>ROUND(C1803*(1-Settings!$B$2),2)</f>
        <v>135.3</v>
      </c>
      <c r="E1803" s="3">
        <f>ROUND(C1803*(1-Settings!$B$3),2)</f>
        <v>135.3</v>
      </c>
      <c r="F1803" s="2" t="inlineStr">
        <is>
          <t>Pokemon</t>
        </is>
      </c>
      <c r="G1803" s="2" t="inlineStr">
        <is>
          <t>Coffret</t>
        </is>
      </c>
      <c r="H1803" s="2" t="inlineStr">
        <is>
          <t>Promo</t>
        </is>
      </c>
      <c r="I1803" s="3" t="n">
        <v>193.29</v>
      </c>
      <c r="J1803" s="3" t="n"/>
      <c r="K1803" s="3" t="n"/>
      <c r="L1803" s="3" t="n"/>
      <c r="M1803" s="2" t="inlineStr">
        <is>
          <t>PriceCharting</t>
        </is>
      </c>
      <c r="N1803" s="4" t="inlineStr">
        <is>
          <t>https://www.pricecharting.com/game/pokemon-promo/evolving-powers-premium-collection</t>
        </is>
      </c>
    </row>
    <row r="1804">
      <c r="A1804" s="2" t="inlineStr">
        <is>
          <t>Promo Factory Sealed Paldea Adventure Chest</t>
        </is>
      </c>
      <c r="B1804" s="3">
        <f>IF(I1804&lt;&gt;"",I1804,IF(J1804&lt;&gt;"",J1804,IF(K1804&lt;&gt;"",K1804,L1804)))</f>
        <v>112.49</v>
      </c>
      <c r="C1804" s="3">
        <f>MEDIAN(I1804:L1804)</f>
        <v>112.49</v>
      </c>
      <c r="D1804" s="3">
        <f>ROUND(C1804*(1-Settings!$B$2),2)</f>
        <v>78.74</v>
      </c>
      <c r="E1804" s="3">
        <f>ROUND(C1804*(1-Settings!$B$3),2)</f>
        <v>78.74</v>
      </c>
      <c r="F1804" s="2" t="inlineStr">
        <is>
          <t>Pokemon</t>
        </is>
      </c>
      <c r="G1804" s="2" t="inlineStr">
        <is>
          <t>Coffret</t>
        </is>
      </c>
      <c r="H1804" s="2" t="inlineStr">
        <is>
          <t>Promo</t>
        </is>
      </c>
      <c r="I1804" s="3" t="n">
        <v>112.49</v>
      </c>
      <c r="J1804" s="3" t="n"/>
      <c r="K1804" s="3" t="n"/>
      <c r="L1804" s="3" t="n"/>
      <c r="M1804" s="2" t="inlineStr">
        <is>
          <t>PriceCharting</t>
        </is>
      </c>
      <c r="N1804" s="4" t="inlineStr">
        <is>
          <t>https://www.pricecharting.com/game/pokemon-promo/factory-sealed-paldea-adventure-chest</t>
        </is>
      </c>
    </row>
    <row r="1805">
      <c r="A1805" s="2" t="inlineStr">
        <is>
          <t>Promo Fall 2023 Collector Chest</t>
        </is>
      </c>
      <c r="B1805" s="3">
        <f>IF(I1805&lt;&gt;"",I1805,IF(J1805&lt;&gt;"",J1805,IF(K1805&lt;&gt;"",K1805,L1805)))</f>
        <v>64.69</v>
      </c>
      <c r="C1805" s="3">
        <f>MEDIAN(I1805:L1805)</f>
        <v>64.69</v>
      </c>
      <c r="D1805" s="3">
        <f>ROUND(C1805*(1-Settings!$B$2),2)</f>
        <v>45.28</v>
      </c>
      <c r="E1805" s="3">
        <f>ROUND(C1805*(1-Settings!$B$3),2)</f>
        <v>45.28</v>
      </c>
      <c r="F1805" s="2" t="inlineStr">
        <is>
          <t>Pokemon</t>
        </is>
      </c>
      <c r="G1805" s="2" t="inlineStr">
        <is>
          <t>Coffret</t>
        </is>
      </c>
      <c r="H1805" s="2" t="inlineStr">
        <is>
          <t>Promo</t>
        </is>
      </c>
      <c r="I1805" s="3" t="n">
        <v>64.69</v>
      </c>
      <c r="J1805" s="3" t="n"/>
      <c r="K1805" s="3" t="n"/>
      <c r="L1805" s="3" t="n"/>
      <c r="M1805" s="2" t="inlineStr">
        <is>
          <t>PriceCharting</t>
        </is>
      </c>
      <c r="N1805" s="4" t="inlineStr">
        <is>
          <t>https://www.pricecharting.com/game/pokemon-promo/fall-2023-collector-chest</t>
        </is>
      </c>
    </row>
    <row r="1806">
      <c r="A1806" s="2" t="inlineStr">
        <is>
          <t>Promo Fall 2025 Collector Chest</t>
        </is>
      </c>
      <c r="B1806" s="3">
        <f>IF(I1806&lt;&gt;"",I1806,IF(J1806&lt;&gt;"",J1806,IF(K1806&lt;&gt;"",K1806,L1806)))</f>
        <v>49.07</v>
      </c>
      <c r="C1806" s="3">
        <f>MEDIAN(I1806:L1806)</f>
        <v>49.07</v>
      </c>
      <c r="D1806" s="3">
        <f>ROUND(C1806*(1-Settings!$B$2),2)</f>
        <v>34.35</v>
      </c>
      <c r="E1806" s="3">
        <f>ROUND(C1806*(1-Settings!$B$3),2)</f>
        <v>34.35</v>
      </c>
      <c r="F1806" s="2" t="inlineStr">
        <is>
          <t>Pokemon</t>
        </is>
      </c>
      <c r="G1806" s="2" t="inlineStr">
        <is>
          <t>Coffret</t>
        </is>
      </c>
      <c r="H1806" s="2" t="inlineStr">
        <is>
          <t>Promo</t>
        </is>
      </c>
      <c r="I1806" s="3" t="n">
        <v>49.07</v>
      </c>
      <c r="J1806" s="3" t="n"/>
      <c r="K1806" s="3" t="n"/>
      <c r="L1806" s="3" t="n"/>
      <c r="M1806" s="2" t="inlineStr">
        <is>
          <t>PriceCharting</t>
        </is>
      </c>
      <c r="N1806" s="4" t="inlineStr">
        <is>
          <t>https://www.pricecharting.com/game/pokemon-promo/fall-2025-collector-chest</t>
        </is>
      </c>
    </row>
    <row r="1807">
      <c r="A1807" s="2" t="inlineStr">
        <is>
          <t>Promo First Partner Illustration Collection: Series 1</t>
        </is>
      </c>
      <c r="B1807" s="3">
        <f>IF(I1807&lt;&gt;"",I1807,IF(J1807&lt;&gt;"",J1807,IF(K1807&lt;&gt;"",K1807,L1807)))</f>
        <v>64.43</v>
      </c>
      <c r="C1807" s="3">
        <f>MEDIAN(I1807:L1807)</f>
        <v>64.43</v>
      </c>
      <c r="D1807" s="3">
        <f>ROUND(C1807*(1-Settings!$B$2),2)</f>
        <v>45.1</v>
      </c>
      <c r="E1807" s="3">
        <f>ROUND(C1807*(1-Settings!$B$3),2)</f>
        <v>45.1</v>
      </c>
      <c r="F1807" s="2" t="inlineStr">
        <is>
          <t>Pokemon</t>
        </is>
      </c>
      <c r="G1807" s="2" t="inlineStr">
        <is>
          <t>Coffret</t>
        </is>
      </c>
      <c r="H1807" s="2" t="inlineStr">
        <is>
          <t>Promo</t>
        </is>
      </c>
      <c r="I1807" s="3" t="n">
        <v>64.43000000000001</v>
      </c>
      <c r="J1807" s="3" t="n"/>
      <c r="K1807" s="3" t="n"/>
      <c r="L1807" s="3" t="n"/>
      <c r="M1807" s="2" t="inlineStr">
        <is>
          <t>PriceCharting</t>
        </is>
      </c>
      <c r="N1807" s="4" t="inlineStr">
        <is>
          <t>https://www.pricecharting.com/game/pokemon-promo/first-partner-illustration-collection-series-1</t>
        </is>
      </c>
    </row>
    <row r="1808">
      <c r="A1808" s="2" t="inlineStr">
        <is>
          <t>Promo First Partner Illustration Collection: Series 2</t>
        </is>
      </c>
      <c r="B1808" s="3">
        <f>IF(I1808&lt;&gt;"",I1808,IF(J1808&lt;&gt;"",J1808,IF(K1808&lt;&gt;"",K1808,L1808)))</f>
        <v>16.16</v>
      </c>
      <c r="C1808" s="3">
        <f>MEDIAN(I1808:L1808)</f>
        <v>16.16</v>
      </c>
      <c r="D1808" s="3">
        <f>ROUND(C1808*(1-Settings!$B$2),2)</f>
        <v>11.31</v>
      </c>
      <c r="E1808" s="3">
        <f>ROUND(C1808*(1-Settings!$B$3),2)</f>
        <v>11.31</v>
      </c>
      <c r="F1808" s="2" t="inlineStr">
        <is>
          <t>Pokemon</t>
        </is>
      </c>
      <c r="G1808" s="2" t="inlineStr">
        <is>
          <t>Coffret</t>
        </is>
      </c>
      <c r="H1808" s="2" t="inlineStr">
        <is>
          <t>Promo</t>
        </is>
      </c>
      <c r="I1808" s="3" t="n">
        <v>16.16</v>
      </c>
      <c r="J1808" s="3" t="n"/>
      <c r="K1808" s="3" t="n"/>
      <c r="L1808" s="3" t="n"/>
      <c r="M1808" s="2" t="inlineStr">
        <is>
          <t>PriceCharting</t>
        </is>
      </c>
      <c r="N1808" s="4" t="inlineStr">
        <is>
          <t>https://www.pricecharting.com/game/pokemon-promo/first-partner-illustration-collection-series-2</t>
        </is>
      </c>
    </row>
    <row r="1809">
      <c r="A1809" s="2" t="inlineStr">
        <is>
          <t>Promo First Partner Illustration Collection: Series 3</t>
        </is>
      </c>
      <c r="B1809" s="3">
        <f>IF(I1809&lt;&gt;"",I1809,IF(J1809&lt;&gt;"",J1809,IF(K1809&lt;&gt;"",K1809,L1809)))</f>
        <v>26.71</v>
      </c>
      <c r="C1809" s="3">
        <f>MEDIAN(I1809:L1809)</f>
        <v>26.71</v>
      </c>
      <c r="D1809" s="3">
        <f>ROUND(C1809*(1-Settings!$B$2),2)</f>
        <v>18.7</v>
      </c>
      <c r="E1809" s="3">
        <f>ROUND(C1809*(1-Settings!$B$3),2)</f>
        <v>18.7</v>
      </c>
      <c r="F1809" s="2" t="inlineStr">
        <is>
          <t>Pokemon</t>
        </is>
      </c>
      <c r="G1809" s="2" t="inlineStr">
        <is>
          <t>Coffret</t>
        </is>
      </c>
      <c r="H1809" s="2" t="inlineStr">
        <is>
          <t>Promo</t>
        </is>
      </c>
      <c r="I1809" s="3" t="n">
        <v>26.71</v>
      </c>
      <c r="J1809" s="3" t="n"/>
      <c r="K1809" s="3" t="n"/>
      <c r="L1809" s="3" t="n"/>
      <c r="M1809" s="2" t="inlineStr">
        <is>
          <t>PriceCharting</t>
        </is>
      </c>
      <c r="N1809" s="4" t="inlineStr">
        <is>
          <t>https://www.pricecharting.com/game/pokemon-promo/first-partner-illustration-collection-series-3</t>
        </is>
      </c>
    </row>
    <row r="1810">
      <c r="A1810" s="2" t="inlineStr">
        <is>
          <t>Promo Focused Fighters Premium Collection</t>
        </is>
      </c>
      <c r="B1810" s="3">
        <f>IF(I1810&lt;&gt;"",I1810,IF(J1810&lt;&gt;"",J1810,IF(K1810&lt;&gt;"",K1810,L1810)))</f>
        <v>178.33</v>
      </c>
      <c r="C1810" s="3">
        <f>MEDIAN(I1810:L1810)</f>
        <v>178.33</v>
      </c>
      <c r="D1810" s="3">
        <f>ROUND(C1810*(1-Settings!$B$2),2)</f>
        <v>124.83</v>
      </c>
      <c r="E1810" s="3">
        <f>ROUND(C1810*(1-Settings!$B$3),2)</f>
        <v>124.83</v>
      </c>
      <c r="F1810" s="2" t="inlineStr">
        <is>
          <t>Pokemon</t>
        </is>
      </c>
      <c r="G1810" s="2" t="inlineStr">
        <is>
          <t>Coffret</t>
        </is>
      </c>
      <c r="H1810" s="2" t="inlineStr">
        <is>
          <t>Promo</t>
        </is>
      </c>
      <c r="I1810" s="3" t="n">
        <v>178.33</v>
      </c>
      <c r="J1810" s="3" t="n"/>
      <c r="K1810" s="3" t="n"/>
      <c r="L1810" s="3" t="n"/>
      <c r="M1810" s="2" t="inlineStr">
        <is>
          <t>PriceCharting</t>
        </is>
      </c>
      <c r="N1810" s="4" t="inlineStr">
        <is>
          <t>https://www.pricecharting.com/game/pokemon-promo/focused-fighters-premium-collection</t>
        </is>
      </c>
    </row>
    <row r="1811">
      <c r="A1811" s="2" t="inlineStr">
        <is>
          <t>Promo Galar Power Mini Tin: Dragapult</t>
        </is>
      </c>
      <c r="B1811" s="3">
        <f>IF(I1811&lt;&gt;"",I1811,IF(J1811&lt;&gt;"",J1811,IF(K1811&lt;&gt;"",K1811,L1811)))</f>
        <v>47.92</v>
      </c>
      <c r="C1811" s="3">
        <f>MEDIAN(I1811:L1811)</f>
        <v>47.92</v>
      </c>
      <c r="D1811" s="3">
        <f>ROUND(C1811*(1-Settings!$B$2),2)</f>
        <v>33.54</v>
      </c>
      <c r="E1811" s="3">
        <f>ROUND(C1811*(1-Settings!$B$3),2)</f>
        <v>33.54</v>
      </c>
      <c r="F1811" s="2" t="inlineStr">
        <is>
          <t>Pokemon</t>
        </is>
      </c>
      <c r="G1811" s="2" t="inlineStr">
        <is>
          <t>Coffret</t>
        </is>
      </c>
      <c r="H1811" s="2" t="inlineStr">
        <is>
          <t>Promo</t>
        </is>
      </c>
      <c r="I1811" s="3" t="n">
        <v>47.92</v>
      </c>
      <c r="J1811" s="3" t="n"/>
      <c r="K1811" s="3" t="n"/>
      <c r="L1811" s="3" t="n"/>
      <c r="M1811" s="2" t="inlineStr">
        <is>
          <t>PriceCharting</t>
        </is>
      </c>
      <c r="N1811" s="4" t="inlineStr">
        <is>
          <t>https://www.pricecharting.com/game/pokemon-promo/galar-power-mini-tin-dragapult</t>
        </is>
      </c>
    </row>
    <row r="1812">
      <c r="A1812" s="2" t="inlineStr">
        <is>
          <t>Promo Galar Power Mini Tin: Galarian Obstagoon</t>
        </is>
      </c>
      <c r="B1812" s="3">
        <f>IF(I1812&lt;&gt;"",I1812,IF(J1812&lt;&gt;"",J1812,IF(K1812&lt;&gt;"",K1812,L1812)))</f>
        <v>43.19</v>
      </c>
      <c r="C1812" s="3">
        <f>MEDIAN(I1812:L1812)</f>
        <v>43.19</v>
      </c>
      <c r="D1812" s="3">
        <f>ROUND(C1812*(1-Settings!$B$2),2)</f>
        <v>30.23</v>
      </c>
      <c r="E1812" s="3">
        <f>ROUND(C1812*(1-Settings!$B$3),2)</f>
        <v>30.23</v>
      </c>
      <c r="F1812" s="2" t="inlineStr">
        <is>
          <t>Pokemon</t>
        </is>
      </c>
      <c r="G1812" s="2" t="inlineStr">
        <is>
          <t>Coffret</t>
        </is>
      </c>
      <c r="H1812" s="2" t="inlineStr">
        <is>
          <t>Promo</t>
        </is>
      </c>
      <c r="I1812" s="3" t="n">
        <v>43.19</v>
      </c>
      <c r="J1812" s="3" t="n"/>
      <c r="K1812" s="3" t="n"/>
      <c r="L1812" s="3" t="n"/>
      <c r="M1812" s="2" t="inlineStr">
        <is>
          <t>PriceCharting</t>
        </is>
      </c>
      <c r="N1812" s="4" t="inlineStr">
        <is>
          <t>https://www.pricecharting.com/game/pokemon-promo/galar-power-mini-tin-galarian-obstagoon</t>
        </is>
      </c>
    </row>
    <row r="1813">
      <c r="A1813" s="2" t="inlineStr">
        <is>
          <t>Promo Galar Power Mini Tin: Galarian Sirfetch'D</t>
        </is>
      </c>
      <c r="B1813" s="3">
        <f>IF(I1813&lt;&gt;"",I1813,IF(J1813&lt;&gt;"",J1813,IF(K1813&lt;&gt;"",K1813,L1813)))</f>
        <v>33.39</v>
      </c>
      <c r="C1813" s="3">
        <f>MEDIAN(I1813:L1813)</f>
        <v>33.39</v>
      </c>
      <c r="D1813" s="3">
        <f>ROUND(C1813*(1-Settings!$B$2),2)</f>
        <v>23.37</v>
      </c>
      <c r="E1813" s="3">
        <f>ROUND(C1813*(1-Settings!$B$3),2)</f>
        <v>23.37</v>
      </c>
      <c r="F1813" s="2" t="inlineStr">
        <is>
          <t>Pokemon</t>
        </is>
      </c>
      <c r="G1813" s="2" t="inlineStr">
        <is>
          <t>Coffret</t>
        </is>
      </c>
      <c r="H1813" s="2" t="inlineStr">
        <is>
          <t>Promo</t>
        </is>
      </c>
      <c r="I1813" s="3" t="n">
        <v>33.39</v>
      </c>
      <c r="J1813" s="3" t="n"/>
      <c r="K1813" s="3" t="n"/>
      <c r="L1813" s="3" t="n"/>
      <c r="M1813" s="2" t="inlineStr">
        <is>
          <t>PriceCharting</t>
        </is>
      </c>
      <c r="N1813" s="4" t="inlineStr">
        <is>
          <t>https://www.pricecharting.com/game/pokemon-promo/galar-power-mini-tin-galarian-sirfetch'd</t>
        </is>
      </c>
    </row>
    <row r="1814">
      <c r="A1814" s="2" t="inlineStr">
        <is>
          <t>Promo Galar Power Mini Tin: Toxtricity</t>
        </is>
      </c>
      <c r="B1814" s="3">
        <f>IF(I1814&lt;&gt;"",I1814,IF(J1814&lt;&gt;"",J1814,IF(K1814&lt;&gt;"",K1814,L1814)))</f>
        <v>39.99</v>
      </c>
      <c r="C1814" s="3">
        <f>MEDIAN(I1814:L1814)</f>
        <v>39.99</v>
      </c>
      <c r="D1814" s="3">
        <f>ROUND(C1814*(1-Settings!$B$2),2)</f>
        <v>27.99</v>
      </c>
      <c r="E1814" s="3">
        <f>ROUND(C1814*(1-Settings!$B$3),2)</f>
        <v>27.99</v>
      </c>
      <c r="F1814" s="2" t="inlineStr">
        <is>
          <t>Pokemon</t>
        </is>
      </c>
      <c r="G1814" s="2" t="inlineStr">
        <is>
          <t>Coffret</t>
        </is>
      </c>
      <c r="H1814" s="2" t="inlineStr">
        <is>
          <t>Promo</t>
        </is>
      </c>
      <c r="I1814" s="3" t="n">
        <v>39.99</v>
      </c>
      <c r="J1814" s="3" t="n"/>
      <c r="K1814" s="3" t="n"/>
      <c r="L1814" s="3" t="n"/>
      <c r="M1814" s="2" t="inlineStr">
        <is>
          <t>PriceCharting</t>
        </is>
      </c>
      <c r="N1814" s="4" t="inlineStr">
        <is>
          <t>https://www.pricecharting.com/game/pokemon-promo/galar-power-mini-tin-toxtricity</t>
        </is>
      </c>
    </row>
    <row r="1815">
      <c r="A1815" s="2" t="inlineStr">
        <is>
          <t>Promo Galarian Rapidash V Box</t>
        </is>
      </c>
      <c r="B1815" s="3">
        <f>IF(I1815&lt;&gt;"",I1815,IF(J1815&lt;&gt;"",J1815,IF(K1815&lt;&gt;"",K1815,L1815)))</f>
        <v>94.5</v>
      </c>
      <c r="C1815" s="3">
        <f>MEDIAN(I1815:L1815)</f>
        <v>94.5</v>
      </c>
      <c r="D1815" s="3">
        <f>ROUND(C1815*(1-Settings!$B$2),2)</f>
        <v>66.15</v>
      </c>
      <c r="E1815" s="3">
        <f>ROUND(C1815*(1-Settings!$B$3),2)</f>
        <v>66.15</v>
      </c>
      <c r="F1815" s="2" t="inlineStr">
        <is>
          <t>Pokemon</t>
        </is>
      </c>
      <c r="G1815" s="2" t="inlineStr">
        <is>
          <t>Coffret</t>
        </is>
      </c>
      <c r="H1815" s="2" t="inlineStr">
        <is>
          <t>Promo</t>
        </is>
      </c>
      <c r="I1815" s="3" t="n">
        <v>94.5</v>
      </c>
      <c r="J1815" s="3" t="n"/>
      <c r="K1815" s="3" t="n"/>
      <c r="L1815" s="3" t="n"/>
      <c r="M1815" s="2" t="inlineStr">
        <is>
          <t>PriceCharting</t>
        </is>
      </c>
      <c r="N1815" s="4" t="inlineStr">
        <is>
          <t>https://www.pricecharting.com/game/pokemon-promo/galarian-rapidash-v-box</t>
        </is>
      </c>
    </row>
    <row r="1816">
      <c r="A1816" s="2" t="inlineStr">
        <is>
          <t>Promo Grafaiai EX Box</t>
        </is>
      </c>
      <c r="B1816" s="3">
        <f>IF(I1816&lt;&gt;"",I1816,IF(J1816&lt;&gt;"",J1816,IF(K1816&lt;&gt;"",K1816,L1816)))</f>
        <v>43.86</v>
      </c>
      <c r="C1816" s="3">
        <f>MEDIAN(I1816:L1816)</f>
        <v>43.86</v>
      </c>
      <c r="D1816" s="3">
        <f>ROUND(C1816*(1-Settings!$B$2),2)</f>
        <v>30.7</v>
      </c>
      <c r="E1816" s="3">
        <f>ROUND(C1816*(1-Settings!$B$3),2)</f>
        <v>30.7</v>
      </c>
      <c r="F1816" s="2" t="inlineStr">
        <is>
          <t>Pokemon</t>
        </is>
      </c>
      <c r="G1816" s="2" t="inlineStr">
        <is>
          <t>Coffret</t>
        </is>
      </c>
      <c r="H1816" s="2" t="inlineStr">
        <is>
          <t>Promo</t>
        </is>
      </c>
      <c r="I1816" s="3" t="n">
        <v>43.86</v>
      </c>
      <c r="J1816" s="3" t="n"/>
      <c r="K1816" s="3" t="n"/>
      <c r="L1816" s="3" t="n"/>
      <c r="M1816" s="2" t="inlineStr">
        <is>
          <t>PriceCharting</t>
        </is>
      </c>
      <c r="N1816" s="4" t="inlineStr">
        <is>
          <t>https://www.pricecharting.com/game/pokemon-promo/grafaiai-ex-box</t>
        </is>
      </c>
    </row>
    <row r="1817">
      <c r="A1817" s="2" t="inlineStr">
        <is>
          <t>Promo Greninja EX &amp; Kingdra EX Special Collection Box</t>
        </is>
      </c>
      <c r="B1817" s="3">
        <f>IF(I1817&lt;&gt;"",I1817,IF(J1817&lt;&gt;"",J1817,IF(K1817&lt;&gt;"",K1817,L1817)))</f>
        <v>61.99</v>
      </c>
      <c r="C1817" s="3">
        <f>MEDIAN(I1817:L1817)</f>
        <v>61.99</v>
      </c>
      <c r="D1817" s="3">
        <f>ROUND(C1817*(1-Settings!$B$2),2)</f>
        <v>43.39</v>
      </c>
      <c r="E1817" s="3">
        <f>ROUND(C1817*(1-Settings!$B$3),2)</f>
        <v>43.39</v>
      </c>
      <c r="F1817" s="2" t="inlineStr">
        <is>
          <t>Pokemon</t>
        </is>
      </c>
      <c r="G1817" s="2" t="inlineStr">
        <is>
          <t>Coffret</t>
        </is>
      </c>
      <c r="H1817" s="2" t="inlineStr">
        <is>
          <t>Promo</t>
        </is>
      </c>
      <c r="I1817" s="3" t="n">
        <v>61.99</v>
      </c>
      <c r="J1817" s="3" t="n"/>
      <c r="K1817" s="3" t="n"/>
      <c r="L1817" s="3" t="n"/>
      <c r="M1817" s="2" t="inlineStr">
        <is>
          <t>PriceCharting</t>
        </is>
      </c>
      <c r="N1817" s="4" t="inlineStr">
        <is>
          <t>https://www.pricecharting.com/game/pokemon-promo/greninja-ex-&amp;-kingdra-ex-special-collection-box</t>
        </is>
      </c>
    </row>
    <row r="1818">
      <c r="A1818" s="2" t="inlineStr">
        <is>
          <t>Promo Greninja V-UNION Special Collection</t>
        </is>
      </c>
      <c r="B1818" s="3">
        <f>IF(I1818&lt;&gt;"",I1818,IF(J1818&lt;&gt;"",J1818,IF(K1818&lt;&gt;"",K1818,L1818)))</f>
        <v>141.19</v>
      </c>
      <c r="C1818" s="3">
        <f>MEDIAN(I1818:L1818)</f>
        <v>141.19</v>
      </c>
      <c r="D1818" s="3">
        <f>ROUND(C1818*(1-Settings!$B$2),2)</f>
        <v>98.83</v>
      </c>
      <c r="E1818" s="3">
        <f>ROUND(C1818*(1-Settings!$B$3),2)</f>
        <v>98.83</v>
      </c>
      <c r="F1818" s="2" t="inlineStr">
        <is>
          <t>Pokemon</t>
        </is>
      </c>
      <c r="G1818" s="2" t="inlineStr">
        <is>
          <t>Coffret</t>
        </is>
      </c>
      <c r="H1818" s="2" t="inlineStr">
        <is>
          <t>Promo</t>
        </is>
      </c>
      <c r="I1818" s="3" t="n">
        <v>141.19</v>
      </c>
      <c r="J1818" s="3" t="n"/>
      <c r="K1818" s="3" t="n"/>
      <c r="L1818" s="3" t="n"/>
      <c r="M1818" s="2" t="inlineStr">
        <is>
          <t>PriceCharting</t>
        </is>
      </c>
      <c r="N1818" s="4" t="inlineStr">
        <is>
          <t>https://www.pricecharting.com/game/pokemon-promo/greninja-v-union-special-collection</t>
        </is>
      </c>
    </row>
    <row r="1819">
      <c r="A1819" s="2" t="inlineStr">
        <is>
          <t>Promo GX Challenge Box Alolan Ninetales</t>
        </is>
      </c>
      <c r="B1819" s="3">
        <f>IF(I1819&lt;&gt;"",I1819,IF(J1819&lt;&gt;"",J1819,IF(K1819&lt;&gt;"",K1819,L1819)))</f>
        <v>115.0</v>
      </c>
      <c r="C1819" s="3">
        <f>MEDIAN(I1819:L1819)</f>
        <v>115.0</v>
      </c>
      <c r="D1819" s="3">
        <f>ROUND(C1819*(1-Settings!$B$2),2)</f>
        <v>80.5</v>
      </c>
      <c r="E1819" s="3">
        <f>ROUND(C1819*(1-Settings!$B$3),2)</f>
        <v>80.5</v>
      </c>
      <c r="F1819" s="2" t="inlineStr">
        <is>
          <t>Pokemon</t>
        </is>
      </c>
      <c r="G1819" s="2" t="inlineStr">
        <is>
          <t>Coffret</t>
        </is>
      </c>
      <c r="H1819" s="2" t="inlineStr">
        <is>
          <t>Promo</t>
        </is>
      </c>
      <c r="I1819" s="3" t="n">
        <v>115</v>
      </c>
      <c r="J1819" s="3" t="n"/>
      <c r="K1819" s="3" t="n"/>
      <c r="L1819" s="3" t="n"/>
      <c r="M1819" s="2" t="inlineStr">
        <is>
          <t>PriceCharting</t>
        </is>
      </c>
      <c r="N1819" s="4" t="inlineStr">
        <is>
          <t>https://www.pricecharting.com/game/pokemon-promo/gx-challenge-box-alolan-ninetales</t>
        </is>
      </c>
    </row>
    <row r="1820">
      <c r="A1820" s="2" t="inlineStr">
        <is>
          <t>Promo GX Challenge Box Lycanroc</t>
        </is>
      </c>
      <c r="B1820" s="3">
        <f>IF(I1820&lt;&gt;"",I1820,IF(J1820&lt;&gt;"",J1820,IF(K1820&lt;&gt;"",K1820,L1820)))</f>
        <v>70.0</v>
      </c>
      <c r="C1820" s="3">
        <f>MEDIAN(I1820:L1820)</f>
        <v>70.0</v>
      </c>
      <c r="D1820" s="3">
        <f>ROUND(C1820*(1-Settings!$B$2),2)</f>
        <v>49.0</v>
      </c>
      <c r="E1820" s="3">
        <f>ROUND(C1820*(1-Settings!$B$3),2)</f>
        <v>49.0</v>
      </c>
      <c r="F1820" s="2" t="inlineStr">
        <is>
          <t>Pokemon</t>
        </is>
      </c>
      <c r="G1820" s="2" t="inlineStr">
        <is>
          <t>Coffret</t>
        </is>
      </c>
      <c r="H1820" s="2" t="inlineStr">
        <is>
          <t>Promo</t>
        </is>
      </c>
      <c r="I1820" s="3" t="n">
        <v>70</v>
      </c>
      <c r="J1820" s="3" t="n"/>
      <c r="K1820" s="3" t="n"/>
      <c r="L1820" s="3" t="n"/>
      <c r="M1820" s="2" t="inlineStr">
        <is>
          <t>PriceCharting</t>
        </is>
      </c>
      <c r="N1820" s="4" t="inlineStr">
        <is>
          <t>https://www.pricecharting.com/game/pokemon-promo/gx-challenge-box-lycanroc</t>
        </is>
      </c>
    </row>
    <row r="1821">
      <c r="A1821" s="2" t="inlineStr">
        <is>
          <t>Promo Heavy Hitters Premium Collection: Lucario V &amp; Tyranitar V</t>
        </is>
      </c>
      <c r="B1821" s="3">
        <f>IF(I1821&lt;&gt;"",I1821,IF(J1821&lt;&gt;"",J1821,IF(K1821&lt;&gt;"",K1821,L1821)))</f>
        <v>321.76</v>
      </c>
      <c r="C1821" s="3">
        <f>MEDIAN(I1821:L1821)</f>
        <v>321.76</v>
      </c>
      <c r="D1821" s="3">
        <f>ROUND(C1821*(1-Settings!$B$2),2)</f>
        <v>225.23</v>
      </c>
      <c r="E1821" s="3">
        <f>ROUND(C1821*(1-Settings!$B$3),2)</f>
        <v>225.23</v>
      </c>
      <c r="F1821" s="2" t="inlineStr">
        <is>
          <t>Pokemon</t>
        </is>
      </c>
      <c r="G1821" s="2" t="inlineStr">
        <is>
          <t>Coffret</t>
        </is>
      </c>
      <c r="H1821" s="2" t="inlineStr">
        <is>
          <t>Promo</t>
        </is>
      </c>
      <c r="I1821" s="3" t="n">
        <v>321.76</v>
      </c>
      <c r="J1821" s="3" t="n"/>
      <c r="K1821" s="3" t="n"/>
      <c r="L1821" s="3" t="n"/>
      <c r="M1821" s="2" t="inlineStr">
        <is>
          <t>PriceCharting</t>
        </is>
      </c>
      <c r="N1821" s="4" t="inlineStr">
        <is>
          <t>https://www.pricecharting.com/game/pokemon-promo/heavy-hitters-premium-collection-lucario-v-&amp;-tyranitar-v</t>
        </is>
      </c>
    </row>
    <row r="1822">
      <c r="A1822" s="2" t="inlineStr">
        <is>
          <t>Promo Hidden Potential Tin: Gallade V</t>
        </is>
      </c>
      <c r="B1822" s="3">
        <f>IF(I1822&lt;&gt;"",I1822,IF(J1822&lt;&gt;"",J1822,IF(K1822&lt;&gt;"",K1822,L1822)))</f>
        <v>90.5</v>
      </c>
      <c r="C1822" s="3">
        <f>MEDIAN(I1822:L1822)</f>
        <v>90.5</v>
      </c>
      <c r="D1822" s="3">
        <f>ROUND(C1822*(1-Settings!$B$2),2)</f>
        <v>63.35</v>
      </c>
      <c r="E1822" s="3">
        <f>ROUND(C1822*(1-Settings!$B$3),2)</f>
        <v>63.35</v>
      </c>
      <c r="F1822" s="2" t="inlineStr">
        <is>
          <t>Pokemon</t>
        </is>
      </c>
      <c r="G1822" s="2" t="inlineStr">
        <is>
          <t>Coffret</t>
        </is>
      </c>
      <c r="H1822" s="2" t="inlineStr">
        <is>
          <t>Promo</t>
        </is>
      </c>
      <c r="I1822" s="3" t="n">
        <v>90.5</v>
      </c>
      <c r="J1822" s="3" t="n"/>
      <c r="K1822" s="3" t="n"/>
      <c r="L1822" s="3" t="n"/>
      <c r="M1822" s="2" t="inlineStr">
        <is>
          <t>PriceCharting</t>
        </is>
      </c>
      <c r="N1822" s="4" t="inlineStr">
        <is>
          <t>https://www.pricecharting.com/game/pokemon-promo/hidden-potential-tin-gallade-v</t>
        </is>
      </c>
    </row>
    <row r="1823">
      <c r="A1823" s="2" t="inlineStr">
        <is>
          <t>Promo Hidden Potential Tin: Giratina V</t>
        </is>
      </c>
      <c r="B1823" s="3">
        <f>IF(I1823&lt;&gt;"",I1823,IF(J1823&lt;&gt;"",J1823,IF(K1823&lt;&gt;"",K1823,L1823)))</f>
        <v>145.0</v>
      </c>
      <c r="C1823" s="3">
        <f>MEDIAN(I1823:L1823)</f>
        <v>145.0</v>
      </c>
      <c r="D1823" s="3">
        <f>ROUND(C1823*(1-Settings!$B$2),2)</f>
        <v>101.5</v>
      </c>
      <c r="E1823" s="3">
        <f>ROUND(C1823*(1-Settings!$B$3),2)</f>
        <v>101.5</v>
      </c>
      <c r="F1823" s="2" t="inlineStr">
        <is>
          <t>Pokemon</t>
        </is>
      </c>
      <c r="G1823" s="2" t="inlineStr">
        <is>
          <t>Coffret</t>
        </is>
      </c>
      <c r="H1823" s="2" t="inlineStr">
        <is>
          <t>Promo</t>
        </is>
      </c>
      <c r="I1823" s="3" t="n">
        <v>145</v>
      </c>
      <c r="J1823" s="3" t="n"/>
      <c r="K1823" s="3" t="n"/>
      <c r="L1823" s="3" t="n"/>
      <c r="M1823" s="2" t="inlineStr">
        <is>
          <t>PriceCharting</t>
        </is>
      </c>
      <c r="N1823" s="4" t="inlineStr">
        <is>
          <t>https://www.pricecharting.com/game/pokemon-promo/hidden-potential-tin-giratina-v</t>
        </is>
      </c>
    </row>
    <row r="1824">
      <c r="A1824" s="2" t="inlineStr">
        <is>
          <t>Promo Hidden Potential Tin: Rotom V</t>
        </is>
      </c>
      <c r="B1824" s="3">
        <f>IF(I1824&lt;&gt;"",I1824,IF(J1824&lt;&gt;"",J1824,IF(K1824&lt;&gt;"",K1824,L1824)))</f>
        <v>89.97</v>
      </c>
      <c r="C1824" s="3">
        <f>MEDIAN(I1824:L1824)</f>
        <v>89.97</v>
      </c>
      <c r="D1824" s="3">
        <f>ROUND(C1824*(1-Settings!$B$2),2)</f>
        <v>62.98</v>
      </c>
      <c r="E1824" s="3">
        <f>ROUND(C1824*(1-Settings!$B$3),2)</f>
        <v>62.98</v>
      </c>
      <c r="F1824" s="2" t="inlineStr">
        <is>
          <t>Pokemon</t>
        </is>
      </c>
      <c r="G1824" s="2" t="inlineStr">
        <is>
          <t>Coffret</t>
        </is>
      </c>
      <c r="H1824" s="2" t="inlineStr">
        <is>
          <t>Promo</t>
        </is>
      </c>
      <c r="I1824" s="3" t="n">
        <v>89.97</v>
      </c>
      <c r="J1824" s="3" t="n"/>
      <c r="K1824" s="3" t="n"/>
      <c r="L1824" s="3" t="n"/>
      <c r="M1824" s="2" t="inlineStr">
        <is>
          <t>PriceCharting</t>
        </is>
      </c>
      <c r="N1824" s="4" t="inlineStr">
        <is>
          <t>https://www.pricecharting.com/game/pokemon-promo/hidden-potential-tin-rotom-v</t>
        </is>
      </c>
    </row>
    <row r="1825">
      <c r="A1825" s="2" t="inlineStr">
        <is>
          <t>Promo Hidden Potential Tin: Rotom V [International]</t>
        </is>
      </c>
      <c r="B1825" s="3">
        <f>IF(I1825&lt;&gt;"",I1825,IF(J1825&lt;&gt;"",J1825,IF(K1825&lt;&gt;"",K1825,L1825)))</f>
        <v>44.38</v>
      </c>
      <c r="C1825" s="3">
        <f>MEDIAN(I1825:L1825)</f>
        <v>44.38</v>
      </c>
      <c r="D1825" s="3">
        <f>ROUND(C1825*(1-Settings!$B$2),2)</f>
        <v>31.07</v>
      </c>
      <c r="E1825" s="3">
        <f>ROUND(C1825*(1-Settings!$B$3),2)</f>
        <v>31.07</v>
      </c>
      <c r="F1825" s="2" t="inlineStr">
        <is>
          <t>Pokemon</t>
        </is>
      </c>
      <c r="G1825" s="2" t="inlineStr">
        <is>
          <t>Coffret</t>
        </is>
      </c>
      <c r="H1825" s="2" t="inlineStr">
        <is>
          <t>Promo</t>
        </is>
      </c>
      <c r="I1825" s="3" t="n">
        <v>44.38</v>
      </c>
      <c r="J1825" s="3" t="n"/>
      <c r="K1825" s="3" t="n"/>
      <c r="L1825" s="3" t="n"/>
      <c r="M1825" s="2" t="inlineStr">
        <is>
          <t>PriceCharting</t>
        </is>
      </c>
      <c r="N1825" s="4" t="inlineStr">
        <is>
          <t>https://www.pricecharting.com/game/pokemon-promo/hidden-potential-tin-rotom-v-international</t>
        </is>
      </c>
    </row>
    <row r="1826">
      <c r="A1826" s="2" t="inlineStr">
        <is>
          <t>Promo Hisuian Electrode V Box</t>
        </is>
      </c>
      <c r="B1826" s="3">
        <f>IF(I1826&lt;&gt;"",I1826,IF(J1826&lt;&gt;"",J1826,IF(K1826&lt;&gt;"",K1826,L1826)))</f>
        <v>53.71</v>
      </c>
      <c r="C1826" s="3">
        <f>MEDIAN(I1826:L1826)</f>
        <v>53.71</v>
      </c>
      <c r="D1826" s="3">
        <f>ROUND(C1826*(1-Settings!$B$2),2)</f>
        <v>37.6</v>
      </c>
      <c r="E1826" s="3">
        <f>ROUND(C1826*(1-Settings!$B$3),2)</f>
        <v>37.6</v>
      </c>
      <c r="F1826" s="2" t="inlineStr">
        <is>
          <t>Pokemon</t>
        </is>
      </c>
      <c r="G1826" s="2" t="inlineStr">
        <is>
          <t>Coffret</t>
        </is>
      </c>
      <c r="H1826" s="2" t="inlineStr">
        <is>
          <t>Promo</t>
        </is>
      </c>
      <c r="I1826" s="3" t="n">
        <v>53.71</v>
      </c>
      <c r="J1826" s="3" t="n"/>
      <c r="K1826" s="3" t="n"/>
      <c r="L1826" s="3" t="n"/>
      <c r="M1826" s="2" t="inlineStr">
        <is>
          <t>PriceCharting</t>
        </is>
      </c>
      <c r="N1826" s="4" t="inlineStr">
        <is>
          <t>https://www.pricecharting.com/game/pokemon-promo/hisuian-electrode-v-box</t>
        </is>
      </c>
    </row>
    <row r="1827">
      <c r="A1827" s="2" t="inlineStr">
        <is>
          <t>Promo Hisuian Zoroark VSTAR Premium Collection Box</t>
        </is>
      </c>
      <c r="B1827" s="3">
        <f>IF(I1827&lt;&gt;"",I1827,IF(J1827&lt;&gt;"",J1827,IF(K1827&lt;&gt;"",K1827,L1827)))</f>
        <v>100.0</v>
      </c>
      <c r="C1827" s="3">
        <f>MEDIAN(I1827:L1827)</f>
        <v>100.0</v>
      </c>
      <c r="D1827" s="3">
        <f>ROUND(C1827*(1-Settings!$B$2),2)</f>
        <v>70.0</v>
      </c>
      <c r="E1827" s="3">
        <f>ROUND(C1827*(1-Settings!$B$3),2)</f>
        <v>70.0</v>
      </c>
      <c r="F1827" s="2" t="inlineStr">
        <is>
          <t>Pokemon</t>
        </is>
      </c>
      <c r="G1827" s="2" t="inlineStr">
        <is>
          <t>Coffret</t>
        </is>
      </c>
      <c r="H1827" s="2" t="inlineStr">
        <is>
          <t>Promo</t>
        </is>
      </c>
      <c r="I1827" s="3" t="n">
        <v>100</v>
      </c>
      <c r="J1827" s="3" t="n"/>
      <c r="K1827" s="3" t="n"/>
      <c r="L1827" s="3" t="n"/>
      <c r="M1827" s="2" t="inlineStr">
        <is>
          <t>PriceCharting</t>
        </is>
      </c>
      <c r="N1827" s="4" t="inlineStr">
        <is>
          <t>https://www.pricecharting.com/game/pokemon-promo/hisuian-zoroark-vstar-premium-collection-box</t>
        </is>
      </c>
    </row>
    <row r="1828">
      <c r="A1828" s="2" t="inlineStr">
        <is>
          <t>Promo Holiday Calendar Box 2022</t>
        </is>
      </c>
      <c r="B1828" s="3">
        <f>IF(I1828&lt;&gt;"",I1828,IF(J1828&lt;&gt;"",J1828,IF(K1828&lt;&gt;"",K1828,L1828)))</f>
        <v>133.88</v>
      </c>
      <c r="C1828" s="3">
        <f>MEDIAN(I1828:L1828)</f>
        <v>133.88</v>
      </c>
      <c r="D1828" s="3">
        <f>ROUND(C1828*(1-Settings!$B$2),2)</f>
        <v>93.72</v>
      </c>
      <c r="E1828" s="3">
        <f>ROUND(C1828*(1-Settings!$B$3),2)</f>
        <v>93.72</v>
      </c>
      <c r="F1828" s="2" t="inlineStr">
        <is>
          <t>Pokemon</t>
        </is>
      </c>
      <c r="G1828" s="2" t="inlineStr">
        <is>
          <t>Coffret</t>
        </is>
      </c>
      <c r="H1828" s="2" t="inlineStr">
        <is>
          <t>Promo</t>
        </is>
      </c>
      <c r="I1828" s="3" t="n">
        <v>133.88</v>
      </c>
      <c r="J1828" s="3" t="n"/>
      <c r="K1828" s="3" t="n"/>
      <c r="L1828" s="3" t="n"/>
      <c r="M1828" s="2" t="inlineStr">
        <is>
          <t>PriceCharting</t>
        </is>
      </c>
      <c r="N1828" s="4" t="inlineStr">
        <is>
          <t>https://www.pricecharting.com/game/pokemon-promo/holiday-calendar-box-2022</t>
        </is>
      </c>
    </row>
    <row r="1829">
      <c r="A1829" s="2" t="inlineStr">
        <is>
          <t>Promo Holiday Calendar Box 2023</t>
        </is>
      </c>
      <c r="B1829" s="3">
        <f>IF(I1829&lt;&gt;"",I1829,IF(J1829&lt;&gt;"",J1829,IF(K1829&lt;&gt;"",K1829,L1829)))</f>
        <v>107.15</v>
      </c>
      <c r="C1829" s="3">
        <f>MEDIAN(I1829:L1829)</f>
        <v>107.15</v>
      </c>
      <c r="D1829" s="3">
        <f>ROUND(C1829*(1-Settings!$B$2),2)</f>
        <v>75.01</v>
      </c>
      <c r="E1829" s="3">
        <f>ROUND(C1829*(1-Settings!$B$3),2)</f>
        <v>75.01</v>
      </c>
      <c r="F1829" s="2" t="inlineStr">
        <is>
          <t>Pokemon</t>
        </is>
      </c>
      <c r="G1829" s="2" t="inlineStr">
        <is>
          <t>Coffret</t>
        </is>
      </c>
      <c r="H1829" s="2" t="inlineStr">
        <is>
          <t>Promo</t>
        </is>
      </c>
      <c r="I1829" s="3" t="n">
        <v>107.15</v>
      </c>
      <c r="J1829" s="3" t="n"/>
      <c r="K1829" s="3" t="n"/>
      <c r="L1829" s="3" t="n"/>
      <c r="M1829" s="2" t="inlineStr">
        <is>
          <t>PriceCharting</t>
        </is>
      </c>
      <c r="N1829" s="4" t="inlineStr">
        <is>
          <t>https://www.pricecharting.com/game/pokemon-promo/holiday-calendar-box-2023</t>
        </is>
      </c>
    </row>
    <row r="1830">
      <c r="A1830" s="2" t="inlineStr">
        <is>
          <t>Promo Holiday Calendar Box 2024</t>
        </is>
      </c>
      <c r="B1830" s="3">
        <f>IF(I1830&lt;&gt;"",I1830,IF(J1830&lt;&gt;"",J1830,IF(K1830&lt;&gt;"",K1830,L1830)))</f>
        <v>79.26</v>
      </c>
      <c r="C1830" s="3">
        <f>MEDIAN(I1830:L1830)</f>
        <v>79.26</v>
      </c>
      <c r="D1830" s="3">
        <f>ROUND(C1830*(1-Settings!$B$2),2)</f>
        <v>55.48</v>
      </c>
      <c r="E1830" s="3">
        <f>ROUND(C1830*(1-Settings!$B$3),2)</f>
        <v>55.48</v>
      </c>
      <c r="F1830" s="2" t="inlineStr">
        <is>
          <t>Pokemon</t>
        </is>
      </c>
      <c r="G1830" s="2" t="inlineStr">
        <is>
          <t>Coffret</t>
        </is>
      </c>
      <c r="H1830" s="2" t="inlineStr">
        <is>
          <t>Promo</t>
        </is>
      </c>
      <c r="I1830" s="3" t="n">
        <v>79.26000000000001</v>
      </c>
      <c r="J1830" s="3" t="n"/>
      <c r="K1830" s="3" t="n"/>
      <c r="L1830" s="3" t="n"/>
      <c r="M1830" s="2" t="inlineStr">
        <is>
          <t>PriceCharting</t>
        </is>
      </c>
      <c r="N1830" s="4" t="inlineStr">
        <is>
          <t>https://www.pricecharting.com/game/pokemon-promo/holiday-calendar-box-2024</t>
        </is>
      </c>
    </row>
    <row r="1831">
      <c r="A1831" s="2" t="inlineStr">
        <is>
          <t>Promo Holliday Calendar Box 2025</t>
        </is>
      </c>
      <c r="B1831" s="3">
        <f>IF(I1831&lt;&gt;"",I1831,IF(J1831&lt;&gt;"",J1831,IF(K1831&lt;&gt;"",K1831,L1831)))</f>
        <v>94.27</v>
      </c>
      <c r="C1831" s="3">
        <f>MEDIAN(I1831:L1831)</f>
        <v>94.27</v>
      </c>
      <c r="D1831" s="3">
        <f>ROUND(C1831*(1-Settings!$B$2),2)</f>
        <v>65.99</v>
      </c>
      <c r="E1831" s="3">
        <f>ROUND(C1831*(1-Settings!$B$3),2)</f>
        <v>65.99</v>
      </c>
      <c r="F1831" s="2" t="inlineStr">
        <is>
          <t>Pokemon</t>
        </is>
      </c>
      <c r="G1831" s="2" t="inlineStr">
        <is>
          <t>Coffret</t>
        </is>
      </c>
      <c r="H1831" s="2" t="inlineStr">
        <is>
          <t>Promo</t>
        </is>
      </c>
      <c r="I1831" s="3" t="n">
        <v>94.27</v>
      </c>
      <c r="J1831" s="3" t="n"/>
      <c r="K1831" s="3" t="n"/>
      <c r="L1831" s="3" t="n"/>
      <c r="M1831" s="2" t="inlineStr">
        <is>
          <t>PriceCharting</t>
        </is>
      </c>
      <c r="N1831" s="4" t="inlineStr">
        <is>
          <t>https://www.pricecharting.com/game/pokemon-promo/holliday-calendar-box-2025</t>
        </is>
      </c>
    </row>
    <row r="1832">
      <c r="A1832" s="2" t="inlineStr">
        <is>
          <t>Promo Houndstone Ex Box</t>
        </is>
      </c>
      <c r="B1832" s="3">
        <f>IF(I1832&lt;&gt;"",I1832,IF(J1832&lt;&gt;"",J1832,IF(K1832&lt;&gt;"",K1832,L1832)))</f>
        <v>43.43</v>
      </c>
      <c r="C1832" s="3">
        <f>MEDIAN(I1832:L1832)</f>
        <v>43.43</v>
      </c>
      <c r="D1832" s="3">
        <f>ROUND(C1832*(1-Settings!$B$2),2)</f>
        <v>30.4</v>
      </c>
      <c r="E1832" s="3">
        <f>ROUND(C1832*(1-Settings!$B$3),2)</f>
        <v>30.4</v>
      </c>
      <c r="F1832" s="2" t="inlineStr">
        <is>
          <t>Pokemon</t>
        </is>
      </c>
      <c r="G1832" s="2" t="inlineStr">
        <is>
          <t>Coffret</t>
        </is>
      </c>
      <c r="H1832" s="2" t="inlineStr">
        <is>
          <t>Promo</t>
        </is>
      </c>
      <c r="I1832" s="3" t="n">
        <v>43.43</v>
      </c>
      <c r="J1832" s="3" t="n"/>
      <c r="K1832" s="3" t="n"/>
      <c r="L1832" s="3" t="n"/>
      <c r="M1832" s="2" t="inlineStr">
        <is>
          <t>PriceCharting</t>
        </is>
      </c>
      <c r="N1832" s="4" t="inlineStr">
        <is>
          <t>https://www.pricecharting.com/game/pokemon-promo/houndstone-ex-box</t>
        </is>
      </c>
    </row>
    <row r="1833">
      <c r="A1833" s="2" t="inlineStr">
        <is>
          <t>Promo Hydreigon Ex &amp; Dragapult Ex Premium Collection</t>
        </is>
      </c>
      <c r="B1833" s="3">
        <f>IF(I1833&lt;&gt;"",I1833,IF(J1833&lt;&gt;"",J1833,IF(K1833&lt;&gt;"",K1833,L1833)))</f>
        <v>103.59</v>
      </c>
      <c r="C1833" s="3">
        <f>MEDIAN(I1833:L1833)</f>
        <v>103.59</v>
      </c>
      <c r="D1833" s="3">
        <f>ROUND(C1833*(1-Settings!$B$2),2)</f>
        <v>72.51</v>
      </c>
      <c r="E1833" s="3">
        <f>ROUND(C1833*(1-Settings!$B$3),2)</f>
        <v>72.51</v>
      </c>
      <c r="F1833" s="2" t="inlineStr">
        <is>
          <t>Pokemon</t>
        </is>
      </c>
      <c r="G1833" s="2" t="inlineStr">
        <is>
          <t>Coffret</t>
        </is>
      </c>
      <c r="H1833" s="2" t="inlineStr">
        <is>
          <t>Promo</t>
        </is>
      </c>
      <c r="I1833" s="3" t="n">
        <v>103.59</v>
      </c>
      <c r="J1833" s="3" t="n"/>
      <c r="K1833" s="3" t="n"/>
      <c r="L1833" s="3" t="n"/>
      <c r="M1833" s="2" t="inlineStr">
        <is>
          <t>PriceCharting</t>
        </is>
      </c>
      <c r="N1833" s="4" t="inlineStr">
        <is>
          <t>https://www.pricecharting.com/game/pokemon-promo/hydreigon-ex-&amp;-dragapult-ex-premium-collection</t>
        </is>
      </c>
    </row>
    <row r="1834">
      <c r="A1834" s="2" t="inlineStr">
        <is>
          <t>Promo Ice Rider Calyrex V Box</t>
        </is>
      </c>
      <c r="B1834" s="3">
        <f>IF(I1834&lt;&gt;"",I1834,IF(J1834&lt;&gt;"",J1834,IF(K1834&lt;&gt;"",K1834,L1834)))</f>
        <v>45.9</v>
      </c>
      <c r="C1834" s="3">
        <f>MEDIAN(I1834:L1834)</f>
        <v>45.9</v>
      </c>
      <c r="D1834" s="3">
        <f>ROUND(C1834*(1-Settings!$B$2),2)</f>
        <v>32.13</v>
      </c>
      <c r="E1834" s="3">
        <f>ROUND(C1834*(1-Settings!$B$3),2)</f>
        <v>32.13</v>
      </c>
      <c r="F1834" s="2" t="inlineStr">
        <is>
          <t>Pokemon</t>
        </is>
      </c>
      <c r="G1834" s="2" t="inlineStr">
        <is>
          <t>Coffret</t>
        </is>
      </c>
      <c r="H1834" s="2" t="inlineStr">
        <is>
          <t>Promo</t>
        </is>
      </c>
      <c r="I1834" s="3" t="n">
        <v>45.9</v>
      </c>
      <c r="J1834" s="3" t="n"/>
      <c r="K1834" s="3" t="n"/>
      <c r="L1834" s="3" t="n"/>
      <c r="M1834" s="2" t="inlineStr">
        <is>
          <t>PriceCharting</t>
        </is>
      </c>
      <c r="N1834" s="4" t="inlineStr">
        <is>
          <t>https://www.pricecharting.com/game/pokemon-promo/ice-rider-calyrex-v-box</t>
        </is>
      </c>
    </row>
    <row r="1835">
      <c r="A1835" s="2" t="inlineStr">
        <is>
          <t>Promo Incineroar Ex And Torterra Ex Special Collection</t>
        </is>
      </c>
      <c r="B1835" s="3">
        <f>IF(I1835&lt;&gt;"",I1835,IF(J1835&lt;&gt;"",J1835,IF(K1835&lt;&gt;"",K1835,L1835)))</f>
        <v>71.13</v>
      </c>
      <c r="C1835" s="3">
        <f>MEDIAN(I1835:L1835)</f>
        <v>71.13</v>
      </c>
      <c r="D1835" s="3">
        <f>ROUND(C1835*(1-Settings!$B$2),2)</f>
        <v>49.79</v>
      </c>
      <c r="E1835" s="3">
        <f>ROUND(C1835*(1-Settings!$B$3),2)</f>
        <v>49.79</v>
      </c>
      <c r="F1835" s="2" t="inlineStr">
        <is>
          <t>Pokemon</t>
        </is>
      </c>
      <c r="G1835" s="2" t="inlineStr">
        <is>
          <t>Coffret</t>
        </is>
      </c>
      <c r="H1835" s="2" t="inlineStr">
        <is>
          <t>Promo</t>
        </is>
      </c>
      <c r="I1835" s="3" t="n">
        <v>71.13</v>
      </c>
      <c r="J1835" s="3" t="n"/>
      <c r="K1835" s="3" t="n"/>
      <c r="L1835" s="3" t="n"/>
      <c r="M1835" s="2" t="inlineStr">
        <is>
          <t>PriceCharting</t>
        </is>
      </c>
      <c r="N1835" s="4" t="inlineStr">
        <is>
          <t>https://www.pricecharting.com/game/pokemon-promo/incineroar-ex-and-torterra-ex-special-collection</t>
        </is>
      </c>
    </row>
    <row r="1836">
      <c r="A1836" s="2" t="inlineStr">
        <is>
          <t>Promo Iono Premium Tournament Collection Box</t>
        </is>
      </c>
      <c r="B1836" s="3">
        <f>IF(I1836&lt;&gt;"",I1836,IF(J1836&lt;&gt;"",J1836,IF(K1836&lt;&gt;"",K1836,L1836)))</f>
        <v>79.44</v>
      </c>
      <c r="C1836" s="3">
        <f>MEDIAN(I1836:L1836)</f>
        <v>79.44</v>
      </c>
      <c r="D1836" s="3">
        <f>ROUND(C1836*(1-Settings!$B$2),2)</f>
        <v>55.61</v>
      </c>
      <c r="E1836" s="3">
        <f>ROUND(C1836*(1-Settings!$B$3),2)</f>
        <v>55.61</v>
      </c>
      <c r="F1836" s="2" t="inlineStr">
        <is>
          <t>Pokemon</t>
        </is>
      </c>
      <c r="G1836" s="2" t="inlineStr">
        <is>
          <t>Coffret</t>
        </is>
      </c>
      <c r="H1836" s="2" t="inlineStr">
        <is>
          <t>Promo</t>
        </is>
      </c>
      <c r="I1836" s="3" t="n">
        <v>79.44</v>
      </c>
      <c r="J1836" s="3" t="n"/>
      <c r="K1836" s="3" t="n"/>
      <c r="L1836" s="3" t="n"/>
      <c r="M1836" s="2" t="inlineStr">
        <is>
          <t>PriceCharting</t>
        </is>
      </c>
      <c r="N1836" s="4" t="inlineStr">
        <is>
          <t>https://www.pricecharting.com/game/pokemon-promo/iono-premium-tournament-collection-box</t>
        </is>
      </c>
    </row>
    <row r="1837">
      <c r="A1837" s="2" t="inlineStr">
        <is>
          <t>Promo Iono's Bellibolt Ex Premium Collection Box</t>
        </is>
      </c>
      <c r="B1837" s="3">
        <f>IF(I1837&lt;&gt;"",I1837,IF(J1837&lt;&gt;"",J1837,IF(K1837&lt;&gt;"",K1837,L1837)))</f>
        <v>57.92</v>
      </c>
      <c r="C1837" s="3">
        <f>MEDIAN(I1837:L1837)</f>
        <v>57.92</v>
      </c>
      <c r="D1837" s="3">
        <f>ROUND(C1837*(1-Settings!$B$2),2)</f>
        <v>40.54</v>
      </c>
      <c r="E1837" s="3">
        <f>ROUND(C1837*(1-Settings!$B$3),2)</f>
        <v>40.54</v>
      </c>
      <c r="F1837" s="2" t="inlineStr">
        <is>
          <t>Pokemon</t>
        </is>
      </c>
      <c r="G1837" s="2" t="inlineStr">
        <is>
          <t>Coffret</t>
        </is>
      </c>
      <c r="H1837" s="2" t="inlineStr">
        <is>
          <t>Promo</t>
        </is>
      </c>
      <c r="I1837" s="3" t="n">
        <v>57.92</v>
      </c>
      <c r="J1837" s="3" t="n"/>
      <c r="K1837" s="3" t="n"/>
      <c r="L1837" s="3" t="n"/>
      <c r="M1837" s="2" t="inlineStr">
        <is>
          <t>PriceCharting</t>
        </is>
      </c>
      <c r="N1837" s="4" t="inlineStr">
        <is>
          <t>https://www.pricecharting.com/game/pokemon-promo/iono's-bellibolt-ex-premium-collection-box</t>
        </is>
      </c>
    </row>
    <row r="1838">
      <c r="A1838" s="2" t="inlineStr">
        <is>
          <t>Promo Iron Valiant Ex Box</t>
        </is>
      </c>
      <c r="B1838" s="3">
        <f>IF(I1838&lt;&gt;"",I1838,IF(J1838&lt;&gt;"",J1838,IF(K1838&lt;&gt;"",K1838,L1838)))</f>
        <v>47.33</v>
      </c>
      <c r="C1838" s="3">
        <f>MEDIAN(I1838:L1838)</f>
        <v>47.33</v>
      </c>
      <c r="D1838" s="3">
        <f>ROUND(C1838*(1-Settings!$B$2),2)</f>
        <v>33.13</v>
      </c>
      <c r="E1838" s="3">
        <f>ROUND(C1838*(1-Settings!$B$3),2)</f>
        <v>33.13</v>
      </c>
      <c r="F1838" s="2" t="inlineStr">
        <is>
          <t>Pokemon</t>
        </is>
      </c>
      <c r="G1838" s="2" t="inlineStr">
        <is>
          <t>Coffret</t>
        </is>
      </c>
      <c r="H1838" s="2" t="inlineStr">
        <is>
          <t>Promo</t>
        </is>
      </c>
      <c r="I1838" s="3" t="n">
        <v>47.33</v>
      </c>
      <c r="J1838" s="3" t="n"/>
      <c r="K1838" s="3" t="n"/>
      <c r="L1838" s="3" t="n"/>
      <c r="M1838" s="2" t="inlineStr">
        <is>
          <t>PriceCharting</t>
        </is>
      </c>
      <c r="N1838" s="4" t="inlineStr">
        <is>
          <t>https://www.pricecharting.com/game/pokemon-promo/iron-valiant-ex-box</t>
        </is>
      </c>
    </row>
    <row r="1839">
      <c r="A1839" s="2" t="inlineStr">
        <is>
          <t>Promo Kanto Friends Mini Tin: Bulbasaur</t>
        </is>
      </c>
      <c r="B1839" s="3">
        <f>IF(I1839&lt;&gt;"",I1839,IF(J1839&lt;&gt;"",J1839,IF(K1839&lt;&gt;"",K1839,L1839)))</f>
        <v>29.99</v>
      </c>
      <c r="C1839" s="3">
        <f>MEDIAN(I1839:L1839)</f>
        <v>29.99</v>
      </c>
      <c r="D1839" s="3">
        <f>ROUND(C1839*(1-Settings!$B$2),2)</f>
        <v>20.99</v>
      </c>
      <c r="E1839" s="3">
        <f>ROUND(C1839*(1-Settings!$B$3),2)</f>
        <v>20.99</v>
      </c>
      <c r="F1839" s="2" t="inlineStr">
        <is>
          <t>Pokemon</t>
        </is>
      </c>
      <c r="G1839" s="2" t="inlineStr">
        <is>
          <t>Coffret</t>
        </is>
      </c>
      <c r="H1839" s="2" t="inlineStr">
        <is>
          <t>Promo</t>
        </is>
      </c>
      <c r="I1839" s="3" t="n">
        <v>29.99</v>
      </c>
      <c r="J1839" s="3" t="n"/>
      <c r="K1839" s="3" t="n"/>
      <c r="L1839" s="3" t="n"/>
      <c r="M1839" s="2" t="inlineStr">
        <is>
          <t>PriceCharting</t>
        </is>
      </c>
      <c r="N1839" s="4" t="inlineStr">
        <is>
          <t>https://www.pricecharting.com/game/pokemon-promo/kanto-friends-mini-tin-bulbasaur</t>
        </is>
      </c>
    </row>
    <row r="1840">
      <c r="A1840" s="2" t="inlineStr">
        <is>
          <t>Promo Kanto Friends Mini Tin: Charmander</t>
        </is>
      </c>
      <c r="B1840" s="3">
        <f>IF(I1840&lt;&gt;"",I1840,IF(J1840&lt;&gt;"",J1840,IF(K1840&lt;&gt;"",K1840,L1840)))</f>
        <v>29.99</v>
      </c>
      <c r="C1840" s="3">
        <f>MEDIAN(I1840:L1840)</f>
        <v>29.99</v>
      </c>
      <c r="D1840" s="3">
        <f>ROUND(C1840*(1-Settings!$B$2),2)</f>
        <v>20.99</v>
      </c>
      <c r="E1840" s="3">
        <f>ROUND(C1840*(1-Settings!$B$3),2)</f>
        <v>20.99</v>
      </c>
      <c r="F1840" s="2" t="inlineStr">
        <is>
          <t>Pokemon</t>
        </is>
      </c>
      <c r="G1840" s="2" t="inlineStr">
        <is>
          <t>Coffret</t>
        </is>
      </c>
      <c r="H1840" s="2" t="inlineStr">
        <is>
          <t>Promo</t>
        </is>
      </c>
      <c r="I1840" s="3" t="n">
        <v>29.99</v>
      </c>
      <c r="J1840" s="3" t="n"/>
      <c r="K1840" s="3" t="n"/>
      <c r="L1840" s="3" t="n"/>
      <c r="M1840" s="2" t="inlineStr">
        <is>
          <t>PriceCharting</t>
        </is>
      </c>
      <c r="N1840" s="4" t="inlineStr">
        <is>
          <t>https://www.pricecharting.com/game/pokemon-promo/kanto-friends-mini-tin-charmander</t>
        </is>
      </c>
    </row>
    <row r="1841">
      <c r="A1841" s="2" t="inlineStr">
        <is>
          <t>Promo Kanto Friends Mini Tin: Squirtle</t>
        </is>
      </c>
      <c r="B1841" s="3">
        <f>IF(I1841&lt;&gt;"",I1841,IF(J1841&lt;&gt;"",J1841,IF(K1841&lt;&gt;"",K1841,L1841)))</f>
        <v>34.99</v>
      </c>
      <c r="C1841" s="3">
        <f>MEDIAN(I1841:L1841)</f>
        <v>34.99</v>
      </c>
      <c r="D1841" s="3">
        <f>ROUND(C1841*(1-Settings!$B$2),2)</f>
        <v>24.49</v>
      </c>
      <c r="E1841" s="3">
        <f>ROUND(C1841*(1-Settings!$B$3),2)</f>
        <v>24.49</v>
      </c>
      <c r="F1841" s="2" t="inlineStr">
        <is>
          <t>Pokemon</t>
        </is>
      </c>
      <c r="G1841" s="2" t="inlineStr">
        <is>
          <t>Coffret</t>
        </is>
      </c>
      <c r="H1841" s="2" t="inlineStr">
        <is>
          <t>Promo</t>
        </is>
      </c>
      <c r="I1841" s="3" t="n">
        <v>34.99</v>
      </c>
      <c r="J1841" s="3" t="n"/>
      <c r="K1841" s="3" t="n"/>
      <c r="L1841" s="3" t="n"/>
      <c r="M1841" s="2" t="inlineStr">
        <is>
          <t>PriceCharting</t>
        </is>
      </c>
      <c r="N1841" s="4" t="inlineStr">
        <is>
          <t>https://www.pricecharting.com/game/pokemon-promo/kanto-friends-mini-tin-squirtle</t>
        </is>
      </c>
    </row>
    <row r="1842">
      <c r="A1842" s="2" t="inlineStr">
        <is>
          <t>Promo Kanto Power Mini Tin: Charizard</t>
        </is>
      </c>
      <c r="B1842" s="3">
        <f>IF(I1842&lt;&gt;"",I1842,IF(J1842&lt;&gt;"",J1842,IF(K1842&lt;&gt;"",K1842,L1842)))</f>
        <v>41.89</v>
      </c>
      <c r="C1842" s="3">
        <f>MEDIAN(I1842:L1842)</f>
        <v>41.89</v>
      </c>
      <c r="D1842" s="3">
        <f>ROUND(C1842*(1-Settings!$B$2),2)</f>
        <v>29.32</v>
      </c>
      <c r="E1842" s="3">
        <f>ROUND(C1842*(1-Settings!$B$3),2)</f>
        <v>29.32</v>
      </c>
      <c r="F1842" s="2" t="inlineStr">
        <is>
          <t>Pokemon</t>
        </is>
      </c>
      <c r="G1842" s="2" t="inlineStr">
        <is>
          <t>Coffret</t>
        </is>
      </c>
      <c r="H1842" s="2" t="inlineStr">
        <is>
          <t>Promo</t>
        </is>
      </c>
      <c r="I1842" s="3" t="n">
        <v>41.89</v>
      </c>
      <c r="J1842" s="3" t="n"/>
      <c r="K1842" s="3" t="n"/>
      <c r="L1842" s="3" t="n"/>
      <c r="M1842" s="2" t="inlineStr">
        <is>
          <t>PriceCharting</t>
        </is>
      </c>
      <c r="N1842" s="4" t="inlineStr">
        <is>
          <t>https://www.pricecharting.com/game/pokemon-promo/kanto-power-mini-tin-charizard</t>
        </is>
      </c>
    </row>
    <row r="1843">
      <c r="A1843" s="2" t="inlineStr">
        <is>
          <t>Promo Kanto Power Mini Tin: Dragonite</t>
        </is>
      </c>
      <c r="B1843" s="3">
        <f>IF(I1843&lt;&gt;"",I1843,IF(J1843&lt;&gt;"",J1843,IF(K1843&lt;&gt;"",K1843,L1843)))</f>
        <v>38.92</v>
      </c>
      <c r="C1843" s="3">
        <f>MEDIAN(I1843:L1843)</f>
        <v>38.92</v>
      </c>
      <c r="D1843" s="3">
        <f>ROUND(C1843*(1-Settings!$B$2),2)</f>
        <v>27.24</v>
      </c>
      <c r="E1843" s="3">
        <f>ROUND(C1843*(1-Settings!$B$3),2)</f>
        <v>27.24</v>
      </c>
      <c r="F1843" s="2" t="inlineStr">
        <is>
          <t>Pokemon</t>
        </is>
      </c>
      <c r="G1843" s="2" t="inlineStr">
        <is>
          <t>Coffret</t>
        </is>
      </c>
      <c r="H1843" s="2" t="inlineStr">
        <is>
          <t>Promo</t>
        </is>
      </c>
      <c r="I1843" s="3" t="n">
        <v>38.92</v>
      </c>
      <c r="J1843" s="3" t="n"/>
      <c r="K1843" s="3" t="n"/>
      <c r="L1843" s="3" t="n"/>
      <c r="M1843" s="2" t="inlineStr">
        <is>
          <t>PriceCharting</t>
        </is>
      </c>
      <c r="N1843" s="4" t="inlineStr">
        <is>
          <t>https://www.pricecharting.com/game/pokemon-promo/kanto-power-mini-tin-dragonite</t>
        </is>
      </c>
    </row>
    <row r="1844">
      <c r="A1844" s="2" t="inlineStr">
        <is>
          <t>Promo Kanto Power Mini Tin: Mew</t>
        </is>
      </c>
      <c r="B1844" s="3">
        <f>IF(I1844&lt;&gt;"",I1844,IF(J1844&lt;&gt;"",J1844,IF(K1844&lt;&gt;"",K1844,L1844)))</f>
        <v>39.99</v>
      </c>
      <c r="C1844" s="3">
        <f>MEDIAN(I1844:L1844)</f>
        <v>39.99</v>
      </c>
      <c r="D1844" s="3">
        <f>ROUND(C1844*(1-Settings!$B$2),2)</f>
        <v>27.99</v>
      </c>
      <c r="E1844" s="3">
        <f>ROUND(C1844*(1-Settings!$B$3),2)</f>
        <v>27.99</v>
      </c>
      <c r="F1844" s="2" t="inlineStr">
        <is>
          <t>Pokemon</t>
        </is>
      </c>
      <c r="G1844" s="2" t="inlineStr">
        <is>
          <t>Coffret</t>
        </is>
      </c>
      <c r="H1844" s="2" t="inlineStr">
        <is>
          <t>Promo</t>
        </is>
      </c>
      <c r="I1844" s="3" t="n">
        <v>39.99</v>
      </c>
      <c r="J1844" s="3" t="n"/>
      <c r="K1844" s="3" t="n"/>
      <c r="L1844" s="3" t="n"/>
      <c r="M1844" s="2" t="inlineStr">
        <is>
          <t>PriceCharting</t>
        </is>
      </c>
      <c r="N1844" s="4" t="inlineStr">
        <is>
          <t>https://www.pricecharting.com/game/pokemon-promo/kanto-power-mini-tin-mew</t>
        </is>
      </c>
    </row>
    <row r="1845">
      <c r="A1845" s="2" t="inlineStr">
        <is>
          <t>Promo Kanto Power Mini Tin: Mewtwo</t>
        </is>
      </c>
      <c r="B1845" s="3">
        <f>IF(I1845&lt;&gt;"",I1845,IF(J1845&lt;&gt;"",J1845,IF(K1845&lt;&gt;"",K1845,L1845)))</f>
        <v>33.9</v>
      </c>
      <c r="C1845" s="3">
        <f>MEDIAN(I1845:L1845)</f>
        <v>33.9</v>
      </c>
      <c r="D1845" s="3">
        <f>ROUND(C1845*(1-Settings!$B$2),2)</f>
        <v>23.73</v>
      </c>
      <c r="E1845" s="3">
        <f>ROUND(C1845*(1-Settings!$B$3),2)</f>
        <v>23.73</v>
      </c>
      <c r="F1845" s="2" t="inlineStr">
        <is>
          <t>Pokemon</t>
        </is>
      </c>
      <c r="G1845" s="2" t="inlineStr">
        <is>
          <t>Coffret</t>
        </is>
      </c>
      <c r="H1845" s="2" t="inlineStr">
        <is>
          <t>Promo</t>
        </is>
      </c>
      <c r="I1845" s="3" t="n">
        <v>33.9</v>
      </c>
      <c r="J1845" s="3" t="n"/>
      <c r="K1845" s="3" t="n"/>
      <c r="L1845" s="3" t="n"/>
      <c r="M1845" s="2" t="inlineStr">
        <is>
          <t>PriceCharting</t>
        </is>
      </c>
      <c r="N1845" s="4" t="inlineStr">
        <is>
          <t>https://www.pricecharting.com/game/pokemon-promo/kanto-power-mini-tin-mewtwo</t>
        </is>
      </c>
    </row>
    <row r="1846">
      <c r="A1846" s="2" t="inlineStr">
        <is>
          <t>Promo Kanto Power Mini Tin: Pikachu</t>
        </is>
      </c>
      <c r="B1846" s="3">
        <f>IF(I1846&lt;&gt;"",I1846,IF(J1846&lt;&gt;"",J1846,IF(K1846&lt;&gt;"",K1846,L1846)))</f>
        <v>34.97</v>
      </c>
      <c r="C1846" s="3">
        <f>MEDIAN(I1846:L1846)</f>
        <v>34.97</v>
      </c>
      <c r="D1846" s="3">
        <f>ROUND(C1846*(1-Settings!$B$2),2)</f>
        <v>24.48</v>
      </c>
      <c r="E1846" s="3">
        <f>ROUND(C1846*(1-Settings!$B$3),2)</f>
        <v>24.48</v>
      </c>
      <c r="F1846" s="2" t="inlineStr">
        <is>
          <t>Pokemon</t>
        </is>
      </c>
      <c r="G1846" s="2" t="inlineStr">
        <is>
          <t>Coffret</t>
        </is>
      </c>
      <c r="H1846" s="2" t="inlineStr">
        <is>
          <t>Promo</t>
        </is>
      </c>
      <c r="I1846" s="3" t="n">
        <v>34.97</v>
      </c>
      <c r="J1846" s="3" t="n"/>
      <c r="K1846" s="3" t="n"/>
      <c r="L1846" s="3" t="n"/>
      <c r="M1846" s="2" t="inlineStr">
        <is>
          <t>PriceCharting</t>
        </is>
      </c>
      <c r="N1846" s="4" t="inlineStr">
        <is>
          <t>https://www.pricecharting.com/game/pokemon-promo/kanto-power-mini-tin-pikachu</t>
        </is>
      </c>
    </row>
    <row r="1847">
      <c r="A1847" s="2" t="inlineStr">
        <is>
          <t>Promo Kleavor Vstar Premium Collection</t>
        </is>
      </c>
      <c r="B1847" s="3">
        <f>IF(I1847&lt;&gt;"",I1847,IF(J1847&lt;&gt;"",J1847,IF(K1847&lt;&gt;"",K1847,L1847)))</f>
        <v>20.88</v>
      </c>
      <c r="C1847" s="3">
        <f>MEDIAN(I1847:L1847)</f>
        <v>20.88</v>
      </c>
      <c r="D1847" s="3">
        <f>ROUND(C1847*(1-Settings!$B$2),2)</f>
        <v>14.62</v>
      </c>
      <c r="E1847" s="3">
        <f>ROUND(C1847*(1-Settings!$B$3),2)</f>
        <v>14.62</v>
      </c>
      <c r="F1847" s="2" t="inlineStr">
        <is>
          <t>Pokemon</t>
        </is>
      </c>
      <c r="G1847" s="2" t="inlineStr">
        <is>
          <t>Coffret</t>
        </is>
      </c>
      <c r="H1847" s="2" t="inlineStr">
        <is>
          <t>Promo</t>
        </is>
      </c>
      <c r="I1847" s="3" t="n">
        <v>20.88</v>
      </c>
      <c r="J1847" s="3" t="n"/>
      <c r="K1847" s="3" t="n"/>
      <c r="L1847" s="3" t="n"/>
      <c r="M1847" s="2" t="inlineStr">
        <is>
          <t>PriceCharting</t>
        </is>
      </c>
      <c r="N1847" s="4" t="inlineStr">
        <is>
          <t>https://www.pricecharting.com/game/pokemon-promo/kleavor-vstar-premium-collection</t>
        </is>
      </c>
    </row>
    <row r="1848">
      <c r="A1848" s="2" t="inlineStr">
        <is>
          <t>Promo Kleavor VStar Premium Collection Box</t>
        </is>
      </c>
      <c r="B1848" s="3">
        <f>IF(I1848&lt;&gt;"",I1848,IF(J1848&lt;&gt;"",J1848,IF(K1848&lt;&gt;"",K1848,L1848)))</f>
        <v>82.98</v>
      </c>
      <c r="C1848" s="3">
        <f>MEDIAN(I1848:L1848)</f>
        <v>82.98</v>
      </c>
      <c r="D1848" s="3">
        <f>ROUND(C1848*(1-Settings!$B$2),2)</f>
        <v>58.09</v>
      </c>
      <c r="E1848" s="3">
        <f>ROUND(C1848*(1-Settings!$B$3),2)</f>
        <v>58.09</v>
      </c>
      <c r="F1848" s="2" t="inlineStr">
        <is>
          <t>Pokemon</t>
        </is>
      </c>
      <c r="G1848" s="2" t="inlineStr">
        <is>
          <t>Coffret</t>
        </is>
      </c>
      <c r="H1848" s="2" t="inlineStr">
        <is>
          <t>Promo</t>
        </is>
      </c>
      <c r="I1848" s="3" t="n">
        <v>82.98</v>
      </c>
      <c r="J1848" s="3" t="n"/>
      <c r="K1848" s="3" t="n"/>
      <c r="L1848" s="3" t="n"/>
      <c r="M1848" s="2" t="inlineStr">
        <is>
          <t>PriceCharting</t>
        </is>
      </c>
      <c r="N1848" s="4" t="inlineStr">
        <is>
          <t>https://www.pricecharting.com/game/pokemon-promo/kleavor-vstar-premium-collection-box</t>
        </is>
      </c>
    </row>
    <row r="1849">
      <c r="A1849" s="2" t="inlineStr">
        <is>
          <t>Promo Kleavor VSTAR Special Collection</t>
        </is>
      </c>
      <c r="B1849" s="3">
        <f>IF(I1849&lt;&gt;"",I1849,IF(J1849&lt;&gt;"",J1849,IF(K1849&lt;&gt;"",K1849,L1849)))</f>
        <v>51.81</v>
      </c>
      <c r="C1849" s="3">
        <f>MEDIAN(I1849:L1849)</f>
        <v>51.81</v>
      </c>
      <c r="D1849" s="3">
        <f>ROUND(C1849*(1-Settings!$B$2),2)</f>
        <v>36.27</v>
      </c>
      <c r="E1849" s="3">
        <f>ROUND(C1849*(1-Settings!$B$3),2)</f>
        <v>36.27</v>
      </c>
      <c r="F1849" s="2" t="inlineStr">
        <is>
          <t>Pokemon</t>
        </is>
      </c>
      <c r="G1849" s="2" t="inlineStr">
        <is>
          <t>Coffret</t>
        </is>
      </c>
      <c r="H1849" s="2" t="inlineStr">
        <is>
          <t>Promo</t>
        </is>
      </c>
      <c r="I1849" s="3" t="n">
        <v>51.81</v>
      </c>
      <c r="J1849" s="3" t="n"/>
      <c r="K1849" s="3" t="n"/>
      <c r="L1849" s="3" t="n"/>
      <c r="M1849" s="2" t="inlineStr">
        <is>
          <t>PriceCharting</t>
        </is>
      </c>
      <c r="N1849" s="4" t="inlineStr">
        <is>
          <t>https://www.pricecharting.com/game/pokemon-promo/kleavor-vstar-special-collection</t>
        </is>
      </c>
    </row>
    <row r="1850">
      <c r="A1850" s="2" t="inlineStr">
        <is>
          <t>Promo Kommo-O GX Box</t>
        </is>
      </c>
      <c r="B1850" s="3">
        <f>IF(I1850&lt;&gt;"",I1850,IF(J1850&lt;&gt;"",J1850,IF(K1850&lt;&gt;"",K1850,L1850)))</f>
        <v>121.98</v>
      </c>
      <c r="C1850" s="3">
        <f>MEDIAN(I1850:L1850)</f>
        <v>121.98</v>
      </c>
      <c r="D1850" s="3">
        <f>ROUND(C1850*(1-Settings!$B$2),2)</f>
        <v>85.39</v>
      </c>
      <c r="E1850" s="3">
        <f>ROUND(C1850*(1-Settings!$B$3),2)</f>
        <v>85.39</v>
      </c>
      <c r="F1850" s="2" t="inlineStr">
        <is>
          <t>Pokemon</t>
        </is>
      </c>
      <c r="G1850" s="2" t="inlineStr">
        <is>
          <t>Coffret</t>
        </is>
      </c>
      <c r="H1850" s="2" t="inlineStr">
        <is>
          <t>Promo</t>
        </is>
      </c>
      <c r="I1850" s="3" t="n">
        <v>121.98</v>
      </c>
      <c r="J1850" s="3" t="n"/>
      <c r="K1850" s="3" t="n"/>
      <c r="L1850" s="3" t="n"/>
      <c r="M1850" s="2" t="inlineStr">
        <is>
          <t>PriceCharting</t>
        </is>
      </c>
      <c r="N1850" s="4" t="inlineStr">
        <is>
          <t>https://www.pricecharting.com/game/pokemon-promo/kommo-o-gx-box</t>
        </is>
      </c>
    </row>
    <row r="1851">
      <c r="A1851" s="2" t="inlineStr">
        <is>
          <t>Promo Legendary Warriors Premium Collection Box</t>
        </is>
      </c>
      <c r="B1851" s="3">
        <f>IF(I1851&lt;&gt;"",I1851,IF(J1851&lt;&gt;"",J1851,IF(K1851&lt;&gt;"",K1851,L1851)))</f>
        <v>193.47</v>
      </c>
      <c r="C1851" s="3">
        <f>MEDIAN(I1851:L1851)</f>
        <v>193.47</v>
      </c>
      <c r="D1851" s="3">
        <f>ROUND(C1851*(1-Settings!$B$2),2)</f>
        <v>135.43</v>
      </c>
      <c r="E1851" s="3">
        <f>ROUND(C1851*(1-Settings!$B$3),2)</f>
        <v>135.43</v>
      </c>
      <c r="F1851" s="2" t="inlineStr">
        <is>
          <t>Pokemon</t>
        </is>
      </c>
      <c r="G1851" s="2" t="inlineStr">
        <is>
          <t>Coffret</t>
        </is>
      </c>
      <c r="H1851" s="2" t="inlineStr">
        <is>
          <t>Promo</t>
        </is>
      </c>
      <c r="I1851" s="3" t="n">
        <v>193.47</v>
      </c>
      <c r="J1851" s="3" t="n"/>
      <c r="K1851" s="3" t="n"/>
      <c r="L1851" s="3" t="n"/>
      <c r="M1851" s="2" t="inlineStr">
        <is>
          <t>PriceCharting</t>
        </is>
      </c>
      <c r="N1851" s="4" t="inlineStr">
        <is>
          <t>https://www.pricecharting.com/game/pokemon-promo/legendary-warriors-premium-collection-box</t>
        </is>
      </c>
    </row>
    <row r="1852">
      <c r="A1852" s="2" t="inlineStr">
        <is>
          <t>Promo Legends Of Johto Pin Collection</t>
        </is>
      </c>
      <c r="B1852" s="3">
        <f>IF(I1852&lt;&gt;"",I1852,IF(J1852&lt;&gt;"",J1852,IF(K1852&lt;&gt;"",K1852,L1852)))</f>
        <v>310.0</v>
      </c>
      <c r="C1852" s="3">
        <f>MEDIAN(I1852:L1852)</f>
        <v>310.0</v>
      </c>
      <c r="D1852" s="3">
        <f>ROUND(C1852*(1-Settings!$B$2),2)</f>
        <v>217.0</v>
      </c>
      <c r="E1852" s="3">
        <f>ROUND(C1852*(1-Settings!$B$3),2)</f>
        <v>217.0</v>
      </c>
      <c r="F1852" s="2" t="inlineStr">
        <is>
          <t>Pokemon</t>
        </is>
      </c>
      <c r="G1852" s="2" t="inlineStr">
        <is>
          <t>Coffret</t>
        </is>
      </c>
      <c r="H1852" s="2" t="inlineStr">
        <is>
          <t>Promo</t>
        </is>
      </c>
      <c r="I1852" s="3" t="n">
        <v>310</v>
      </c>
      <c r="J1852" s="3" t="n"/>
      <c r="K1852" s="3" t="n"/>
      <c r="L1852" s="3" t="n"/>
      <c r="M1852" s="2" t="inlineStr">
        <is>
          <t>PriceCharting</t>
        </is>
      </c>
      <c r="N1852" s="4" t="inlineStr">
        <is>
          <t>https://www.pricecharting.com/game/pokemon-promo/legends-of-johto-pin-collection</t>
        </is>
      </c>
    </row>
    <row r="1853">
      <c r="A1853" s="2" t="inlineStr">
        <is>
          <t>Promo Lillie Premium Tournament Collection Box</t>
        </is>
      </c>
      <c r="B1853" s="3">
        <f>IF(I1853&lt;&gt;"",I1853,IF(J1853&lt;&gt;"",J1853,IF(K1853&lt;&gt;"",K1853,L1853)))</f>
        <v>78.99</v>
      </c>
      <c r="C1853" s="3">
        <f>MEDIAN(I1853:L1853)</f>
        <v>78.99</v>
      </c>
      <c r="D1853" s="3">
        <f>ROUND(C1853*(1-Settings!$B$2),2)</f>
        <v>55.29</v>
      </c>
      <c r="E1853" s="3">
        <f>ROUND(C1853*(1-Settings!$B$3),2)</f>
        <v>55.29</v>
      </c>
      <c r="F1853" s="2" t="inlineStr">
        <is>
          <t>Pokemon</t>
        </is>
      </c>
      <c r="G1853" s="2" t="inlineStr">
        <is>
          <t>Coffret</t>
        </is>
      </c>
      <c r="H1853" s="2" t="inlineStr">
        <is>
          <t>Promo</t>
        </is>
      </c>
      <c r="I1853" s="3" t="n">
        <v>78.98999999999999</v>
      </c>
      <c r="J1853" s="3" t="n"/>
      <c r="K1853" s="3" t="n"/>
      <c r="L1853" s="3" t="n"/>
      <c r="M1853" s="2" t="inlineStr">
        <is>
          <t>PriceCharting</t>
        </is>
      </c>
      <c r="N1853" s="4" t="inlineStr">
        <is>
          <t>https://www.pricecharting.com/game/pokemon-promo/lillie-premium-tournament-collection-box</t>
        </is>
      </c>
    </row>
    <row r="1854">
      <c r="A1854" s="2" t="inlineStr">
        <is>
          <t>Promo Lucario VSTAR Special Collection</t>
        </is>
      </c>
      <c r="B1854" s="3">
        <f>IF(I1854&lt;&gt;"",I1854,IF(J1854&lt;&gt;"",J1854,IF(K1854&lt;&gt;"",K1854,L1854)))</f>
        <v>87.16</v>
      </c>
      <c r="C1854" s="3">
        <f>MEDIAN(I1854:L1854)</f>
        <v>87.16</v>
      </c>
      <c r="D1854" s="3">
        <f>ROUND(C1854*(1-Settings!$B$2),2)</f>
        <v>61.01</v>
      </c>
      <c r="E1854" s="3">
        <f>ROUND(C1854*(1-Settings!$B$3),2)</f>
        <v>61.01</v>
      </c>
      <c r="F1854" s="2" t="inlineStr">
        <is>
          <t>Pokemon</t>
        </is>
      </c>
      <c r="G1854" s="2" t="inlineStr">
        <is>
          <t>Coffret</t>
        </is>
      </c>
      <c r="H1854" s="2" t="inlineStr">
        <is>
          <t>Promo</t>
        </is>
      </c>
      <c r="I1854" s="3" t="n">
        <v>87.16</v>
      </c>
      <c r="J1854" s="3" t="n"/>
      <c r="K1854" s="3" t="n"/>
      <c r="L1854" s="3" t="n"/>
      <c r="M1854" s="2" t="inlineStr">
        <is>
          <t>PriceCharting</t>
        </is>
      </c>
      <c r="N1854" s="4" t="inlineStr">
        <is>
          <t>https://www.pricecharting.com/game/pokemon-promo/lucario-vstar-special-collection</t>
        </is>
      </c>
    </row>
    <row r="1855">
      <c r="A1855" s="2" t="inlineStr">
        <is>
          <t>Promo Lugia Ex &amp; Latias Ex Premium Collection</t>
        </is>
      </c>
      <c r="B1855" s="3">
        <f>IF(I1855&lt;&gt;"",I1855,IF(J1855&lt;&gt;"",J1855,IF(K1855&lt;&gt;"",K1855,L1855)))</f>
        <v>105.49</v>
      </c>
      <c r="C1855" s="3">
        <f>MEDIAN(I1855:L1855)</f>
        <v>105.49</v>
      </c>
      <c r="D1855" s="3">
        <f>ROUND(C1855*(1-Settings!$B$2),2)</f>
        <v>73.84</v>
      </c>
      <c r="E1855" s="3">
        <f>ROUND(C1855*(1-Settings!$B$3),2)</f>
        <v>73.84</v>
      </c>
      <c r="F1855" s="2" t="inlineStr">
        <is>
          <t>Pokemon</t>
        </is>
      </c>
      <c r="G1855" s="2" t="inlineStr">
        <is>
          <t>Coffret</t>
        </is>
      </c>
      <c r="H1855" s="2" t="inlineStr">
        <is>
          <t>Promo</t>
        </is>
      </c>
      <c r="I1855" s="3" t="n">
        <v>105.49</v>
      </c>
      <c r="J1855" s="3" t="n"/>
      <c r="K1855" s="3" t="n"/>
      <c r="L1855" s="3" t="n"/>
      <c r="M1855" s="2" t="inlineStr">
        <is>
          <t>PriceCharting</t>
        </is>
      </c>
      <c r="N1855" s="4" t="inlineStr">
        <is>
          <t>https://www.pricecharting.com/game/pokemon-promo/lugia-ex-&amp;-latias-ex-premium-collection</t>
        </is>
      </c>
    </row>
    <row r="1856">
      <c r="A1856" s="2" t="inlineStr">
        <is>
          <t>Promo Lumiose City Mini Tin: Emboar &amp; Inkay</t>
        </is>
      </c>
      <c r="B1856" s="3">
        <f>IF(I1856&lt;&gt;"",I1856,IF(J1856&lt;&gt;"",J1856,IF(K1856&lt;&gt;"",K1856,L1856)))</f>
        <v>13.89</v>
      </c>
      <c r="C1856" s="3">
        <f>MEDIAN(I1856:L1856)</f>
        <v>13.89</v>
      </c>
      <c r="D1856" s="3">
        <f>ROUND(C1856*(1-Settings!$B$2),2)</f>
        <v>9.72</v>
      </c>
      <c r="E1856" s="3">
        <f>ROUND(C1856*(1-Settings!$B$3),2)</f>
        <v>9.72</v>
      </c>
      <c r="F1856" s="2" t="inlineStr">
        <is>
          <t>Pokemon</t>
        </is>
      </c>
      <c r="G1856" s="2" t="inlineStr">
        <is>
          <t>Coffret</t>
        </is>
      </c>
      <c r="H1856" s="2" t="inlineStr">
        <is>
          <t>Promo</t>
        </is>
      </c>
      <c r="I1856" s="3" t="n">
        <v>13.89</v>
      </c>
      <c r="J1856" s="3" t="n"/>
      <c r="K1856" s="3" t="n"/>
      <c r="L1856" s="3" t="n"/>
      <c r="M1856" s="2" t="inlineStr">
        <is>
          <t>PriceCharting</t>
        </is>
      </c>
      <c r="N1856" s="4" t="inlineStr">
        <is>
          <t>https://www.pricecharting.com/game/pokemon-promo/lumiose-city-mini-tin-emboar-&amp;-inkay</t>
        </is>
      </c>
    </row>
    <row r="1857">
      <c r="A1857" s="2" t="inlineStr">
        <is>
          <t>Promo Lumiose City Mini Tin: Feraligatr &amp; Budew</t>
        </is>
      </c>
      <c r="B1857" s="3">
        <f>IF(I1857&lt;&gt;"",I1857,IF(J1857&lt;&gt;"",J1857,IF(K1857&lt;&gt;"",K1857,L1857)))</f>
        <v>16.98</v>
      </c>
      <c r="C1857" s="3">
        <f>MEDIAN(I1857:L1857)</f>
        <v>16.98</v>
      </c>
      <c r="D1857" s="3">
        <f>ROUND(C1857*(1-Settings!$B$2),2)</f>
        <v>11.89</v>
      </c>
      <c r="E1857" s="3">
        <f>ROUND(C1857*(1-Settings!$B$3),2)</f>
        <v>11.89</v>
      </c>
      <c r="F1857" s="2" t="inlineStr">
        <is>
          <t>Pokemon</t>
        </is>
      </c>
      <c r="G1857" s="2" t="inlineStr">
        <is>
          <t>Coffret</t>
        </is>
      </c>
      <c r="H1857" s="2" t="inlineStr">
        <is>
          <t>Promo</t>
        </is>
      </c>
      <c r="I1857" s="3" t="n">
        <v>16.98</v>
      </c>
      <c r="J1857" s="3" t="n"/>
      <c r="K1857" s="3" t="n"/>
      <c r="L1857" s="3" t="n"/>
      <c r="M1857" s="2" t="inlineStr">
        <is>
          <t>PriceCharting</t>
        </is>
      </c>
      <c r="N1857" s="4" t="inlineStr">
        <is>
          <t>https://www.pricecharting.com/game/pokemon-promo/lumiose-city-mini-tin-feraligatr-&amp;-budew</t>
        </is>
      </c>
    </row>
    <row r="1858">
      <c r="A1858" s="2" t="inlineStr">
        <is>
          <t>Promo Lumiose City Mini Tin: Gallade &amp; Goomy</t>
        </is>
      </c>
      <c r="B1858" s="3">
        <f>IF(I1858&lt;&gt;"",I1858,IF(J1858&lt;&gt;"",J1858,IF(K1858&lt;&gt;"",K1858,L1858)))</f>
        <v>15.0</v>
      </c>
      <c r="C1858" s="3">
        <f>MEDIAN(I1858:L1858)</f>
        <v>15.0</v>
      </c>
      <c r="D1858" s="3">
        <f>ROUND(C1858*(1-Settings!$B$2),2)</f>
        <v>10.5</v>
      </c>
      <c r="E1858" s="3">
        <f>ROUND(C1858*(1-Settings!$B$3),2)</f>
        <v>10.5</v>
      </c>
      <c r="F1858" s="2" t="inlineStr">
        <is>
          <t>Pokemon</t>
        </is>
      </c>
      <c r="G1858" s="2" t="inlineStr">
        <is>
          <t>Coffret</t>
        </is>
      </c>
      <c r="H1858" s="2" t="inlineStr">
        <is>
          <t>Promo</t>
        </is>
      </c>
      <c r="I1858" s="3" t="n">
        <v>15</v>
      </c>
      <c r="J1858" s="3" t="n"/>
      <c r="K1858" s="3" t="n"/>
      <c r="L1858" s="3" t="n"/>
      <c r="M1858" s="2" t="inlineStr">
        <is>
          <t>PriceCharting</t>
        </is>
      </c>
      <c r="N1858" s="4" t="inlineStr">
        <is>
          <t>https://www.pricecharting.com/game/pokemon-promo/lumiose-city-mini-tin-gallade-&amp;-goomy</t>
        </is>
      </c>
    </row>
    <row r="1859">
      <c r="A1859" s="2" t="inlineStr">
        <is>
          <t>Promo Lumiose City Mini Tin: Meganium &amp; Meowstic</t>
        </is>
      </c>
      <c r="B1859" s="3">
        <f>IF(I1859&lt;&gt;"",I1859,IF(J1859&lt;&gt;"",J1859,IF(K1859&lt;&gt;"",K1859,L1859)))</f>
        <v>15.19</v>
      </c>
      <c r="C1859" s="3">
        <f>MEDIAN(I1859:L1859)</f>
        <v>15.19</v>
      </c>
      <c r="D1859" s="3">
        <f>ROUND(C1859*(1-Settings!$B$2),2)</f>
        <v>10.63</v>
      </c>
      <c r="E1859" s="3">
        <f>ROUND(C1859*(1-Settings!$B$3),2)</f>
        <v>10.63</v>
      </c>
      <c r="F1859" s="2" t="inlineStr">
        <is>
          <t>Pokemon</t>
        </is>
      </c>
      <c r="G1859" s="2" t="inlineStr">
        <is>
          <t>Coffret</t>
        </is>
      </c>
      <c r="H1859" s="2" t="inlineStr">
        <is>
          <t>Promo</t>
        </is>
      </c>
      <c r="I1859" s="3" t="n">
        <v>15.19</v>
      </c>
      <c r="J1859" s="3" t="n"/>
      <c r="K1859" s="3" t="n"/>
      <c r="L1859" s="3" t="n"/>
      <c r="M1859" s="2" t="inlineStr">
        <is>
          <t>PriceCharting</t>
        </is>
      </c>
      <c r="N1859" s="4" t="inlineStr">
        <is>
          <t>https://www.pricecharting.com/game/pokemon-promo/lumiose-city-mini-tin-meganium-&amp;-meowstic</t>
        </is>
      </c>
    </row>
    <row r="1860">
      <c r="A1860" s="2" t="inlineStr">
        <is>
          <t>Promo Lumiose City Mini Tin: Salamence &amp; Litleo</t>
        </is>
      </c>
      <c r="B1860" s="3">
        <f>IF(I1860&lt;&gt;"",I1860,IF(J1860&lt;&gt;"",J1860,IF(K1860&lt;&gt;"",K1860,L1860)))</f>
        <v>16.34</v>
      </c>
      <c r="C1860" s="3">
        <f>MEDIAN(I1860:L1860)</f>
        <v>16.34</v>
      </c>
      <c r="D1860" s="3">
        <f>ROUND(C1860*(1-Settings!$B$2),2)</f>
        <v>11.44</v>
      </c>
      <c r="E1860" s="3">
        <f>ROUND(C1860*(1-Settings!$B$3),2)</f>
        <v>11.44</v>
      </c>
      <c r="F1860" s="2" t="inlineStr">
        <is>
          <t>Pokemon</t>
        </is>
      </c>
      <c r="G1860" s="2" t="inlineStr">
        <is>
          <t>Coffret</t>
        </is>
      </c>
      <c r="H1860" s="2" t="inlineStr">
        <is>
          <t>Promo</t>
        </is>
      </c>
      <c r="I1860" s="3" t="n">
        <v>16.34</v>
      </c>
      <c r="J1860" s="3" t="n"/>
      <c r="K1860" s="3" t="n"/>
      <c r="L1860" s="3" t="n"/>
      <c r="M1860" s="2" t="inlineStr">
        <is>
          <t>PriceCharting</t>
        </is>
      </c>
      <c r="N1860" s="4" t="inlineStr">
        <is>
          <t>https://www.pricecharting.com/game/pokemon-promo/lumiose-city-mini-tin-salamence-&amp;-litleo</t>
        </is>
      </c>
    </row>
    <row r="1861">
      <c r="A1861" s="2" t="inlineStr">
        <is>
          <t>Promo Mabosstiff EX Box</t>
        </is>
      </c>
      <c r="B1861" s="3">
        <f>IF(I1861&lt;&gt;"",I1861,IF(J1861&lt;&gt;"",J1861,IF(K1861&lt;&gt;"",K1861,L1861)))</f>
        <v>30.12</v>
      </c>
      <c r="C1861" s="3">
        <f>MEDIAN(I1861:L1861)</f>
        <v>30.12</v>
      </c>
      <c r="D1861" s="3">
        <f>ROUND(C1861*(1-Settings!$B$2),2)</f>
        <v>21.08</v>
      </c>
      <c r="E1861" s="3">
        <f>ROUND(C1861*(1-Settings!$B$3),2)</f>
        <v>21.08</v>
      </c>
      <c r="F1861" s="2" t="inlineStr">
        <is>
          <t>Pokemon</t>
        </is>
      </c>
      <c r="G1861" s="2" t="inlineStr">
        <is>
          <t>Coffret</t>
        </is>
      </c>
      <c r="H1861" s="2" t="inlineStr">
        <is>
          <t>Promo</t>
        </is>
      </c>
      <c r="I1861" s="3" t="n">
        <v>30.12</v>
      </c>
      <c r="J1861" s="3" t="n"/>
      <c r="K1861" s="3" t="n"/>
      <c r="L1861" s="3" t="n"/>
      <c r="M1861" s="2" t="inlineStr">
        <is>
          <t>PriceCharting</t>
        </is>
      </c>
      <c r="N1861" s="4" t="inlineStr">
        <is>
          <t>https://www.pricecharting.com/game/pokemon-promo/mabosstiff-ex-box</t>
        </is>
      </c>
    </row>
    <row r="1862">
      <c r="A1862" s="2" t="inlineStr">
        <is>
          <t>Promo Mad Party Pin Collection: Galarian Mr. Rime</t>
        </is>
      </c>
      <c r="B1862" s="3">
        <f>IF(I1862&lt;&gt;"",I1862,IF(J1862&lt;&gt;"",J1862,IF(K1862&lt;&gt;"",K1862,L1862)))</f>
        <v>58.73</v>
      </c>
      <c r="C1862" s="3">
        <f>MEDIAN(I1862:L1862)</f>
        <v>58.73</v>
      </c>
      <c r="D1862" s="3">
        <f>ROUND(C1862*(1-Settings!$B$2),2)</f>
        <v>41.11</v>
      </c>
      <c r="E1862" s="3">
        <f>ROUND(C1862*(1-Settings!$B$3),2)</f>
        <v>41.11</v>
      </c>
      <c r="F1862" s="2" t="inlineStr">
        <is>
          <t>Pokemon</t>
        </is>
      </c>
      <c r="G1862" s="2" t="inlineStr">
        <is>
          <t>Coffret</t>
        </is>
      </c>
      <c r="H1862" s="2" t="inlineStr">
        <is>
          <t>Promo</t>
        </is>
      </c>
      <c r="I1862" s="3" t="n">
        <v>58.73</v>
      </c>
      <c r="J1862" s="3" t="n"/>
      <c r="K1862" s="3" t="n"/>
      <c r="L1862" s="3" t="n"/>
      <c r="M1862" s="2" t="inlineStr">
        <is>
          <t>PriceCharting</t>
        </is>
      </c>
      <c r="N1862" s="4" t="inlineStr">
        <is>
          <t>https://www.pricecharting.com/game/pokemon-promo/mad-party-pin-collection-galarian-mr-rime</t>
        </is>
      </c>
    </row>
    <row r="1863">
      <c r="A1863" s="2" t="inlineStr">
        <is>
          <t>Promo Marshadow Box</t>
        </is>
      </c>
      <c r="B1863" s="3">
        <f>IF(I1863&lt;&gt;"",I1863,IF(J1863&lt;&gt;"",J1863,IF(K1863&lt;&gt;"",K1863,L1863)))</f>
        <v>4.99</v>
      </c>
      <c r="C1863" s="3">
        <f>MEDIAN(I1863:L1863)</f>
        <v>4.99</v>
      </c>
      <c r="D1863" s="3">
        <f>ROUND(C1863*(1-Settings!$B$2),2)</f>
        <v>3.49</v>
      </c>
      <c r="E1863" s="3">
        <f>ROUND(C1863*(1-Settings!$B$3),2)</f>
        <v>3.49</v>
      </c>
      <c r="F1863" s="2" t="inlineStr">
        <is>
          <t>Pokemon</t>
        </is>
      </c>
      <c r="G1863" s="2" t="inlineStr">
        <is>
          <t>Coffret</t>
        </is>
      </c>
      <c r="H1863" s="2" t="inlineStr">
        <is>
          <t>Promo</t>
        </is>
      </c>
      <c r="I1863" s="3" t="n">
        <v>4.99</v>
      </c>
      <c r="J1863" s="3" t="n"/>
      <c r="K1863" s="3" t="n"/>
      <c r="L1863" s="3" t="n"/>
      <c r="M1863" s="2" t="inlineStr">
        <is>
          <t>PriceCharting</t>
        </is>
      </c>
      <c r="N1863" s="4" t="inlineStr">
        <is>
          <t>https://www.pricecharting.com/game/pokemon-promo/marshadow-box</t>
        </is>
      </c>
    </row>
    <row r="1864">
      <c r="A1864" s="2" t="inlineStr">
        <is>
          <t>Promo Mega Charizard X Tin</t>
        </is>
      </c>
      <c r="B1864" s="3">
        <f>IF(I1864&lt;&gt;"",I1864,IF(J1864&lt;&gt;"",J1864,IF(K1864&lt;&gt;"",K1864,L1864)))</f>
        <v>44.1</v>
      </c>
      <c r="C1864" s="3">
        <f>MEDIAN(I1864:L1864)</f>
        <v>44.1</v>
      </c>
      <c r="D1864" s="3">
        <f>ROUND(C1864*(1-Settings!$B$2),2)</f>
        <v>30.87</v>
      </c>
      <c r="E1864" s="3">
        <f>ROUND(C1864*(1-Settings!$B$3),2)</f>
        <v>30.87</v>
      </c>
      <c r="F1864" s="2" t="inlineStr">
        <is>
          <t>Pokemon</t>
        </is>
      </c>
      <c r="G1864" s="2" t="inlineStr">
        <is>
          <t>Coffret</t>
        </is>
      </c>
      <c r="H1864" s="2" t="inlineStr">
        <is>
          <t>Promo</t>
        </is>
      </c>
      <c r="I1864" s="3" t="n">
        <v>44.1</v>
      </c>
      <c r="J1864" s="3" t="n"/>
      <c r="K1864" s="3" t="n"/>
      <c r="L1864" s="3" t="n"/>
      <c r="M1864" s="2" t="inlineStr">
        <is>
          <t>PriceCharting</t>
        </is>
      </c>
      <c r="N1864" s="4" t="inlineStr">
        <is>
          <t>https://www.pricecharting.com/game/pokemon-promo/mega-charizard-x-tin</t>
        </is>
      </c>
    </row>
    <row r="1865">
      <c r="A1865" s="2" t="inlineStr">
        <is>
          <t>Promo Mega Charizard Y Tin</t>
        </is>
      </c>
      <c r="B1865" s="3">
        <f>IF(I1865&lt;&gt;"",I1865,IF(J1865&lt;&gt;"",J1865,IF(K1865&lt;&gt;"",K1865,L1865)))</f>
        <v>41.5</v>
      </c>
      <c r="C1865" s="3">
        <f>MEDIAN(I1865:L1865)</f>
        <v>41.5</v>
      </c>
      <c r="D1865" s="3">
        <f>ROUND(C1865*(1-Settings!$B$2),2)</f>
        <v>29.05</v>
      </c>
      <c r="E1865" s="3">
        <f>ROUND(C1865*(1-Settings!$B$3),2)</f>
        <v>29.05</v>
      </c>
      <c r="F1865" s="2" t="inlineStr">
        <is>
          <t>Pokemon</t>
        </is>
      </c>
      <c r="G1865" s="2" t="inlineStr">
        <is>
          <t>Coffret</t>
        </is>
      </c>
      <c r="H1865" s="2" t="inlineStr">
        <is>
          <t>Promo</t>
        </is>
      </c>
      <c r="I1865" s="3" t="n">
        <v>41.5</v>
      </c>
      <c r="J1865" s="3" t="n"/>
      <c r="K1865" s="3" t="n"/>
      <c r="L1865" s="3" t="n"/>
      <c r="M1865" s="2" t="inlineStr">
        <is>
          <t>PriceCharting</t>
        </is>
      </c>
      <c r="N1865" s="4" t="inlineStr">
        <is>
          <t>https://www.pricecharting.com/game/pokemon-promo/mega-charizard-y-tin</t>
        </is>
      </c>
    </row>
    <row r="1866">
      <c r="A1866" s="2" t="inlineStr">
        <is>
          <t>Promo Mega Greninja Ex Premium Collection</t>
        </is>
      </c>
      <c r="B1866" s="3">
        <f>IF(I1866&lt;&gt;"",I1866,IF(J1866&lt;&gt;"",J1866,IF(K1866&lt;&gt;"",K1866,L1866)))</f>
        <v>48.72</v>
      </c>
      <c r="C1866" s="3">
        <f>MEDIAN(I1866:L1866)</f>
        <v>48.72</v>
      </c>
      <c r="D1866" s="3">
        <f>ROUND(C1866*(1-Settings!$B$2),2)</f>
        <v>34.1</v>
      </c>
      <c r="E1866" s="3">
        <f>ROUND(C1866*(1-Settings!$B$3),2)</f>
        <v>34.1</v>
      </c>
      <c r="F1866" s="2" t="inlineStr">
        <is>
          <t>Pokemon</t>
        </is>
      </c>
      <c r="G1866" s="2" t="inlineStr">
        <is>
          <t>Coffret</t>
        </is>
      </c>
      <c r="H1866" s="2" t="inlineStr">
        <is>
          <t>Promo</t>
        </is>
      </c>
      <c r="I1866" s="3" t="n">
        <v>48.72</v>
      </c>
      <c r="J1866" s="3" t="n"/>
      <c r="K1866" s="3" t="n"/>
      <c r="L1866" s="3" t="n"/>
      <c r="M1866" s="2" t="inlineStr">
        <is>
          <t>PriceCharting</t>
        </is>
      </c>
      <c r="N1866" s="4" t="inlineStr">
        <is>
          <t>https://www.pricecharting.com/game/pokemon-promo/mega-greninja-ex-premium-collection</t>
        </is>
      </c>
    </row>
    <row r="1867">
      <c r="A1867" s="2" t="inlineStr">
        <is>
          <t>Promo Mega Kangaskhan Ex Box</t>
        </is>
      </c>
      <c r="B1867" s="3">
        <f>IF(I1867&lt;&gt;"",I1867,IF(J1867&lt;&gt;"",J1867,IF(K1867&lt;&gt;"",K1867,L1867)))</f>
        <v>42.59</v>
      </c>
      <c r="C1867" s="3">
        <f>MEDIAN(I1867:L1867)</f>
        <v>42.59</v>
      </c>
      <c r="D1867" s="3">
        <f>ROUND(C1867*(1-Settings!$B$2),2)</f>
        <v>29.81</v>
      </c>
      <c r="E1867" s="3">
        <f>ROUND(C1867*(1-Settings!$B$3),2)</f>
        <v>29.81</v>
      </c>
      <c r="F1867" s="2" t="inlineStr">
        <is>
          <t>Pokemon</t>
        </is>
      </c>
      <c r="G1867" s="2" t="inlineStr">
        <is>
          <t>Coffret</t>
        </is>
      </c>
      <c r="H1867" s="2" t="inlineStr">
        <is>
          <t>Promo</t>
        </is>
      </c>
      <c r="I1867" s="3" t="n">
        <v>42.59</v>
      </c>
      <c r="J1867" s="3" t="n"/>
      <c r="K1867" s="3" t="n"/>
      <c r="L1867" s="3" t="n"/>
      <c r="M1867" s="2" t="inlineStr">
        <is>
          <t>PriceCharting</t>
        </is>
      </c>
      <c r="N1867" s="4" t="inlineStr">
        <is>
          <t>https://www.pricecharting.com/game/pokemon-promo/mega-kangaskhan-ex-box</t>
        </is>
      </c>
    </row>
    <row r="1868">
      <c r="A1868" s="2" t="inlineStr">
        <is>
          <t>Promo Mega Latias Ex Box</t>
        </is>
      </c>
      <c r="B1868" s="3">
        <f>IF(I1868&lt;&gt;"",I1868,IF(J1868&lt;&gt;"",J1868,IF(K1868&lt;&gt;"",K1868,L1868)))</f>
        <v>41.26</v>
      </c>
      <c r="C1868" s="3">
        <f>MEDIAN(I1868:L1868)</f>
        <v>41.26</v>
      </c>
      <c r="D1868" s="3">
        <f>ROUND(C1868*(1-Settings!$B$2),2)</f>
        <v>28.88</v>
      </c>
      <c r="E1868" s="3">
        <f>ROUND(C1868*(1-Settings!$B$3),2)</f>
        <v>28.88</v>
      </c>
      <c r="F1868" s="2" t="inlineStr">
        <is>
          <t>Pokemon</t>
        </is>
      </c>
      <c r="G1868" s="2" t="inlineStr">
        <is>
          <t>Coffret</t>
        </is>
      </c>
      <c r="H1868" s="2" t="inlineStr">
        <is>
          <t>Promo</t>
        </is>
      </c>
      <c r="I1868" s="3" t="n">
        <v>41.26</v>
      </c>
      <c r="J1868" s="3" t="n"/>
      <c r="K1868" s="3" t="n"/>
      <c r="L1868" s="3" t="n"/>
      <c r="M1868" s="2" t="inlineStr">
        <is>
          <t>PriceCharting</t>
        </is>
      </c>
      <c r="N1868" s="4" t="inlineStr">
        <is>
          <t>https://www.pricecharting.com/game/pokemon-promo/mega-latias-ex-box</t>
        </is>
      </c>
    </row>
    <row r="1869">
      <c r="A1869" s="2" t="inlineStr">
        <is>
          <t>Promo Mega Moonlit Tin [Mega Gengar ex]</t>
        </is>
      </c>
      <c r="B1869" s="3">
        <f>IF(I1869&lt;&gt;"",I1869,IF(J1869&lt;&gt;"",J1869,IF(K1869&lt;&gt;"",K1869,L1869)))</f>
        <v>33.36</v>
      </c>
      <c r="C1869" s="3">
        <f>MEDIAN(I1869:L1869)</f>
        <v>33.36</v>
      </c>
      <c r="D1869" s="3">
        <f>ROUND(C1869*(1-Settings!$B$2),2)</f>
        <v>23.35</v>
      </c>
      <c r="E1869" s="3">
        <f>ROUND(C1869*(1-Settings!$B$3),2)</f>
        <v>23.35</v>
      </c>
      <c r="F1869" s="2" t="inlineStr">
        <is>
          <t>Pokemon</t>
        </is>
      </c>
      <c r="G1869" s="2" t="inlineStr">
        <is>
          <t>Coffret</t>
        </is>
      </c>
      <c r="H1869" s="2" t="inlineStr">
        <is>
          <t>Promo</t>
        </is>
      </c>
      <c r="I1869" s="3" t="n">
        <v>33.36</v>
      </c>
      <c r="J1869" s="3" t="n"/>
      <c r="K1869" s="3" t="n"/>
      <c r="L1869" s="3" t="n"/>
      <c r="M1869" s="2" t="inlineStr">
        <is>
          <t>PriceCharting</t>
        </is>
      </c>
      <c r="N1869" s="4" t="inlineStr">
        <is>
          <t>https://www.pricecharting.com/game/pokemon-promo/mega-moonlit-tin-mega-gengar-ex</t>
        </is>
      </c>
    </row>
    <row r="1870">
      <c r="A1870" s="2" t="inlineStr">
        <is>
          <t>Promo Mega Moonlit Tin: Mega Clefable Ex</t>
        </is>
      </c>
      <c r="B1870" s="3">
        <f>IF(I1870&lt;&gt;"",I1870,IF(J1870&lt;&gt;"",J1870,IF(K1870&lt;&gt;"",K1870,L1870)))</f>
        <v>26.99</v>
      </c>
      <c r="C1870" s="3">
        <f>MEDIAN(I1870:L1870)</f>
        <v>26.99</v>
      </c>
      <c r="D1870" s="3">
        <f>ROUND(C1870*(1-Settings!$B$2),2)</f>
        <v>18.89</v>
      </c>
      <c r="E1870" s="3">
        <f>ROUND(C1870*(1-Settings!$B$3),2)</f>
        <v>18.89</v>
      </c>
      <c r="F1870" s="2" t="inlineStr">
        <is>
          <t>Pokemon</t>
        </is>
      </c>
      <c r="G1870" s="2" t="inlineStr">
        <is>
          <t>Coffret</t>
        </is>
      </c>
      <c r="H1870" s="2" t="inlineStr">
        <is>
          <t>Promo</t>
        </is>
      </c>
      <c r="I1870" s="3" t="n">
        <v>26.99</v>
      </c>
      <c r="J1870" s="3" t="n"/>
      <c r="K1870" s="3" t="n"/>
      <c r="L1870" s="3" t="n"/>
      <c r="M1870" s="2" t="inlineStr">
        <is>
          <t>PriceCharting</t>
        </is>
      </c>
      <c r="N1870" s="4" t="inlineStr">
        <is>
          <t>https://www.pricecharting.com/game/pokemon-promo/mega-moonlit-tin-mega-clefable-ex</t>
        </is>
      </c>
    </row>
    <row r="1871">
      <c r="A1871" s="2" t="inlineStr">
        <is>
          <t>Promo Mega Venusaur Ex Premium Collection</t>
        </is>
      </c>
      <c r="B1871" s="3">
        <f>IF(I1871&lt;&gt;"",I1871,IF(J1871&lt;&gt;"",J1871,IF(K1871&lt;&gt;"",K1871,L1871)))</f>
        <v>70.35</v>
      </c>
      <c r="C1871" s="3">
        <f>MEDIAN(I1871:L1871)</f>
        <v>70.35</v>
      </c>
      <c r="D1871" s="3">
        <f>ROUND(C1871*(1-Settings!$B$2),2)</f>
        <v>49.25</v>
      </c>
      <c r="E1871" s="3">
        <f>ROUND(C1871*(1-Settings!$B$3),2)</f>
        <v>49.25</v>
      </c>
      <c r="F1871" s="2" t="inlineStr">
        <is>
          <t>Pokemon</t>
        </is>
      </c>
      <c r="G1871" s="2" t="inlineStr">
        <is>
          <t>Coffret</t>
        </is>
      </c>
      <c r="H1871" s="2" t="inlineStr">
        <is>
          <t>Promo</t>
        </is>
      </c>
      <c r="I1871" s="3" t="n">
        <v>70.34999999999999</v>
      </c>
      <c r="J1871" s="3" t="n"/>
      <c r="K1871" s="3" t="n"/>
      <c r="L1871" s="3" t="n"/>
      <c r="M1871" s="2" t="inlineStr">
        <is>
          <t>PriceCharting</t>
        </is>
      </c>
      <c r="N1871" s="4" t="inlineStr">
        <is>
          <t>https://www.pricecharting.com/game/pokemon-promo/mega-venusaur-ex-premium-collection</t>
        </is>
      </c>
    </row>
    <row r="1872">
      <c r="A1872" s="2" t="inlineStr">
        <is>
          <t>Promo Mega Zygarde Ex Premium Collection</t>
        </is>
      </c>
      <c r="B1872" s="3">
        <f>IF(I1872&lt;&gt;"",I1872,IF(J1872&lt;&gt;"",J1872,IF(K1872&lt;&gt;"",K1872,L1872)))</f>
        <v>46.25</v>
      </c>
      <c r="C1872" s="3">
        <f>MEDIAN(I1872:L1872)</f>
        <v>46.25</v>
      </c>
      <c r="D1872" s="3">
        <f>ROUND(C1872*(1-Settings!$B$2),2)</f>
        <v>32.38</v>
      </c>
      <c r="E1872" s="3">
        <f>ROUND(C1872*(1-Settings!$B$3),2)</f>
        <v>32.38</v>
      </c>
      <c r="F1872" s="2" t="inlineStr">
        <is>
          <t>Pokemon</t>
        </is>
      </c>
      <c r="G1872" s="2" t="inlineStr">
        <is>
          <t>Coffret</t>
        </is>
      </c>
      <c r="H1872" s="2" t="inlineStr">
        <is>
          <t>Promo</t>
        </is>
      </c>
      <c r="I1872" s="3" t="n">
        <v>46.25</v>
      </c>
      <c r="J1872" s="3" t="n"/>
      <c r="K1872" s="3" t="n"/>
      <c r="L1872" s="3" t="n"/>
      <c r="M1872" s="2" t="inlineStr">
        <is>
          <t>PriceCharting</t>
        </is>
      </c>
      <c r="N1872" s="4" t="inlineStr">
        <is>
          <t>https://www.pricecharting.com/game/pokemon-promo/mega-zygarde-ex-premium-collection</t>
        </is>
      </c>
    </row>
    <row r="1873">
      <c r="A1873" s="2" t="inlineStr">
        <is>
          <t>Promo Melmetal Ex Box</t>
        </is>
      </c>
      <c r="B1873" s="3">
        <f>IF(I1873&lt;&gt;"",I1873,IF(J1873&lt;&gt;"",J1873,IF(K1873&lt;&gt;"",K1873,L1873)))</f>
        <v>35.66</v>
      </c>
      <c r="C1873" s="3">
        <f>MEDIAN(I1873:L1873)</f>
        <v>35.66</v>
      </c>
      <c r="D1873" s="3">
        <f>ROUND(C1873*(1-Settings!$B$2),2)</f>
        <v>24.96</v>
      </c>
      <c r="E1873" s="3">
        <f>ROUND(C1873*(1-Settings!$B$3),2)</f>
        <v>24.96</v>
      </c>
      <c r="F1873" s="2" t="inlineStr">
        <is>
          <t>Pokemon</t>
        </is>
      </c>
      <c r="G1873" s="2" t="inlineStr">
        <is>
          <t>Coffret</t>
        </is>
      </c>
      <c r="H1873" s="2" t="inlineStr">
        <is>
          <t>Promo</t>
        </is>
      </c>
      <c r="I1873" s="3" t="n">
        <v>35.66</v>
      </c>
      <c r="J1873" s="3" t="n"/>
      <c r="K1873" s="3" t="n"/>
      <c r="L1873" s="3" t="n"/>
      <c r="M1873" s="2" t="inlineStr">
        <is>
          <t>PriceCharting</t>
        </is>
      </c>
      <c r="N1873" s="4" t="inlineStr">
        <is>
          <t>https://www.pricecharting.com/game/pokemon-promo/melmetal-ex-box</t>
        </is>
      </c>
    </row>
    <row r="1874">
      <c r="A1874" s="2" t="inlineStr">
        <is>
          <t>Promo Meowth VMAX Special Collection Box</t>
        </is>
      </c>
      <c r="B1874" s="3">
        <f>IF(I1874&lt;&gt;"",I1874,IF(J1874&lt;&gt;"",J1874,IF(K1874&lt;&gt;"",K1874,L1874)))</f>
        <v>277.0</v>
      </c>
      <c r="C1874" s="3">
        <f>MEDIAN(I1874:L1874)</f>
        <v>277.0</v>
      </c>
      <c r="D1874" s="3">
        <f>ROUND(C1874*(1-Settings!$B$2),2)</f>
        <v>193.9</v>
      </c>
      <c r="E1874" s="3">
        <f>ROUND(C1874*(1-Settings!$B$3),2)</f>
        <v>193.9</v>
      </c>
      <c r="F1874" s="2" t="inlineStr">
        <is>
          <t>Pokemon</t>
        </is>
      </c>
      <c r="G1874" s="2" t="inlineStr">
        <is>
          <t>Coffret</t>
        </is>
      </c>
      <c r="H1874" s="2" t="inlineStr">
        <is>
          <t>Promo</t>
        </is>
      </c>
      <c r="I1874" s="3" t="n">
        <v>277</v>
      </c>
      <c r="J1874" s="3" t="n"/>
      <c r="K1874" s="3" t="n"/>
      <c r="L1874" s="3" t="n"/>
      <c r="M1874" s="2" t="inlineStr">
        <is>
          <t>PriceCharting</t>
        </is>
      </c>
      <c r="N1874" s="4" t="inlineStr">
        <is>
          <t>https://www.pricecharting.com/game/pokemon-promo/meowth-vmax-special-collection-box</t>
        </is>
      </c>
    </row>
    <row r="1875">
      <c r="A1875" s="2" t="inlineStr">
        <is>
          <t>Promo Metal Stacking Tin</t>
        </is>
      </c>
      <c r="B1875" s="3">
        <f>IF(I1875&lt;&gt;"",I1875,IF(J1875&lt;&gt;"",J1875,IF(K1875&lt;&gt;"",K1875,L1875)))</f>
        <v>28.94</v>
      </c>
      <c r="C1875" s="3">
        <f>MEDIAN(I1875:L1875)</f>
        <v>28.94</v>
      </c>
      <c r="D1875" s="3">
        <f>ROUND(C1875*(1-Settings!$B$2),2)</f>
        <v>20.26</v>
      </c>
      <c r="E1875" s="3">
        <f>ROUND(C1875*(1-Settings!$B$3),2)</f>
        <v>20.26</v>
      </c>
      <c r="F1875" s="2" t="inlineStr">
        <is>
          <t>Pokemon</t>
        </is>
      </c>
      <c r="G1875" s="2" t="inlineStr">
        <is>
          <t>Coffret</t>
        </is>
      </c>
      <c r="H1875" s="2" t="inlineStr">
        <is>
          <t>Promo</t>
        </is>
      </c>
      <c r="I1875" s="3" t="n">
        <v>28.94</v>
      </c>
      <c r="J1875" s="3" t="n"/>
      <c r="K1875" s="3" t="n"/>
      <c r="L1875" s="3" t="n"/>
      <c r="M1875" s="2" t="inlineStr">
        <is>
          <t>PriceCharting</t>
        </is>
      </c>
      <c r="N1875" s="4" t="inlineStr">
        <is>
          <t>https://www.pricecharting.com/game/pokemon-promo/metal-stacking-tin</t>
        </is>
      </c>
    </row>
    <row r="1876">
      <c r="A1876" s="2" t="inlineStr">
        <is>
          <t>Promo Mew V Box</t>
        </is>
      </c>
      <c r="B1876" s="3">
        <f>IF(I1876&lt;&gt;"",I1876,IF(J1876&lt;&gt;"",J1876,IF(K1876&lt;&gt;"",K1876,L1876)))</f>
        <v>133.04</v>
      </c>
      <c r="C1876" s="3">
        <f>MEDIAN(I1876:L1876)</f>
        <v>133.04</v>
      </c>
      <c r="D1876" s="3">
        <f>ROUND(C1876*(1-Settings!$B$2),2)</f>
        <v>93.13</v>
      </c>
      <c r="E1876" s="3">
        <f>ROUND(C1876*(1-Settings!$B$3),2)</f>
        <v>93.13</v>
      </c>
      <c r="F1876" s="2" t="inlineStr">
        <is>
          <t>Pokemon</t>
        </is>
      </c>
      <c r="G1876" s="2" t="inlineStr">
        <is>
          <t>Coffret</t>
        </is>
      </c>
      <c r="H1876" s="2" t="inlineStr">
        <is>
          <t>Promo</t>
        </is>
      </c>
      <c r="I1876" s="3" t="n">
        <v>133.04</v>
      </c>
      <c r="J1876" s="3" t="n"/>
      <c r="K1876" s="3" t="n"/>
      <c r="L1876" s="3" t="n"/>
      <c r="M1876" s="2" t="inlineStr">
        <is>
          <t>PriceCharting</t>
        </is>
      </c>
      <c r="N1876" s="4" t="inlineStr">
        <is>
          <t>https://www.pricecharting.com/game/pokemon-promo/mew-v-box</t>
        </is>
      </c>
    </row>
    <row r="1877">
      <c r="A1877" s="2" t="inlineStr">
        <is>
          <t>Promo Mighty Mysterious Tin: Mimikyu</t>
        </is>
      </c>
      <c r="B1877" s="3">
        <f>IF(I1877&lt;&gt;"",I1877,IF(J1877&lt;&gt;"",J1877,IF(K1877&lt;&gt;"",K1877,L1877)))</f>
        <v>126.21</v>
      </c>
      <c r="C1877" s="3">
        <f>MEDIAN(I1877:L1877)</f>
        <v>126.21</v>
      </c>
      <c r="D1877" s="3">
        <f>ROUND(C1877*(1-Settings!$B$2),2)</f>
        <v>88.35</v>
      </c>
      <c r="E1877" s="3">
        <f>ROUND(C1877*(1-Settings!$B$3),2)</f>
        <v>88.35</v>
      </c>
      <c r="F1877" s="2" t="inlineStr">
        <is>
          <t>Pokemon</t>
        </is>
      </c>
      <c r="G1877" s="2" t="inlineStr">
        <is>
          <t>Coffret</t>
        </is>
      </c>
      <c r="H1877" s="2" t="inlineStr">
        <is>
          <t>Promo</t>
        </is>
      </c>
      <c r="I1877" s="3" t="n">
        <v>126.21</v>
      </c>
      <c r="J1877" s="3" t="n"/>
      <c r="K1877" s="3" t="n"/>
      <c r="L1877" s="3" t="n"/>
      <c r="M1877" s="2" t="inlineStr">
        <is>
          <t>PriceCharting</t>
        </is>
      </c>
      <c r="N1877" s="4" t="inlineStr">
        <is>
          <t>https://www.pricecharting.com/game/pokemon-promo/mighty-mysterious-tin-mimikyu</t>
        </is>
      </c>
    </row>
    <row r="1878">
      <c r="A1878" s="2" t="inlineStr">
        <is>
          <t>Promo Mimikyu ex Box</t>
        </is>
      </c>
      <c r="B1878" s="3">
        <f>IF(I1878&lt;&gt;"",I1878,IF(J1878&lt;&gt;"",J1878,IF(K1878&lt;&gt;"",K1878,L1878)))</f>
        <v>69.95</v>
      </c>
      <c r="C1878" s="3">
        <f>MEDIAN(I1878:L1878)</f>
        <v>69.95</v>
      </c>
      <c r="D1878" s="3">
        <f>ROUND(C1878*(1-Settings!$B$2),2)</f>
        <v>48.97</v>
      </c>
      <c r="E1878" s="3">
        <f>ROUND(C1878*(1-Settings!$B$3),2)</f>
        <v>48.97</v>
      </c>
      <c r="F1878" s="2" t="inlineStr">
        <is>
          <t>Pokemon</t>
        </is>
      </c>
      <c r="G1878" s="2" t="inlineStr">
        <is>
          <t>Coffret</t>
        </is>
      </c>
      <c r="H1878" s="2" t="inlineStr">
        <is>
          <t>Promo</t>
        </is>
      </c>
      <c r="I1878" s="3" t="n">
        <v>69.95</v>
      </c>
      <c r="J1878" s="3" t="n"/>
      <c r="K1878" s="3" t="n"/>
      <c r="L1878" s="3" t="n"/>
      <c r="M1878" s="2" t="inlineStr">
        <is>
          <t>PriceCharting</t>
        </is>
      </c>
      <c r="N1878" s="4" t="inlineStr">
        <is>
          <t>https://www.pricecharting.com/game/pokemon-promo/mimikyu-ex-box</t>
        </is>
      </c>
    </row>
    <row r="1879">
      <c r="A1879" s="2" t="inlineStr">
        <is>
          <t>Promo Mimikyu Ex Showcase Box</t>
        </is>
      </c>
      <c r="B1879" s="3">
        <f>IF(I1879&lt;&gt;"",I1879,IF(J1879&lt;&gt;"",J1879,IF(K1879&lt;&gt;"",K1879,L1879)))</f>
        <v>59.99</v>
      </c>
      <c r="C1879" s="3">
        <f>MEDIAN(I1879:L1879)</f>
        <v>59.99</v>
      </c>
      <c r="D1879" s="3">
        <f>ROUND(C1879*(1-Settings!$B$2),2)</f>
        <v>41.99</v>
      </c>
      <c r="E1879" s="3">
        <f>ROUND(C1879*(1-Settings!$B$3),2)</f>
        <v>41.99</v>
      </c>
      <c r="F1879" s="2" t="inlineStr">
        <is>
          <t>Pokemon</t>
        </is>
      </c>
      <c r="G1879" s="2" t="inlineStr">
        <is>
          <t>Coffret</t>
        </is>
      </c>
      <c r="H1879" s="2" t="inlineStr">
        <is>
          <t>Promo</t>
        </is>
      </c>
      <c r="I1879" s="3" t="n">
        <v>59.99</v>
      </c>
      <c r="J1879" s="3" t="n"/>
      <c r="K1879" s="3" t="n"/>
      <c r="L1879" s="3" t="n"/>
      <c r="M1879" s="2" t="inlineStr">
        <is>
          <t>PriceCharting</t>
        </is>
      </c>
      <c r="N1879" s="4" t="inlineStr">
        <is>
          <t>https://www.pricecharting.com/game/pokemon-promo/mimikyu-ex-showcase-box</t>
        </is>
      </c>
    </row>
    <row r="1880">
      <c r="A1880" s="2" t="inlineStr">
        <is>
          <t>Promo Morpeko Pin Collection Box</t>
        </is>
      </c>
      <c r="B1880" s="3">
        <f>IF(I1880&lt;&gt;"",I1880,IF(J1880&lt;&gt;"",J1880,IF(K1880&lt;&gt;"",K1880,L1880)))</f>
        <v>64.15</v>
      </c>
      <c r="C1880" s="3">
        <f>MEDIAN(I1880:L1880)</f>
        <v>64.15</v>
      </c>
      <c r="D1880" s="3">
        <f>ROUND(C1880*(1-Settings!$B$2),2)</f>
        <v>44.91</v>
      </c>
      <c r="E1880" s="3">
        <f>ROUND(C1880*(1-Settings!$B$3),2)</f>
        <v>44.91</v>
      </c>
      <c r="F1880" s="2" t="inlineStr">
        <is>
          <t>Pokemon</t>
        </is>
      </c>
      <c r="G1880" s="2" t="inlineStr">
        <is>
          <t>Coffret</t>
        </is>
      </c>
      <c r="H1880" s="2" t="inlineStr">
        <is>
          <t>Promo</t>
        </is>
      </c>
      <c r="I1880" s="3" t="n">
        <v>64.15000000000001</v>
      </c>
      <c r="J1880" s="3" t="n"/>
      <c r="K1880" s="3" t="n"/>
      <c r="L1880" s="3" t="n"/>
      <c r="M1880" s="2" t="inlineStr">
        <is>
          <t>PriceCharting</t>
        </is>
      </c>
      <c r="N1880" s="4" t="inlineStr">
        <is>
          <t>https://www.pricecharting.com/game/pokemon-promo/morpeko-pin-collection-box</t>
        </is>
      </c>
    </row>
    <row r="1881">
      <c r="A1881" s="2" t="inlineStr">
        <is>
          <t>Promo Ogerpon Stacking Tin</t>
        </is>
      </c>
      <c r="B1881" s="3">
        <f>IF(I1881&lt;&gt;"",I1881,IF(J1881&lt;&gt;"",J1881,IF(K1881&lt;&gt;"",K1881,L1881)))</f>
        <v>30.17</v>
      </c>
      <c r="C1881" s="3">
        <f>MEDIAN(I1881:L1881)</f>
        <v>30.17</v>
      </c>
      <c r="D1881" s="3">
        <f>ROUND(C1881*(1-Settings!$B$2),2)</f>
        <v>21.12</v>
      </c>
      <c r="E1881" s="3">
        <f>ROUND(C1881*(1-Settings!$B$3),2)</f>
        <v>21.12</v>
      </c>
      <c r="F1881" s="2" t="inlineStr">
        <is>
          <t>Pokemon</t>
        </is>
      </c>
      <c r="G1881" s="2" t="inlineStr">
        <is>
          <t>Coffret</t>
        </is>
      </c>
      <c r="H1881" s="2" t="inlineStr">
        <is>
          <t>Promo</t>
        </is>
      </c>
      <c r="I1881" s="3" t="n">
        <v>30.17</v>
      </c>
      <c r="J1881" s="3" t="n"/>
      <c r="K1881" s="3" t="n"/>
      <c r="L1881" s="3" t="n"/>
      <c r="M1881" s="2" t="inlineStr">
        <is>
          <t>PriceCharting</t>
        </is>
      </c>
      <c r="N1881" s="4" t="inlineStr">
        <is>
          <t>https://www.pricecharting.com/game/pokemon-promo/ogerpon-stacking-tin</t>
        </is>
      </c>
    </row>
    <row r="1882">
      <c r="A1882" s="2" t="inlineStr">
        <is>
          <t>Promo Oinkologne Ex Box</t>
        </is>
      </c>
      <c r="B1882" s="3">
        <f>IF(I1882&lt;&gt;"",I1882,IF(J1882&lt;&gt;"",J1882,IF(K1882&lt;&gt;"",K1882,L1882)))</f>
        <v>35.48</v>
      </c>
      <c r="C1882" s="3">
        <f>MEDIAN(I1882:L1882)</f>
        <v>35.48</v>
      </c>
      <c r="D1882" s="3">
        <f>ROUND(C1882*(1-Settings!$B$2),2)</f>
        <v>24.84</v>
      </c>
      <c r="E1882" s="3">
        <f>ROUND(C1882*(1-Settings!$B$3),2)</f>
        <v>24.84</v>
      </c>
      <c r="F1882" s="2" t="inlineStr">
        <is>
          <t>Pokemon</t>
        </is>
      </c>
      <c r="G1882" s="2" t="inlineStr">
        <is>
          <t>Coffret</t>
        </is>
      </c>
      <c r="H1882" s="2" t="inlineStr">
        <is>
          <t>Promo</t>
        </is>
      </c>
      <c r="I1882" s="3" t="n">
        <v>35.48</v>
      </c>
      <c r="J1882" s="3" t="n"/>
      <c r="K1882" s="3" t="n"/>
      <c r="L1882" s="3" t="n"/>
      <c r="M1882" s="2" t="inlineStr">
        <is>
          <t>PriceCharting</t>
        </is>
      </c>
      <c r="N1882" s="4" t="inlineStr">
        <is>
          <t>https://www.pricecharting.com/game/pokemon-promo/oinkologne-ex-box</t>
        </is>
      </c>
    </row>
    <row r="1883">
      <c r="A1883" s="2" t="inlineStr">
        <is>
          <t>Promo Origin Forme Dialga Vstar Premium Collection Box</t>
        </is>
      </c>
      <c r="B1883" s="3">
        <f>IF(I1883&lt;&gt;"",I1883,IF(J1883&lt;&gt;"",J1883,IF(K1883&lt;&gt;"",K1883,L1883)))</f>
        <v>87.5</v>
      </c>
      <c r="C1883" s="3">
        <f>MEDIAN(I1883:L1883)</f>
        <v>87.5</v>
      </c>
      <c r="D1883" s="3">
        <f>ROUND(C1883*(1-Settings!$B$2),2)</f>
        <v>61.25</v>
      </c>
      <c r="E1883" s="3">
        <f>ROUND(C1883*(1-Settings!$B$3),2)</f>
        <v>61.25</v>
      </c>
      <c r="F1883" s="2" t="inlineStr">
        <is>
          <t>Pokemon</t>
        </is>
      </c>
      <c r="G1883" s="2" t="inlineStr">
        <is>
          <t>Coffret</t>
        </is>
      </c>
      <c r="H1883" s="2" t="inlineStr">
        <is>
          <t>Promo</t>
        </is>
      </c>
      <c r="I1883" s="3" t="n">
        <v>87.5</v>
      </c>
      <c r="J1883" s="3" t="n"/>
      <c r="K1883" s="3" t="n"/>
      <c r="L1883" s="3" t="n"/>
      <c r="M1883" s="2" t="inlineStr">
        <is>
          <t>PriceCharting</t>
        </is>
      </c>
      <c r="N1883" s="4" t="inlineStr">
        <is>
          <t>https://www.pricecharting.com/game/pokemon-promo/origin-forme-dialga-vstar-premium-collection-box</t>
        </is>
      </c>
    </row>
    <row r="1884">
      <c r="A1884" s="2" t="inlineStr">
        <is>
          <t>Promo Palafin Ex Box</t>
        </is>
      </c>
      <c r="B1884" s="3">
        <f>IF(I1884&lt;&gt;"",I1884,IF(J1884&lt;&gt;"",J1884,IF(K1884&lt;&gt;"",K1884,L1884)))</f>
        <v>43.71</v>
      </c>
      <c r="C1884" s="3">
        <f>MEDIAN(I1884:L1884)</f>
        <v>43.71</v>
      </c>
      <c r="D1884" s="3">
        <f>ROUND(C1884*(1-Settings!$B$2),2)</f>
        <v>30.6</v>
      </c>
      <c r="E1884" s="3">
        <f>ROUND(C1884*(1-Settings!$B$3),2)</f>
        <v>30.6</v>
      </c>
      <c r="F1884" s="2" t="inlineStr">
        <is>
          <t>Pokemon</t>
        </is>
      </c>
      <c r="G1884" s="2" t="inlineStr">
        <is>
          <t>Coffret</t>
        </is>
      </c>
      <c r="H1884" s="2" t="inlineStr">
        <is>
          <t>Promo</t>
        </is>
      </c>
      <c r="I1884" s="3" t="n">
        <v>43.71</v>
      </c>
      <c r="J1884" s="3" t="n"/>
      <c r="K1884" s="3" t="n"/>
      <c r="L1884" s="3" t="n"/>
      <c r="M1884" s="2" t="inlineStr">
        <is>
          <t>PriceCharting</t>
        </is>
      </c>
      <c r="N1884" s="4" t="inlineStr">
        <is>
          <t>https://www.pricecharting.com/game/pokemon-promo/palafin-ex-box</t>
        </is>
      </c>
    </row>
    <row r="1885">
      <c r="A1885" s="2" t="inlineStr">
        <is>
          <t>Promo Paldea Friends Mini Tins 5-Pack</t>
        </is>
      </c>
      <c r="B1885" s="3">
        <f>IF(I1885&lt;&gt;"",I1885,IF(J1885&lt;&gt;"",J1885,IF(K1885&lt;&gt;"",K1885,L1885)))</f>
        <v>135.56</v>
      </c>
      <c r="C1885" s="3">
        <f>MEDIAN(I1885:L1885)</f>
        <v>135.56</v>
      </c>
      <c r="D1885" s="3">
        <f>ROUND(C1885*(1-Settings!$B$2),2)</f>
        <v>94.89</v>
      </c>
      <c r="E1885" s="3">
        <f>ROUND(C1885*(1-Settings!$B$3),2)</f>
        <v>94.89</v>
      </c>
      <c r="F1885" s="2" t="inlineStr">
        <is>
          <t>Pokemon</t>
        </is>
      </c>
      <c r="G1885" s="2" t="inlineStr">
        <is>
          <t>Coffret</t>
        </is>
      </c>
      <c r="H1885" s="2" t="inlineStr">
        <is>
          <t>Promo</t>
        </is>
      </c>
      <c r="I1885" s="3" t="n">
        <v>135.56</v>
      </c>
      <c r="J1885" s="3" t="n"/>
      <c r="K1885" s="3" t="n"/>
      <c r="L1885" s="3" t="n"/>
      <c r="M1885" s="2" t="inlineStr">
        <is>
          <t>PriceCharting</t>
        </is>
      </c>
      <c r="N1885" s="4" t="inlineStr">
        <is>
          <t>https://www.pricecharting.com/game/pokemon-promo/paldea-friends-mini-tins-5-pack</t>
        </is>
      </c>
    </row>
    <row r="1886">
      <c r="A1886" s="2" t="inlineStr">
        <is>
          <t>Promo Paldea Partners Tin [Meowscarada Ex International]</t>
        </is>
      </c>
      <c r="B1886" s="3">
        <f>IF(I1886&lt;&gt;"",I1886,IF(J1886&lt;&gt;"",J1886,IF(K1886&lt;&gt;"",K1886,L1886)))</f>
        <v>49.87</v>
      </c>
      <c r="C1886" s="3">
        <f>MEDIAN(I1886:L1886)</f>
        <v>49.87</v>
      </c>
      <c r="D1886" s="3">
        <f>ROUND(C1886*(1-Settings!$B$2),2)</f>
        <v>34.91</v>
      </c>
      <c r="E1886" s="3">
        <f>ROUND(C1886*(1-Settings!$B$3),2)</f>
        <v>34.91</v>
      </c>
      <c r="F1886" s="2" t="inlineStr">
        <is>
          <t>Pokemon</t>
        </is>
      </c>
      <c r="G1886" s="2" t="inlineStr">
        <is>
          <t>Coffret</t>
        </is>
      </c>
      <c r="H1886" s="2" t="inlineStr">
        <is>
          <t>Promo</t>
        </is>
      </c>
      <c r="I1886" s="3" t="n">
        <v>49.87</v>
      </c>
      <c r="J1886" s="3" t="n"/>
      <c r="K1886" s="3" t="n"/>
      <c r="L1886" s="3" t="n"/>
      <c r="M1886" s="2" t="inlineStr">
        <is>
          <t>PriceCharting</t>
        </is>
      </c>
      <c r="N1886" s="4" t="inlineStr">
        <is>
          <t>https://www.pricecharting.com/game/pokemon-promo/paldea-partners-tin-meowscarada-ex-international</t>
        </is>
      </c>
    </row>
    <row r="1887">
      <c r="A1887" s="2" t="inlineStr">
        <is>
          <t>Promo Paldea Partners Tin [Quaquaval Ex]</t>
        </is>
      </c>
      <c r="B1887" s="3">
        <f>IF(I1887&lt;&gt;"",I1887,IF(J1887&lt;&gt;"",J1887,IF(K1887&lt;&gt;"",K1887,L1887)))</f>
        <v>36.0</v>
      </c>
      <c r="C1887" s="3">
        <f>MEDIAN(I1887:L1887)</f>
        <v>36.0</v>
      </c>
      <c r="D1887" s="3">
        <f>ROUND(C1887*(1-Settings!$B$2),2)</f>
        <v>25.2</v>
      </c>
      <c r="E1887" s="3">
        <f>ROUND(C1887*(1-Settings!$B$3),2)</f>
        <v>25.2</v>
      </c>
      <c r="F1887" s="2" t="inlineStr">
        <is>
          <t>Pokemon</t>
        </is>
      </c>
      <c r="G1887" s="2" t="inlineStr">
        <is>
          <t>Coffret</t>
        </is>
      </c>
      <c r="H1887" s="2" t="inlineStr">
        <is>
          <t>Promo</t>
        </is>
      </c>
      <c r="I1887" s="3" t="n">
        <v>36</v>
      </c>
      <c r="J1887" s="3" t="n"/>
      <c r="K1887" s="3" t="n"/>
      <c r="L1887" s="3" t="n"/>
      <c r="M1887" s="2" t="inlineStr">
        <is>
          <t>PriceCharting</t>
        </is>
      </c>
      <c r="N1887" s="4" t="inlineStr">
        <is>
          <t>https://www.pricecharting.com/game/pokemon-promo/paldea-partners-tin-quaquaval-ex</t>
        </is>
      </c>
    </row>
    <row r="1888">
      <c r="A1888" s="2" t="inlineStr">
        <is>
          <t>Promo Paldea Partners Tin [Skeledirge]</t>
        </is>
      </c>
      <c r="B1888" s="3">
        <f>IF(I1888&lt;&gt;"",I1888,IF(J1888&lt;&gt;"",J1888,IF(K1888&lt;&gt;"",K1888,L1888)))</f>
        <v>30.0</v>
      </c>
      <c r="C1888" s="3">
        <f>MEDIAN(I1888:L1888)</f>
        <v>30.0</v>
      </c>
      <c r="D1888" s="3">
        <f>ROUND(C1888*(1-Settings!$B$2),2)</f>
        <v>21.0</v>
      </c>
      <c r="E1888" s="3">
        <f>ROUND(C1888*(1-Settings!$B$3),2)</f>
        <v>21.0</v>
      </c>
      <c r="F1888" s="2" t="inlineStr">
        <is>
          <t>Pokemon</t>
        </is>
      </c>
      <c r="G1888" s="2" t="inlineStr">
        <is>
          <t>Coffret</t>
        </is>
      </c>
      <c r="H1888" s="2" t="inlineStr">
        <is>
          <t>Promo</t>
        </is>
      </c>
      <c r="I1888" s="3" t="n">
        <v>30</v>
      </c>
      <c r="J1888" s="3" t="n"/>
      <c r="K1888" s="3" t="n"/>
      <c r="L1888" s="3" t="n"/>
      <c r="M1888" s="2" t="inlineStr">
        <is>
          <t>PriceCharting</t>
        </is>
      </c>
      <c r="N1888" s="4" t="inlineStr">
        <is>
          <t>https://www.pricecharting.com/game/pokemon-promo/paldea-partners-tin-skeledirge</t>
        </is>
      </c>
    </row>
    <row r="1889">
      <c r="A1889" s="2" t="inlineStr">
        <is>
          <t>Promo Paldea Partners Tin: Meowscarada Ex</t>
        </is>
      </c>
      <c r="B1889" s="3">
        <f>IF(I1889&lt;&gt;"",I1889,IF(J1889&lt;&gt;"",J1889,IF(K1889&lt;&gt;"",K1889,L1889)))</f>
        <v>50.45</v>
      </c>
      <c r="C1889" s="3">
        <f>MEDIAN(I1889:L1889)</f>
        <v>50.45</v>
      </c>
      <c r="D1889" s="3">
        <f>ROUND(C1889*(1-Settings!$B$2),2)</f>
        <v>35.32</v>
      </c>
      <c r="E1889" s="3">
        <f>ROUND(C1889*(1-Settings!$B$3),2)</f>
        <v>35.32</v>
      </c>
      <c r="F1889" s="2" t="inlineStr">
        <is>
          <t>Pokemon</t>
        </is>
      </c>
      <c r="G1889" s="2" t="inlineStr">
        <is>
          <t>Coffret</t>
        </is>
      </c>
      <c r="H1889" s="2" t="inlineStr">
        <is>
          <t>Promo</t>
        </is>
      </c>
      <c r="I1889" s="3" t="n">
        <v>50.45</v>
      </c>
      <c r="J1889" s="3" t="n"/>
      <c r="K1889" s="3" t="n"/>
      <c r="L1889" s="3" t="n"/>
      <c r="M1889" s="2" t="inlineStr">
        <is>
          <t>PriceCharting</t>
        </is>
      </c>
      <c r="N1889" s="4" t="inlineStr">
        <is>
          <t>https://www.pricecharting.com/game/pokemon-promo/paldea-partners-tin-meowscarada-ex</t>
        </is>
      </c>
    </row>
    <row r="1890">
      <c r="A1890" s="2" t="inlineStr">
        <is>
          <t>Promo Paradox Clash Tin [Iron Leaves Ex]</t>
        </is>
      </c>
      <c r="B1890" s="3">
        <f>IF(I1890&lt;&gt;"",I1890,IF(J1890&lt;&gt;"",J1890,IF(K1890&lt;&gt;"",K1890,L1890)))</f>
        <v>31.5</v>
      </c>
      <c r="C1890" s="3">
        <f>MEDIAN(I1890:L1890)</f>
        <v>31.5</v>
      </c>
      <c r="D1890" s="3">
        <f>ROUND(C1890*(1-Settings!$B$2),2)</f>
        <v>22.05</v>
      </c>
      <c r="E1890" s="3">
        <f>ROUND(C1890*(1-Settings!$B$3),2)</f>
        <v>22.05</v>
      </c>
      <c r="F1890" s="2" t="inlineStr">
        <is>
          <t>Pokemon</t>
        </is>
      </c>
      <c r="G1890" s="2" t="inlineStr">
        <is>
          <t>Coffret</t>
        </is>
      </c>
      <c r="H1890" s="2" t="inlineStr">
        <is>
          <t>Promo</t>
        </is>
      </c>
      <c r="I1890" s="3" t="n">
        <v>31.5</v>
      </c>
      <c r="J1890" s="3" t="n"/>
      <c r="K1890" s="3" t="n"/>
      <c r="L1890" s="3" t="n"/>
      <c r="M1890" s="2" t="inlineStr">
        <is>
          <t>PriceCharting</t>
        </is>
      </c>
      <c r="N1890" s="4" t="inlineStr">
        <is>
          <t>https://www.pricecharting.com/game/pokemon-promo/paradox-clash-tin-iron-leaves-ex</t>
        </is>
      </c>
    </row>
    <row r="1891">
      <c r="A1891" s="2" t="inlineStr">
        <is>
          <t>Promo Paradox Clash Tin [Walking Wake]</t>
        </is>
      </c>
      <c r="B1891" s="3">
        <f>IF(I1891&lt;&gt;"",I1891,IF(J1891&lt;&gt;"",J1891,IF(K1891&lt;&gt;"",K1891,L1891)))</f>
        <v>38.37</v>
      </c>
      <c r="C1891" s="3">
        <f>MEDIAN(I1891:L1891)</f>
        <v>38.37</v>
      </c>
      <c r="D1891" s="3">
        <f>ROUND(C1891*(1-Settings!$B$2),2)</f>
        <v>26.86</v>
      </c>
      <c r="E1891" s="3">
        <f>ROUND(C1891*(1-Settings!$B$3),2)</f>
        <v>26.86</v>
      </c>
      <c r="F1891" s="2" t="inlineStr">
        <is>
          <t>Pokemon</t>
        </is>
      </c>
      <c r="G1891" s="2" t="inlineStr">
        <is>
          <t>Coffret</t>
        </is>
      </c>
      <c r="H1891" s="2" t="inlineStr">
        <is>
          <t>Promo</t>
        </is>
      </c>
      <c r="I1891" s="3" t="n">
        <v>38.37</v>
      </c>
      <c r="J1891" s="3" t="n"/>
      <c r="K1891" s="3" t="n"/>
      <c r="L1891" s="3" t="n"/>
      <c r="M1891" s="2" t="inlineStr">
        <is>
          <t>PriceCharting</t>
        </is>
      </c>
      <c r="N1891" s="4" t="inlineStr">
        <is>
          <t>https://www.pricecharting.com/game/pokemon-promo/paradox-clash-tin-walking-wake</t>
        </is>
      </c>
    </row>
    <row r="1892">
      <c r="A1892" s="2" t="inlineStr">
        <is>
          <t>Promo Paradox Destinies Tin [Gouging Fire Ex]</t>
        </is>
      </c>
      <c r="B1892" s="3">
        <f>IF(I1892&lt;&gt;"",I1892,IF(J1892&lt;&gt;"",J1892,IF(K1892&lt;&gt;"",K1892,L1892)))</f>
        <v>44.99</v>
      </c>
      <c r="C1892" s="3">
        <f>MEDIAN(I1892:L1892)</f>
        <v>44.99</v>
      </c>
      <c r="D1892" s="3">
        <f>ROUND(C1892*(1-Settings!$B$2),2)</f>
        <v>31.49</v>
      </c>
      <c r="E1892" s="3">
        <f>ROUND(C1892*(1-Settings!$B$3),2)</f>
        <v>31.49</v>
      </c>
      <c r="F1892" s="2" t="inlineStr">
        <is>
          <t>Pokemon</t>
        </is>
      </c>
      <c r="G1892" s="2" t="inlineStr">
        <is>
          <t>Coffret</t>
        </is>
      </c>
      <c r="H1892" s="2" t="inlineStr">
        <is>
          <t>Promo</t>
        </is>
      </c>
      <c r="I1892" s="3" t="n">
        <v>44.99</v>
      </c>
      <c r="J1892" s="3" t="n"/>
      <c r="K1892" s="3" t="n"/>
      <c r="L1892" s="3" t="n"/>
      <c r="M1892" s="2" t="inlineStr">
        <is>
          <t>PriceCharting</t>
        </is>
      </c>
      <c r="N1892" s="4" t="inlineStr">
        <is>
          <t>https://www.pricecharting.com/game/pokemon-promo/paradox-destinies-tin-gouging-fire-ex</t>
        </is>
      </c>
    </row>
    <row r="1893">
      <c r="A1893" s="2" t="inlineStr">
        <is>
          <t>Promo Paradox Destinies Tin [Iron Boulder Ex]</t>
        </is>
      </c>
      <c r="B1893" s="3">
        <f>IF(I1893&lt;&gt;"",I1893,IF(J1893&lt;&gt;"",J1893,IF(K1893&lt;&gt;"",K1893,L1893)))</f>
        <v>39.92</v>
      </c>
      <c r="C1893" s="3">
        <f>MEDIAN(I1893:L1893)</f>
        <v>39.92</v>
      </c>
      <c r="D1893" s="3">
        <f>ROUND(C1893*(1-Settings!$B$2),2)</f>
        <v>27.94</v>
      </c>
      <c r="E1893" s="3">
        <f>ROUND(C1893*(1-Settings!$B$3),2)</f>
        <v>27.94</v>
      </c>
      <c r="F1893" s="2" t="inlineStr">
        <is>
          <t>Pokemon</t>
        </is>
      </c>
      <c r="G1893" s="2" t="inlineStr">
        <is>
          <t>Coffret</t>
        </is>
      </c>
      <c r="H1893" s="2" t="inlineStr">
        <is>
          <t>Promo</t>
        </is>
      </c>
      <c r="I1893" s="3" t="n">
        <v>39.92</v>
      </c>
      <c r="J1893" s="3" t="n"/>
      <c r="K1893" s="3" t="n"/>
      <c r="L1893" s="3" t="n"/>
      <c r="M1893" s="2" t="inlineStr">
        <is>
          <t>PriceCharting</t>
        </is>
      </c>
      <c r="N1893" s="4" t="inlineStr">
        <is>
          <t>https://www.pricecharting.com/game/pokemon-promo/paradox-destinies-tin-iron-boulder-ex</t>
        </is>
      </c>
    </row>
    <row r="1894">
      <c r="A1894" s="2" t="inlineStr">
        <is>
          <t>Promo Paradox Destinies Tin [Iron Crown Ex]</t>
        </is>
      </c>
      <c r="B1894" s="3">
        <f>IF(I1894&lt;&gt;"",I1894,IF(J1894&lt;&gt;"",J1894,IF(K1894&lt;&gt;"",K1894,L1894)))</f>
        <v>39.49</v>
      </c>
      <c r="C1894" s="3">
        <f>MEDIAN(I1894:L1894)</f>
        <v>39.49</v>
      </c>
      <c r="D1894" s="3">
        <f>ROUND(C1894*(1-Settings!$B$2),2)</f>
        <v>27.64</v>
      </c>
      <c r="E1894" s="3">
        <f>ROUND(C1894*(1-Settings!$B$3),2)</f>
        <v>27.64</v>
      </c>
      <c r="F1894" s="2" t="inlineStr">
        <is>
          <t>Pokemon</t>
        </is>
      </c>
      <c r="G1894" s="2" t="inlineStr">
        <is>
          <t>Coffret</t>
        </is>
      </c>
      <c r="H1894" s="2" t="inlineStr">
        <is>
          <t>Promo</t>
        </is>
      </c>
      <c r="I1894" s="3" t="n">
        <v>39.49</v>
      </c>
      <c r="J1894" s="3" t="n"/>
      <c r="K1894" s="3" t="n"/>
      <c r="L1894" s="3" t="n"/>
      <c r="M1894" s="2" t="inlineStr">
        <is>
          <t>PriceCharting</t>
        </is>
      </c>
      <c r="N1894" s="4" t="inlineStr">
        <is>
          <t>https://www.pricecharting.com/game/pokemon-promo/paradox-destinies-tin-iron-crown-ex</t>
        </is>
      </c>
    </row>
    <row r="1895">
      <c r="A1895" s="2" t="inlineStr">
        <is>
          <t>Promo Paradox Destinies Tin [Raging Bolt Ex]</t>
        </is>
      </c>
      <c r="B1895" s="3">
        <f>IF(I1895&lt;&gt;"",I1895,IF(J1895&lt;&gt;"",J1895,IF(K1895&lt;&gt;"",K1895,L1895)))</f>
        <v>38.76</v>
      </c>
      <c r="C1895" s="3">
        <f>MEDIAN(I1895:L1895)</f>
        <v>38.76</v>
      </c>
      <c r="D1895" s="3">
        <f>ROUND(C1895*(1-Settings!$B$2),2)</f>
        <v>27.13</v>
      </c>
      <c r="E1895" s="3">
        <f>ROUND(C1895*(1-Settings!$B$3),2)</f>
        <v>27.13</v>
      </c>
      <c r="F1895" s="2" t="inlineStr">
        <is>
          <t>Pokemon</t>
        </is>
      </c>
      <c r="G1895" s="2" t="inlineStr">
        <is>
          <t>Coffret</t>
        </is>
      </c>
      <c r="H1895" s="2" t="inlineStr">
        <is>
          <t>Promo</t>
        </is>
      </c>
      <c r="I1895" s="3" t="n">
        <v>38.76</v>
      </c>
      <c r="J1895" s="3" t="n"/>
      <c r="K1895" s="3" t="n"/>
      <c r="L1895" s="3" t="n"/>
      <c r="M1895" s="2" t="inlineStr">
        <is>
          <t>PriceCharting</t>
        </is>
      </c>
      <c r="N1895" s="4" t="inlineStr">
        <is>
          <t>https://www.pricecharting.com/game/pokemon-promo/paradox-destinies-tin-raging-bolt-ex</t>
        </is>
      </c>
    </row>
    <row r="1896">
      <c r="A1896" s="2" t="inlineStr">
        <is>
          <t>Promo Paradox Fury Premium Collection</t>
        </is>
      </c>
      <c r="B1896" s="3">
        <f>IF(I1896&lt;&gt;"",I1896,IF(J1896&lt;&gt;"",J1896,IF(K1896&lt;&gt;"",K1896,L1896)))</f>
        <v>77.55</v>
      </c>
      <c r="C1896" s="3">
        <f>MEDIAN(I1896:L1896)</f>
        <v>77.55</v>
      </c>
      <c r="D1896" s="3">
        <f>ROUND(C1896*(1-Settings!$B$2),2)</f>
        <v>54.29</v>
      </c>
      <c r="E1896" s="3">
        <f>ROUND(C1896*(1-Settings!$B$3),2)</f>
        <v>54.29</v>
      </c>
      <c r="F1896" s="2" t="inlineStr">
        <is>
          <t>Pokemon</t>
        </is>
      </c>
      <c r="G1896" s="2" t="inlineStr">
        <is>
          <t>Coffret</t>
        </is>
      </c>
      <c r="H1896" s="2" t="inlineStr">
        <is>
          <t>Promo</t>
        </is>
      </c>
      <c r="I1896" s="3" t="n">
        <v>77.55</v>
      </c>
      <c r="J1896" s="3" t="n"/>
      <c r="K1896" s="3" t="n"/>
      <c r="L1896" s="3" t="n"/>
      <c r="M1896" s="2" t="inlineStr">
        <is>
          <t>PriceCharting</t>
        </is>
      </c>
      <c r="N1896" s="4" t="inlineStr">
        <is>
          <t>https://www.pricecharting.com/game/pokemon-promo/paradox-fury-premium-collection</t>
        </is>
      </c>
    </row>
    <row r="1897">
      <c r="A1897" s="2" t="inlineStr">
        <is>
          <t>Promo Paradox Pokemon Stacking Tin</t>
        </is>
      </c>
      <c r="B1897" s="3">
        <f>IF(I1897&lt;&gt;"",I1897,IF(J1897&lt;&gt;"",J1897,IF(K1897&lt;&gt;"",K1897,L1897)))</f>
        <v>29.99</v>
      </c>
      <c r="C1897" s="3">
        <f>MEDIAN(I1897:L1897)</f>
        <v>29.99</v>
      </c>
      <c r="D1897" s="3">
        <f>ROUND(C1897*(1-Settings!$B$2),2)</f>
        <v>20.99</v>
      </c>
      <c r="E1897" s="3">
        <f>ROUND(C1897*(1-Settings!$B$3),2)</f>
        <v>20.99</v>
      </c>
      <c r="F1897" s="2" t="inlineStr">
        <is>
          <t>Pokemon</t>
        </is>
      </c>
      <c r="G1897" s="2" t="inlineStr">
        <is>
          <t>Coffret</t>
        </is>
      </c>
      <c r="H1897" s="2" t="inlineStr">
        <is>
          <t>Promo</t>
        </is>
      </c>
      <c r="I1897" s="3" t="n">
        <v>29.99</v>
      </c>
      <c r="J1897" s="3" t="n"/>
      <c r="K1897" s="3" t="n"/>
      <c r="L1897" s="3" t="n"/>
      <c r="M1897" s="2" t="inlineStr">
        <is>
          <t>PriceCharting</t>
        </is>
      </c>
      <c r="N1897" s="4" t="inlineStr">
        <is>
          <t>https://www.pricecharting.com/game/pokemon-promo/paradox-pokemon-stacking-tin</t>
        </is>
      </c>
    </row>
    <row r="1898">
      <c r="A1898" s="2" t="inlineStr">
        <is>
          <t>Promo Paradox Powers Ex Special Collection</t>
        </is>
      </c>
      <c r="B1898" s="3">
        <f>IF(I1898&lt;&gt;"",I1898,IF(J1898&lt;&gt;"",J1898,IF(K1898&lt;&gt;"",K1898,L1898)))</f>
        <v>92.0</v>
      </c>
      <c r="C1898" s="3">
        <f>MEDIAN(I1898:L1898)</f>
        <v>92.0</v>
      </c>
      <c r="D1898" s="3">
        <f>ROUND(C1898*(1-Settings!$B$2),2)</f>
        <v>64.4</v>
      </c>
      <c r="E1898" s="3">
        <f>ROUND(C1898*(1-Settings!$B$3),2)</f>
        <v>64.4</v>
      </c>
      <c r="F1898" s="2" t="inlineStr">
        <is>
          <t>Pokemon</t>
        </is>
      </c>
      <c r="G1898" s="2" t="inlineStr">
        <is>
          <t>Coffret</t>
        </is>
      </c>
      <c r="H1898" s="2" t="inlineStr">
        <is>
          <t>Promo</t>
        </is>
      </c>
      <c r="I1898" s="3" t="n">
        <v>92</v>
      </c>
      <c r="J1898" s="3" t="n"/>
      <c r="K1898" s="3" t="n"/>
      <c r="L1898" s="3" t="n"/>
      <c r="M1898" s="2" t="inlineStr">
        <is>
          <t>PriceCharting</t>
        </is>
      </c>
      <c r="N1898" s="4" t="inlineStr">
        <is>
          <t>https://www.pricecharting.com/game/pokemon-promo/paradox-powers-ex-special-collection</t>
        </is>
      </c>
    </row>
    <row r="1899">
      <c r="A1899" s="2" t="inlineStr">
        <is>
          <t>Promo Paradox Wisdom Premium Collection</t>
        </is>
      </c>
      <c r="B1899" s="3">
        <f>IF(I1899&lt;&gt;"",I1899,IF(J1899&lt;&gt;"",J1899,IF(K1899&lt;&gt;"",K1899,L1899)))</f>
        <v>69.99</v>
      </c>
      <c r="C1899" s="3">
        <f>MEDIAN(I1899:L1899)</f>
        <v>69.99</v>
      </c>
      <c r="D1899" s="3">
        <f>ROUND(C1899*(1-Settings!$B$2),2)</f>
        <v>48.99</v>
      </c>
      <c r="E1899" s="3">
        <f>ROUND(C1899*(1-Settings!$B$3),2)</f>
        <v>48.99</v>
      </c>
      <c r="F1899" s="2" t="inlineStr">
        <is>
          <t>Pokemon</t>
        </is>
      </c>
      <c r="G1899" s="2" t="inlineStr">
        <is>
          <t>Coffret</t>
        </is>
      </c>
      <c r="H1899" s="2" t="inlineStr">
        <is>
          <t>Promo</t>
        </is>
      </c>
      <c r="I1899" s="3" t="n">
        <v>69.98999999999999</v>
      </c>
      <c r="J1899" s="3" t="n"/>
      <c r="K1899" s="3" t="n"/>
      <c r="L1899" s="3" t="n"/>
      <c r="M1899" s="2" t="inlineStr">
        <is>
          <t>PriceCharting</t>
        </is>
      </c>
      <c r="N1899" s="4" t="inlineStr">
        <is>
          <t>https://www.pricecharting.com/game/pokemon-promo/paradox-wisdom-premium-collection</t>
        </is>
      </c>
    </row>
    <row r="1900">
      <c r="A1900" s="2" t="inlineStr">
        <is>
          <t>Promo Poke Ball Tin</t>
        </is>
      </c>
      <c r="B1900" s="3">
        <f>IF(I1900&lt;&gt;"",I1900,IF(J1900&lt;&gt;"",J1900,IF(K1900&lt;&gt;"",K1900,L1900)))</f>
        <v>27.23</v>
      </c>
      <c r="C1900" s="3">
        <f>MEDIAN(I1900:L1900)</f>
        <v>27.23</v>
      </c>
      <c r="D1900" s="3">
        <f>ROUND(C1900*(1-Settings!$B$2),2)</f>
        <v>19.06</v>
      </c>
      <c r="E1900" s="3">
        <f>ROUND(C1900*(1-Settings!$B$3),2)</f>
        <v>19.06</v>
      </c>
      <c r="F1900" s="2" t="inlineStr">
        <is>
          <t>Pokemon</t>
        </is>
      </c>
      <c r="G1900" s="2" t="inlineStr">
        <is>
          <t>Coffret</t>
        </is>
      </c>
      <c r="H1900" s="2" t="inlineStr">
        <is>
          <t>Promo</t>
        </is>
      </c>
      <c r="I1900" s="3" t="n">
        <v>27.23</v>
      </c>
      <c r="J1900" s="3" t="n"/>
      <c r="K1900" s="3" t="n"/>
      <c r="L1900" s="3" t="n"/>
      <c r="M1900" s="2" t="inlineStr">
        <is>
          <t>PriceCharting</t>
        </is>
      </c>
      <c r="N1900" s="4" t="inlineStr">
        <is>
          <t>https://www.pricecharting.com/game/pokemon-promo/poke-ball-tin</t>
        </is>
      </c>
    </row>
    <row r="1901">
      <c r="A1901" s="2" t="inlineStr">
        <is>
          <t>Promo Poke Ball Tin 3-Pack</t>
        </is>
      </c>
      <c r="B1901" s="3">
        <f>IF(I1901&lt;&gt;"",I1901,IF(J1901&lt;&gt;"",J1901,IF(K1901&lt;&gt;"",K1901,L1901)))</f>
        <v>79.27</v>
      </c>
      <c r="C1901" s="3">
        <f>MEDIAN(I1901:L1901)</f>
        <v>79.27</v>
      </c>
      <c r="D1901" s="3">
        <f>ROUND(C1901*(1-Settings!$B$2),2)</f>
        <v>55.49</v>
      </c>
      <c r="E1901" s="3">
        <f>ROUND(C1901*(1-Settings!$B$3),2)</f>
        <v>55.49</v>
      </c>
      <c r="F1901" s="2" t="inlineStr">
        <is>
          <t>Pokemon</t>
        </is>
      </c>
      <c r="G1901" s="2" t="inlineStr">
        <is>
          <t>Coffret</t>
        </is>
      </c>
      <c r="H1901" s="2" t="inlineStr">
        <is>
          <t>Promo</t>
        </is>
      </c>
      <c r="I1901" s="3" t="n">
        <v>79.27</v>
      </c>
      <c r="J1901" s="3" t="n"/>
      <c r="K1901" s="3" t="n"/>
      <c r="L1901" s="3" t="n"/>
      <c r="M1901" s="2" t="inlineStr">
        <is>
          <t>PriceCharting</t>
        </is>
      </c>
      <c r="N1901" s="4" t="inlineStr">
        <is>
          <t>https://www.pricecharting.com/game/pokemon-promo/poke-ball-tin-3-pack</t>
        </is>
      </c>
    </row>
    <row r="1902">
      <c r="A1902" s="2" t="inlineStr">
        <is>
          <t>Promo Poke Ball Tin [Dive Ball]</t>
        </is>
      </c>
      <c r="B1902" s="3">
        <f>IF(I1902&lt;&gt;"",I1902,IF(J1902&lt;&gt;"",J1902,IF(K1902&lt;&gt;"",K1902,L1902)))</f>
        <v>180.0</v>
      </c>
      <c r="C1902" s="3">
        <f>MEDIAN(I1902:L1902)</f>
        <v>180.0</v>
      </c>
      <c r="D1902" s="3">
        <f>ROUND(C1902*(1-Settings!$B$2),2)</f>
        <v>126.0</v>
      </c>
      <c r="E1902" s="3">
        <f>ROUND(C1902*(1-Settings!$B$3),2)</f>
        <v>126.0</v>
      </c>
      <c r="F1902" s="2" t="inlineStr">
        <is>
          <t>Pokemon</t>
        </is>
      </c>
      <c r="G1902" s="2" t="inlineStr">
        <is>
          <t>Coffret</t>
        </is>
      </c>
      <c r="H1902" s="2" t="inlineStr">
        <is>
          <t>Promo</t>
        </is>
      </c>
      <c r="I1902" s="3" t="n">
        <v>180</v>
      </c>
      <c r="J1902" s="3" t="n"/>
      <c r="K1902" s="3" t="n"/>
      <c r="L1902" s="3" t="n"/>
      <c r="M1902" s="2" t="inlineStr">
        <is>
          <t>PriceCharting</t>
        </is>
      </c>
      <c r="N1902" s="4" t="inlineStr">
        <is>
          <t>https://www.pricecharting.com/game/pokemon-promo/poke-ball-tin-dive-ball</t>
        </is>
      </c>
    </row>
    <row r="1903">
      <c r="A1903" s="2" t="inlineStr">
        <is>
          <t>Promo Poke Ball Tin [Dusk Ball]</t>
        </is>
      </c>
      <c r="B1903" s="3">
        <f>IF(I1903&lt;&gt;"",I1903,IF(J1903&lt;&gt;"",J1903,IF(K1903&lt;&gt;"",K1903,L1903)))</f>
        <v>208.12</v>
      </c>
      <c r="C1903" s="3">
        <f>MEDIAN(I1903:L1903)</f>
        <v>208.12</v>
      </c>
      <c r="D1903" s="3">
        <f>ROUND(C1903*(1-Settings!$B$2),2)</f>
        <v>145.68</v>
      </c>
      <c r="E1903" s="3">
        <f>ROUND(C1903*(1-Settings!$B$3),2)</f>
        <v>145.68</v>
      </c>
      <c r="F1903" s="2" t="inlineStr">
        <is>
          <t>Pokemon</t>
        </is>
      </c>
      <c r="G1903" s="2" t="inlineStr">
        <is>
          <t>Coffret</t>
        </is>
      </c>
      <c r="H1903" s="2" t="inlineStr">
        <is>
          <t>Promo</t>
        </is>
      </c>
      <c r="I1903" s="3" t="n">
        <v>208.12</v>
      </c>
      <c r="J1903" s="3" t="n"/>
      <c r="K1903" s="3" t="n"/>
      <c r="L1903" s="3" t="n"/>
      <c r="M1903" s="2" t="inlineStr">
        <is>
          <t>PriceCharting</t>
        </is>
      </c>
      <c r="N1903" s="4" t="inlineStr">
        <is>
          <t>https://www.pricecharting.com/game/pokemon-promo/poke-ball-tin-dusk-ball</t>
        </is>
      </c>
    </row>
    <row r="1904">
      <c r="A1904" s="2" t="inlineStr">
        <is>
          <t>Promo Poke Ball Tin [Great Ball Q4 2024]</t>
        </is>
      </c>
      <c r="B1904" s="3">
        <f>IF(I1904&lt;&gt;"",I1904,IF(J1904&lt;&gt;"",J1904,IF(K1904&lt;&gt;"",K1904,L1904)))</f>
        <v>27.84</v>
      </c>
      <c r="C1904" s="3">
        <f>MEDIAN(I1904:L1904)</f>
        <v>27.84</v>
      </c>
      <c r="D1904" s="3">
        <f>ROUND(C1904*(1-Settings!$B$2),2)</f>
        <v>19.49</v>
      </c>
      <c r="E1904" s="3">
        <f>ROUND(C1904*(1-Settings!$B$3),2)</f>
        <v>19.49</v>
      </c>
      <c r="F1904" s="2" t="inlineStr">
        <is>
          <t>Pokemon</t>
        </is>
      </c>
      <c r="G1904" s="2" t="inlineStr">
        <is>
          <t>Coffret</t>
        </is>
      </c>
      <c r="H1904" s="2" t="inlineStr">
        <is>
          <t>Promo</t>
        </is>
      </c>
      <c r="I1904" s="3" t="n">
        <v>27.84</v>
      </c>
      <c r="J1904" s="3" t="n"/>
      <c r="K1904" s="3" t="n"/>
      <c r="L1904" s="3" t="n"/>
      <c r="M1904" s="2" t="inlineStr">
        <is>
          <t>PriceCharting</t>
        </is>
      </c>
      <c r="N1904" s="4" t="inlineStr">
        <is>
          <t>https://www.pricecharting.com/game/pokemon-promo/poke-ball-tin-great-ball-q4-2024</t>
        </is>
      </c>
    </row>
    <row r="1905">
      <c r="A1905" s="2" t="inlineStr">
        <is>
          <t>Promo Poke Ball Tin [Great Ball]</t>
        </is>
      </c>
      <c r="B1905" s="3">
        <f>IF(I1905&lt;&gt;"",I1905,IF(J1905&lt;&gt;"",J1905,IF(K1905&lt;&gt;"",K1905,L1905)))</f>
        <v>25.06</v>
      </c>
      <c r="C1905" s="3">
        <f>MEDIAN(I1905:L1905)</f>
        <v>25.06</v>
      </c>
      <c r="D1905" s="3">
        <f>ROUND(C1905*(1-Settings!$B$2),2)</f>
        <v>17.54</v>
      </c>
      <c r="E1905" s="3">
        <f>ROUND(C1905*(1-Settings!$B$3),2)</f>
        <v>17.54</v>
      </c>
      <c r="F1905" s="2" t="inlineStr">
        <is>
          <t>Pokemon</t>
        </is>
      </c>
      <c r="G1905" s="2" t="inlineStr">
        <is>
          <t>Coffret</t>
        </is>
      </c>
      <c r="H1905" s="2" t="inlineStr">
        <is>
          <t>Promo</t>
        </is>
      </c>
      <c r="I1905" s="3" t="n">
        <v>25.06</v>
      </c>
      <c r="J1905" s="3" t="n"/>
      <c r="K1905" s="3" t="n"/>
      <c r="L1905" s="3" t="n"/>
      <c r="M1905" s="2" t="inlineStr">
        <is>
          <t>PriceCharting</t>
        </is>
      </c>
      <c r="N1905" s="4" t="inlineStr">
        <is>
          <t>https://www.pricecharting.com/game/pokemon-promo/poke-ball-tin-great-ball</t>
        </is>
      </c>
    </row>
    <row r="1906">
      <c r="A1906" s="2" t="inlineStr">
        <is>
          <t>Promo Poke Ball Tin [Level Ball]</t>
        </is>
      </c>
      <c r="B1906" s="3">
        <f>IF(I1906&lt;&gt;"",I1906,IF(J1906&lt;&gt;"",J1906,IF(K1906&lt;&gt;"",K1906,L1906)))</f>
        <v>74.46</v>
      </c>
      <c r="C1906" s="3">
        <f>MEDIAN(I1906:L1906)</f>
        <v>74.46</v>
      </c>
      <c r="D1906" s="3">
        <f>ROUND(C1906*(1-Settings!$B$2),2)</f>
        <v>52.12</v>
      </c>
      <c r="E1906" s="3">
        <f>ROUND(C1906*(1-Settings!$B$3),2)</f>
        <v>52.12</v>
      </c>
      <c r="F1906" s="2" t="inlineStr">
        <is>
          <t>Pokemon</t>
        </is>
      </c>
      <c r="G1906" s="2" t="inlineStr">
        <is>
          <t>Coffret</t>
        </is>
      </c>
      <c r="H1906" s="2" t="inlineStr">
        <is>
          <t>Promo</t>
        </is>
      </c>
      <c r="I1906" s="3" t="n">
        <v>74.45999999999999</v>
      </c>
      <c r="J1906" s="3" t="n"/>
      <c r="K1906" s="3" t="n"/>
      <c r="L1906" s="3" t="n"/>
      <c r="M1906" s="2" t="inlineStr">
        <is>
          <t>PriceCharting</t>
        </is>
      </c>
      <c r="N1906" s="4" t="inlineStr">
        <is>
          <t>https://www.pricecharting.com/game/pokemon-promo/poke-ball-tin-level-ball</t>
        </is>
      </c>
    </row>
    <row r="1907">
      <c r="A1907" s="2" t="inlineStr">
        <is>
          <t>Promo Poke Ball Tin [Love Ball]</t>
        </is>
      </c>
      <c r="B1907" s="3">
        <f>IF(I1907&lt;&gt;"",I1907,IF(J1907&lt;&gt;"",J1907,IF(K1907&lt;&gt;"",K1907,L1907)))</f>
        <v>266.97</v>
      </c>
      <c r="C1907" s="3">
        <f>MEDIAN(I1907:L1907)</f>
        <v>266.97</v>
      </c>
      <c r="D1907" s="3">
        <f>ROUND(C1907*(1-Settings!$B$2),2)</f>
        <v>186.88</v>
      </c>
      <c r="E1907" s="3">
        <f>ROUND(C1907*(1-Settings!$B$3),2)</f>
        <v>186.88</v>
      </c>
      <c r="F1907" s="2" t="inlineStr">
        <is>
          <t>Pokemon</t>
        </is>
      </c>
      <c r="G1907" s="2" t="inlineStr">
        <is>
          <t>Coffret</t>
        </is>
      </c>
      <c r="H1907" s="2" t="inlineStr">
        <is>
          <t>Promo</t>
        </is>
      </c>
      <c r="I1907" s="3" t="n">
        <v>266.97</v>
      </c>
      <c r="J1907" s="3" t="n"/>
      <c r="K1907" s="3" t="n"/>
      <c r="L1907" s="3" t="n"/>
      <c r="M1907" s="2" t="inlineStr">
        <is>
          <t>PriceCharting</t>
        </is>
      </c>
      <c r="N1907" s="4" t="inlineStr">
        <is>
          <t>https://www.pricecharting.com/game/pokemon-promo/poke-ball-tin-love-ball</t>
        </is>
      </c>
    </row>
    <row r="1908">
      <c r="A1908" s="2" t="inlineStr">
        <is>
          <t>Promo Poke Ball Tin [Lure Ball]</t>
        </is>
      </c>
      <c r="B1908" s="3">
        <f>IF(I1908&lt;&gt;"",I1908,IF(J1908&lt;&gt;"",J1908,IF(K1908&lt;&gt;"",K1908,L1908)))</f>
        <v>125.0</v>
      </c>
      <c r="C1908" s="3">
        <f>MEDIAN(I1908:L1908)</f>
        <v>125.0</v>
      </c>
      <c r="D1908" s="3">
        <f>ROUND(C1908*(1-Settings!$B$2),2)</f>
        <v>87.5</v>
      </c>
      <c r="E1908" s="3">
        <f>ROUND(C1908*(1-Settings!$B$3),2)</f>
        <v>87.5</v>
      </c>
      <c r="F1908" s="2" t="inlineStr">
        <is>
          <t>Pokemon</t>
        </is>
      </c>
      <c r="G1908" s="2" t="inlineStr">
        <is>
          <t>Coffret</t>
        </is>
      </c>
      <c r="H1908" s="2" t="inlineStr">
        <is>
          <t>Promo</t>
        </is>
      </c>
      <c r="I1908" s="3" t="n">
        <v>125</v>
      </c>
      <c r="J1908" s="3" t="n"/>
      <c r="K1908" s="3" t="n"/>
      <c r="L1908" s="3" t="n"/>
      <c r="M1908" s="2" t="inlineStr">
        <is>
          <t>PriceCharting</t>
        </is>
      </c>
      <c r="N1908" s="4" t="inlineStr">
        <is>
          <t>https://www.pricecharting.com/game/pokemon-promo/poke-ball-tin-lure-ball</t>
        </is>
      </c>
    </row>
    <row r="1909">
      <c r="A1909" s="2" t="inlineStr">
        <is>
          <t>Promo Poke Ball Tin [Luxury Ball]</t>
        </is>
      </c>
      <c r="B1909" s="3">
        <f>IF(I1909&lt;&gt;"",I1909,IF(J1909&lt;&gt;"",J1909,IF(K1909&lt;&gt;"",K1909,L1909)))</f>
        <v>40.34</v>
      </c>
      <c r="C1909" s="3">
        <f>MEDIAN(I1909:L1909)</f>
        <v>40.34</v>
      </c>
      <c r="D1909" s="3">
        <f>ROUND(C1909*(1-Settings!$B$2),2)</f>
        <v>28.24</v>
      </c>
      <c r="E1909" s="3">
        <f>ROUND(C1909*(1-Settings!$B$3),2)</f>
        <v>28.24</v>
      </c>
      <c r="F1909" s="2" t="inlineStr">
        <is>
          <t>Pokemon</t>
        </is>
      </c>
      <c r="G1909" s="2" t="inlineStr">
        <is>
          <t>Coffret</t>
        </is>
      </c>
      <c r="H1909" s="2" t="inlineStr">
        <is>
          <t>Promo</t>
        </is>
      </c>
      <c r="I1909" s="3" t="n">
        <v>40.34</v>
      </c>
      <c r="J1909" s="3" t="n"/>
      <c r="K1909" s="3" t="n"/>
      <c r="L1909" s="3" t="n"/>
      <c r="M1909" s="2" t="inlineStr">
        <is>
          <t>PriceCharting</t>
        </is>
      </c>
      <c r="N1909" s="4" t="inlineStr">
        <is>
          <t>https://www.pricecharting.com/game/pokemon-promo/poke-ball-tin-luxury-ball</t>
        </is>
      </c>
    </row>
    <row r="1910">
      <c r="A1910" s="2" t="inlineStr">
        <is>
          <t>Promo Poke Ball Tin [Moon Ball Q4 2024]</t>
        </is>
      </c>
      <c r="B1910" s="3">
        <f>IF(I1910&lt;&gt;"",I1910,IF(J1910&lt;&gt;"",J1910,IF(K1910&lt;&gt;"",K1910,L1910)))</f>
        <v>29.5</v>
      </c>
      <c r="C1910" s="3">
        <f>MEDIAN(I1910:L1910)</f>
        <v>29.5</v>
      </c>
      <c r="D1910" s="3">
        <f>ROUND(C1910*(1-Settings!$B$2),2)</f>
        <v>20.65</v>
      </c>
      <c r="E1910" s="3">
        <f>ROUND(C1910*(1-Settings!$B$3),2)</f>
        <v>20.65</v>
      </c>
      <c r="F1910" s="2" t="inlineStr">
        <is>
          <t>Pokemon</t>
        </is>
      </c>
      <c r="G1910" s="2" t="inlineStr">
        <is>
          <t>Coffret</t>
        </is>
      </c>
      <c r="H1910" s="2" t="inlineStr">
        <is>
          <t>Promo</t>
        </is>
      </c>
      <c r="I1910" s="3" t="n">
        <v>29.5</v>
      </c>
      <c r="J1910" s="3" t="n"/>
      <c r="K1910" s="3" t="n"/>
      <c r="L1910" s="3" t="n"/>
      <c r="M1910" s="2" t="inlineStr">
        <is>
          <t>PriceCharting</t>
        </is>
      </c>
      <c r="N1910" s="4" t="inlineStr">
        <is>
          <t>https://www.pricecharting.com/game/pokemon-promo/poke-ball-tin-moon-ball-q4-2024</t>
        </is>
      </c>
    </row>
    <row r="1911">
      <c r="A1911" s="2" t="inlineStr">
        <is>
          <t>Promo Poke Ball Tin [Premier Ball Q4 2024]</t>
        </is>
      </c>
      <c r="B1911" s="3">
        <f>IF(I1911&lt;&gt;"",I1911,IF(J1911&lt;&gt;"",J1911,IF(K1911&lt;&gt;"",K1911,L1911)))</f>
        <v>24.86</v>
      </c>
      <c r="C1911" s="3">
        <f>MEDIAN(I1911:L1911)</f>
        <v>24.86</v>
      </c>
      <c r="D1911" s="3">
        <f>ROUND(C1911*(1-Settings!$B$2),2)</f>
        <v>17.4</v>
      </c>
      <c r="E1911" s="3">
        <f>ROUND(C1911*(1-Settings!$B$3),2)</f>
        <v>17.4</v>
      </c>
      <c r="F1911" s="2" t="inlineStr">
        <is>
          <t>Pokemon</t>
        </is>
      </c>
      <c r="G1911" s="2" t="inlineStr">
        <is>
          <t>Coffret</t>
        </is>
      </c>
      <c r="H1911" s="2" t="inlineStr">
        <is>
          <t>Promo</t>
        </is>
      </c>
      <c r="I1911" s="3" t="n">
        <v>24.86</v>
      </c>
      <c r="J1911" s="3" t="n"/>
      <c r="K1911" s="3" t="n"/>
      <c r="L1911" s="3" t="n"/>
      <c r="M1911" s="2" t="inlineStr">
        <is>
          <t>PriceCharting</t>
        </is>
      </c>
      <c r="N1911" s="4" t="inlineStr">
        <is>
          <t>https://www.pricecharting.com/game/pokemon-promo/poke-ball-tin-premier-ball-q4-2024</t>
        </is>
      </c>
    </row>
    <row r="1912">
      <c r="A1912" s="2" t="inlineStr">
        <is>
          <t>Promo Poke Ball Tin [Premier Ball Q4 2025]</t>
        </is>
      </c>
      <c r="B1912" s="3">
        <f>IF(I1912&lt;&gt;"",I1912,IF(J1912&lt;&gt;"",J1912,IF(K1912&lt;&gt;"",K1912,L1912)))</f>
        <v>33.69</v>
      </c>
      <c r="C1912" s="3">
        <f>MEDIAN(I1912:L1912)</f>
        <v>33.69</v>
      </c>
      <c r="D1912" s="3">
        <f>ROUND(C1912*(1-Settings!$B$2),2)</f>
        <v>23.58</v>
      </c>
      <c r="E1912" s="3">
        <f>ROUND(C1912*(1-Settings!$B$3),2)</f>
        <v>23.58</v>
      </c>
      <c r="F1912" s="2" t="inlineStr">
        <is>
          <t>Pokemon</t>
        </is>
      </c>
      <c r="G1912" s="2" t="inlineStr">
        <is>
          <t>Coffret</t>
        </is>
      </c>
      <c r="H1912" s="2" t="inlineStr">
        <is>
          <t>Promo</t>
        </is>
      </c>
      <c r="I1912" s="3" t="n">
        <v>33.69</v>
      </c>
      <c r="J1912" s="3" t="n"/>
      <c r="K1912" s="3" t="n"/>
      <c r="L1912" s="3" t="n"/>
      <c r="M1912" s="2" t="inlineStr">
        <is>
          <t>PriceCharting</t>
        </is>
      </c>
      <c r="N1912" s="4" t="inlineStr">
        <is>
          <t>https://www.pricecharting.com/game/pokemon-promo/poke-ball-tin-premier-ball-q4-2025</t>
        </is>
      </c>
    </row>
    <row r="1913">
      <c r="A1913" s="2" t="inlineStr">
        <is>
          <t>Promo Poke Ball Tin [Premier Ball]</t>
        </is>
      </c>
      <c r="B1913" s="3">
        <f>IF(I1913&lt;&gt;"",I1913,IF(J1913&lt;&gt;"",J1913,IF(K1913&lt;&gt;"",K1913,L1913)))</f>
        <v>23.78</v>
      </c>
      <c r="C1913" s="3">
        <f>MEDIAN(I1913:L1913)</f>
        <v>23.78</v>
      </c>
      <c r="D1913" s="3">
        <f>ROUND(C1913*(1-Settings!$B$2),2)</f>
        <v>16.65</v>
      </c>
      <c r="E1913" s="3">
        <f>ROUND(C1913*(1-Settings!$B$3),2)</f>
        <v>16.65</v>
      </c>
      <c r="F1913" s="2" t="inlineStr">
        <is>
          <t>Pokemon</t>
        </is>
      </c>
      <c r="G1913" s="2" t="inlineStr">
        <is>
          <t>Coffret</t>
        </is>
      </c>
      <c r="H1913" s="2" t="inlineStr">
        <is>
          <t>Promo</t>
        </is>
      </c>
      <c r="I1913" s="3" t="n">
        <v>23.78</v>
      </c>
      <c r="J1913" s="3" t="n"/>
      <c r="K1913" s="3" t="n"/>
      <c r="L1913" s="3" t="n"/>
      <c r="M1913" s="2" t="inlineStr">
        <is>
          <t>PriceCharting</t>
        </is>
      </c>
      <c r="N1913" s="4" t="inlineStr">
        <is>
          <t>https://www.pricecharting.com/game/pokemon-promo/poke-ball-tin-premier-ball</t>
        </is>
      </c>
    </row>
    <row r="1914">
      <c r="A1914" s="2" t="inlineStr">
        <is>
          <t>Promo Poke Ball Tin [Q4 2024]</t>
        </is>
      </c>
      <c r="B1914" s="3">
        <f>IF(I1914&lt;&gt;"",I1914,IF(J1914&lt;&gt;"",J1914,IF(K1914&lt;&gt;"",K1914,L1914)))</f>
        <v>27.84</v>
      </c>
      <c r="C1914" s="3">
        <f>MEDIAN(I1914:L1914)</f>
        <v>27.84</v>
      </c>
      <c r="D1914" s="3">
        <f>ROUND(C1914*(1-Settings!$B$2),2)</f>
        <v>19.49</v>
      </c>
      <c r="E1914" s="3">
        <f>ROUND(C1914*(1-Settings!$B$3),2)</f>
        <v>19.49</v>
      </c>
      <c r="F1914" s="2" t="inlineStr">
        <is>
          <t>Pokemon</t>
        </is>
      </c>
      <c r="G1914" s="2" t="inlineStr">
        <is>
          <t>Coffret</t>
        </is>
      </c>
      <c r="H1914" s="2" t="inlineStr">
        <is>
          <t>Promo</t>
        </is>
      </c>
      <c r="I1914" s="3" t="n">
        <v>27.84</v>
      </c>
      <c r="J1914" s="3" t="n"/>
      <c r="K1914" s="3" t="n"/>
      <c r="L1914" s="3" t="n"/>
      <c r="M1914" s="2" t="inlineStr">
        <is>
          <t>PriceCharting</t>
        </is>
      </c>
      <c r="N1914" s="4" t="inlineStr">
        <is>
          <t>https://www.pricecharting.com/game/pokemon-promo/poke-ball-tin-q4-2024</t>
        </is>
      </c>
    </row>
    <row r="1915">
      <c r="A1915" s="2" t="inlineStr">
        <is>
          <t>Promo Poke Ball Tin [Quick Ball]</t>
        </is>
      </c>
      <c r="B1915" s="3">
        <f>IF(I1915&lt;&gt;"",I1915,IF(J1915&lt;&gt;"",J1915,IF(K1915&lt;&gt;"",K1915,L1915)))</f>
        <v>45.0</v>
      </c>
      <c r="C1915" s="3">
        <f>MEDIAN(I1915:L1915)</f>
        <v>45.0</v>
      </c>
      <c r="D1915" s="3">
        <f>ROUND(C1915*(1-Settings!$B$2),2)</f>
        <v>31.5</v>
      </c>
      <c r="E1915" s="3">
        <f>ROUND(C1915*(1-Settings!$B$3),2)</f>
        <v>31.5</v>
      </c>
      <c r="F1915" s="2" t="inlineStr">
        <is>
          <t>Pokemon</t>
        </is>
      </c>
      <c r="G1915" s="2" t="inlineStr">
        <is>
          <t>Coffret</t>
        </is>
      </c>
      <c r="H1915" s="2" t="inlineStr">
        <is>
          <t>Promo</t>
        </is>
      </c>
      <c r="I1915" s="3" t="n">
        <v>45</v>
      </c>
      <c r="J1915" s="3" t="n"/>
      <c r="K1915" s="3" t="n"/>
      <c r="L1915" s="3" t="n"/>
      <c r="M1915" s="2" t="inlineStr">
        <is>
          <t>PriceCharting</t>
        </is>
      </c>
      <c r="N1915" s="4" t="inlineStr">
        <is>
          <t>https://www.pricecharting.com/game/pokemon-promo/poke-ball-tin-quick-ball</t>
        </is>
      </c>
    </row>
    <row r="1916">
      <c r="A1916" s="2" t="inlineStr">
        <is>
          <t>Promo Poke Ball Tin [Repeat Ball Q4 2025]</t>
        </is>
      </c>
      <c r="B1916" s="3">
        <f>IF(I1916&lt;&gt;"",I1916,IF(J1916&lt;&gt;"",J1916,IF(K1916&lt;&gt;"",K1916,L1916)))</f>
        <v>19.99</v>
      </c>
      <c r="C1916" s="3">
        <f>MEDIAN(I1916:L1916)</f>
        <v>19.99</v>
      </c>
      <c r="D1916" s="3">
        <f>ROUND(C1916*(1-Settings!$B$2),2)</f>
        <v>13.99</v>
      </c>
      <c r="E1916" s="3">
        <f>ROUND(C1916*(1-Settings!$B$3),2)</f>
        <v>13.99</v>
      </c>
      <c r="F1916" s="2" t="inlineStr">
        <is>
          <t>Pokemon</t>
        </is>
      </c>
      <c r="G1916" s="2" t="inlineStr">
        <is>
          <t>Coffret</t>
        </is>
      </c>
      <c r="H1916" s="2" t="inlineStr">
        <is>
          <t>Promo</t>
        </is>
      </c>
      <c r="I1916" s="3" t="n">
        <v>19.99</v>
      </c>
      <c r="J1916" s="3" t="n"/>
      <c r="K1916" s="3" t="n"/>
      <c r="L1916" s="3" t="n"/>
      <c r="M1916" s="2" t="inlineStr">
        <is>
          <t>PriceCharting</t>
        </is>
      </c>
      <c r="N1916" s="4" t="inlineStr">
        <is>
          <t>https://www.pricecharting.com/game/pokemon-promo/poke-ball-tin-repeat-ball-q4-2025</t>
        </is>
      </c>
    </row>
    <row r="1917">
      <c r="A1917" s="2" t="inlineStr">
        <is>
          <t>Promo Poke Ball Tin [Ultra Ball Q4 2024]</t>
        </is>
      </c>
      <c r="B1917" s="3">
        <f>IF(I1917&lt;&gt;"",I1917,IF(J1917&lt;&gt;"",J1917,IF(K1917&lt;&gt;"",K1917,L1917)))</f>
        <v>26.45</v>
      </c>
      <c r="C1917" s="3">
        <f>MEDIAN(I1917:L1917)</f>
        <v>26.45</v>
      </c>
      <c r="D1917" s="3">
        <f>ROUND(C1917*(1-Settings!$B$2),2)</f>
        <v>18.52</v>
      </c>
      <c r="E1917" s="3">
        <f>ROUND(C1917*(1-Settings!$B$3),2)</f>
        <v>18.52</v>
      </c>
      <c r="F1917" s="2" t="inlineStr">
        <is>
          <t>Pokemon</t>
        </is>
      </c>
      <c r="G1917" s="2" t="inlineStr">
        <is>
          <t>Coffret</t>
        </is>
      </c>
      <c r="H1917" s="2" t="inlineStr">
        <is>
          <t>Promo</t>
        </is>
      </c>
      <c r="I1917" s="3" t="n">
        <v>26.45</v>
      </c>
      <c r="J1917" s="3" t="n"/>
      <c r="K1917" s="3" t="n"/>
      <c r="L1917" s="3" t="n"/>
      <c r="M1917" s="2" t="inlineStr">
        <is>
          <t>PriceCharting</t>
        </is>
      </c>
      <c r="N1917" s="4" t="inlineStr">
        <is>
          <t>https://www.pricecharting.com/game/pokemon-promo/poke-ball-tin-ultra-ball-q4-2024</t>
        </is>
      </c>
    </row>
    <row r="1918">
      <c r="A1918" s="2" t="inlineStr">
        <is>
          <t>Promo Poke Ball Tin [Ultra Ball]</t>
        </is>
      </c>
      <c r="B1918" s="3">
        <f>IF(I1918&lt;&gt;"",I1918,IF(J1918&lt;&gt;"",J1918,IF(K1918&lt;&gt;"",K1918,L1918)))</f>
        <v>26.16</v>
      </c>
      <c r="C1918" s="3">
        <f>MEDIAN(I1918:L1918)</f>
        <v>26.16</v>
      </c>
      <c r="D1918" s="3">
        <f>ROUND(C1918*(1-Settings!$B$2),2)</f>
        <v>18.31</v>
      </c>
      <c r="E1918" s="3">
        <f>ROUND(C1918*(1-Settings!$B$3),2)</f>
        <v>18.31</v>
      </c>
      <c r="F1918" s="2" t="inlineStr">
        <is>
          <t>Pokemon</t>
        </is>
      </c>
      <c r="G1918" s="2" t="inlineStr">
        <is>
          <t>Coffret</t>
        </is>
      </c>
      <c r="H1918" s="2" t="inlineStr">
        <is>
          <t>Promo</t>
        </is>
      </c>
      <c r="I1918" s="3" t="n">
        <v>26.16</v>
      </c>
      <c r="J1918" s="3" t="n"/>
      <c r="K1918" s="3" t="n"/>
      <c r="L1918" s="3" t="n"/>
      <c r="M1918" s="2" t="inlineStr">
        <is>
          <t>PriceCharting</t>
        </is>
      </c>
      <c r="N1918" s="4" t="inlineStr">
        <is>
          <t>https://www.pricecharting.com/game/pokemon-promo/poke-ball-tin-ultra-ball</t>
        </is>
      </c>
    </row>
    <row r="1919">
      <c r="A1919" s="2" t="inlineStr">
        <is>
          <t>Promo Pokemon Day 2026 Collection Box</t>
        </is>
      </c>
      <c r="B1919" s="3">
        <f>IF(I1919&lt;&gt;"",I1919,IF(J1919&lt;&gt;"",J1919,IF(K1919&lt;&gt;"",K1919,L1919)))</f>
        <v>35.17</v>
      </c>
      <c r="C1919" s="3">
        <f>MEDIAN(I1919:L1919)</f>
        <v>35.17</v>
      </c>
      <c r="D1919" s="3">
        <f>ROUND(C1919*(1-Settings!$B$2),2)</f>
        <v>24.62</v>
      </c>
      <c r="E1919" s="3">
        <f>ROUND(C1919*(1-Settings!$B$3),2)</f>
        <v>24.62</v>
      </c>
      <c r="F1919" s="2" t="inlineStr">
        <is>
          <t>Pokemon</t>
        </is>
      </c>
      <c r="G1919" s="2" t="inlineStr">
        <is>
          <t>Coffret</t>
        </is>
      </c>
      <c r="H1919" s="2" t="inlineStr">
        <is>
          <t>Promo</t>
        </is>
      </c>
      <c r="I1919" s="3" t="n">
        <v>35.17</v>
      </c>
      <c r="J1919" s="3" t="n"/>
      <c r="K1919" s="3" t="n"/>
      <c r="L1919" s="3" t="n"/>
      <c r="M1919" s="2" t="inlineStr">
        <is>
          <t>PriceCharting</t>
        </is>
      </c>
      <c r="N1919" s="4" t="inlineStr">
        <is>
          <t>https://www.pricecharting.com/game/pokemon-promo/pokemon-day-2026-collection-box</t>
        </is>
      </c>
    </row>
    <row r="1920">
      <c r="A1920" s="2" t="inlineStr">
        <is>
          <t>Promo Psychic Stacking Tin</t>
        </is>
      </c>
      <c r="B1920" s="3">
        <f>IF(I1920&lt;&gt;"",I1920,IF(J1920&lt;&gt;"",J1920,IF(K1920&lt;&gt;"",K1920,L1920)))</f>
        <v>32.22</v>
      </c>
      <c r="C1920" s="3">
        <f>MEDIAN(I1920:L1920)</f>
        <v>32.22</v>
      </c>
      <c r="D1920" s="3">
        <f>ROUND(C1920*(1-Settings!$B$2),2)</f>
        <v>22.55</v>
      </c>
      <c r="E1920" s="3">
        <f>ROUND(C1920*(1-Settings!$B$3),2)</f>
        <v>22.55</v>
      </c>
      <c r="F1920" s="2" t="inlineStr">
        <is>
          <t>Pokemon</t>
        </is>
      </c>
      <c r="G1920" s="2" t="inlineStr">
        <is>
          <t>Coffret</t>
        </is>
      </c>
      <c r="H1920" s="2" t="inlineStr">
        <is>
          <t>Promo</t>
        </is>
      </c>
      <c r="I1920" s="3" t="n">
        <v>32.22</v>
      </c>
      <c r="J1920" s="3" t="n"/>
      <c r="K1920" s="3" t="n"/>
      <c r="L1920" s="3" t="n"/>
      <c r="M1920" s="2" t="inlineStr">
        <is>
          <t>PriceCharting</t>
        </is>
      </c>
      <c r="N1920" s="4" t="inlineStr">
        <is>
          <t>https://www.pricecharting.com/game/pokemon-promo/psychic-stacking-tin</t>
        </is>
      </c>
    </row>
    <row r="1921">
      <c r="A1921" s="2" t="inlineStr">
        <is>
          <t>Promo Reshiram Ex Box</t>
        </is>
      </c>
      <c r="B1921" s="3">
        <f>IF(I1921&lt;&gt;"",I1921,IF(J1921&lt;&gt;"",J1921,IF(K1921&lt;&gt;"",K1921,L1921)))</f>
        <v>40.0</v>
      </c>
      <c r="C1921" s="3">
        <f>MEDIAN(I1921:L1921)</f>
        <v>40.0</v>
      </c>
      <c r="D1921" s="3">
        <f>ROUND(C1921*(1-Settings!$B$2),2)</f>
        <v>28.0</v>
      </c>
      <c r="E1921" s="3">
        <f>ROUND(C1921*(1-Settings!$B$3),2)</f>
        <v>28.0</v>
      </c>
      <c r="F1921" s="2" t="inlineStr">
        <is>
          <t>Pokemon</t>
        </is>
      </c>
      <c r="G1921" s="2" t="inlineStr">
        <is>
          <t>Coffret</t>
        </is>
      </c>
      <c r="H1921" s="2" t="inlineStr">
        <is>
          <t>Promo</t>
        </is>
      </c>
      <c r="I1921" s="3" t="n">
        <v>40</v>
      </c>
      <c r="J1921" s="3" t="n"/>
      <c r="K1921" s="3" t="n"/>
      <c r="L1921" s="3" t="n"/>
      <c r="M1921" s="2" t="inlineStr">
        <is>
          <t>PriceCharting</t>
        </is>
      </c>
      <c r="N1921" s="4" t="inlineStr">
        <is>
          <t>https://www.pricecharting.com/game/pokemon-promo/reshiram-ex-box</t>
        </is>
      </c>
    </row>
    <row r="1922">
      <c r="A1922" s="2" t="inlineStr">
        <is>
          <t>Promo Roaring Moon EX Box</t>
        </is>
      </c>
      <c r="B1922" s="3">
        <f>IF(I1922&lt;&gt;"",I1922,IF(J1922&lt;&gt;"",J1922,IF(K1922&lt;&gt;"",K1922,L1922)))</f>
        <v>47.35</v>
      </c>
      <c r="C1922" s="3">
        <f>MEDIAN(I1922:L1922)</f>
        <v>47.35</v>
      </c>
      <c r="D1922" s="3">
        <f>ROUND(C1922*(1-Settings!$B$2),2)</f>
        <v>33.15</v>
      </c>
      <c r="E1922" s="3">
        <f>ROUND(C1922*(1-Settings!$B$3),2)</f>
        <v>33.15</v>
      </c>
      <c r="F1922" s="2" t="inlineStr">
        <is>
          <t>Pokemon</t>
        </is>
      </c>
      <c r="G1922" s="2" t="inlineStr">
        <is>
          <t>Coffret</t>
        </is>
      </c>
      <c r="H1922" s="2" t="inlineStr">
        <is>
          <t>Promo</t>
        </is>
      </c>
      <c r="I1922" s="3" t="n">
        <v>47.35</v>
      </c>
      <c r="J1922" s="3" t="n"/>
      <c r="K1922" s="3" t="n"/>
      <c r="L1922" s="3" t="n"/>
      <c r="M1922" s="2" t="inlineStr">
        <is>
          <t>PriceCharting</t>
        </is>
      </c>
      <c r="N1922" s="4" t="inlineStr">
        <is>
          <t>https://www.pricecharting.com/game/pokemon-promo/roaring-moon-ex-box</t>
        </is>
      </c>
    </row>
    <row r="1923">
      <c r="A1923" s="2" t="inlineStr">
        <is>
          <t>Promo Salamence Ex &amp; Reshiram Ex Premium Collection</t>
        </is>
      </c>
      <c r="B1923" s="3">
        <f>IF(I1923&lt;&gt;"",I1923,IF(J1923&lt;&gt;"",J1923,IF(K1923&lt;&gt;"",K1923,L1923)))</f>
        <v>92.0</v>
      </c>
      <c r="C1923" s="3">
        <f>MEDIAN(I1923:L1923)</f>
        <v>92.0</v>
      </c>
      <c r="D1923" s="3">
        <f>ROUND(C1923*(1-Settings!$B$2),2)</f>
        <v>64.4</v>
      </c>
      <c r="E1923" s="3">
        <f>ROUND(C1923*(1-Settings!$B$3),2)</f>
        <v>64.4</v>
      </c>
      <c r="F1923" s="2" t="inlineStr">
        <is>
          <t>Pokemon</t>
        </is>
      </c>
      <c r="G1923" s="2" t="inlineStr">
        <is>
          <t>Coffret</t>
        </is>
      </c>
      <c r="H1923" s="2" t="inlineStr">
        <is>
          <t>Promo</t>
        </is>
      </c>
      <c r="I1923" s="3" t="n">
        <v>92</v>
      </c>
      <c r="J1923" s="3" t="n"/>
      <c r="K1923" s="3" t="n"/>
      <c r="L1923" s="3" t="n"/>
      <c r="M1923" s="2" t="inlineStr">
        <is>
          <t>PriceCharting</t>
        </is>
      </c>
      <c r="N1923" s="4" t="inlineStr">
        <is>
          <t>https://www.pricecharting.com/game/pokemon-promo/salamence-ex-&amp;-reshiram-ex-premium-collection</t>
        </is>
      </c>
    </row>
    <row r="1924">
      <c r="A1924" s="2" t="inlineStr">
        <is>
          <t>Promo Sceptile 3-Pack Blister</t>
        </is>
      </c>
      <c r="B1924" s="3">
        <f>IF(I1924&lt;&gt;"",I1924,IF(J1924&lt;&gt;"",J1924,IF(K1924&lt;&gt;"",K1924,L1924)))</f>
        <v>220.18</v>
      </c>
      <c r="C1924" s="3">
        <f>MEDIAN(I1924:L1924)</f>
        <v>220.18</v>
      </c>
      <c r="D1924" s="3">
        <f>ROUND(C1924*(1-Settings!$B$2),2)</f>
        <v>154.13</v>
      </c>
      <c r="E1924" s="3">
        <f>ROUND(C1924*(1-Settings!$B$3),2)</f>
        <v>154.13</v>
      </c>
      <c r="F1924" s="2" t="inlineStr">
        <is>
          <t>Pokemon</t>
        </is>
      </c>
      <c r="G1924" s="2" t="inlineStr">
        <is>
          <t>Coffret</t>
        </is>
      </c>
      <c r="H1924" s="2" t="inlineStr">
        <is>
          <t>Promo</t>
        </is>
      </c>
      <c r="I1924" s="3" t="n">
        <v>220.18</v>
      </c>
      <c r="J1924" s="3" t="n"/>
      <c r="K1924" s="3" t="n"/>
      <c r="L1924" s="3" t="n"/>
      <c r="M1924" s="2" t="inlineStr">
        <is>
          <t>PriceCharting</t>
        </is>
      </c>
      <c r="N1924" s="4" t="inlineStr">
        <is>
          <t>https://www.pricecharting.com/game/pokemon-promo/sceptile-3-pack-blister</t>
        </is>
      </c>
    </row>
    <row r="1925">
      <c r="A1925" s="2" t="inlineStr">
        <is>
          <t>Promo Sealed Cynthia's Garchomp Ex Premium Collection</t>
        </is>
      </c>
      <c r="B1925" s="3">
        <f>IF(I1925&lt;&gt;"",I1925,IF(J1925&lt;&gt;"",J1925,IF(K1925&lt;&gt;"",K1925,L1925)))</f>
        <v>75.86</v>
      </c>
      <c r="C1925" s="3">
        <f>MEDIAN(I1925:L1925)</f>
        <v>75.86</v>
      </c>
      <c r="D1925" s="3">
        <f>ROUND(C1925*(1-Settings!$B$2),2)</f>
        <v>53.1</v>
      </c>
      <c r="E1925" s="3">
        <f>ROUND(C1925*(1-Settings!$B$3),2)</f>
        <v>53.1</v>
      </c>
      <c r="F1925" s="2" t="inlineStr">
        <is>
          <t>Pokemon</t>
        </is>
      </c>
      <c r="G1925" s="2" t="inlineStr">
        <is>
          <t>Coffret</t>
        </is>
      </c>
      <c r="H1925" s="2" t="inlineStr">
        <is>
          <t>Promo</t>
        </is>
      </c>
      <c r="I1925" s="3" t="n">
        <v>75.86</v>
      </c>
      <c r="J1925" s="3" t="n"/>
      <c r="K1925" s="3" t="n"/>
      <c r="L1925" s="3" t="n"/>
      <c r="M1925" s="2" t="inlineStr">
        <is>
          <t>PriceCharting</t>
        </is>
      </c>
      <c r="N1925" s="4" t="inlineStr">
        <is>
          <t>https://www.pricecharting.com/game/pokemon-promo/sealed-cynthia's-garchomp-ex-premium-collection</t>
        </is>
      </c>
    </row>
    <row r="1926">
      <c r="A1926" s="2" t="inlineStr">
        <is>
          <t>Promo Sealed Knock Out Collection: Kyogre</t>
        </is>
      </c>
      <c r="B1926" s="3">
        <f>IF(I1926&lt;&gt;"",I1926,IF(J1926&lt;&gt;"",J1926,IF(K1926&lt;&gt;"",K1926,L1926)))</f>
        <v>14.14</v>
      </c>
      <c r="C1926" s="3">
        <f>MEDIAN(I1926:L1926)</f>
        <v>14.14</v>
      </c>
      <c r="D1926" s="3">
        <f>ROUND(C1926*(1-Settings!$B$2),2)</f>
        <v>9.9</v>
      </c>
      <c r="E1926" s="3">
        <f>ROUND(C1926*(1-Settings!$B$3),2)</f>
        <v>9.9</v>
      </c>
      <c r="F1926" s="2" t="inlineStr">
        <is>
          <t>Pokemon</t>
        </is>
      </c>
      <c r="G1926" s="2" t="inlineStr">
        <is>
          <t>Coffret</t>
        </is>
      </c>
      <c r="H1926" s="2" t="inlineStr">
        <is>
          <t>Promo</t>
        </is>
      </c>
      <c r="I1926" s="3" t="n">
        <v>14.14</v>
      </c>
      <c r="J1926" s="3" t="n"/>
      <c r="K1926" s="3" t="n"/>
      <c r="L1926" s="3" t="n"/>
      <c r="M1926" s="2" t="inlineStr">
        <is>
          <t>PriceCharting</t>
        </is>
      </c>
      <c r="N1926" s="4" t="inlineStr">
        <is>
          <t>https://www.pricecharting.com/game/pokemon-promo/sealed-knock-out-collection-kyogre</t>
        </is>
      </c>
    </row>
    <row r="1927">
      <c r="A1927" s="2" t="inlineStr">
        <is>
          <t>Promo Sealed Knock Out Collection: Suicune</t>
        </is>
      </c>
      <c r="B1927" s="3">
        <f>IF(I1927&lt;&gt;"",I1927,IF(J1927&lt;&gt;"",J1927,IF(K1927&lt;&gt;"",K1927,L1927)))</f>
        <v>13.99</v>
      </c>
      <c r="C1927" s="3">
        <f>MEDIAN(I1927:L1927)</f>
        <v>13.99</v>
      </c>
      <c r="D1927" s="3">
        <f>ROUND(C1927*(1-Settings!$B$2),2)</f>
        <v>9.79</v>
      </c>
      <c r="E1927" s="3">
        <f>ROUND(C1927*(1-Settings!$B$3),2)</f>
        <v>9.79</v>
      </c>
      <c r="F1927" s="2" t="inlineStr">
        <is>
          <t>Pokemon</t>
        </is>
      </c>
      <c r="G1927" s="2" t="inlineStr">
        <is>
          <t>Coffret</t>
        </is>
      </c>
      <c r="H1927" s="2" t="inlineStr">
        <is>
          <t>Promo</t>
        </is>
      </c>
      <c r="I1927" s="3" t="n">
        <v>13.99</v>
      </c>
      <c r="J1927" s="3" t="n"/>
      <c r="K1927" s="3" t="n"/>
      <c r="L1927" s="3" t="n"/>
      <c r="M1927" s="2" t="inlineStr">
        <is>
          <t>PriceCharting</t>
        </is>
      </c>
      <c r="N1927" s="4" t="inlineStr">
        <is>
          <t>https://www.pricecharting.com/game/pokemon-promo/sealed-knock-out-collection-suicune</t>
        </is>
      </c>
    </row>
    <row r="1928">
      <c r="A1928" s="2" t="inlineStr">
        <is>
          <t>Promo Sealed Mega Moonlit Tin: Mega Gengar Ex</t>
        </is>
      </c>
      <c r="B1928" s="3">
        <f>IF(I1928&lt;&gt;"",I1928,IF(J1928&lt;&gt;"",J1928,IF(K1928&lt;&gt;"",K1928,L1928)))</f>
        <v>33.49</v>
      </c>
      <c r="C1928" s="3">
        <f>MEDIAN(I1928:L1928)</f>
        <v>33.49</v>
      </c>
      <c r="D1928" s="3">
        <f>ROUND(C1928*(1-Settings!$B$2),2)</f>
        <v>23.44</v>
      </c>
      <c r="E1928" s="3">
        <f>ROUND(C1928*(1-Settings!$B$3),2)</f>
        <v>23.44</v>
      </c>
      <c r="F1928" s="2" t="inlineStr">
        <is>
          <t>Pokemon</t>
        </is>
      </c>
      <c r="G1928" s="2" t="inlineStr">
        <is>
          <t>Coffret</t>
        </is>
      </c>
      <c r="H1928" s="2" t="inlineStr">
        <is>
          <t>Promo</t>
        </is>
      </c>
      <c r="I1928" s="3" t="n">
        <v>33.49</v>
      </c>
      <c r="J1928" s="3" t="n"/>
      <c r="K1928" s="3" t="n"/>
      <c r="L1928" s="3" t="n"/>
      <c r="M1928" s="2" t="inlineStr">
        <is>
          <t>PriceCharting</t>
        </is>
      </c>
      <c r="N1928" s="4" t="inlineStr">
        <is>
          <t>https://www.pricecharting.com/game/pokemon-promo/sealed-mega-moonlit-tin-mega-gengar-ex</t>
        </is>
      </c>
    </row>
    <row r="1929">
      <c r="A1929" s="2" t="inlineStr">
        <is>
          <t>Promo Sealed Tin [Mega Emboar Ex]</t>
        </is>
      </c>
      <c r="B1929" s="3">
        <f>IF(I1929&lt;&gt;"",I1929,IF(J1929&lt;&gt;"",J1929,IF(K1929&lt;&gt;"",K1929,L1929)))</f>
        <v>43.51</v>
      </c>
      <c r="C1929" s="3">
        <f>MEDIAN(I1929:L1929)</f>
        <v>43.51</v>
      </c>
      <c r="D1929" s="3">
        <f>ROUND(C1929*(1-Settings!$B$2),2)</f>
        <v>30.46</v>
      </c>
      <c r="E1929" s="3">
        <f>ROUND(C1929*(1-Settings!$B$3),2)</f>
        <v>30.46</v>
      </c>
      <c r="F1929" s="2" t="inlineStr">
        <is>
          <t>Pokemon</t>
        </is>
      </c>
      <c r="G1929" s="2" t="inlineStr">
        <is>
          <t>Coffret</t>
        </is>
      </c>
      <c r="H1929" s="2" t="inlineStr">
        <is>
          <t>Promo</t>
        </is>
      </c>
      <c r="I1929" s="3" t="n">
        <v>43.51</v>
      </c>
      <c r="J1929" s="3" t="n"/>
      <c r="K1929" s="3" t="n"/>
      <c r="L1929" s="3" t="n"/>
      <c r="M1929" s="2" t="inlineStr">
        <is>
          <t>PriceCharting</t>
        </is>
      </c>
      <c r="N1929" s="4" t="inlineStr">
        <is>
          <t>https://www.pricecharting.com/game/pokemon-promo/sealed-tin-mega-emboar-ex</t>
        </is>
      </c>
    </row>
    <row r="1930">
      <c r="A1930" s="2" t="inlineStr">
        <is>
          <t>Promo Shaymin VSTAR Premium Collection</t>
        </is>
      </c>
      <c r="B1930" s="3">
        <f>IF(I1930&lt;&gt;"",I1930,IF(J1930&lt;&gt;"",J1930,IF(K1930&lt;&gt;"",K1930,L1930)))</f>
        <v>121.0</v>
      </c>
      <c r="C1930" s="3">
        <f>MEDIAN(I1930:L1930)</f>
        <v>121.0</v>
      </c>
      <c r="D1930" s="3">
        <f>ROUND(C1930*(1-Settings!$B$2),2)</f>
        <v>84.7</v>
      </c>
      <c r="E1930" s="3">
        <f>ROUND(C1930*(1-Settings!$B$3),2)</f>
        <v>84.7</v>
      </c>
      <c r="F1930" s="2" t="inlineStr">
        <is>
          <t>Pokemon</t>
        </is>
      </c>
      <c r="G1930" s="2" t="inlineStr">
        <is>
          <t>Coffret</t>
        </is>
      </c>
      <c r="H1930" s="2" t="inlineStr">
        <is>
          <t>Promo</t>
        </is>
      </c>
      <c r="I1930" s="3" t="n">
        <v>121</v>
      </c>
      <c r="J1930" s="3" t="n"/>
      <c r="K1930" s="3" t="n"/>
      <c r="L1930" s="3" t="n"/>
      <c r="M1930" s="2" t="inlineStr">
        <is>
          <t>PriceCharting</t>
        </is>
      </c>
      <c r="N1930" s="4" t="inlineStr">
        <is>
          <t>https://www.pricecharting.com/game/pokemon-promo/shaymin-vstar-premium-collection</t>
        </is>
      </c>
    </row>
    <row r="1931">
      <c r="A1931" s="2" t="inlineStr">
        <is>
          <t>Promo Sinnoh Stars Mini Tin [Chimchar]</t>
        </is>
      </c>
      <c r="B1931" s="3">
        <f>IF(I1931&lt;&gt;"",I1931,IF(J1931&lt;&gt;"",J1931,IF(K1931&lt;&gt;"",K1931,L1931)))</f>
        <v>24.36</v>
      </c>
      <c r="C1931" s="3">
        <f>MEDIAN(I1931:L1931)</f>
        <v>24.36</v>
      </c>
      <c r="D1931" s="3">
        <f>ROUND(C1931*(1-Settings!$B$2),2)</f>
        <v>17.05</v>
      </c>
      <c r="E1931" s="3">
        <f>ROUND(C1931*(1-Settings!$B$3),2)</f>
        <v>17.05</v>
      </c>
      <c r="F1931" s="2" t="inlineStr">
        <is>
          <t>Pokemon</t>
        </is>
      </c>
      <c r="G1931" s="2" t="inlineStr">
        <is>
          <t>Coffret</t>
        </is>
      </c>
      <c r="H1931" s="2" t="inlineStr">
        <is>
          <t>Promo</t>
        </is>
      </c>
      <c r="I1931" s="3" t="n">
        <v>24.36</v>
      </c>
      <c r="J1931" s="3" t="n"/>
      <c r="K1931" s="3" t="n"/>
      <c r="L1931" s="3" t="n"/>
      <c r="M1931" s="2" t="inlineStr">
        <is>
          <t>PriceCharting</t>
        </is>
      </c>
      <c r="N1931" s="4" t="inlineStr">
        <is>
          <t>https://www.pricecharting.com/game/pokemon-promo/sinnoh-stars-mini-tin-chimchar</t>
        </is>
      </c>
    </row>
    <row r="1932">
      <c r="A1932" s="2" t="inlineStr">
        <is>
          <t>Promo Sinnoh Stars Mini Tin [Munchlax]</t>
        </is>
      </c>
      <c r="B1932" s="3">
        <f>IF(I1932&lt;&gt;"",I1932,IF(J1932&lt;&gt;"",J1932,IF(K1932&lt;&gt;"",K1932,L1932)))</f>
        <v>26.99</v>
      </c>
      <c r="C1932" s="3">
        <f>MEDIAN(I1932:L1932)</f>
        <v>26.99</v>
      </c>
      <c r="D1932" s="3">
        <f>ROUND(C1932*(1-Settings!$B$2),2)</f>
        <v>18.89</v>
      </c>
      <c r="E1932" s="3">
        <f>ROUND(C1932*(1-Settings!$B$3),2)</f>
        <v>18.89</v>
      </c>
      <c r="F1932" s="2" t="inlineStr">
        <is>
          <t>Pokemon</t>
        </is>
      </c>
      <c r="G1932" s="2" t="inlineStr">
        <is>
          <t>Coffret</t>
        </is>
      </c>
      <c r="H1932" s="2" t="inlineStr">
        <is>
          <t>Promo</t>
        </is>
      </c>
      <c r="I1932" s="3" t="n">
        <v>26.99</v>
      </c>
      <c r="J1932" s="3" t="n"/>
      <c r="K1932" s="3" t="n"/>
      <c r="L1932" s="3" t="n"/>
      <c r="M1932" s="2" t="inlineStr">
        <is>
          <t>PriceCharting</t>
        </is>
      </c>
      <c r="N1932" s="4" t="inlineStr">
        <is>
          <t>https://www.pricecharting.com/game/pokemon-promo/sinnoh-stars-mini-tin-munchlax</t>
        </is>
      </c>
    </row>
    <row r="1933">
      <c r="A1933" s="2" t="inlineStr">
        <is>
          <t>Promo Sinnoh Stars Mini Tin [Piplup]</t>
        </is>
      </c>
      <c r="B1933" s="3">
        <f>IF(I1933&lt;&gt;"",I1933,IF(J1933&lt;&gt;"",J1933,IF(K1933&lt;&gt;"",K1933,L1933)))</f>
        <v>35.88</v>
      </c>
      <c r="C1933" s="3">
        <f>MEDIAN(I1933:L1933)</f>
        <v>35.88</v>
      </c>
      <c r="D1933" s="3">
        <f>ROUND(C1933*(1-Settings!$B$2),2)</f>
        <v>25.12</v>
      </c>
      <c r="E1933" s="3">
        <f>ROUND(C1933*(1-Settings!$B$3),2)</f>
        <v>25.12</v>
      </c>
      <c r="F1933" s="2" t="inlineStr">
        <is>
          <t>Pokemon</t>
        </is>
      </c>
      <c r="G1933" s="2" t="inlineStr">
        <is>
          <t>Coffret</t>
        </is>
      </c>
      <c r="H1933" s="2" t="inlineStr">
        <is>
          <t>Promo</t>
        </is>
      </c>
      <c r="I1933" s="3" t="n">
        <v>35.88</v>
      </c>
      <c r="J1933" s="3" t="n"/>
      <c r="K1933" s="3" t="n"/>
      <c r="L1933" s="3" t="n"/>
      <c r="M1933" s="2" t="inlineStr">
        <is>
          <t>PriceCharting</t>
        </is>
      </c>
      <c r="N1933" s="4" t="inlineStr">
        <is>
          <t>https://www.pricecharting.com/game/pokemon-promo/sinnoh-stars-mini-tin-piplup</t>
        </is>
      </c>
    </row>
    <row r="1934">
      <c r="A1934" s="2" t="inlineStr">
        <is>
          <t>Promo Sinnoh Stars Mini Tin [Riolu]</t>
        </is>
      </c>
      <c r="B1934" s="3">
        <f>IF(I1934&lt;&gt;"",I1934,IF(J1934&lt;&gt;"",J1934,IF(K1934&lt;&gt;"",K1934,L1934)))</f>
        <v>23.99</v>
      </c>
      <c r="C1934" s="3">
        <f>MEDIAN(I1934:L1934)</f>
        <v>23.99</v>
      </c>
      <c r="D1934" s="3">
        <f>ROUND(C1934*(1-Settings!$B$2),2)</f>
        <v>16.79</v>
      </c>
      <c r="E1934" s="3">
        <f>ROUND(C1934*(1-Settings!$B$3),2)</f>
        <v>16.79</v>
      </c>
      <c r="F1934" s="2" t="inlineStr">
        <is>
          <t>Pokemon</t>
        </is>
      </c>
      <c r="G1934" s="2" t="inlineStr">
        <is>
          <t>Coffret</t>
        </is>
      </c>
      <c r="H1934" s="2" t="inlineStr">
        <is>
          <t>Promo</t>
        </is>
      </c>
      <c r="I1934" s="3" t="n">
        <v>23.99</v>
      </c>
      <c r="J1934" s="3" t="n"/>
      <c r="K1934" s="3" t="n"/>
      <c r="L1934" s="3" t="n"/>
      <c r="M1934" s="2" t="inlineStr">
        <is>
          <t>PriceCharting</t>
        </is>
      </c>
      <c r="N1934" s="4" t="inlineStr">
        <is>
          <t>https://www.pricecharting.com/game/pokemon-promo/sinnoh-stars-mini-tin-riolu</t>
        </is>
      </c>
    </row>
    <row r="1935">
      <c r="A1935" s="2" t="inlineStr">
        <is>
          <t>Promo Sinnoh Stars Mini Tin [Turtwig]</t>
        </is>
      </c>
      <c r="B1935" s="3">
        <f>IF(I1935&lt;&gt;"",I1935,IF(J1935&lt;&gt;"",J1935,IF(K1935&lt;&gt;"",K1935,L1935)))</f>
        <v>38.92</v>
      </c>
      <c r="C1935" s="3">
        <f>MEDIAN(I1935:L1935)</f>
        <v>38.92</v>
      </c>
      <c r="D1935" s="3">
        <f>ROUND(C1935*(1-Settings!$B$2),2)</f>
        <v>27.24</v>
      </c>
      <c r="E1935" s="3">
        <f>ROUND(C1935*(1-Settings!$B$3),2)</f>
        <v>27.24</v>
      </c>
      <c r="F1935" s="2" t="inlineStr">
        <is>
          <t>Pokemon</t>
        </is>
      </c>
      <c r="G1935" s="2" t="inlineStr">
        <is>
          <t>Coffret</t>
        </is>
      </c>
      <c r="H1935" s="2" t="inlineStr">
        <is>
          <t>Promo</t>
        </is>
      </c>
      <c r="I1935" s="3" t="n">
        <v>38.92</v>
      </c>
      <c r="J1935" s="3" t="n"/>
      <c r="K1935" s="3" t="n"/>
      <c r="L1935" s="3" t="n"/>
      <c r="M1935" s="2" t="inlineStr">
        <is>
          <t>PriceCharting</t>
        </is>
      </c>
      <c r="N1935" s="4" t="inlineStr">
        <is>
          <t>https://www.pricecharting.com/game/pokemon-promo/sinnoh-stars-mini-tin-turtwig</t>
        </is>
      </c>
    </row>
    <row r="1936">
      <c r="A1936" s="2" t="inlineStr">
        <is>
          <t>Promo Sinnoh Stars Mini Tins 5-Pack</t>
        </is>
      </c>
      <c r="B1936" s="3">
        <f>IF(I1936&lt;&gt;"",I1936,IF(J1936&lt;&gt;"",J1936,IF(K1936&lt;&gt;"",K1936,L1936)))</f>
        <v>163.32</v>
      </c>
      <c r="C1936" s="3">
        <f>MEDIAN(I1936:L1936)</f>
        <v>163.32</v>
      </c>
      <c r="D1936" s="3">
        <f>ROUND(C1936*(1-Settings!$B$2),2)</f>
        <v>114.32</v>
      </c>
      <c r="E1936" s="3">
        <f>ROUND(C1936*(1-Settings!$B$3),2)</f>
        <v>114.32</v>
      </c>
      <c r="F1936" s="2" t="inlineStr">
        <is>
          <t>Pokemon</t>
        </is>
      </c>
      <c r="G1936" s="2" t="inlineStr">
        <is>
          <t>Coffret</t>
        </is>
      </c>
      <c r="H1936" s="2" t="inlineStr">
        <is>
          <t>Promo</t>
        </is>
      </c>
      <c r="I1936" s="3" t="n">
        <v>163.32</v>
      </c>
      <c r="J1936" s="3" t="n"/>
      <c r="K1936" s="3" t="n"/>
      <c r="L1936" s="3" t="n"/>
      <c r="M1936" s="2" t="inlineStr">
        <is>
          <t>PriceCharting</t>
        </is>
      </c>
      <c r="N1936" s="4" t="inlineStr">
        <is>
          <t>https://www.pricecharting.com/game/pokemon-promo/sinnoh-stars-mini-tins-5-pack</t>
        </is>
      </c>
    </row>
    <row r="1937">
      <c r="A1937" s="2" t="inlineStr">
        <is>
          <t>Promo Slashing Legends Tin [Koraidon Ex]</t>
        </is>
      </c>
      <c r="B1937" s="3">
        <f>IF(I1937&lt;&gt;"",I1937,IF(J1937&lt;&gt;"",J1937,IF(K1937&lt;&gt;"",K1937,L1937)))</f>
        <v>32.94</v>
      </c>
      <c r="C1937" s="3">
        <f>MEDIAN(I1937:L1937)</f>
        <v>32.94</v>
      </c>
      <c r="D1937" s="3">
        <f>ROUND(C1937*(1-Settings!$B$2),2)</f>
        <v>23.06</v>
      </c>
      <c r="E1937" s="3">
        <f>ROUND(C1937*(1-Settings!$B$3),2)</f>
        <v>23.06</v>
      </c>
      <c r="F1937" s="2" t="inlineStr">
        <is>
          <t>Pokemon</t>
        </is>
      </c>
      <c r="G1937" s="2" t="inlineStr">
        <is>
          <t>Coffret</t>
        </is>
      </c>
      <c r="H1937" s="2" t="inlineStr">
        <is>
          <t>Promo</t>
        </is>
      </c>
      <c r="I1937" s="3" t="n">
        <v>32.94</v>
      </c>
      <c r="J1937" s="3" t="n"/>
      <c r="K1937" s="3" t="n"/>
      <c r="L1937" s="3" t="n"/>
      <c r="M1937" s="2" t="inlineStr">
        <is>
          <t>PriceCharting</t>
        </is>
      </c>
      <c r="N1937" s="4" t="inlineStr">
        <is>
          <t>https://www.pricecharting.com/game/pokemon-promo/slashing-legends-tin-koraidon-ex</t>
        </is>
      </c>
    </row>
    <row r="1938">
      <c r="A1938" s="2" t="inlineStr">
        <is>
          <t>Promo Slashing Legends Tin [Zacian Ex]</t>
        </is>
      </c>
      <c r="B1938" s="3">
        <f>IF(I1938&lt;&gt;"",I1938,IF(J1938&lt;&gt;"",J1938,IF(K1938&lt;&gt;"",K1938,L1938)))</f>
        <v>38.82</v>
      </c>
      <c r="C1938" s="3">
        <f>MEDIAN(I1938:L1938)</f>
        <v>38.82</v>
      </c>
      <c r="D1938" s="3">
        <f>ROUND(C1938*(1-Settings!$B$2),2)</f>
        <v>27.17</v>
      </c>
      <c r="E1938" s="3">
        <f>ROUND(C1938*(1-Settings!$B$3),2)</f>
        <v>27.17</v>
      </c>
      <c r="F1938" s="2" t="inlineStr">
        <is>
          <t>Pokemon</t>
        </is>
      </c>
      <c r="G1938" s="2" t="inlineStr">
        <is>
          <t>Coffret</t>
        </is>
      </c>
      <c r="H1938" s="2" t="inlineStr">
        <is>
          <t>Promo</t>
        </is>
      </c>
      <c r="I1938" s="3" t="n">
        <v>38.82</v>
      </c>
      <c r="J1938" s="3" t="n"/>
      <c r="K1938" s="3" t="n"/>
      <c r="L1938" s="3" t="n"/>
      <c r="M1938" s="2" t="inlineStr">
        <is>
          <t>PriceCharting</t>
        </is>
      </c>
      <c r="N1938" s="4" t="inlineStr">
        <is>
          <t>https://www.pricecharting.com/game/pokemon-promo/slashing-legends-tin-zacian-ex</t>
        </is>
      </c>
    </row>
    <row r="1939">
      <c r="A1939" s="2" t="inlineStr">
        <is>
          <t>Promo Snorlax Ex &amp; Blissey Ex Special Collection</t>
        </is>
      </c>
      <c r="B1939" s="3">
        <f>IF(I1939&lt;&gt;"",I1939,IF(J1939&lt;&gt;"",J1939,IF(K1939&lt;&gt;"",K1939,L1939)))</f>
        <v>80.89</v>
      </c>
      <c r="C1939" s="3">
        <f>MEDIAN(I1939:L1939)</f>
        <v>80.89</v>
      </c>
      <c r="D1939" s="3">
        <f>ROUND(C1939*(1-Settings!$B$2),2)</f>
        <v>56.62</v>
      </c>
      <c r="E1939" s="3">
        <f>ROUND(C1939*(1-Settings!$B$3),2)</f>
        <v>56.62</v>
      </c>
      <c r="F1939" s="2" t="inlineStr">
        <is>
          <t>Pokemon</t>
        </is>
      </c>
      <c r="G1939" s="2" t="inlineStr">
        <is>
          <t>Coffret</t>
        </is>
      </c>
      <c r="H1939" s="2" t="inlineStr">
        <is>
          <t>Promo</t>
        </is>
      </c>
      <c r="I1939" s="3" t="n">
        <v>80.89</v>
      </c>
      <c r="J1939" s="3" t="n"/>
      <c r="K1939" s="3" t="n"/>
      <c r="L1939" s="3" t="n"/>
      <c r="M1939" s="2" t="inlineStr">
        <is>
          <t>PriceCharting</t>
        </is>
      </c>
      <c r="N1939" s="4" t="inlineStr">
        <is>
          <t>https://www.pricecharting.com/game/pokemon-promo/snorlax-ex-&amp;-blissey-ex-special-collection</t>
        </is>
      </c>
    </row>
    <row r="1940">
      <c r="A1940" s="2" t="inlineStr">
        <is>
          <t>Promo Spring 2022 Collector Bundle</t>
        </is>
      </c>
      <c r="B1940" s="3">
        <f>IF(I1940&lt;&gt;"",I1940,IF(J1940&lt;&gt;"",J1940,IF(K1940&lt;&gt;"",K1940,L1940)))</f>
        <v>105.25</v>
      </c>
      <c r="C1940" s="3">
        <f>MEDIAN(I1940:L1940)</f>
        <v>105.25</v>
      </c>
      <c r="D1940" s="3">
        <f>ROUND(C1940*(1-Settings!$B$2),2)</f>
        <v>73.68</v>
      </c>
      <c r="E1940" s="3">
        <f>ROUND(C1940*(1-Settings!$B$3),2)</f>
        <v>73.68</v>
      </c>
      <c r="F1940" s="2" t="inlineStr">
        <is>
          <t>Pokemon</t>
        </is>
      </c>
      <c r="G1940" s="2" t="inlineStr">
        <is>
          <t>Coffret</t>
        </is>
      </c>
      <c r="H1940" s="2" t="inlineStr">
        <is>
          <t>Promo</t>
        </is>
      </c>
      <c r="I1940" s="3" t="n">
        <v>105.25</v>
      </c>
      <c r="J1940" s="3" t="n"/>
      <c r="K1940" s="3" t="n"/>
      <c r="L1940" s="3" t="n"/>
      <c r="M1940" s="2" t="inlineStr">
        <is>
          <t>PriceCharting</t>
        </is>
      </c>
      <c r="N1940" s="4" t="inlineStr">
        <is>
          <t>https://www.pricecharting.com/game/pokemon-promo/spring-2022-collector-bundle</t>
        </is>
      </c>
    </row>
    <row r="1941">
      <c r="A1941" s="2" t="inlineStr">
        <is>
          <t>Promo Summer 2023 Collector's Chest</t>
        </is>
      </c>
      <c r="B1941" s="3">
        <f>IF(I1941&lt;&gt;"",I1941,IF(J1941&lt;&gt;"",J1941,IF(K1941&lt;&gt;"",K1941,L1941)))</f>
        <v>88.84</v>
      </c>
      <c r="C1941" s="3">
        <f>MEDIAN(I1941:L1941)</f>
        <v>88.84</v>
      </c>
      <c r="D1941" s="3">
        <f>ROUND(C1941*(1-Settings!$B$2),2)</f>
        <v>62.19</v>
      </c>
      <c r="E1941" s="3">
        <f>ROUND(C1941*(1-Settings!$B$3),2)</f>
        <v>62.19</v>
      </c>
      <c r="F1941" s="2" t="inlineStr">
        <is>
          <t>Pokemon</t>
        </is>
      </c>
      <c r="G1941" s="2" t="inlineStr">
        <is>
          <t>Coffret</t>
        </is>
      </c>
      <c r="H1941" s="2" t="inlineStr">
        <is>
          <t>Promo</t>
        </is>
      </c>
      <c r="I1941" s="3" t="n">
        <v>88.84</v>
      </c>
      <c r="J1941" s="3" t="n"/>
      <c r="K1941" s="3" t="n"/>
      <c r="L1941" s="3" t="n"/>
      <c r="M1941" s="2" t="inlineStr">
        <is>
          <t>PriceCharting</t>
        </is>
      </c>
      <c r="N1941" s="4" t="inlineStr">
        <is>
          <t>https://www.pricecharting.com/game/pokemon-promo/summer-2023-collector's-chest</t>
        </is>
      </c>
    </row>
    <row r="1942">
      <c r="A1942" s="2" t="inlineStr">
        <is>
          <t>Promo Tag Team Tin: Pikachu &amp; Zekrom GX</t>
        </is>
      </c>
      <c r="B1942" s="3">
        <f>IF(I1942&lt;&gt;"",I1942,IF(J1942&lt;&gt;"",J1942,IF(K1942&lt;&gt;"",K1942,L1942)))</f>
        <v>662.9</v>
      </c>
      <c r="C1942" s="3">
        <f>MEDIAN(I1942:L1942)</f>
        <v>662.9</v>
      </c>
      <c r="D1942" s="3">
        <f>ROUND(C1942*(1-Settings!$B$2),2)</f>
        <v>464.03</v>
      </c>
      <c r="E1942" s="3">
        <f>ROUND(C1942*(1-Settings!$B$3),2)</f>
        <v>464.03</v>
      </c>
      <c r="F1942" s="2" t="inlineStr">
        <is>
          <t>Pokemon</t>
        </is>
      </c>
      <c r="G1942" s="2" t="inlineStr">
        <is>
          <t>Coffret</t>
        </is>
      </c>
      <c r="H1942" s="2" t="inlineStr">
        <is>
          <t>Promo</t>
        </is>
      </c>
      <c r="I1942" s="3" t="n">
        <v>662.9</v>
      </c>
      <c r="J1942" s="3" t="n"/>
      <c r="K1942" s="3" t="n"/>
      <c r="L1942" s="3" t="n"/>
      <c r="M1942" s="2" t="inlineStr">
        <is>
          <t>PriceCharting</t>
        </is>
      </c>
      <c r="N1942" s="4" t="inlineStr">
        <is>
          <t>https://www.pricecharting.com/game/pokemon-promo/tag-team-tin-pikachu-&amp;-zekrom-gx</t>
        </is>
      </c>
    </row>
    <row r="1943">
      <c r="A1943" s="2" t="inlineStr">
        <is>
          <t>Promo Tapu Koko Figure Collection</t>
        </is>
      </c>
      <c r="B1943" s="3">
        <f>IF(I1943&lt;&gt;"",I1943,IF(J1943&lt;&gt;"",J1943,IF(K1943&lt;&gt;"",K1943,L1943)))</f>
        <v>87.83</v>
      </c>
      <c r="C1943" s="3">
        <f>MEDIAN(I1943:L1943)</f>
        <v>87.83</v>
      </c>
      <c r="D1943" s="3">
        <f>ROUND(C1943*(1-Settings!$B$2),2)</f>
        <v>61.48</v>
      </c>
      <c r="E1943" s="3">
        <f>ROUND(C1943*(1-Settings!$B$3),2)</f>
        <v>61.48</v>
      </c>
      <c r="F1943" s="2" t="inlineStr">
        <is>
          <t>Pokemon</t>
        </is>
      </c>
      <c r="G1943" s="2" t="inlineStr">
        <is>
          <t>Coffret</t>
        </is>
      </c>
      <c r="H1943" s="2" t="inlineStr">
        <is>
          <t>Promo</t>
        </is>
      </c>
      <c r="I1943" s="3" t="n">
        <v>87.83</v>
      </c>
      <c r="J1943" s="3" t="n"/>
      <c r="K1943" s="3" t="n"/>
      <c r="L1943" s="3" t="n"/>
      <c r="M1943" s="2" t="inlineStr">
        <is>
          <t>PriceCharting</t>
        </is>
      </c>
      <c r="N1943" s="4" t="inlineStr">
        <is>
          <t>https://www.pricecharting.com/game/pokemon-promo/tapu-koko-figure-collection</t>
        </is>
      </c>
    </row>
    <row r="1944">
      <c r="A1944" s="2" t="inlineStr">
        <is>
          <t>Promo Team Rocket's Moltres Ex Ultra Premium Collection Box</t>
        </is>
      </c>
      <c r="B1944" s="3">
        <f>IF(I1944&lt;&gt;"",I1944,IF(J1944&lt;&gt;"",J1944,IF(K1944&lt;&gt;"",K1944,L1944)))</f>
        <v>318.83</v>
      </c>
      <c r="C1944" s="3">
        <f>MEDIAN(I1944:L1944)</f>
        <v>318.83</v>
      </c>
      <c r="D1944" s="3">
        <f>ROUND(C1944*(1-Settings!$B$2),2)</f>
        <v>223.18</v>
      </c>
      <c r="E1944" s="3">
        <f>ROUND(C1944*(1-Settings!$B$3),2)</f>
        <v>223.18</v>
      </c>
      <c r="F1944" s="2" t="inlineStr">
        <is>
          <t>Pokemon</t>
        </is>
      </c>
      <c r="G1944" s="2" t="inlineStr">
        <is>
          <t>Coffret</t>
        </is>
      </c>
      <c r="H1944" s="2" t="inlineStr">
        <is>
          <t>Promo</t>
        </is>
      </c>
      <c r="I1944" s="3" t="n">
        <v>318.83</v>
      </c>
      <c r="J1944" s="3" t="n"/>
      <c r="K1944" s="3" t="n"/>
      <c r="L1944" s="3" t="n"/>
      <c r="M1944" s="2" t="inlineStr">
        <is>
          <t>PriceCharting</t>
        </is>
      </c>
      <c r="N1944" s="4" t="inlineStr">
        <is>
          <t>https://www.pricecharting.com/game/pokemon-promo/team-rocket's-moltres-ex-ultra-premium-collection-box</t>
        </is>
      </c>
    </row>
    <row r="1945">
      <c r="A1945" s="2" t="inlineStr">
        <is>
          <t>Promo Team Skull Pin Collection</t>
        </is>
      </c>
      <c r="B1945" s="3">
        <f>IF(I1945&lt;&gt;"",I1945,IF(J1945&lt;&gt;"",J1945,IF(K1945&lt;&gt;"",K1945,L1945)))</f>
        <v>210.0</v>
      </c>
      <c r="C1945" s="3">
        <f>MEDIAN(I1945:L1945)</f>
        <v>210.0</v>
      </c>
      <c r="D1945" s="3">
        <f>ROUND(C1945*(1-Settings!$B$2),2)</f>
        <v>147.0</v>
      </c>
      <c r="E1945" s="3">
        <f>ROUND(C1945*(1-Settings!$B$3),2)</f>
        <v>147.0</v>
      </c>
      <c r="F1945" s="2" t="inlineStr">
        <is>
          <t>Pokemon</t>
        </is>
      </c>
      <c r="G1945" s="2" t="inlineStr">
        <is>
          <t>Coffret</t>
        </is>
      </c>
      <c r="H1945" s="2" t="inlineStr">
        <is>
          <t>Promo</t>
        </is>
      </c>
      <c r="I1945" s="3" t="n">
        <v>210</v>
      </c>
      <c r="J1945" s="3" t="n"/>
      <c r="K1945" s="3" t="n"/>
      <c r="L1945" s="3" t="n"/>
      <c r="M1945" s="2" t="inlineStr">
        <is>
          <t>PriceCharting</t>
        </is>
      </c>
      <c r="N1945" s="4" t="inlineStr">
        <is>
          <t>https://www.pricecharting.com/game/pokemon-promo/team-skull-pin-collection</t>
        </is>
      </c>
    </row>
    <row r="1946">
      <c r="A1946" s="2" t="inlineStr">
        <is>
          <t>Promo Tera Brawlers Premium Collection Box</t>
        </is>
      </c>
      <c r="B1946" s="3">
        <f>IF(I1946&lt;&gt;"",I1946,IF(J1946&lt;&gt;"",J1946,IF(K1946&lt;&gt;"",K1946,L1946)))</f>
        <v>99.0</v>
      </c>
      <c r="C1946" s="3">
        <f>MEDIAN(I1946:L1946)</f>
        <v>99.0</v>
      </c>
      <c r="D1946" s="3">
        <f>ROUND(C1946*(1-Settings!$B$2),2)</f>
        <v>69.3</v>
      </c>
      <c r="E1946" s="3">
        <f>ROUND(C1946*(1-Settings!$B$3),2)</f>
        <v>69.3</v>
      </c>
      <c r="F1946" s="2" t="inlineStr">
        <is>
          <t>Pokemon</t>
        </is>
      </c>
      <c r="G1946" s="2" t="inlineStr">
        <is>
          <t>Coffret</t>
        </is>
      </c>
      <c r="H1946" s="2" t="inlineStr">
        <is>
          <t>Promo</t>
        </is>
      </c>
      <c r="I1946" s="3" t="n">
        <v>99</v>
      </c>
      <c r="J1946" s="3" t="n"/>
      <c r="K1946" s="3" t="n"/>
      <c r="L1946" s="3" t="n"/>
      <c r="M1946" s="2" t="inlineStr">
        <is>
          <t>PriceCharting</t>
        </is>
      </c>
      <c r="N1946" s="4" t="inlineStr">
        <is>
          <t>https://www.pricecharting.com/game/pokemon-promo/tera-brawlers-premium-collection-box</t>
        </is>
      </c>
    </row>
    <row r="1947">
      <c r="A1947" s="2" t="inlineStr">
        <is>
          <t>Promo Tera Team Premium Collection</t>
        </is>
      </c>
      <c r="B1947" s="3">
        <f>IF(I1947&lt;&gt;"",I1947,IF(J1947&lt;&gt;"",J1947,IF(K1947&lt;&gt;"",K1947,L1947)))</f>
        <v>97.9</v>
      </c>
      <c r="C1947" s="3">
        <f>MEDIAN(I1947:L1947)</f>
        <v>97.9</v>
      </c>
      <c r="D1947" s="3">
        <f>ROUND(C1947*(1-Settings!$B$2),2)</f>
        <v>68.53</v>
      </c>
      <c r="E1947" s="3">
        <f>ROUND(C1947*(1-Settings!$B$3),2)</f>
        <v>68.53</v>
      </c>
      <c r="F1947" s="2" t="inlineStr">
        <is>
          <t>Pokemon</t>
        </is>
      </c>
      <c r="G1947" s="2" t="inlineStr">
        <is>
          <t>Coffret</t>
        </is>
      </c>
      <c r="H1947" s="2" t="inlineStr">
        <is>
          <t>Promo</t>
        </is>
      </c>
      <c r="I1947" s="3" t="n">
        <v>97.90000000000001</v>
      </c>
      <c r="J1947" s="3" t="n"/>
      <c r="K1947" s="3" t="n"/>
      <c r="L1947" s="3" t="n"/>
      <c r="M1947" s="2" t="inlineStr">
        <is>
          <t>PriceCharting</t>
        </is>
      </c>
      <c r="N1947" s="4" t="inlineStr">
        <is>
          <t>https://www.pricecharting.com/game/pokemon-promo/tera-team-premium-collection</t>
        </is>
      </c>
    </row>
    <row r="1948">
      <c r="A1948" s="2" t="inlineStr">
        <is>
          <t>Promo Terapagos Ex Ultra Premium Collection Box</t>
        </is>
      </c>
      <c r="B1948" s="3">
        <f>IF(I1948&lt;&gt;"",I1948,IF(J1948&lt;&gt;"",J1948,IF(K1948&lt;&gt;"",K1948,L1948)))</f>
        <v>245.5</v>
      </c>
      <c r="C1948" s="3">
        <f>MEDIAN(I1948:L1948)</f>
        <v>245.5</v>
      </c>
      <c r="D1948" s="3">
        <f>ROUND(C1948*(1-Settings!$B$2),2)</f>
        <v>171.85</v>
      </c>
      <c r="E1948" s="3">
        <f>ROUND(C1948*(1-Settings!$B$3),2)</f>
        <v>171.85</v>
      </c>
      <c r="F1948" s="2" t="inlineStr">
        <is>
          <t>Pokemon</t>
        </is>
      </c>
      <c r="G1948" s="2" t="inlineStr">
        <is>
          <t>Coffret</t>
        </is>
      </c>
      <c r="H1948" s="2" t="inlineStr">
        <is>
          <t>Promo</t>
        </is>
      </c>
      <c r="I1948" s="3" t="n">
        <v>245.5</v>
      </c>
      <c r="J1948" s="3" t="n"/>
      <c r="K1948" s="3" t="n"/>
      <c r="L1948" s="3" t="n"/>
      <c r="M1948" s="2" t="inlineStr">
        <is>
          <t>PriceCharting</t>
        </is>
      </c>
      <c r="N1948" s="4" t="inlineStr">
        <is>
          <t>https://www.pricecharting.com/game/pokemon-promo/terapagos-ex-ultra-premium-collection-box</t>
        </is>
      </c>
    </row>
    <row r="1949">
      <c r="A1949" s="2" t="inlineStr">
        <is>
          <t>Promo Trainer's Legendary Box: Ho-Oh</t>
        </is>
      </c>
      <c r="B1949" s="3">
        <f>IF(I1949&lt;&gt;"",I1949,IF(J1949&lt;&gt;"",J1949,IF(K1949&lt;&gt;"",K1949,L1949)))</f>
        <v>224.49</v>
      </c>
      <c r="C1949" s="3">
        <f>MEDIAN(I1949:L1949)</f>
        <v>224.49</v>
      </c>
      <c r="D1949" s="3">
        <f>ROUND(C1949*(1-Settings!$B$2),2)</f>
        <v>157.14</v>
      </c>
      <c r="E1949" s="3">
        <f>ROUND(C1949*(1-Settings!$B$3),2)</f>
        <v>157.14</v>
      </c>
      <c r="F1949" s="2" t="inlineStr">
        <is>
          <t>Pokemon</t>
        </is>
      </c>
      <c r="G1949" s="2" t="inlineStr">
        <is>
          <t>Coffret</t>
        </is>
      </c>
      <c r="H1949" s="2" t="inlineStr">
        <is>
          <t>Promo</t>
        </is>
      </c>
      <c r="I1949" s="3" t="n">
        <v>224.49</v>
      </c>
      <c r="J1949" s="3" t="n"/>
      <c r="K1949" s="3" t="n"/>
      <c r="L1949" s="3" t="n"/>
      <c r="M1949" s="2" t="inlineStr">
        <is>
          <t>PriceCharting</t>
        </is>
      </c>
      <c r="N1949" s="4" t="inlineStr">
        <is>
          <t>https://www.pricecharting.com/game/pokemon-promo/trainer's-legendary-box-ho-oh</t>
        </is>
      </c>
    </row>
    <row r="1950">
      <c r="A1950" s="2" t="inlineStr">
        <is>
          <t>Promo Treasures Of Ruin Stacking Tin</t>
        </is>
      </c>
      <c r="B1950" s="3">
        <f>IF(I1950&lt;&gt;"",I1950,IF(J1950&lt;&gt;"",J1950,IF(K1950&lt;&gt;"",K1950,L1950)))</f>
        <v>27.99</v>
      </c>
      <c r="C1950" s="3">
        <f>MEDIAN(I1950:L1950)</f>
        <v>27.99</v>
      </c>
      <c r="D1950" s="3">
        <f>ROUND(C1950*(1-Settings!$B$2),2)</f>
        <v>19.59</v>
      </c>
      <c r="E1950" s="3">
        <f>ROUND(C1950*(1-Settings!$B$3),2)</f>
        <v>19.59</v>
      </c>
      <c r="F1950" s="2" t="inlineStr">
        <is>
          <t>Pokemon</t>
        </is>
      </c>
      <c r="G1950" s="2" t="inlineStr">
        <is>
          <t>Coffret</t>
        </is>
      </c>
      <c r="H1950" s="2" t="inlineStr">
        <is>
          <t>Promo</t>
        </is>
      </c>
      <c r="I1950" s="3" t="n">
        <v>27.99</v>
      </c>
      <c r="J1950" s="3" t="n"/>
      <c r="K1950" s="3" t="n"/>
      <c r="L1950" s="3" t="n"/>
      <c r="M1950" s="2" t="inlineStr">
        <is>
          <t>PriceCharting</t>
        </is>
      </c>
      <c r="N1950" s="4" t="inlineStr">
        <is>
          <t>https://www.pricecharting.com/game/pokemon-promo/treasures-of-ruin-stacking-tin</t>
        </is>
      </c>
    </row>
    <row r="1951">
      <c r="A1951" s="2" t="inlineStr">
        <is>
          <t>Promo Tyranitar Lunchbox Chest Tin</t>
        </is>
      </c>
      <c r="B1951" s="3">
        <f>IF(I1951&lt;&gt;"",I1951,IF(J1951&lt;&gt;"",J1951,IF(K1951&lt;&gt;"",K1951,L1951)))</f>
        <v>39.95</v>
      </c>
      <c r="C1951" s="3">
        <f>MEDIAN(I1951:L1951)</f>
        <v>39.95</v>
      </c>
      <c r="D1951" s="3">
        <f>ROUND(C1951*(1-Settings!$B$2),2)</f>
        <v>27.97</v>
      </c>
      <c r="E1951" s="3">
        <f>ROUND(C1951*(1-Settings!$B$3),2)</f>
        <v>27.97</v>
      </c>
      <c r="F1951" s="2" t="inlineStr">
        <is>
          <t>Pokemon</t>
        </is>
      </c>
      <c r="G1951" s="2" t="inlineStr">
        <is>
          <t>Coffret</t>
        </is>
      </c>
      <c r="H1951" s="2" t="inlineStr">
        <is>
          <t>Promo</t>
        </is>
      </c>
      <c r="I1951" s="3" t="n">
        <v>39.95</v>
      </c>
      <c r="J1951" s="3" t="n"/>
      <c r="K1951" s="3" t="n"/>
      <c r="L1951" s="3" t="n"/>
      <c r="M1951" s="2" t="inlineStr">
        <is>
          <t>PriceCharting</t>
        </is>
      </c>
      <c r="N1951" s="4" t="inlineStr">
        <is>
          <t>https://www.pricecharting.com/game/pokemon-promo/tyranitar-lunchbox-chest-tin</t>
        </is>
      </c>
    </row>
    <row r="1952">
      <c r="A1952" s="2" t="inlineStr">
        <is>
          <t>Promo Ultra Beasts GX Premium Collection [Buzzwole GX &amp; Xurkitree GX]</t>
        </is>
      </c>
      <c r="B1952" s="3">
        <f>IF(I1952&lt;&gt;"",I1952,IF(J1952&lt;&gt;"",J1952,IF(K1952&lt;&gt;"",K1952,L1952)))</f>
        <v>275.0</v>
      </c>
      <c r="C1952" s="3">
        <f>MEDIAN(I1952:L1952)</f>
        <v>275.0</v>
      </c>
      <c r="D1952" s="3">
        <f>ROUND(C1952*(1-Settings!$B$2),2)</f>
        <v>192.5</v>
      </c>
      <c r="E1952" s="3">
        <f>ROUND(C1952*(1-Settings!$B$3),2)</f>
        <v>192.5</v>
      </c>
      <c r="F1952" s="2" t="inlineStr">
        <is>
          <t>Pokemon</t>
        </is>
      </c>
      <c r="G1952" s="2" t="inlineStr">
        <is>
          <t>Coffret</t>
        </is>
      </c>
      <c r="H1952" s="2" t="inlineStr">
        <is>
          <t>Promo</t>
        </is>
      </c>
      <c r="I1952" s="3" t="n">
        <v>275</v>
      </c>
      <c r="J1952" s="3" t="n"/>
      <c r="K1952" s="3" t="n"/>
      <c r="L1952" s="3" t="n"/>
      <c r="M1952" s="2" t="inlineStr">
        <is>
          <t>PriceCharting</t>
        </is>
      </c>
      <c r="N1952" s="4" t="inlineStr">
        <is>
          <t>https://www.pricecharting.com/game/pokemon-promo/ultra-beasts-gx-premium-collection-buzzwole-gx-&amp;-xurkitree-gx</t>
        </is>
      </c>
    </row>
    <row r="1953">
      <c r="A1953" s="2" t="inlineStr">
        <is>
          <t>Promo V-Union Special Collection - Mewtwo</t>
        </is>
      </c>
      <c r="B1953" s="3">
        <f>IF(I1953&lt;&gt;"",I1953,IF(J1953&lt;&gt;"",J1953,IF(K1953&lt;&gt;"",K1953,L1953)))</f>
        <v>157.5</v>
      </c>
      <c r="C1953" s="3">
        <f>MEDIAN(I1953:L1953)</f>
        <v>157.5</v>
      </c>
      <c r="D1953" s="3">
        <f>ROUND(C1953*(1-Settings!$B$2),2)</f>
        <v>110.25</v>
      </c>
      <c r="E1953" s="3">
        <f>ROUND(C1953*(1-Settings!$B$3),2)</f>
        <v>110.25</v>
      </c>
      <c r="F1953" s="2" t="inlineStr">
        <is>
          <t>Pokemon</t>
        </is>
      </c>
      <c r="G1953" s="2" t="inlineStr">
        <is>
          <t>Coffret</t>
        </is>
      </c>
      <c r="H1953" s="2" t="inlineStr">
        <is>
          <t>Promo</t>
        </is>
      </c>
      <c r="I1953" s="3" t="n">
        <v>157.5</v>
      </c>
      <c r="J1953" s="3" t="n"/>
      <c r="K1953" s="3" t="n"/>
      <c r="L1953" s="3" t="n"/>
      <c r="M1953" s="2" t="inlineStr">
        <is>
          <t>PriceCharting</t>
        </is>
      </c>
      <c r="N1953" s="4" t="inlineStr">
        <is>
          <t>https://www.pricecharting.com/game/pokemon-promo/v-union-special-collection-mewtwo</t>
        </is>
      </c>
    </row>
    <row r="1954">
      <c r="A1954" s="2" t="inlineStr">
        <is>
          <t>Promo Vibrant Paldea Mini Tin</t>
        </is>
      </c>
      <c r="B1954" s="3">
        <f>IF(I1954&lt;&gt;"",I1954,IF(J1954&lt;&gt;"",J1954,IF(K1954&lt;&gt;"",K1954,L1954)))</f>
        <v>43.37</v>
      </c>
      <c r="C1954" s="3">
        <f>MEDIAN(I1954:L1954)</f>
        <v>43.37</v>
      </c>
      <c r="D1954" s="3">
        <f>ROUND(C1954*(1-Settings!$B$2),2)</f>
        <v>30.36</v>
      </c>
      <c r="E1954" s="3">
        <f>ROUND(C1954*(1-Settings!$B$3),2)</f>
        <v>30.36</v>
      </c>
      <c r="F1954" s="2" t="inlineStr">
        <is>
          <t>Pokemon</t>
        </is>
      </c>
      <c r="G1954" s="2" t="inlineStr">
        <is>
          <t>Coffret</t>
        </is>
      </c>
      <c r="H1954" s="2" t="inlineStr">
        <is>
          <t>Promo</t>
        </is>
      </c>
      <c r="I1954" s="3" t="n">
        <v>43.37</v>
      </c>
      <c r="J1954" s="3" t="n"/>
      <c r="K1954" s="3" t="n"/>
      <c r="L1954" s="3" t="n"/>
      <c r="M1954" s="2" t="inlineStr">
        <is>
          <t>PriceCharting</t>
        </is>
      </c>
      <c r="N1954" s="4" t="inlineStr">
        <is>
          <t>https://www.pricecharting.com/game/pokemon-promo/vibrant-paldea-mini-tin</t>
        </is>
      </c>
    </row>
    <row r="1955">
      <c r="A1955" s="2" t="inlineStr">
        <is>
          <t>Promo Vibrant Paldea Mini Tin Collection</t>
        </is>
      </c>
      <c r="B1955" s="3">
        <f>IF(I1955&lt;&gt;"",I1955,IF(J1955&lt;&gt;"",J1955,IF(K1955&lt;&gt;"",K1955,L1955)))</f>
        <v>259.99</v>
      </c>
      <c r="C1955" s="3">
        <f>MEDIAN(I1955:L1955)</f>
        <v>259.99</v>
      </c>
      <c r="D1955" s="3">
        <f>ROUND(C1955*(1-Settings!$B$2),2)</f>
        <v>181.99</v>
      </c>
      <c r="E1955" s="3">
        <f>ROUND(C1955*(1-Settings!$B$3),2)</f>
        <v>181.99</v>
      </c>
      <c r="F1955" s="2" t="inlineStr">
        <is>
          <t>Pokemon</t>
        </is>
      </c>
      <c r="G1955" s="2" t="inlineStr">
        <is>
          <t>Coffret</t>
        </is>
      </c>
      <c r="H1955" s="2" t="inlineStr">
        <is>
          <t>Promo</t>
        </is>
      </c>
      <c r="I1955" s="3" t="n">
        <v>259.99</v>
      </c>
      <c r="J1955" s="3" t="n"/>
      <c r="K1955" s="3" t="n"/>
      <c r="L1955" s="3" t="n"/>
      <c r="M1955" s="2" t="inlineStr">
        <is>
          <t>PriceCharting</t>
        </is>
      </c>
      <c r="N1955" s="4" t="inlineStr">
        <is>
          <t>https://www.pricecharting.com/game/pokemon-promo/vibrant-paldea-mini-tin-collection</t>
        </is>
      </c>
    </row>
    <row r="1956">
      <c r="A1956" s="2" t="inlineStr">
        <is>
          <t>Promo White &amp; Black: Poster Collection + Binder Collection</t>
        </is>
      </c>
      <c r="B1956" s="3">
        <f>IF(I1956&lt;&gt;"",I1956,IF(J1956&lt;&gt;"",J1956,IF(K1956&lt;&gt;"",K1956,L1956)))</f>
        <v>102.42</v>
      </c>
      <c r="C1956" s="3">
        <f>MEDIAN(I1956:L1956)</f>
        <v>102.42</v>
      </c>
      <c r="D1956" s="3">
        <f>ROUND(C1956*(1-Settings!$B$2),2)</f>
        <v>71.69</v>
      </c>
      <c r="E1956" s="3">
        <f>ROUND(C1956*(1-Settings!$B$3),2)</f>
        <v>71.69</v>
      </c>
      <c r="F1956" s="2" t="inlineStr">
        <is>
          <t>Pokemon</t>
        </is>
      </c>
      <c r="G1956" s="2" t="inlineStr">
        <is>
          <t>Coffret</t>
        </is>
      </c>
      <c r="H1956" s="2" t="inlineStr">
        <is>
          <t>Promo</t>
        </is>
      </c>
      <c r="I1956" s="3" t="n">
        <v>102.42</v>
      </c>
      <c r="J1956" s="3" t="n"/>
      <c r="K1956" s="3" t="n"/>
      <c r="L1956" s="3" t="n"/>
      <c r="M1956" s="2" t="inlineStr">
        <is>
          <t>PriceCharting</t>
        </is>
      </c>
      <c r="N1956" s="4" t="inlineStr">
        <is>
          <t>https://www.pricecharting.com/game/pokemon-promo/white-&amp;-black-poster-collection-+-binder-collection</t>
        </is>
      </c>
    </row>
    <row r="1957">
      <c r="A1957" s="2" t="inlineStr">
        <is>
          <t>Promo Zacian V-UNION Special Collection Box</t>
        </is>
      </c>
      <c r="B1957" s="3">
        <f>IF(I1957&lt;&gt;"",I1957,IF(J1957&lt;&gt;"",J1957,IF(K1957&lt;&gt;"",K1957,L1957)))</f>
        <v>124.99</v>
      </c>
      <c r="C1957" s="3">
        <f>MEDIAN(I1957:L1957)</f>
        <v>124.99</v>
      </c>
      <c r="D1957" s="3">
        <f>ROUND(C1957*(1-Settings!$B$2),2)</f>
        <v>87.49</v>
      </c>
      <c r="E1957" s="3">
        <f>ROUND(C1957*(1-Settings!$B$3),2)</f>
        <v>87.49</v>
      </c>
      <c r="F1957" s="2" t="inlineStr">
        <is>
          <t>Pokemon</t>
        </is>
      </c>
      <c r="G1957" s="2" t="inlineStr">
        <is>
          <t>Coffret</t>
        </is>
      </c>
      <c r="H1957" s="2" t="inlineStr">
        <is>
          <t>Promo</t>
        </is>
      </c>
      <c r="I1957" s="3" t="n">
        <v>124.99</v>
      </c>
      <c r="J1957" s="3" t="n"/>
      <c r="K1957" s="3" t="n"/>
      <c r="L1957" s="3" t="n"/>
      <c r="M1957" s="2" t="inlineStr">
        <is>
          <t>PriceCharting</t>
        </is>
      </c>
      <c r="N1957" s="4" t="inlineStr">
        <is>
          <t>https://www.pricecharting.com/game/pokemon-promo/zacian-v-union-special-collection-box</t>
        </is>
      </c>
    </row>
    <row r="1958">
      <c r="A1958" s="2" t="inlineStr">
        <is>
          <t>Promo Zeraora VMAX &amp; VStar Battle Box</t>
        </is>
      </c>
      <c r="B1958" s="3">
        <f>IF(I1958&lt;&gt;"",I1958,IF(J1958&lt;&gt;"",J1958,IF(K1958&lt;&gt;"",K1958,L1958)))</f>
        <v>89.38</v>
      </c>
      <c r="C1958" s="3">
        <f>MEDIAN(I1958:L1958)</f>
        <v>89.38</v>
      </c>
      <c r="D1958" s="3">
        <f>ROUND(C1958*(1-Settings!$B$2),2)</f>
        <v>62.57</v>
      </c>
      <c r="E1958" s="3">
        <f>ROUND(C1958*(1-Settings!$B$3),2)</f>
        <v>62.57</v>
      </c>
      <c r="F1958" s="2" t="inlineStr">
        <is>
          <t>Pokemon</t>
        </is>
      </c>
      <c r="G1958" s="2" t="inlineStr">
        <is>
          <t>Coffret</t>
        </is>
      </c>
      <c r="H1958" s="2" t="inlineStr">
        <is>
          <t>Promo</t>
        </is>
      </c>
      <c r="I1958" s="3" t="n">
        <v>89.38</v>
      </c>
      <c r="J1958" s="3" t="n"/>
      <c r="K1958" s="3" t="n"/>
      <c r="L1958" s="3" t="n"/>
      <c r="M1958" s="2" t="inlineStr">
        <is>
          <t>PriceCharting</t>
        </is>
      </c>
      <c r="N1958" s="4" t="inlineStr">
        <is>
          <t>https://www.pricecharting.com/game/pokemon-promo/zeraora-vmax-&amp;-vstar-battle-box</t>
        </is>
      </c>
    </row>
    <row r="1959">
      <c r="A1959" s="2" t="inlineStr">
        <is>
          <t>Promo Zoroark &amp; Legendary Pokemon [Jumbo] #World of Illusions Box Promo</t>
        </is>
      </c>
      <c r="B1959" s="3">
        <f>IF(I1959&lt;&gt;"",I1959,IF(J1959&lt;&gt;"",J1959,IF(K1959&lt;&gt;"",K1959,L1959)))</f>
        <v>38.39</v>
      </c>
      <c r="C1959" s="3">
        <f>MEDIAN(I1959:L1959)</f>
        <v>38.39</v>
      </c>
      <c r="D1959" s="3">
        <f>ROUND(C1959*(1-Settings!$B$2),2)</f>
        <v>26.87</v>
      </c>
      <c r="E1959" s="3">
        <f>ROUND(C1959*(1-Settings!$B$3),2)</f>
        <v>26.87</v>
      </c>
      <c r="F1959" s="2" t="inlineStr">
        <is>
          <t>Pokemon</t>
        </is>
      </c>
      <c r="G1959" s="2" t="inlineStr">
        <is>
          <t>Coffret</t>
        </is>
      </c>
      <c r="H1959" s="2" t="inlineStr">
        <is>
          <t>Promo</t>
        </is>
      </c>
      <c r="I1959" s="3" t="n">
        <v>38.39</v>
      </c>
      <c r="J1959" s="3" t="n"/>
      <c r="K1959" s="3" t="n"/>
      <c r="L1959" s="3" t="n"/>
      <c r="M1959" s="2" t="inlineStr">
        <is>
          <t>PriceCharting</t>
        </is>
      </c>
      <c r="N1959" s="4" t="inlineStr">
        <is>
          <t>https://www.pricecharting.com/game/pokemon-promo/zoroark-&amp;-legendary-pokemon-jumbo-world-of-illusions-box-promo</t>
        </is>
      </c>
    </row>
    <row r="1960">
      <c r="A1960" s="2" t="inlineStr">
        <is>
          <t>Roaring Skies 3-Pack Blister</t>
        </is>
      </c>
      <c r="B1960" s="3">
        <f>IF(I1960&lt;&gt;"",I1960,IF(J1960&lt;&gt;"",J1960,IF(K1960&lt;&gt;"",K1960,L1960)))</f>
        <v>131.25</v>
      </c>
      <c r="C1960" s="3">
        <f>MEDIAN(I1960:L1960)</f>
        <v>131.25</v>
      </c>
      <c r="D1960" s="3">
        <f>ROUND(C1960*(1-Settings!$B$2),2)</f>
        <v>91.88</v>
      </c>
      <c r="E1960" s="3">
        <f>ROUND(C1960*(1-Settings!$B$3),2)</f>
        <v>91.88</v>
      </c>
      <c r="F1960" s="2" t="inlineStr">
        <is>
          <t>Pokemon</t>
        </is>
      </c>
      <c r="G1960" s="2" t="inlineStr">
        <is>
          <t>Coffret</t>
        </is>
      </c>
      <c r="H1960" s="2" t="inlineStr">
        <is>
          <t>Roaring Skies</t>
        </is>
      </c>
      <c r="I1960" s="3" t="n">
        <v>131.25</v>
      </c>
      <c r="J1960" s="3" t="n"/>
      <c r="K1960" s="3" t="n"/>
      <c r="L1960" s="3" t="n"/>
      <c r="M1960" s="2" t="inlineStr">
        <is>
          <t>PriceCharting</t>
        </is>
      </c>
      <c r="N1960" s="4" t="inlineStr">
        <is>
          <t>https://www.pricecharting.com/game/pokemon-roaring-skies/3-pack-blister</t>
        </is>
      </c>
    </row>
    <row r="1961">
      <c r="A1961" s="2" t="inlineStr">
        <is>
          <t>Roaring Skies Elite Trainer Box</t>
        </is>
      </c>
      <c r="B1961" s="3">
        <f>IF(I1961&lt;&gt;"",I1961,IF(J1961&lt;&gt;"",J1961,IF(K1961&lt;&gt;"",K1961,L1961)))</f>
        <v>7250.0</v>
      </c>
      <c r="C1961" s="3">
        <f>MEDIAN(I1961:L1961)</f>
        <v>7250.0</v>
      </c>
      <c r="D1961" s="3">
        <f>ROUND(C1961*(1-Settings!$B$2),2)</f>
        <v>5075.0</v>
      </c>
      <c r="E1961" s="3">
        <f>ROUND(C1961*(1-Settings!$B$3),2)</f>
        <v>5075.0</v>
      </c>
      <c r="F1961" s="2" t="inlineStr">
        <is>
          <t>Pokemon</t>
        </is>
      </c>
      <c r="G1961" s="2" t="inlineStr">
        <is>
          <t>Coffret</t>
        </is>
      </c>
      <c r="H1961" s="2" t="inlineStr">
        <is>
          <t>Roaring Skies</t>
        </is>
      </c>
      <c r="I1961" s="3" t="n">
        <v>7250</v>
      </c>
      <c r="J1961" s="3" t="n"/>
      <c r="K1961" s="3" t="n"/>
      <c r="L1961" s="3" t="n"/>
      <c r="M1961" s="2" t="inlineStr">
        <is>
          <t>PriceCharting</t>
        </is>
      </c>
      <c r="N1961" s="4" t="inlineStr">
        <is>
          <t>https://www.pricecharting.com/game/pokemon-roaring-skies/elite-trainer-box</t>
        </is>
      </c>
    </row>
    <row r="1962">
      <c r="A1962" s="2" t="inlineStr">
        <is>
          <t>Roaring Skies Mega Absol EX Premium Collection Box</t>
        </is>
      </c>
      <c r="B1962" s="3">
        <f>IF(I1962&lt;&gt;"",I1962,IF(J1962&lt;&gt;"",J1962,IF(K1962&lt;&gt;"",K1962,L1962)))</f>
        <v>1045.05</v>
      </c>
      <c r="C1962" s="3">
        <f>MEDIAN(I1962:L1962)</f>
        <v>1045.05</v>
      </c>
      <c r="D1962" s="3">
        <f>ROUND(C1962*(1-Settings!$B$2),2)</f>
        <v>731.54</v>
      </c>
      <c r="E1962" s="3">
        <f>ROUND(C1962*(1-Settings!$B$3),2)</f>
        <v>731.54</v>
      </c>
      <c r="F1962" s="2" t="inlineStr">
        <is>
          <t>Pokemon</t>
        </is>
      </c>
      <c r="G1962" s="2" t="inlineStr">
        <is>
          <t>Coffret</t>
        </is>
      </c>
      <c r="H1962" s="2" t="inlineStr">
        <is>
          <t>Roaring Skies</t>
        </is>
      </c>
      <c r="I1962" s="3" t="n">
        <v>1045.05</v>
      </c>
      <c r="J1962" s="3" t="n"/>
      <c r="K1962" s="3" t="n"/>
      <c r="L1962" s="3" t="n"/>
      <c r="M1962" s="2" t="inlineStr">
        <is>
          <t>PriceCharting</t>
        </is>
      </c>
      <c r="N1962" s="4" t="inlineStr">
        <is>
          <t>https://www.pricecharting.com/game/pokemon-roaring-skies/mega-absol-ex-premium-collection-box</t>
        </is>
      </c>
    </row>
    <row r="1963">
      <c r="A1963" s="2" t="inlineStr">
        <is>
          <t>Rumble Sealed Box</t>
        </is>
      </c>
      <c r="B1963" s="3">
        <f>IF(I1963&lt;&gt;"",I1963,IF(J1963&lt;&gt;"",J1963,IF(K1963&lt;&gt;"",K1963,L1963)))</f>
        <v>7419.57</v>
      </c>
      <c r="C1963" s="3">
        <f>MEDIAN(I1963:L1963)</f>
        <v>7419.57</v>
      </c>
      <c r="D1963" s="3">
        <f>ROUND(C1963*(1-Settings!$B$2),2)</f>
        <v>5193.7</v>
      </c>
      <c r="E1963" s="3">
        <f>ROUND(C1963*(1-Settings!$B$3),2)</f>
        <v>5193.7</v>
      </c>
      <c r="F1963" s="2" t="inlineStr">
        <is>
          <t>Pokemon</t>
        </is>
      </c>
      <c r="G1963" s="2" t="inlineStr">
        <is>
          <t>Coffret</t>
        </is>
      </c>
      <c r="H1963" s="2" t="inlineStr">
        <is>
          <t>Rumble</t>
        </is>
      </c>
      <c r="I1963" s="3" t="n">
        <v>7419.57</v>
      </c>
      <c r="J1963" s="3" t="n"/>
      <c r="K1963" s="3" t="n"/>
      <c r="L1963" s="3" t="n"/>
      <c r="M1963" s="2" t="inlineStr">
        <is>
          <t>PriceCharting</t>
        </is>
      </c>
      <c r="N1963" s="4" t="inlineStr">
        <is>
          <t>https://www.pricecharting.com/game/pokemon-rumble/sealed-box</t>
        </is>
      </c>
    </row>
    <row r="1964">
      <c r="A1964" s="2" t="inlineStr">
        <is>
          <t>Pokemon Deluxe Stamp Box Set</t>
        </is>
      </c>
      <c r="B1964" s="3">
        <f>IF(I1964&lt;&gt;"",I1964,IF(J1964&lt;&gt;"",J1964,IF(K1964&lt;&gt;"",K1964,L1964)))</f>
        <v>3325.0</v>
      </c>
      <c r="C1964" s="3">
        <f>MEDIAN(I1964:L1964)</f>
        <v>3662.495</v>
      </c>
      <c r="D1964" s="3">
        <f>ROUND(C1964*(1-Settings!$B$2),2)</f>
        <v>2563.75</v>
      </c>
      <c r="E1964" s="3">
        <f>ROUND(C1964*(1-Settings!$B$3),2)</f>
        <v>2563.75</v>
      </c>
      <c r="F1964" s="2" t="inlineStr">
        <is>
          <t>Pokemon</t>
        </is>
      </c>
      <c r="G1964" s="2" t="inlineStr">
        <is>
          <t>Coffret</t>
        </is>
      </c>
      <c r="H1964" s="2" t="inlineStr">
        <is>
          <t>S-P: Sword &amp; Shield Promos</t>
        </is>
      </c>
      <c r="I1964" s="3" t="n"/>
      <c r="J1964" s="3" t="n">
        <v>3325</v>
      </c>
      <c r="K1964" s="3" t="n"/>
      <c r="L1964" s="3" t="n">
        <v>3999.99</v>
      </c>
      <c r="M1964" s="2" t="inlineStr">
        <is>
          <t>TCGplayer</t>
        </is>
      </c>
      <c r="O1964" s="4" t="inlineStr">
        <is>
          <t>https://www.tcgplayer.com/product/627698</t>
        </is>
      </c>
    </row>
    <row r="1965">
      <c r="A1965" s="2" t="inlineStr">
        <is>
          <t>Sword and Shield Precious Collector Box</t>
        </is>
      </c>
      <c r="B1965" s="3">
        <f>IF(I1965&lt;&gt;"",I1965,IF(J1965&lt;&gt;"",J1965,IF(K1965&lt;&gt;"",K1965,L1965)))</f>
        <v>464.63</v>
      </c>
      <c r="C1965" s="3">
        <f>MEDIAN(I1965:L1965)</f>
        <v>527.31</v>
      </c>
      <c r="D1965" s="3">
        <f>ROUND(C1965*(1-Settings!$B$2),2)</f>
        <v>369.12</v>
      </c>
      <c r="E1965" s="3">
        <f>ROUND(C1965*(1-Settings!$B$3),2)</f>
        <v>369.12</v>
      </c>
      <c r="F1965" s="2" t="inlineStr">
        <is>
          <t>Pokemon</t>
        </is>
      </c>
      <c r="G1965" s="2" t="inlineStr">
        <is>
          <t>Coffret</t>
        </is>
      </c>
      <c r="H1965" s="2" t="inlineStr">
        <is>
          <t>S-P: Sword &amp; Shield Promos</t>
        </is>
      </c>
      <c r="I1965" s="3" t="n"/>
      <c r="J1965" s="3" t="n">
        <v>464.63</v>
      </c>
      <c r="K1965" s="3" t="n"/>
      <c r="L1965" s="3" t="n">
        <v>589.99</v>
      </c>
      <c r="M1965" s="2" t="inlineStr">
        <is>
          <t>TCGplayer</t>
        </is>
      </c>
      <c r="O1965" s="4" t="inlineStr">
        <is>
          <t>https://www.tcgplayer.com/product/638934</t>
        </is>
      </c>
    </row>
    <row r="1966">
      <c r="A1966" s="2" t="inlineStr">
        <is>
          <t>Pokemon Go Card File Set - Pokemon Go Teams</t>
        </is>
      </c>
      <c r="B1966" s="3">
        <f>IF(I1966&lt;&gt;"",I1966,IF(J1966&lt;&gt;"",J1966,IF(K1966&lt;&gt;"",K1966,L1966)))</f>
        <v>100.0</v>
      </c>
      <c r="C1966" s="3">
        <f>MEDIAN(I1966:L1966)</f>
        <v>118.74</v>
      </c>
      <c r="D1966" s="3">
        <f>ROUND(C1966*(1-Settings!$B$2),2)</f>
        <v>83.12</v>
      </c>
      <c r="E1966" s="3">
        <f>ROUND(C1966*(1-Settings!$B$3),2)</f>
        <v>83.12</v>
      </c>
      <c r="F1966" s="2" t="inlineStr">
        <is>
          <t>Pokemon</t>
        </is>
      </c>
      <c r="G1966" s="2" t="inlineStr">
        <is>
          <t>Coffret</t>
        </is>
      </c>
      <c r="H1966" s="2" t="inlineStr">
        <is>
          <t>S10b: Pokemon GO</t>
        </is>
      </c>
      <c r="I1966" s="3" t="n"/>
      <c r="J1966" s="3" t="n">
        <v>100</v>
      </c>
      <c r="K1966" s="3" t="n"/>
      <c r="L1966" s="3" t="n">
        <v>137.48</v>
      </c>
      <c r="M1966" s="2" t="inlineStr">
        <is>
          <t>TCGplayer</t>
        </is>
      </c>
      <c r="O1966" s="4" t="inlineStr">
        <is>
          <t>https://www.tcgplayer.com/product/627702</t>
        </is>
      </c>
    </row>
    <row r="1967">
      <c r="A1967" s="2" t="inlineStr">
        <is>
          <t>Lost Abyss Special Set</t>
        </is>
      </c>
      <c r="B1967" s="3">
        <f>IF(I1967&lt;&gt;"",I1967,IF(J1967&lt;&gt;"",J1967,IF(K1967&lt;&gt;"",K1967,L1967)))</f>
        <v>300.0</v>
      </c>
      <c r="C1967" s="3">
        <f>MEDIAN(I1967:L1967)</f>
        <v>350.0</v>
      </c>
      <c r="D1967" s="3">
        <f>ROUND(C1967*(1-Settings!$B$2),2)</f>
        <v>245.0</v>
      </c>
      <c r="E1967" s="3">
        <f>ROUND(C1967*(1-Settings!$B$3),2)</f>
        <v>245.0</v>
      </c>
      <c r="F1967" s="2" t="inlineStr">
        <is>
          <t>Pokemon</t>
        </is>
      </c>
      <c r="G1967" s="2" t="inlineStr">
        <is>
          <t>Coffret</t>
        </is>
      </c>
      <c r="H1967" s="2" t="inlineStr">
        <is>
          <t>S11: Lost Abyss</t>
        </is>
      </c>
      <c r="I1967" s="3" t="n"/>
      <c r="J1967" s="3" t="n">
        <v>300</v>
      </c>
      <c r="K1967" s="3" t="n"/>
      <c r="L1967" s="3" t="n">
        <v>400</v>
      </c>
      <c r="M1967" s="2" t="inlineStr">
        <is>
          <t>TCGplayer</t>
        </is>
      </c>
      <c r="O1967" s="4" t="inlineStr">
        <is>
          <t>https://www.tcgplayer.com/product/618176</t>
        </is>
      </c>
    </row>
    <row r="1968">
      <c r="A1968" s="2" t="inlineStr">
        <is>
          <t>Toxtricity V Special Set</t>
        </is>
      </c>
      <c r="B1968" s="3">
        <f>IF(I1968&lt;&gt;"",I1968,IF(J1968&lt;&gt;"",J1968,IF(K1968&lt;&gt;"",K1968,L1968)))</f>
        <v>229.99</v>
      </c>
      <c r="C1968" s="3">
        <f>MEDIAN(I1968:L1968)</f>
        <v>229.99</v>
      </c>
      <c r="D1968" s="3">
        <f>ROUND(C1968*(1-Settings!$B$2),2)</f>
        <v>160.99</v>
      </c>
      <c r="E1968" s="3">
        <f>ROUND(C1968*(1-Settings!$B$3),2)</f>
        <v>160.99</v>
      </c>
      <c r="F1968" s="2" t="inlineStr">
        <is>
          <t>Pokemon</t>
        </is>
      </c>
      <c r="G1968" s="2" t="inlineStr">
        <is>
          <t>Coffret</t>
        </is>
      </c>
      <c r="H1968" s="2" t="inlineStr">
        <is>
          <t>S2: Rebellion Crash</t>
        </is>
      </c>
      <c r="I1968" s="3" t="n"/>
      <c r="J1968" s="3" t="n"/>
      <c r="K1968" s="3" t="n"/>
      <c r="L1968" s="3" t="n">
        <v>229.99</v>
      </c>
      <c r="M1968" s="2" t="inlineStr">
        <is>
          <t>TCGplayer</t>
        </is>
      </c>
      <c r="O1968" s="4" t="inlineStr">
        <is>
          <t>https://www.tcgplayer.com/product/626514</t>
        </is>
      </c>
    </row>
    <row r="1969">
      <c r="A1969" s="2" t="inlineStr">
        <is>
          <t>Matchless Fighters Klara and Avery Set</t>
        </is>
      </c>
      <c r="B1969" s="3">
        <f>IF(I1969&lt;&gt;"",I1969,IF(J1969&lt;&gt;"",J1969,IF(K1969&lt;&gt;"",K1969,L1969)))</f>
        <v>440.96</v>
      </c>
      <c r="C1969" s="3">
        <f>MEDIAN(I1969:L1969)</f>
        <v>440.96</v>
      </c>
      <c r="D1969" s="3">
        <f>ROUND(C1969*(1-Settings!$B$2),2)</f>
        <v>308.67</v>
      </c>
      <c r="E1969" s="3">
        <f>ROUND(C1969*(1-Settings!$B$3),2)</f>
        <v>308.67</v>
      </c>
      <c r="F1969" s="2" t="inlineStr">
        <is>
          <t>Pokemon</t>
        </is>
      </c>
      <c r="G1969" s="2" t="inlineStr">
        <is>
          <t>Coffret</t>
        </is>
      </c>
      <c r="H1969" s="2" t="inlineStr">
        <is>
          <t>S5a: Peerless Fighters</t>
        </is>
      </c>
      <c r="I1969" s="3" t="n"/>
      <c r="J1969" s="3" t="n"/>
      <c r="K1969" s="3" t="n"/>
      <c r="L1969" s="3" t="n">
        <v>440.96</v>
      </c>
      <c r="M1969" s="2" t="inlineStr">
        <is>
          <t>TCGplayer</t>
        </is>
      </c>
      <c r="O1969" s="4" t="inlineStr">
        <is>
          <t>https://www.tcgplayer.com/product/638076</t>
        </is>
      </c>
    </row>
    <row r="1970">
      <c r="A1970" s="2" t="inlineStr">
        <is>
          <t>Eevee Heroes Gym Box</t>
        </is>
      </c>
      <c r="B1970" s="3">
        <f>IF(I1970&lt;&gt;"",I1970,IF(J1970&lt;&gt;"",J1970,IF(K1970&lt;&gt;"",K1970,L1970)))</f>
        <v>2499.99</v>
      </c>
      <c r="C1970" s="3">
        <f>MEDIAN(I1970:L1970)</f>
        <v>2552.495</v>
      </c>
      <c r="D1970" s="3">
        <f>ROUND(C1970*(1-Settings!$B$2),2)</f>
        <v>1786.75</v>
      </c>
      <c r="E1970" s="3">
        <f>ROUND(C1970*(1-Settings!$B$3),2)</f>
        <v>1786.75</v>
      </c>
      <c r="F1970" s="2" t="inlineStr">
        <is>
          <t>Pokemon</t>
        </is>
      </c>
      <c r="G1970" s="2" t="inlineStr">
        <is>
          <t>Coffret</t>
        </is>
      </c>
      <c r="H1970" s="2" t="inlineStr">
        <is>
          <t>S6a: Eevee Heroes</t>
        </is>
      </c>
      <c r="I1970" s="3" t="n"/>
      <c r="J1970" s="3" t="n">
        <v>2499.99</v>
      </c>
      <c r="K1970" s="3" t="n"/>
      <c r="L1970" s="3" t="n">
        <v>2605</v>
      </c>
      <c r="M1970" s="2" t="inlineStr">
        <is>
          <t>TCGplayer</t>
        </is>
      </c>
      <c r="O1970" s="4" t="inlineStr">
        <is>
          <t>https://www.tcgplayer.com/product/608794</t>
        </is>
      </c>
    </row>
    <row r="1971">
      <c r="A1971" s="2" t="inlineStr">
        <is>
          <t>Eevee Heroes VMAX Special Set</t>
        </is>
      </c>
      <c r="B1971" s="3">
        <f>IF(I1971&lt;&gt;"",I1971,IF(J1971&lt;&gt;"",J1971,IF(K1971&lt;&gt;"",K1971,L1971)))</f>
        <v>288.34</v>
      </c>
      <c r="C1971" s="3">
        <f>MEDIAN(I1971:L1971)</f>
        <v>294.16499999999996</v>
      </c>
      <c r="D1971" s="3">
        <f>ROUND(C1971*(1-Settings!$B$2),2)</f>
        <v>205.92</v>
      </c>
      <c r="E1971" s="3">
        <f>ROUND(C1971*(1-Settings!$B$3),2)</f>
        <v>205.92</v>
      </c>
      <c r="F1971" s="2" t="inlineStr">
        <is>
          <t>Pokemon</t>
        </is>
      </c>
      <c r="G1971" s="2" t="inlineStr">
        <is>
          <t>Coffret</t>
        </is>
      </c>
      <c r="H1971" s="2" t="inlineStr">
        <is>
          <t>S6a: Eevee Heroes</t>
        </is>
      </c>
      <c r="I1971" s="3" t="n"/>
      <c r="J1971" s="3" t="n">
        <v>288.34</v>
      </c>
      <c r="K1971" s="3" t="n"/>
      <c r="L1971" s="3" t="n">
        <v>299.99</v>
      </c>
      <c r="M1971" s="2" t="inlineStr">
        <is>
          <t>TCGplayer</t>
        </is>
      </c>
      <c r="O1971" s="4" t="inlineStr">
        <is>
          <t>https://www.tcgplayer.com/product/606718</t>
        </is>
      </c>
    </row>
    <row r="1972">
      <c r="A1972" s="2" t="inlineStr">
        <is>
          <t>25th Anniversary Golden Box</t>
        </is>
      </c>
      <c r="B1972" s="3">
        <f>IF(I1972&lt;&gt;"",I1972,IF(J1972&lt;&gt;"",J1972,IF(K1972&lt;&gt;"",K1972,L1972)))</f>
        <v>1688.5</v>
      </c>
      <c r="C1972" s="3">
        <f>MEDIAN(I1972:L1972)</f>
        <v>1994.245</v>
      </c>
      <c r="D1972" s="3">
        <f>ROUND(C1972*(1-Settings!$B$2),2)</f>
        <v>1395.97</v>
      </c>
      <c r="E1972" s="3">
        <f>ROUND(C1972*(1-Settings!$B$3),2)</f>
        <v>1395.97</v>
      </c>
      <c r="F1972" s="2" t="inlineStr">
        <is>
          <t>Pokemon</t>
        </is>
      </c>
      <c r="G1972" s="2" t="inlineStr">
        <is>
          <t>Coffret</t>
        </is>
      </c>
      <c r="H1972" s="2" t="inlineStr">
        <is>
          <t>s8a-G: 25th Anniversary Golden Box</t>
        </is>
      </c>
      <c r="I1972" s="3" t="n"/>
      <c r="J1972" s="3" t="n">
        <v>1688.5</v>
      </c>
      <c r="K1972" s="3" t="n"/>
      <c r="L1972" s="3" t="n">
        <v>2299.99</v>
      </c>
      <c r="M1972" s="2" t="inlineStr">
        <is>
          <t>TCGplayer</t>
        </is>
      </c>
      <c r="O1972" s="4" t="inlineStr">
        <is>
          <t>https://www.tcgplayer.com/product/647455</t>
        </is>
      </c>
    </row>
    <row r="1973">
      <c r="A1973" s="2" t="inlineStr">
        <is>
          <t>Promo Card 25th Anniversary Collection Booster Pack</t>
        </is>
      </c>
      <c r="B1973" s="3">
        <f>IF(I1973&lt;&gt;"",I1973,IF(J1973&lt;&gt;"",J1973,IF(K1973&lt;&gt;"",K1973,L1973)))</f>
        <v>104.08</v>
      </c>
      <c r="C1973" s="3">
        <f>MEDIAN(I1973:L1973)</f>
        <v>102.03999999999999</v>
      </c>
      <c r="D1973" s="3">
        <f>ROUND(C1973*(1-Settings!$B$2),2)</f>
        <v>71.43</v>
      </c>
      <c r="E1973" s="3">
        <f>ROUND(C1973*(1-Settings!$B$3),2)</f>
        <v>71.43</v>
      </c>
      <c r="F1973" s="2" t="inlineStr">
        <is>
          <t>Pokemon</t>
        </is>
      </c>
      <c r="G1973" s="2" t="inlineStr">
        <is>
          <t>Coffret</t>
        </is>
      </c>
      <c r="H1973" s="2" t="inlineStr">
        <is>
          <t>s8a-P: Promo Card Pack 25th Anniversary Edition</t>
        </is>
      </c>
      <c r="I1973" s="3" t="n"/>
      <c r="J1973" s="3" t="n">
        <v>104.08</v>
      </c>
      <c r="K1973" s="3" t="n"/>
      <c r="L1973" s="3" t="n">
        <v>100</v>
      </c>
      <c r="M1973" s="2" t="inlineStr">
        <is>
          <t>TCGplayer</t>
        </is>
      </c>
      <c r="O1973" s="4" t="inlineStr">
        <is>
          <t>https://www.tcgplayer.com/product/657880</t>
        </is>
      </c>
    </row>
    <row r="1974">
      <c r="A1974" s="2" t="inlineStr">
        <is>
          <t>25th Anniversary Collection Booster Pack</t>
        </is>
      </c>
      <c r="B1974" s="3">
        <f>IF(I1974&lt;&gt;"",I1974,IF(J1974&lt;&gt;"",J1974,IF(K1974&lt;&gt;"",K1974,L1974)))</f>
        <v>36.14</v>
      </c>
      <c r="C1974" s="3">
        <f>MEDIAN(I1974:L1974)</f>
        <v>35.32</v>
      </c>
      <c r="D1974" s="3">
        <f>ROUND(C1974*(1-Settings!$B$2),2)</f>
        <v>24.72</v>
      </c>
      <c r="E1974" s="3">
        <f>ROUND(C1974*(1-Settings!$B$3),2)</f>
        <v>24.72</v>
      </c>
      <c r="F1974" s="2" t="inlineStr">
        <is>
          <t>Pokemon</t>
        </is>
      </c>
      <c r="G1974" s="2" t="inlineStr">
        <is>
          <t>Coffret</t>
        </is>
      </c>
      <c r="H1974" s="2" t="inlineStr">
        <is>
          <t>S8a: 25th Anniversary Collection</t>
        </is>
      </c>
      <c r="I1974" s="3" t="n"/>
      <c r="J1974" s="3" t="n">
        <v>36.14</v>
      </c>
      <c r="K1974" s="3" t="n"/>
      <c r="L1974" s="3" t="n">
        <v>34.5</v>
      </c>
      <c r="M1974" s="2" t="inlineStr">
        <is>
          <t>TCGplayer</t>
        </is>
      </c>
      <c r="O1974" s="4" t="inlineStr">
        <is>
          <t>https://www.tcgplayer.com/product/565261</t>
        </is>
      </c>
    </row>
    <row r="1975">
      <c r="A1975" s="2" t="inlineStr">
        <is>
          <t>Shining Fates Boltund V Tin</t>
        </is>
      </c>
      <c r="B1975" s="3">
        <f>IF(I1975&lt;&gt;"",I1975,IF(J1975&lt;&gt;"",J1975,IF(K1975&lt;&gt;"",K1975,L1975)))</f>
        <v>68.15</v>
      </c>
      <c r="C1975" s="3">
        <f>MEDIAN(I1975:L1975)</f>
        <v>68.15</v>
      </c>
      <c r="D1975" s="3">
        <f>ROUND(C1975*(1-Settings!$B$2),2)</f>
        <v>47.71</v>
      </c>
      <c r="E1975" s="3">
        <f>ROUND(C1975*(1-Settings!$B$3),2)</f>
        <v>47.71</v>
      </c>
      <c r="F1975" s="2" t="inlineStr">
        <is>
          <t>Pokemon</t>
        </is>
      </c>
      <c r="G1975" s="2" t="inlineStr">
        <is>
          <t>Coffret</t>
        </is>
      </c>
      <c r="H1975" s="2" t="inlineStr">
        <is>
          <t>Shining Fates</t>
        </is>
      </c>
      <c r="I1975" s="3" t="n">
        <v>68.15000000000001</v>
      </c>
      <c r="J1975" s="3" t="n"/>
      <c r="K1975" s="3" t="n"/>
      <c r="L1975" s="3" t="n"/>
      <c r="M1975" s="2" t="inlineStr">
        <is>
          <t>PriceCharting</t>
        </is>
      </c>
      <c r="N1975" s="4" t="inlineStr">
        <is>
          <t>https://www.pricecharting.com/game/pokemon-shining-fates/boltund-v-tin</t>
        </is>
      </c>
    </row>
    <row r="1976">
      <c r="A1976" s="2" t="inlineStr">
        <is>
          <t>Shining Fates Booster Pack Art Bundle [Set of 4]</t>
        </is>
      </c>
      <c r="B1976" s="3">
        <f>IF(I1976&lt;&gt;"",I1976,IF(J1976&lt;&gt;"",J1976,IF(K1976&lt;&gt;"",K1976,L1976)))</f>
        <v>59.18</v>
      </c>
      <c r="C1976" s="3">
        <f>MEDIAN(I1976:L1976)</f>
        <v>59.18</v>
      </c>
      <c r="D1976" s="3">
        <f>ROUND(C1976*(1-Settings!$B$2),2)</f>
        <v>41.43</v>
      </c>
      <c r="E1976" s="3">
        <f>ROUND(C1976*(1-Settings!$B$3),2)</f>
        <v>41.43</v>
      </c>
      <c r="F1976" s="2" t="inlineStr">
        <is>
          <t>Pokemon</t>
        </is>
      </c>
      <c r="G1976" s="2" t="inlineStr">
        <is>
          <t>Coffret</t>
        </is>
      </c>
      <c r="H1976" s="2" t="inlineStr">
        <is>
          <t>Shining Fates</t>
        </is>
      </c>
      <c r="I1976" s="3" t="n"/>
      <c r="J1976" s="3" t="n">
        <v>59.18</v>
      </c>
      <c r="K1976" s="3" t="n">
        <v>59.97</v>
      </c>
      <c r="L1976" s="3" t="n">
        <v>58.99</v>
      </c>
      <c r="M1976" s="2" t="inlineStr">
        <is>
          <t>TCGplayer</t>
        </is>
      </c>
      <c r="O1976" s="4" t="inlineStr">
        <is>
          <t>https://www.tcgplayer.com/product/265320</t>
        </is>
      </c>
    </row>
    <row r="1977">
      <c r="A1977" s="2" t="inlineStr">
        <is>
          <t>Shining Fates Collection [Pikachu V]</t>
        </is>
      </c>
      <c r="B1977" s="3">
        <f>IF(I1977&lt;&gt;"",I1977,IF(J1977&lt;&gt;"",J1977,IF(K1977&lt;&gt;"",K1977,L1977)))</f>
        <v>66.21</v>
      </c>
      <c r="C1977" s="3">
        <f>MEDIAN(I1977:L1977)</f>
        <v>66.21</v>
      </c>
      <c r="D1977" s="3">
        <f>ROUND(C1977*(1-Settings!$B$2),2)</f>
        <v>46.35</v>
      </c>
      <c r="E1977" s="3">
        <f>ROUND(C1977*(1-Settings!$B$3),2)</f>
        <v>46.35</v>
      </c>
      <c r="F1977" s="2" t="inlineStr">
        <is>
          <t>Pokemon</t>
        </is>
      </c>
      <c r="G1977" s="2" t="inlineStr">
        <is>
          <t>Coffret</t>
        </is>
      </c>
      <c r="H1977" s="2" t="inlineStr">
        <is>
          <t>Shining Fates</t>
        </is>
      </c>
      <c r="I1977" s="3" t="n"/>
      <c r="J1977" s="3" t="n">
        <v>66.20999999999999</v>
      </c>
      <c r="K1977" s="3" t="n">
        <v>75</v>
      </c>
      <c r="L1977" s="3" t="n">
        <v>49.99</v>
      </c>
      <c r="M1977" s="2" t="inlineStr">
        <is>
          <t>TCGplayer</t>
        </is>
      </c>
      <c r="O1977" s="4" t="inlineStr">
        <is>
          <t>https://www.tcgplayer.com/product/228825</t>
        </is>
      </c>
    </row>
    <row r="1978">
      <c r="A1978" s="2" t="inlineStr">
        <is>
          <t>Shining Fates Collection [Shiny Boltund V]</t>
        </is>
      </c>
      <c r="B1978" s="3">
        <f>IF(I1978&lt;&gt;"",I1978,IF(J1978&lt;&gt;"",J1978,IF(K1978&lt;&gt;"",K1978,L1978)))</f>
        <v>69.99</v>
      </c>
      <c r="C1978" s="3">
        <f>MEDIAN(I1978:L1978)</f>
        <v>85.0</v>
      </c>
      <c r="D1978" s="3">
        <f>ROUND(C1978*(1-Settings!$B$2),2)</f>
        <v>59.5</v>
      </c>
      <c r="E1978" s="3">
        <f>ROUND(C1978*(1-Settings!$B$3),2)</f>
        <v>59.5</v>
      </c>
      <c r="F1978" s="2" t="inlineStr">
        <is>
          <t>Pokemon</t>
        </is>
      </c>
      <c r="G1978" s="2" t="inlineStr">
        <is>
          <t>Coffret</t>
        </is>
      </c>
      <c r="H1978" s="2" t="inlineStr">
        <is>
          <t>Shining Fates</t>
        </is>
      </c>
      <c r="I1978" s="3" t="n"/>
      <c r="J1978" s="3" t="n">
        <v>69.98999999999999</v>
      </c>
      <c r="K1978" s="3" t="n">
        <v>94.78</v>
      </c>
      <c r="L1978" s="3" t="n">
        <v>85</v>
      </c>
      <c r="M1978" s="2" t="inlineStr">
        <is>
          <t>TCGplayer</t>
        </is>
      </c>
      <c r="O1978" s="4" t="inlineStr">
        <is>
          <t>https://www.tcgplayer.com/product/240191</t>
        </is>
      </c>
    </row>
    <row r="1979">
      <c r="A1979" s="2" t="inlineStr">
        <is>
          <t>Shining Fates Collection [Shiny Cramorant V]</t>
        </is>
      </c>
      <c r="B1979" s="3">
        <f>IF(I1979&lt;&gt;"",I1979,IF(J1979&lt;&gt;"",J1979,IF(K1979&lt;&gt;"",K1979,L1979)))</f>
        <v>70.37</v>
      </c>
      <c r="C1979" s="3">
        <f>MEDIAN(I1979:L1979)</f>
        <v>87.9</v>
      </c>
      <c r="D1979" s="3">
        <f>ROUND(C1979*(1-Settings!$B$2),2)</f>
        <v>61.53</v>
      </c>
      <c r="E1979" s="3">
        <f>ROUND(C1979*(1-Settings!$B$3),2)</f>
        <v>61.53</v>
      </c>
      <c r="F1979" s="2" t="inlineStr">
        <is>
          <t>Pokemon</t>
        </is>
      </c>
      <c r="G1979" s="2" t="inlineStr">
        <is>
          <t>Coffret</t>
        </is>
      </c>
      <c r="H1979" s="2" t="inlineStr">
        <is>
          <t>Shining Fates</t>
        </is>
      </c>
      <c r="I1979" s="3" t="n"/>
      <c r="J1979" s="3" t="n">
        <v>70.37</v>
      </c>
      <c r="K1979" s="3" t="n">
        <v>105</v>
      </c>
      <c r="L1979" s="3" t="n">
        <v>87.90000000000001</v>
      </c>
      <c r="M1979" s="2" t="inlineStr">
        <is>
          <t>TCGplayer</t>
        </is>
      </c>
      <c r="O1979" s="4" t="inlineStr">
        <is>
          <t>https://www.tcgplayer.com/product/240190</t>
        </is>
      </c>
    </row>
    <row r="1980">
      <c r="A1980" s="2" t="inlineStr">
        <is>
          <t>Shining Fates Collection [Shiny Eldegoss V]</t>
        </is>
      </c>
      <c r="B1980" s="3">
        <f>IF(I1980&lt;&gt;"",I1980,IF(J1980&lt;&gt;"",J1980,IF(K1980&lt;&gt;"",K1980,L1980)))</f>
        <v>65.62</v>
      </c>
      <c r="C1980" s="3">
        <f>MEDIAN(I1980:L1980)</f>
        <v>65.62</v>
      </c>
      <c r="D1980" s="3">
        <f>ROUND(C1980*(1-Settings!$B$2),2)</f>
        <v>45.93</v>
      </c>
      <c r="E1980" s="3">
        <f>ROUND(C1980*(1-Settings!$B$3),2)</f>
        <v>45.93</v>
      </c>
      <c r="F1980" s="2" t="inlineStr">
        <is>
          <t>Pokemon</t>
        </is>
      </c>
      <c r="G1980" s="2" t="inlineStr">
        <is>
          <t>Coffret</t>
        </is>
      </c>
      <c r="H1980" s="2" t="inlineStr">
        <is>
          <t>Shining Fates</t>
        </is>
      </c>
      <c r="I1980" s="3" t="n"/>
      <c r="J1980" s="3" t="n">
        <v>65.62</v>
      </c>
      <c r="K1980" s="3" t="n">
        <v>129.99</v>
      </c>
      <c r="L1980" s="3" t="n">
        <v>60</v>
      </c>
      <c r="M1980" s="2" t="inlineStr">
        <is>
          <t>TCGplayer</t>
        </is>
      </c>
      <c r="O1980" s="4" t="inlineStr">
        <is>
          <t>https://www.tcgplayer.com/product/240192</t>
        </is>
      </c>
    </row>
    <row r="1981">
      <c r="A1981" s="2" t="inlineStr">
        <is>
          <t>Shining Fates Cramorant V Tin</t>
        </is>
      </c>
      <c r="B1981" s="3">
        <f>IF(I1981&lt;&gt;"",I1981,IF(J1981&lt;&gt;"",J1981,IF(K1981&lt;&gt;"",K1981,L1981)))</f>
        <v>64.34</v>
      </c>
      <c r="C1981" s="3">
        <f>MEDIAN(I1981:L1981)</f>
        <v>64.34</v>
      </c>
      <c r="D1981" s="3">
        <f>ROUND(C1981*(1-Settings!$B$2),2)</f>
        <v>45.04</v>
      </c>
      <c r="E1981" s="3">
        <f>ROUND(C1981*(1-Settings!$B$3),2)</f>
        <v>45.04</v>
      </c>
      <c r="F1981" s="2" t="inlineStr">
        <is>
          <t>Pokemon</t>
        </is>
      </c>
      <c r="G1981" s="2" t="inlineStr">
        <is>
          <t>Coffret</t>
        </is>
      </c>
      <c r="H1981" s="2" t="inlineStr">
        <is>
          <t>Shining Fates</t>
        </is>
      </c>
      <c r="I1981" s="3" t="n">
        <v>64.34</v>
      </c>
      <c r="J1981" s="3" t="n"/>
      <c r="K1981" s="3" t="n"/>
      <c r="L1981" s="3" t="n"/>
      <c r="M1981" s="2" t="inlineStr">
        <is>
          <t>PriceCharting</t>
        </is>
      </c>
      <c r="N1981" s="4" t="inlineStr">
        <is>
          <t>https://www.pricecharting.com/game/pokemon-shining-fates/cramorant-v-tin</t>
        </is>
      </c>
    </row>
    <row r="1982">
      <c r="A1982" s="2" t="inlineStr">
        <is>
          <t>Shining Fates Eldegoss V Tin</t>
        </is>
      </c>
      <c r="B1982" s="3">
        <f>IF(I1982&lt;&gt;"",I1982,IF(J1982&lt;&gt;"",J1982,IF(K1982&lt;&gt;"",K1982,L1982)))</f>
        <v>58.49</v>
      </c>
      <c r="C1982" s="3">
        <f>MEDIAN(I1982:L1982)</f>
        <v>58.49</v>
      </c>
      <c r="D1982" s="3">
        <f>ROUND(C1982*(1-Settings!$B$2),2)</f>
        <v>40.94</v>
      </c>
      <c r="E1982" s="3">
        <f>ROUND(C1982*(1-Settings!$B$3),2)</f>
        <v>40.94</v>
      </c>
      <c r="F1982" s="2" t="inlineStr">
        <is>
          <t>Pokemon</t>
        </is>
      </c>
      <c r="G1982" s="2" t="inlineStr">
        <is>
          <t>Coffret</t>
        </is>
      </c>
      <c r="H1982" s="2" t="inlineStr">
        <is>
          <t>Shining Fates</t>
        </is>
      </c>
      <c r="I1982" s="3" t="n">
        <v>58.49</v>
      </c>
      <c r="J1982" s="3" t="n"/>
      <c r="K1982" s="3" t="n"/>
      <c r="L1982" s="3" t="n"/>
      <c r="M1982" s="2" t="inlineStr">
        <is>
          <t>PriceCharting</t>
        </is>
      </c>
      <c r="N1982" s="4" t="inlineStr">
        <is>
          <t>https://www.pricecharting.com/game/pokemon-shining-fates/eldegoss-v-tin</t>
        </is>
      </c>
    </row>
    <row r="1983">
      <c r="A1983" s="2" t="inlineStr">
        <is>
          <t>Shining Fates Elite Trainer Box</t>
        </is>
      </c>
      <c r="B1983" s="3">
        <f>IF(I1983&lt;&gt;"",I1983,IF(J1983&lt;&gt;"",J1983,IF(K1983&lt;&gt;"",K1983,L1983)))</f>
        <v>134.89</v>
      </c>
      <c r="C1983" s="3">
        <f>MEDIAN(I1983:L1983)</f>
        <v>136.99</v>
      </c>
      <c r="D1983" s="3">
        <f>ROUND(C1983*(1-Settings!$B$2),2)</f>
        <v>95.89</v>
      </c>
      <c r="E1983" s="3">
        <f>ROUND(C1983*(1-Settings!$B$3),2)</f>
        <v>95.89</v>
      </c>
      <c r="F1983" s="2" t="inlineStr">
        <is>
          <t>Pokemon</t>
        </is>
      </c>
      <c r="G1983" s="2" t="inlineStr">
        <is>
          <t>Coffret</t>
        </is>
      </c>
      <c r="H1983" s="2" t="inlineStr">
        <is>
          <t>Shining Fates</t>
        </is>
      </c>
      <c r="I1983" s="3" t="n">
        <v>134.89</v>
      </c>
      <c r="J1983" s="3" t="n">
        <v>139.09</v>
      </c>
      <c r="K1983" s="3" t="n">
        <v>169.97</v>
      </c>
      <c r="L1983" s="3" t="n">
        <v>125</v>
      </c>
      <c r="M1983" s="2" t="inlineStr">
        <is>
          <t>PriceCharting + TCGplayer</t>
        </is>
      </c>
      <c r="N1983" s="4" t="inlineStr">
        <is>
          <t>https://www.pricecharting.com/game/pokemon-shining-fates/elite-trainer-box</t>
        </is>
      </c>
      <c r="O1983" s="4" t="inlineStr">
        <is>
          <t>https://www.tcgplayer.com/product/228821</t>
        </is>
      </c>
    </row>
    <row r="1984">
      <c r="A1984" s="2" t="inlineStr">
        <is>
          <t>Shining Fates Mad Party Pin Collection [Bunnelby]</t>
        </is>
      </c>
      <c r="B1984" s="3">
        <f>IF(I1984&lt;&gt;"",I1984,IF(J1984&lt;&gt;"",J1984,IF(K1984&lt;&gt;"",K1984,L1984)))</f>
        <v>58.66</v>
      </c>
      <c r="C1984" s="3">
        <f>MEDIAN(I1984:L1984)</f>
        <v>58.66</v>
      </c>
      <c r="D1984" s="3">
        <f>ROUND(C1984*(1-Settings!$B$2),2)</f>
        <v>41.06</v>
      </c>
      <c r="E1984" s="3">
        <f>ROUND(C1984*(1-Settings!$B$3),2)</f>
        <v>41.06</v>
      </c>
      <c r="F1984" s="2" t="inlineStr">
        <is>
          <t>Pokemon</t>
        </is>
      </c>
      <c r="G1984" s="2" t="inlineStr">
        <is>
          <t>Coffret</t>
        </is>
      </c>
      <c r="H1984" s="2" t="inlineStr">
        <is>
          <t>Shining Fates</t>
        </is>
      </c>
      <c r="I1984" s="3" t="n"/>
      <c r="J1984" s="3" t="n">
        <v>58.66</v>
      </c>
      <c r="K1984" s="3" t="n">
        <v>69.69</v>
      </c>
      <c r="L1984" s="3" t="n">
        <v>49.99</v>
      </c>
      <c r="M1984" s="2" t="inlineStr">
        <is>
          <t>TCGplayer</t>
        </is>
      </c>
      <c r="O1984" s="4" t="inlineStr">
        <is>
          <t>https://www.tcgplayer.com/product/228826</t>
        </is>
      </c>
    </row>
    <row r="1985">
      <c r="A1985" s="2" t="inlineStr">
        <is>
          <t>Shining Fates Mad Party Pin Collection [Galarian Mr. Rime]</t>
        </is>
      </c>
      <c r="B1985" s="3">
        <f>IF(I1985&lt;&gt;"",I1985,IF(J1985&lt;&gt;"",J1985,IF(K1985&lt;&gt;"",K1985,L1985)))</f>
        <v>56.7</v>
      </c>
      <c r="C1985" s="3">
        <f>MEDIAN(I1985:L1985)</f>
        <v>56.7</v>
      </c>
      <c r="D1985" s="3">
        <f>ROUND(C1985*(1-Settings!$B$2),2)</f>
        <v>39.69</v>
      </c>
      <c r="E1985" s="3">
        <f>ROUND(C1985*(1-Settings!$B$3),2)</f>
        <v>39.69</v>
      </c>
      <c r="F1985" s="2" t="inlineStr">
        <is>
          <t>Pokemon</t>
        </is>
      </c>
      <c r="G1985" s="2" t="inlineStr">
        <is>
          <t>Coffret</t>
        </is>
      </c>
      <c r="H1985" s="2" t="inlineStr">
        <is>
          <t>Shining Fates</t>
        </is>
      </c>
      <c r="I1985" s="3" t="n"/>
      <c r="J1985" s="3" t="n">
        <v>56.7</v>
      </c>
      <c r="K1985" s="3" t="n">
        <v>64</v>
      </c>
      <c r="L1985" s="3" t="n">
        <v>50</v>
      </c>
      <c r="M1985" s="2" t="inlineStr">
        <is>
          <t>TCGplayer</t>
        </is>
      </c>
      <c r="O1985" s="4" t="inlineStr">
        <is>
          <t>https://www.tcgplayer.com/product/228828</t>
        </is>
      </c>
    </row>
    <row r="1986">
      <c r="A1986" s="2" t="inlineStr">
        <is>
          <t>Shining Fates Mad Party Pin Collection [Polteageist]</t>
        </is>
      </c>
      <c r="B1986" s="3">
        <f>IF(I1986&lt;&gt;"",I1986,IF(J1986&lt;&gt;"",J1986,IF(K1986&lt;&gt;"",K1986,L1986)))</f>
        <v>55.19</v>
      </c>
      <c r="C1986" s="3">
        <f>MEDIAN(I1986:L1986)</f>
        <v>55.19</v>
      </c>
      <c r="D1986" s="3">
        <f>ROUND(C1986*(1-Settings!$B$2),2)</f>
        <v>38.63</v>
      </c>
      <c r="E1986" s="3">
        <f>ROUND(C1986*(1-Settings!$B$3),2)</f>
        <v>38.63</v>
      </c>
      <c r="F1986" s="2" t="inlineStr">
        <is>
          <t>Pokemon</t>
        </is>
      </c>
      <c r="G1986" s="2" t="inlineStr">
        <is>
          <t>Coffret</t>
        </is>
      </c>
      <c r="H1986" s="2" t="inlineStr">
        <is>
          <t>Shining Fates</t>
        </is>
      </c>
      <c r="I1986" s="3" t="n"/>
      <c r="J1986" s="3" t="n">
        <v>55.19</v>
      </c>
      <c r="K1986" s="3" t="n">
        <v>59.81</v>
      </c>
      <c r="L1986" s="3" t="n">
        <v>49.99</v>
      </c>
      <c r="M1986" s="2" t="inlineStr">
        <is>
          <t>TCGplayer</t>
        </is>
      </c>
      <c r="O1986" s="4" t="inlineStr">
        <is>
          <t>https://www.tcgplayer.com/product/228829</t>
        </is>
      </c>
    </row>
    <row r="1987">
      <c r="A1987" s="2" t="inlineStr">
        <is>
          <t>Shining Fates Mad Party Pin Collection [Set of 4]</t>
        </is>
      </c>
      <c r="B1987" s="3">
        <f>IF(I1987&lt;&gt;"",I1987,IF(J1987&lt;&gt;"",J1987,IF(K1987&lt;&gt;"",K1987,L1987)))</f>
        <v>248.75</v>
      </c>
      <c r="C1987" s="3">
        <f>MEDIAN(I1987:L1987)</f>
        <v>242.99</v>
      </c>
      <c r="D1987" s="3">
        <f>ROUND(C1987*(1-Settings!$B$2),2)</f>
        <v>170.09</v>
      </c>
      <c r="E1987" s="3">
        <f>ROUND(C1987*(1-Settings!$B$3),2)</f>
        <v>170.09</v>
      </c>
      <c r="F1987" s="2" t="inlineStr">
        <is>
          <t>Pokemon</t>
        </is>
      </c>
      <c r="G1987" s="2" t="inlineStr">
        <is>
          <t>Coffret</t>
        </is>
      </c>
      <c r="H1987" s="2" t="inlineStr">
        <is>
          <t>Shining Fates</t>
        </is>
      </c>
      <c r="I1987" s="3" t="n"/>
      <c r="J1987" s="3" t="n">
        <v>248.75</v>
      </c>
      <c r="K1987" s="3" t="n">
        <v>242.99</v>
      </c>
      <c r="L1987" s="3" t="n">
        <v>228</v>
      </c>
      <c r="M1987" s="2" t="inlineStr">
        <is>
          <t>TCGplayer</t>
        </is>
      </c>
      <c r="O1987" s="4" t="inlineStr">
        <is>
          <t>https://www.tcgplayer.com/product/238606</t>
        </is>
      </c>
    </row>
    <row r="1988">
      <c r="A1988" s="2" t="inlineStr">
        <is>
          <t>Shining Fates Mini Tin</t>
        </is>
      </c>
      <c r="B1988" s="3">
        <f>IF(I1988&lt;&gt;"",I1988,IF(J1988&lt;&gt;"",J1988,IF(K1988&lt;&gt;"",K1988,L1988)))</f>
        <v>99.01</v>
      </c>
      <c r="C1988" s="3">
        <f>MEDIAN(I1988:L1988)</f>
        <v>99.01</v>
      </c>
      <c r="D1988" s="3">
        <f>ROUND(C1988*(1-Settings!$B$2),2)</f>
        <v>69.31</v>
      </c>
      <c r="E1988" s="3">
        <f>ROUND(C1988*(1-Settings!$B$3),2)</f>
        <v>69.31</v>
      </c>
      <c r="F1988" s="2" t="inlineStr">
        <is>
          <t>Pokemon</t>
        </is>
      </c>
      <c r="G1988" s="2" t="inlineStr">
        <is>
          <t>Coffret</t>
        </is>
      </c>
      <c r="H1988" s="2" t="inlineStr">
        <is>
          <t>Shining Fates</t>
        </is>
      </c>
      <c r="I1988" s="3" t="n">
        <v>99.01000000000001</v>
      </c>
      <c r="J1988" s="3" t="n"/>
      <c r="K1988" s="3" t="n"/>
      <c r="L1988" s="3" t="n"/>
      <c r="M1988" s="2" t="inlineStr">
        <is>
          <t>PriceCharting</t>
        </is>
      </c>
      <c r="N1988" s="4" t="inlineStr">
        <is>
          <t>https://www.pricecharting.com/game/pokemon-shining-fates/shining-fates-mini-tin</t>
        </is>
      </c>
    </row>
    <row r="1989">
      <c r="A1989" s="2" t="inlineStr">
        <is>
          <t>Shining Fates Mini Tin [Celebi]</t>
        </is>
      </c>
      <c r="B1989" s="3">
        <f>IF(I1989&lt;&gt;"",I1989,IF(J1989&lt;&gt;"",J1989,IF(K1989&lt;&gt;"",K1989,L1989)))</f>
        <v>32.14</v>
      </c>
      <c r="C1989" s="3">
        <f>MEDIAN(I1989:L1989)</f>
        <v>32.14</v>
      </c>
      <c r="D1989" s="3">
        <f>ROUND(C1989*(1-Settings!$B$2),2)</f>
        <v>22.5</v>
      </c>
      <c r="E1989" s="3">
        <f>ROUND(C1989*(1-Settings!$B$3),2)</f>
        <v>22.5</v>
      </c>
      <c r="F1989" s="2" t="inlineStr">
        <is>
          <t>Pokemon</t>
        </is>
      </c>
      <c r="G1989" s="2" t="inlineStr">
        <is>
          <t>Coffret</t>
        </is>
      </c>
      <c r="H1989" s="2" t="inlineStr">
        <is>
          <t>Shining Fates</t>
        </is>
      </c>
      <c r="I1989" s="3" t="n"/>
      <c r="J1989" s="3" t="n">
        <v>32.14</v>
      </c>
      <c r="K1989" s="3" t="n">
        <v>33.99</v>
      </c>
      <c r="L1989" s="3" t="n">
        <v>32</v>
      </c>
      <c r="M1989" s="2" t="inlineStr">
        <is>
          <t>TCGplayer</t>
        </is>
      </c>
      <c r="O1989" s="4" t="inlineStr">
        <is>
          <t>https://www.tcgplayer.com/product/230958</t>
        </is>
      </c>
    </row>
    <row r="1990">
      <c r="A1990" s="2" t="inlineStr">
        <is>
          <t>Shining Fates Mini Tin [Reshiram]</t>
        </is>
      </c>
      <c r="B1990" s="3">
        <f>IF(I1990&lt;&gt;"",I1990,IF(J1990&lt;&gt;"",J1990,IF(K1990&lt;&gt;"",K1990,L1990)))</f>
        <v>36.22</v>
      </c>
      <c r="C1990" s="3">
        <f>MEDIAN(I1990:L1990)</f>
        <v>36.22</v>
      </c>
      <c r="D1990" s="3">
        <f>ROUND(C1990*(1-Settings!$B$2),2)</f>
        <v>25.35</v>
      </c>
      <c r="E1990" s="3">
        <f>ROUND(C1990*(1-Settings!$B$3),2)</f>
        <v>25.35</v>
      </c>
      <c r="F1990" s="2" t="inlineStr">
        <is>
          <t>Pokemon</t>
        </is>
      </c>
      <c r="G1990" s="2" t="inlineStr">
        <is>
          <t>Coffret</t>
        </is>
      </c>
      <c r="H1990" s="2" t="inlineStr">
        <is>
          <t>Shining Fates</t>
        </is>
      </c>
      <c r="I1990" s="3" t="n"/>
      <c r="J1990" s="3" t="n">
        <v>36.22</v>
      </c>
      <c r="K1990" s="3" t="n"/>
      <c r="L1990" s="3" t="n"/>
      <c r="M1990" s="2" t="inlineStr">
        <is>
          <t>TCGplayer</t>
        </is>
      </c>
      <c r="O1990" s="4" t="inlineStr">
        <is>
          <t>https://www.tcgplayer.com/product/230956</t>
        </is>
      </c>
    </row>
    <row r="1991">
      <c r="A1991" s="2" t="inlineStr">
        <is>
          <t>Shining Fates Pikachu V Collection Box</t>
        </is>
      </c>
      <c r="B1991" s="3">
        <f>IF(I1991&lt;&gt;"",I1991,IF(J1991&lt;&gt;"",J1991,IF(K1991&lt;&gt;"",K1991,L1991)))</f>
        <v>52.22</v>
      </c>
      <c r="C1991" s="3">
        <f>MEDIAN(I1991:L1991)</f>
        <v>52.22</v>
      </c>
      <c r="D1991" s="3">
        <f>ROUND(C1991*(1-Settings!$B$2),2)</f>
        <v>36.55</v>
      </c>
      <c r="E1991" s="3">
        <f>ROUND(C1991*(1-Settings!$B$3),2)</f>
        <v>36.55</v>
      </c>
      <c r="F1991" s="2" t="inlineStr">
        <is>
          <t>Pokemon</t>
        </is>
      </c>
      <c r="G1991" s="2" t="inlineStr">
        <is>
          <t>Coffret</t>
        </is>
      </c>
      <c r="H1991" s="2" t="inlineStr">
        <is>
          <t>Shining Fates</t>
        </is>
      </c>
      <c r="I1991" s="3" t="n">
        <v>52.22</v>
      </c>
      <c r="J1991" s="3" t="n"/>
      <c r="K1991" s="3" t="n"/>
      <c r="L1991" s="3" t="n"/>
      <c r="M1991" s="2" t="inlineStr">
        <is>
          <t>PriceCharting</t>
        </is>
      </c>
      <c r="N1991" s="4" t="inlineStr">
        <is>
          <t>https://www.pricecharting.com/game/pokemon-shining-fates/pikachu-v-collection-box</t>
        </is>
      </c>
    </row>
    <row r="1992">
      <c r="A1992" s="2" t="inlineStr">
        <is>
          <t>Shining Fates Polteageist Mad Party Pin Collection</t>
        </is>
      </c>
      <c r="B1992" s="3">
        <f>IF(I1992&lt;&gt;"",I1992,IF(J1992&lt;&gt;"",J1992,IF(K1992&lt;&gt;"",K1992,L1992)))</f>
        <v>46.27</v>
      </c>
      <c r="C1992" s="3">
        <f>MEDIAN(I1992:L1992)</f>
        <v>46.27</v>
      </c>
      <c r="D1992" s="3">
        <f>ROUND(C1992*(1-Settings!$B$2),2)</f>
        <v>32.39</v>
      </c>
      <c r="E1992" s="3">
        <f>ROUND(C1992*(1-Settings!$B$3),2)</f>
        <v>32.39</v>
      </c>
      <c r="F1992" s="2" t="inlineStr">
        <is>
          <t>Pokemon</t>
        </is>
      </c>
      <c r="G1992" s="2" t="inlineStr">
        <is>
          <t>Coffret</t>
        </is>
      </c>
      <c r="H1992" s="2" t="inlineStr">
        <is>
          <t>Shining Fates</t>
        </is>
      </c>
      <c r="I1992" s="3" t="n">
        <v>46.27</v>
      </c>
      <c r="J1992" s="3" t="n"/>
      <c r="K1992" s="3" t="n"/>
      <c r="L1992" s="3" t="n"/>
      <c r="M1992" s="2" t="inlineStr">
        <is>
          <t>PriceCharting</t>
        </is>
      </c>
      <c r="N1992" s="4" t="inlineStr">
        <is>
          <t>https://www.pricecharting.com/game/pokemon-shining-fates/polteageist-mad-party-pin-collection</t>
        </is>
      </c>
    </row>
    <row r="1993">
      <c r="A1993" s="2" t="inlineStr">
        <is>
          <t>Shining Fates Premium Collection [Set of 2]</t>
        </is>
      </c>
      <c r="B1993" s="3">
        <f>IF(I1993&lt;&gt;"",I1993,IF(J1993&lt;&gt;"",J1993,IF(K1993&lt;&gt;"",K1993,L1993)))</f>
        <v>217.79</v>
      </c>
      <c r="C1993" s="3">
        <f>MEDIAN(I1993:L1993)</f>
        <v>235.0</v>
      </c>
      <c r="D1993" s="3">
        <f>ROUND(C1993*(1-Settings!$B$2),2)</f>
        <v>164.5</v>
      </c>
      <c r="E1993" s="3">
        <f>ROUND(C1993*(1-Settings!$B$3),2)</f>
        <v>164.5</v>
      </c>
      <c r="F1993" s="2" t="inlineStr">
        <is>
          <t>Pokemon</t>
        </is>
      </c>
      <c r="G1993" s="2" t="inlineStr">
        <is>
          <t>Coffret</t>
        </is>
      </c>
      <c r="H1993" s="2" t="inlineStr">
        <is>
          <t>Shining Fates</t>
        </is>
      </c>
      <c r="I1993" s="3" t="n"/>
      <c r="J1993" s="3" t="n">
        <v>217.79</v>
      </c>
      <c r="K1993" s="3" t="n">
        <v>312.5</v>
      </c>
      <c r="L1993" s="3" t="n">
        <v>235</v>
      </c>
      <c r="M1993" s="2" t="inlineStr">
        <is>
          <t>TCGplayer</t>
        </is>
      </c>
      <c r="O1993" s="4" t="inlineStr">
        <is>
          <t>https://www.tcgplayer.com/product/284772</t>
        </is>
      </c>
    </row>
    <row r="1994">
      <c r="A1994" s="2" t="inlineStr">
        <is>
          <t>Shining Fates Premium Collection [Shiny Crobat]</t>
        </is>
      </c>
      <c r="B1994" s="3">
        <f>IF(I1994&lt;&gt;"",I1994,IF(J1994&lt;&gt;"",J1994,IF(K1994&lt;&gt;"",K1994,L1994)))</f>
        <v>105.14</v>
      </c>
      <c r="C1994" s="3">
        <f>MEDIAN(I1994:L1994)</f>
        <v>129.8</v>
      </c>
      <c r="D1994" s="3">
        <f>ROUND(C1994*(1-Settings!$B$2),2)</f>
        <v>90.86</v>
      </c>
      <c r="E1994" s="3">
        <f>ROUND(C1994*(1-Settings!$B$3),2)</f>
        <v>90.86</v>
      </c>
      <c r="F1994" s="2" t="inlineStr">
        <is>
          <t>Pokemon</t>
        </is>
      </c>
      <c r="G1994" s="2" t="inlineStr">
        <is>
          <t>Coffret</t>
        </is>
      </c>
      <c r="H1994" s="2" t="inlineStr">
        <is>
          <t>Shining Fates</t>
        </is>
      </c>
      <c r="I1994" s="3" t="n"/>
      <c r="J1994" s="3" t="n">
        <v>105.14</v>
      </c>
      <c r="K1994" s="3" t="n">
        <v>139.95</v>
      </c>
      <c r="L1994" s="3" t="n">
        <v>129.8</v>
      </c>
      <c r="M1994" s="2" t="inlineStr">
        <is>
          <t>TCGplayer</t>
        </is>
      </c>
      <c r="O1994" s="4" t="inlineStr">
        <is>
          <t>https://www.tcgplayer.com/product/230391</t>
        </is>
      </c>
    </row>
    <row r="1995">
      <c r="A1995" s="2" t="inlineStr">
        <is>
          <t>Shining Fates Premium Collection [Shiny Dragapult]</t>
        </is>
      </c>
      <c r="B1995" s="3">
        <f>IF(I1995&lt;&gt;"",I1995,IF(J1995&lt;&gt;"",J1995,IF(K1995&lt;&gt;"",K1995,L1995)))</f>
        <v>124.97</v>
      </c>
      <c r="C1995" s="3">
        <f>MEDIAN(I1995:L1995)</f>
        <v>137.95</v>
      </c>
      <c r="D1995" s="3">
        <f>ROUND(C1995*(1-Settings!$B$2),2)</f>
        <v>96.57</v>
      </c>
      <c r="E1995" s="3">
        <f>ROUND(C1995*(1-Settings!$B$3),2)</f>
        <v>96.57</v>
      </c>
      <c r="F1995" s="2" t="inlineStr">
        <is>
          <t>Pokemon</t>
        </is>
      </c>
      <c r="G1995" s="2" t="inlineStr">
        <is>
          <t>Coffret</t>
        </is>
      </c>
      <c r="H1995" s="2" t="inlineStr">
        <is>
          <t>Shining Fates</t>
        </is>
      </c>
      <c r="I1995" s="3" t="n"/>
      <c r="J1995" s="3" t="n">
        <v>124.97</v>
      </c>
      <c r="K1995" s="3" t="n">
        <v>174.99</v>
      </c>
      <c r="L1995" s="3" t="n">
        <v>137.95</v>
      </c>
      <c r="M1995" s="2" t="inlineStr">
        <is>
          <t>TCGplayer</t>
        </is>
      </c>
      <c r="O1995" s="4" t="inlineStr">
        <is>
          <t>https://www.tcgplayer.com/product/230392</t>
        </is>
      </c>
    </row>
    <row r="1996">
      <c r="A1996" s="2" t="inlineStr">
        <is>
          <t>Shining Fates Premium Collection Box [Crobat]</t>
        </is>
      </c>
      <c r="B1996" s="3">
        <f>IF(I1996&lt;&gt;"",I1996,IF(J1996&lt;&gt;"",J1996,IF(K1996&lt;&gt;"",K1996,L1996)))</f>
        <v>104.03</v>
      </c>
      <c r="C1996" s="3">
        <f>MEDIAN(I1996:L1996)</f>
        <v>104.03</v>
      </c>
      <c r="D1996" s="3">
        <f>ROUND(C1996*(1-Settings!$B$2),2)</f>
        <v>72.82</v>
      </c>
      <c r="E1996" s="3">
        <f>ROUND(C1996*(1-Settings!$B$3),2)</f>
        <v>72.82</v>
      </c>
      <c r="F1996" s="2" t="inlineStr">
        <is>
          <t>Pokemon</t>
        </is>
      </c>
      <c r="G1996" s="2" t="inlineStr">
        <is>
          <t>Coffret</t>
        </is>
      </c>
      <c r="H1996" s="2" t="inlineStr">
        <is>
          <t>Shining Fates</t>
        </is>
      </c>
      <c r="I1996" s="3" t="n">
        <v>104.03</v>
      </c>
      <c r="J1996" s="3" t="n"/>
      <c r="K1996" s="3" t="n"/>
      <c r="L1996" s="3" t="n"/>
      <c r="M1996" s="2" t="inlineStr">
        <is>
          <t>PriceCharting</t>
        </is>
      </c>
      <c r="N1996" s="4" t="inlineStr">
        <is>
          <t>https://www.pricecharting.com/game/pokemon-shining-fates/premium-collection-box-crobat</t>
        </is>
      </c>
    </row>
    <row r="1997">
      <c r="A1997" s="2" t="inlineStr">
        <is>
          <t>Shining Fates Premium Collection Box [Dragapult]</t>
        </is>
      </c>
      <c r="B1997" s="3">
        <f>IF(I1997&lt;&gt;"",I1997,IF(J1997&lt;&gt;"",J1997,IF(K1997&lt;&gt;"",K1997,L1997)))</f>
        <v>106.33</v>
      </c>
      <c r="C1997" s="3">
        <f>MEDIAN(I1997:L1997)</f>
        <v>106.33</v>
      </c>
      <c r="D1997" s="3">
        <f>ROUND(C1997*(1-Settings!$B$2),2)</f>
        <v>74.43</v>
      </c>
      <c r="E1997" s="3">
        <f>ROUND(C1997*(1-Settings!$B$3),2)</f>
        <v>74.43</v>
      </c>
      <c r="F1997" s="2" t="inlineStr">
        <is>
          <t>Pokemon</t>
        </is>
      </c>
      <c r="G1997" s="2" t="inlineStr">
        <is>
          <t>Coffret</t>
        </is>
      </c>
      <c r="H1997" s="2" t="inlineStr">
        <is>
          <t>Shining Fates</t>
        </is>
      </c>
      <c r="I1997" s="3" t="n">
        <v>106.33</v>
      </c>
      <c r="J1997" s="3" t="n"/>
      <c r="K1997" s="3" t="n"/>
      <c r="L1997" s="3" t="n"/>
      <c r="M1997" s="2" t="inlineStr">
        <is>
          <t>PriceCharting</t>
        </is>
      </c>
      <c r="N1997" s="4" t="inlineStr">
        <is>
          <t>https://www.pricecharting.com/game/pokemon-shining-fates/premium-collection-box-dragapult</t>
        </is>
      </c>
    </row>
    <row r="1998">
      <c r="A1998" s="2" t="inlineStr">
        <is>
          <t>Shining Fates Shiny Boltund V Collection</t>
        </is>
      </c>
      <c r="B1998" s="3">
        <f>IF(I1998&lt;&gt;"",I1998,IF(J1998&lt;&gt;"",J1998,IF(K1998&lt;&gt;"",K1998,L1998)))</f>
        <v>58.06</v>
      </c>
      <c r="C1998" s="3">
        <f>MEDIAN(I1998:L1998)</f>
        <v>58.06</v>
      </c>
      <c r="D1998" s="3">
        <f>ROUND(C1998*(1-Settings!$B$2),2)</f>
        <v>40.64</v>
      </c>
      <c r="E1998" s="3">
        <f>ROUND(C1998*(1-Settings!$B$3),2)</f>
        <v>40.64</v>
      </c>
      <c r="F1998" s="2" t="inlineStr">
        <is>
          <t>Pokemon</t>
        </is>
      </c>
      <c r="G1998" s="2" t="inlineStr">
        <is>
          <t>Coffret</t>
        </is>
      </c>
      <c r="H1998" s="2" t="inlineStr">
        <is>
          <t>Shining Fates</t>
        </is>
      </c>
      <c r="I1998" s="3" t="n">
        <v>58.06</v>
      </c>
      <c r="J1998" s="3" t="n"/>
      <c r="K1998" s="3" t="n"/>
      <c r="L1998" s="3" t="n"/>
      <c r="M1998" s="2" t="inlineStr">
        <is>
          <t>PriceCharting</t>
        </is>
      </c>
      <c r="N1998" s="4" t="inlineStr">
        <is>
          <t>https://www.pricecharting.com/game/pokemon-shining-fates/shiny-boltund-v-collection</t>
        </is>
      </c>
    </row>
    <row r="1999">
      <c r="A1999" s="2" t="inlineStr">
        <is>
          <t>Shining Fates Shiny Cramorant V Collection</t>
        </is>
      </c>
      <c r="B1999" s="3">
        <f>IF(I1999&lt;&gt;"",I1999,IF(J1999&lt;&gt;"",J1999,IF(K1999&lt;&gt;"",K1999,L1999)))</f>
        <v>52.0</v>
      </c>
      <c r="C1999" s="3">
        <f>MEDIAN(I1999:L1999)</f>
        <v>52.0</v>
      </c>
      <c r="D1999" s="3">
        <f>ROUND(C1999*(1-Settings!$B$2),2)</f>
        <v>36.4</v>
      </c>
      <c r="E1999" s="3">
        <f>ROUND(C1999*(1-Settings!$B$3),2)</f>
        <v>36.4</v>
      </c>
      <c r="F1999" s="2" t="inlineStr">
        <is>
          <t>Pokemon</t>
        </is>
      </c>
      <c r="G1999" s="2" t="inlineStr">
        <is>
          <t>Coffret</t>
        </is>
      </c>
      <c r="H1999" s="2" t="inlineStr">
        <is>
          <t>Shining Fates</t>
        </is>
      </c>
      <c r="I1999" s="3" t="n">
        <v>52</v>
      </c>
      <c r="J1999" s="3" t="n"/>
      <c r="K1999" s="3" t="n"/>
      <c r="L1999" s="3" t="n"/>
      <c r="M1999" s="2" t="inlineStr">
        <is>
          <t>PriceCharting</t>
        </is>
      </c>
      <c r="N1999" s="4" t="inlineStr">
        <is>
          <t>https://www.pricecharting.com/game/pokemon-shining-fates/shiny-cramorant-v-collection</t>
        </is>
      </c>
    </row>
    <row r="2000">
      <c r="A2000" s="2" t="inlineStr">
        <is>
          <t>Shining Fates Shiny Eldegoss V Collection</t>
        </is>
      </c>
      <c r="B2000" s="3">
        <f>IF(I2000&lt;&gt;"",I2000,IF(J2000&lt;&gt;"",J2000,IF(K2000&lt;&gt;"",K2000,L2000)))</f>
        <v>62.44</v>
      </c>
      <c r="C2000" s="3">
        <f>MEDIAN(I2000:L2000)</f>
        <v>62.44</v>
      </c>
      <c r="D2000" s="3">
        <f>ROUND(C2000*(1-Settings!$B$2),2)</f>
        <v>43.71</v>
      </c>
      <c r="E2000" s="3">
        <f>ROUND(C2000*(1-Settings!$B$3),2)</f>
        <v>43.71</v>
      </c>
      <c r="F2000" s="2" t="inlineStr">
        <is>
          <t>Pokemon</t>
        </is>
      </c>
      <c r="G2000" s="2" t="inlineStr">
        <is>
          <t>Coffret</t>
        </is>
      </c>
      <c r="H2000" s="2" t="inlineStr">
        <is>
          <t>Shining Fates</t>
        </is>
      </c>
      <c r="I2000" s="3" t="n">
        <v>62.44</v>
      </c>
      <c r="J2000" s="3" t="n"/>
      <c r="K2000" s="3" t="n"/>
      <c r="L2000" s="3" t="n"/>
      <c r="M2000" s="2" t="inlineStr">
        <is>
          <t>PriceCharting</t>
        </is>
      </c>
      <c r="N2000" s="4" t="inlineStr">
        <is>
          <t>https://www.pricecharting.com/game/pokemon-shining-fates/shiny-eldegoss-v-collection</t>
        </is>
      </c>
    </row>
    <row r="2001">
      <c r="A2001" s="2" t="inlineStr">
        <is>
          <t>Shining Fates V Tin [Boltund V]</t>
        </is>
      </c>
      <c r="B2001" s="3">
        <f>IF(I2001&lt;&gt;"",I2001,IF(J2001&lt;&gt;"",J2001,IF(K2001&lt;&gt;"",K2001,L2001)))</f>
        <v>68.98</v>
      </c>
      <c r="C2001" s="3">
        <f>MEDIAN(I2001:L2001)</f>
        <v>69.0</v>
      </c>
      <c r="D2001" s="3">
        <f>ROUND(C2001*(1-Settings!$B$2),2)</f>
        <v>48.3</v>
      </c>
      <c r="E2001" s="3">
        <f>ROUND(C2001*(1-Settings!$B$3),2)</f>
        <v>48.3</v>
      </c>
      <c r="F2001" s="2" t="inlineStr">
        <is>
          <t>Pokemon</t>
        </is>
      </c>
      <c r="G2001" s="2" t="inlineStr">
        <is>
          <t>Coffret</t>
        </is>
      </c>
      <c r="H2001" s="2" t="inlineStr">
        <is>
          <t>Shining Fates</t>
        </is>
      </c>
      <c r="I2001" s="3" t="n"/>
      <c r="J2001" s="3" t="n">
        <v>68.98</v>
      </c>
      <c r="K2001" s="3" t="n">
        <v>75.98999999999999</v>
      </c>
      <c r="L2001" s="3" t="n">
        <v>69</v>
      </c>
      <c r="M2001" s="2" t="inlineStr">
        <is>
          <t>TCGplayer</t>
        </is>
      </c>
      <c r="O2001" s="4" t="inlineStr">
        <is>
          <t>https://www.tcgplayer.com/product/228823</t>
        </is>
      </c>
    </row>
    <row r="2002">
      <c r="A2002" s="2" t="inlineStr">
        <is>
          <t>Shining Fates V Tin [Cramorant V]</t>
        </is>
      </c>
      <c r="B2002" s="3">
        <f>IF(I2002&lt;&gt;"",I2002,IF(J2002&lt;&gt;"",J2002,IF(K2002&lt;&gt;"",K2002,L2002)))</f>
        <v>70.74</v>
      </c>
      <c r="C2002" s="3">
        <f>MEDIAN(I2002:L2002)</f>
        <v>70.74</v>
      </c>
      <c r="D2002" s="3">
        <f>ROUND(C2002*(1-Settings!$B$2),2)</f>
        <v>49.52</v>
      </c>
      <c r="E2002" s="3">
        <f>ROUND(C2002*(1-Settings!$B$3),2)</f>
        <v>49.52</v>
      </c>
      <c r="F2002" s="2" t="inlineStr">
        <is>
          <t>Pokemon</t>
        </is>
      </c>
      <c r="G2002" s="2" t="inlineStr">
        <is>
          <t>Coffret</t>
        </is>
      </c>
      <c r="H2002" s="2" t="inlineStr">
        <is>
          <t>Shining Fates</t>
        </is>
      </c>
      <c r="I2002" s="3" t="n"/>
      <c r="J2002" s="3" t="n">
        <v>70.73999999999999</v>
      </c>
      <c r="K2002" s="3" t="n">
        <v>82.47</v>
      </c>
      <c r="L2002" s="3" t="n">
        <v>5.99</v>
      </c>
      <c r="M2002" s="2" t="inlineStr">
        <is>
          <t>TCGplayer</t>
        </is>
      </c>
      <c r="O2002" s="4" t="inlineStr">
        <is>
          <t>https://www.tcgplayer.com/product/228824</t>
        </is>
      </c>
    </row>
    <row r="2003">
      <c r="A2003" s="2" t="inlineStr">
        <is>
          <t>Shining Fates V Tin [Eldegoss V]</t>
        </is>
      </c>
      <c r="B2003" s="3">
        <f>IF(I2003&lt;&gt;"",I2003,IF(J2003&lt;&gt;"",J2003,IF(K2003&lt;&gt;"",K2003,L2003)))</f>
        <v>68.07</v>
      </c>
      <c r="C2003" s="3">
        <f>MEDIAN(I2003:L2003)</f>
        <v>69.99</v>
      </c>
      <c r="D2003" s="3">
        <f>ROUND(C2003*(1-Settings!$B$2),2)</f>
        <v>48.99</v>
      </c>
      <c r="E2003" s="3">
        <f>ROUND(C2003*(1-Settings!$B$3),2)</f>
        <v>48.99</v>
      </c>
      <c r="F2003" s="2" t="inlineStr">
        <is>
          <t>Pokemon</t>
        </is>
      </c>
      <c r="G2003" s="2" t="inlineStr">
        <is>
          <t>Coffret</t>
        </is>
      </c>
      <c r="H2003" s="2" t="inlineStr">
        <is>
          <t>Shining Fates</t>
        </is>
      </c>
      <c r="I2003" s="3" t="n"/>
      <c r="J2003" s="3" t="n">
        <v>68.06999999999999</v>
      </c>
      <c r="K2003" s="3" t="n">
        <v>79.5</v>
      </c>
      <c r="L2003" s="3" t="n">
        <v>69.98999999999999</v>
      </c>
      <c r="M2003" s="2" t="inlineStr">
        <is>
          <t>TCGplayer</t>
        </is>
      </c>
      <c r="O2003" s="4" t="inlineStr">
        <is>
          <t>https://www.tcgplayer.com/product/228822</t>
        </is>
      </c>
    </row>
    <row r="2004">
      <c r="A2004" s="2" t="inlineStr">
        <is>
          <t>Shining Legends Collection: Shiny Darkrai GX</t>
        </is>
      </c>
      <c r="B2004" s="3">
        <f>IF(I2004&lt;&gt;"",I2004,IF(J2004&lt;&gt;"",J2004,IF(K2004&lt;&gt;"",K2004,L2004)))</f>
        <v>461.46</v>
      </c>
      <c r="C2004" s="3">
        <f>MEDIAN(I2004:L2004)</f>
        <v>488.745</v>
      </c>
      <c r="D2004" s="3">
        <f>ROUND(C2004*(1-Settings!$B$2),2)</f>
        <v>342.12</v>
      </c>
      <c r="E2004" s="3">
        <f>ROUND(C2004*(1-Settings!$B$3),2)</f>
        <v>342.12</v>
      </c>
      <c r="F2004" s="2" t="inlineStr">
        <is>
          <t>Pokemon</t>
        </is>
      </c>
      <c r="G2004" s="2" t="inlineStr">
        <is>
          <t>Coffret</t>
        </is>
      </c>
      <c r="H2004" s="2" t="inlineStr">
        <is>
          <t>Shining Legends</t>
        </is>
      </c>
      <c r="I2004" s="3" t="n">
        <v>461.46</v>
      </c>
      <c r="J2004" s="3" t="n">
        <v>462.49</v>
      </c>
      <c r="K2004" s="3" t="n">
        <v>520</v>
      </c>
      <c r="L2004" s="3" t="n">
        <v>515</v>
      </c>
      <c r="M2004" s="2" t="inlineStr">
        <is>
          <t>PriceCharting + TCGplayer</t>
        </is>
      </c>
      <c r="N2004" s="4" t="inlineStr">
        <is>
          <t>https://www.pricecharting.com/game/pokemon-shining-legends/shining-legends-collection-shiny-darkrai-gx</t>
        </is>
      </c>
      <c r="O2004" s="4" t="inlineStr">
        <is>
          <t>https://www.tcgplayer.com/product/600514</t>
        </is>
      </c>
    </row>
    <row r="2005">
      <c r="A2005" s="2" t="inlineStr">
        <is>
          <t>Shining Legends Collector Chest</t>
        </is>
      </c>
      <c r="B2005" s="3">
        <f>IF(I2005&lt;&gt;"",I2005,IF(J2005&lt;&gt;"",J2005,IF(K2005&lt;&gt;"",K2005,L2005)))</f>
        <v>767.5</v>
      </c>
      <c r="C2005" s="3">
        <f>MEDIAN(I2005:L2005)</f>
        <v>767.5</v>
      </c>
      <c r="D2005" s="3">
        <f>ROUND(C2005*(1-Settings!$B$2),2)</f>
        <v>537.25</v>
      </c>
      <c r="E2005" s="3">
        <f>ROUND(C2005*(1-Settings!$B$3),2)</f>
        <v>537.25</v>
      </c>
      <c r="F2005" s="2" t="inlineStr">
        <is>
          <t>Pokemon</t>
        </is>
      </c>
      <c r="G2005" s="2" t="inlineStr">
        <is>
          <t>Coffret</t>
        </is>
      </c>
      <c r="H2005" s="2" t="inlineStr">
        <is>
          <t>Shining Legends</t>
        </is>
      </c>
      <c r="I2005" s="3" t="n"/>
      <c r="J2005" s="3" t="n">
        <v>767.5</v>
      </c>
      <c r="K2005" s="3" t="n">
        <v>1500</v>
      </c>
      <c r="L2005" s="3" t="n">
        <v>1.99</v>
      </c>
      <c r="M2005" s="2" t="inlineStr">
        <is>
          <t>TCGplayer</t>
        </is>
      </c>
      <c r="O2005" s="4" t="inlineStr">
        <is>
          <t>https://www.tcgplayer.com/product/152603</t>
        </is>
      </c>
    </row>
    <row r="2006">
      <c r="A2006" s="2" t="inlineStr">
        <is>
          <t>Shining Legends Elite Trainer Box</t>
        </is>
      </c>
      <c r="B2006" s="3">
        <f>IF(I2006&lt;&gt;"",I2006,IF(J2006&lt;&gt;"",J2006,IF(K2006&lt;&gt;"",K2006,L2006)))</f>
        <v>1195.07</v>
      </c>
      <c r="C2006" s="3">
        <f>MEDIAN(I2006:L2006)</f>
        <v>1195.07</v>
      </c>
      <c r="D2006" s="3">
        <f>ROUND(C2006*(1-Settings!$B$2),2)</f>
        <v>836.55</v>
      </c>
      <c r="E2006" s="3">
        <f>ROUND(C2006*(1-Settings!$B$3),2)</f>
        <v>836.55</v>
      </c>
      <c r="F2006" s="2" t="inlineStr">
        <is>
          <t>Pokemon</t>
        </is>
      </c>
      <c r="G2006" s="2" t="inlineStr">
        <is>
          <t>Coffret</t>
        </is>
      </c>
      <c r="H2006" s="2" t="inlineStr">
        <is>
          <t>Shining Legends</t>
        </is>
      </c>
      <c r="I2006" s="3" t="n">
        <v>1195.07</v>
      </c>
      <c r="J2006" s="3" t="n"/>
      <c r="K2006" s="3" t="n"/>
      <c r="L2006" s="3" t="n"/>
      <c r="M2006" s="2" t="inlineStr">
        <is>
          <t>PriceCharting</t>
        </is>
      </c>
      <c r="N2006" s="4" t="inlineStr">
        <is>
          <t>https://www.pricecharting.com/game/pokemon-shining-legends/elite-trainer-box</t>
        </is>
      </c>
    </row>
    <row r="2007">
      <c r="A2007" s="2" t="inlineStr">
        <is>
          <t>Shining Legends Figure Collection: Shiny Darkrai GX</t>
        </is>
      </c>
      <c r="B2007" s="3">
        <f>IF(I2007&lt;&gt;"",I2007,IF(J2007&lt;&gt;"",J2007,IF(K2007&lt;&gt;"",K2007,L2007)))</f>
        <v>400.05</v>
      </c>
      <c r="C2007" s="3">
        <f>MEDIAN(I2007:L2007)</f>
        <v>750.0</v>
      </c>
      <c r="D2007" s="3">
        <f>ROUND(C2007*(1-Settings!$B$2),2)</f>
        <v>525.0</v>
      </c>
      <c r="E2007" s="3">
        <f>ROUND(C2007*(1-Settings!$B$3),2)</f>
        <v>525.0</v>
      </c>
      <c r="F2007" s="2" t="inlineStr">
        <is>
          <t>Pokemon</t>
        </is>
      </c>
      <c r="G2007" s="2" t="inlineStr">
        <is>
          <t>Coffret</t>
        </is>
      </c>
      <c r="H2007" s="2" t="inlineStr">
        <is>
          <t>Shining Legends</t>
        </is>
      </c>
      <c r="I2007" s="3" t="n">
        <v>400.05</v>
      </c>
      <c r="J2007" s="3" t="n"/>
      <c r="K2007" s="3" t="n">
        <v>750</v>
      </c>
      <c r="L2007" s="3" t="n">
        <v>750</v>
      </c>
      <c r="M2007" s="2" t="inlineStr">
        <is>
          <t>PriceCharting + TCGplayer</t>
        </is>
      </c>
      <c r="N2007" s="4" t="inlineStr">
        <is>
          <t>https://www.pricecharting.com/game/pokemon-shining-legends/figure-collection-shiny-darkrai-gx</t>
        </is>
      </c>
      <c r="O2007" s="4" t="inlineStr">
        <is>
          <t>https://www.tcgplayer.com/product/161257</t>
        </is>
      </c>
    </row>
    <row r="2008">
      <c r="A2008" s="2" t="inlineStr">
        <is>
          <t>Shining Legends Mewtwo Pin Collection</t>
        </is>
      </c>
      <c r="B2008" s="3">
        <f>IF(I2008&lt;&gt;"",I2008,IF(J2008&lt;&gt;"",J2008,IF(K2008&lt;&gt;"",K2008,L2008)))</f>
        <v>443.96</v>
      </c>
      <c r="C2008" s="3">
        <f>MEDIAN(I2008:L2008)</f>
        <v>443.96</v>
      </c>
      <c r="D2008" s="3">
        <f>ROUND(C2008*(1-Settings!$B$2),2)</f>
        <v>310.77</v>
      </c>
      <c r="E2008" s="3">
        <f>ROUND(C2008*(1-Settings!$B$3),2)</f>
        <v>310.77</v>
      </c>
      <c r="F2008" s="2" t="inlineStr">
        <is>
          <t>Pokemon</t>
        </is>
      </c>
      <c r="G2008" s="2" t="inlineStr">
        <is>
          <t>Coffret</t>
        </is>
      </c>
      <c r="H2008" s="2" t="inlineStr">
        <is>
          <t>Shining Legends</t>
        </is>
      </c>
      <c r="I2008" s="3" t="n">
        <v>443.96</v>
      </c>
      <c r="J2008" s="3" t="n"/>
      <c r="K2008" s="3" t="n"/>
      <c r="L2008" s="3" t="n"/>
      <c r="M2008" s="2" t="inlineStr">
        <is>
          <t>PriceCharting</t>
        </is>
      </c>
      <c r="N2008" s="4" t="inlineStr">
        <is>
          <t>https://www.pricecharting.com/game/pokemon-shining-legends/mewtwo-pin-collection</t>
        </is>
      </c>
    </row>
    <row r="2009">
      <c r="A2009" s="2" t="inlineStr">
        <is>
          <t>Shining Legends Pin Collection: Marshadow</t>
        </is>
      </c>
      <c r="B2009" s="3">
        <f>IF(I2009&lt;&gt;"",I2009,IF(J2009&lt;&gt;"",J2009,IF(K2009&lt;&gt;"",K2009,L2009)))</f>
        <v>334.99</v>
      </c>
      <c r="C2009" s="3">
        <f>MEDIAN(I2009:L2009)</f>
        <v>335.0</v>
      </c>
      <c r="D2009" s="3">
        <f>ROUND(C2009*(1-Settings!$B$2),2)</f>
        <v>234.5</v>
      </c>
      <c r="E2009" s="3">
        <f>ROUND(C2009*(1-Settings!$B$3),2)</f>
        <v>234.5</v>
      </c>
      <c r="F2009" s="2" t="inlineStr">
        <is>
          <t>Pokemon</t>
        </is>
      </c>
      <c r="G2009" s="2" t="inlineStr">
        <is>
          <t>Coffret</t>
        </is>
      </c>
      <c r="H2009" s="2" t="inlineStr">
        <is>
          <t>Shining Legends</t>
        </is>
      </c>
      <c r="I2009" s="3" t="n"/>
      <c r="J2009" s="3" t="n">
        <v>334.99</v>
      </c>
      <c r="K2009" s="3" t="n">
        <v>344.99</v>
      </c>
      <c r="L2009" s="3" t="n">
        <v>335</v>
      </c>
      <c r="M2009" s="2" t="inlineStr">
        <is>
          <t>TCGplayer</t>
        </is>
      </c>
      <c r="O2009" s="4" t="inlineStr">
        <is>
          <t>https://www.tcgplayer.com/product/155596</t>
        </is>
      </c>
    </row>
    <row r="2010">
      <c r="A2010" s="2" t="inlineStr">
        <is>
          <t>Shining Legends Pin Collection: Mewtwo</t>
        </is>
      </c>
      <c r="B2010" s="3">
        <f>IF(I2010&lt;&gt;"",I2010,IF(J2010&lt;&gt;"",J2010,IF(K2010&lt;&gt;"",K2010,L2010)))</f>
        <v>414.63</v>
      </c>
      <c r="C2010" s="3">
        <f>MEDIAN(I2010:L2010)</f>
        <v>439.9</v>
      </c>
      <c r="D2010" s="3">
        <f>ROUND(C2010*(1-Settings!$B$2),2)</f>
        <v>307.93</v>
      </c>
      <c r="E2010" s="3">
        <f>ROUND(C2010*(1-Settings!$B$3),2)</f>
        <v>307.93</v>
      </c>
      <c r="F2010" s="2" t="inlineStr">
        <is>
          <t>Pokemon</t>
        </is>
      </c>
      <c r="G2010" s="2" t="inlineStr">
        <is>
          <t>Coffret</t>
        </is>
      </c>
      <c r="H2010" s="2" t="inlineStr">
        <is>
          <t>Shining Legends</t>
        </is>
      </c>
      <c r="I2010" s="3" t="n"/>
      <c r="J2010" s="3" t="n">
        <v>414.63</v>
      </c>
      <c r="K2010" s="3" t="n">
        <v>447.91</v>
      </c>
      <c r="L2010" s="3" t="n">
        <v>439.9</v>
      </c>
      <c r="M2010" s="2" t="inlineStr">
        <is>
          <t>TCGplayer</t>
        </is>
      </c>
      <c r="O2010" s="4" t="inlineStr">
        <is>
          <t>https://www.tcgplayer.com/product/145848</t>
        </is>
      </c>
    </row>
    <row r="2011">
      <c r="A2011" s="2" t="inlineStr">
        <is>
          <t>Shining Legends Pin Collection: Zoroark</t>
        </is>
      </c>
      <c r="B2011" s="3">
        <f>IF(I2011&lt;&gt;"",I2011,IF(J2011&lt;&gt;"",J2011,IF(K2011&lt;&gt;"",K2011,L2011)))</f>
        <v>386.5</v>
      </c>
      <c r="C2011" s="3">
        <f>MEDIAN(I2011:L2011)</f>
        <v>425.0</v>
      </c>
      <c r="D2011" s="3">
        <f>ROUND(C2011*(1-Settings!$B$2),2)</f>
        <v>297.5</v>
      </c>
      <c r="E2011" s="3">
        <f>ROUND(C2011*(1-Settings!$B$3),2)</f>
        <v>297.5</v>
      </c>
      <c r="F2011" s="2" t="inlineStr">
        <is>
          <t>Pokemon</t>
        </is>
      </c>
      <c r="G2011" s="2" t="inlineStr">
        <is>
          <t>Coffret</t>
        </is>
      </c>
      <c r="H2011" s="2" t="inlineStr">
        <is>
          <t>Shining Legends</t>
        </is>
      </c>
      <c r="I2011" s="3" t="n"/>
      <c r="J2011" s="3" t="n">
        <v>386.5</v>
      </c>
      <c r="K2011" s="3" t="n">
        <v>450</v>
      </c>
      <c r="L2011" s="3" t="n">
        <v>425</v>
      </c>
      <c r="M2011" s="2" t="inlineStr">
        <is>
          <t>TCGplayer</t>
        </is>
      </c>
      <c r="O2011" s="4" t="inlineStr">
        <is>
          <t>https://www.tcgplayer.com/product/154717</t>
        </is>
      </c>
    </row>
    <row r="2012">
      <c r="A2012" s="2" t="inlineStr">
        <is>
          <t>Shining Legends Premium Powers Collection</t>
        </is>
      </c>
      <c r="B2012" s="3">
        <f>IF(I2012&lt;&gt;"",I2012,IF(J2012&lt;&gt;"",J2012,IF(K2012&lt;&gt;"",K2012,L2012)))</f>
        <v>999.99</v>
      </c>
      <c r="C2012" s="3">
        <f>MEDIAN(I2012:L2012)</f>
        <v>1500.0</v>
      </c>
      <c r="D2012" s="3">
        <f>ROUND(C2012*(1-Settings!$B$2),2)</f>
        <v>1050.0</v>
      </c>
      <c r="E2012" s="3">
        <f>ROUND(C2012*(1-Settings!$B$3),2)</f>
        <v>1050.0</v>
      </c>
      <c r="F2012" s="2" t="inlineStr">
        <is>
          <t>Pokemon</t>
        </is>
      </c>
      <c r="G2012" s="2" t="inlineStr">
        <is>
          <t>Coffret</t>
        </is>
      </c>
      <c r="H2012" s="2" t="inlineStr">
        <is>
          <t>Shining Legends</t>
        </is>
      </c>
      <c r="I2012" s="3" t="n"/>
      <c r="J2012" s="3" t="n">
        <v>999.99</v>
      </c>
      <c r="K2012" s="3" t="n">
        <v>1500</v>
      </c>
      <c r="L2012" s="3" t="n">
        <v>1500</v>
      </c>
      <c r="M2012" s="2" t="inlineStr">
        <is>
          <t>TCGplayer</t>
        </is>
      </c>
      <c r="O2012" s="4" t="inlineStr">
        <is>
          <t>https://www.tcgplayer.com/product/209439</t>
        </is>
      </c>
    </row>
    <row r="2013">
      <c r="A2013" s="2" t="inlineStr">
        <is>
          <t>Shining Legends Sealed Marshadow Pin Collection</t>
        </is>
      </c>
      <c r="B2013" s="3">
        <f>IF(I2013&lt;&gt;"",I2013,IF(J2013&lt;&gt;"",J2013,IF(K2013&lt;&gt;"",K2013,L2013)))</f>
        <v>331.53</v>
      </c>
      <c r="C2013" s="3">
        <f>MEDIAN(I2013:L2013)</f>
        <v>331.53</v>
      </c>
      <c r="D2013" s="3">
        <f>ROUND(C2013*(1-Settings!$B$2),2)</f>
        <v>232.07</v>
      </c>
      <c r="E2013" s="3">
        <f>ROUND(C2013*(1-Settings!$B$3),2)</f>
        <v>232.07</v>
      </c>
      <c r="F2013" s="2" t="inlineStr">
        <is>
          <t>Pokemon</t>
        </is>
      </c>
      <c r="G2013" s="2" t="inlineStr">
        <is>
          <t>Coffret</t>
        </is>
      </c>
      <c r="H2013" s="2" t="inlineStr">
        <is>
          <t>Shining Legends</t>
        </is>
      </c>
      <c r="I2013" s="3" t="n">
        <v>331.53</v>
      </c>
      <c r="J2013" s="3" t="n"/>
      <c r="K2013" s="3" t="n"/>
      <c r="L2013" s="3" t="n"/>
      <c r="M2013" s="2" t="inlineStr">
        <is>
          <t>PriceCharting</t>
        </is>
      </c>
      <c r="N2013" s="4" t="inlineStr">
        <is>
          <t>https://www.pricecharting.com/game/pokemon-shining-legends/sealed-marshadow-pin-collection</t>
        </is>
      </c>
    </row>
    <row r="2014">
      <c r="A2014" s="2" t="inlineStr">
        <is>
          <t>Shining Legends Sealed Pikachu Pin Collection</t>
        </is>
      </c>
      <c r="B2014" s="3">
        <f>IF(I2014&lt;&gt;"",I2014,IF(J2014&lt;&gt;"",J2014,IF(K2014&lt;&gt;"",K2014,L2014)))</f>
        <v>375.62</v>
      </c>
      <c r="C2014" s="3">
        <f>MEDIAN(I2014:L2014)</f>
        <v>375.62</v>
      </c>
      <c r="D2014" s="3">
        <f>ROUND(C2014*(1-Settings!$B$2),2)</f>
        <v>262.93</v>
      </c>
      <c r="E2014" s="3">
        <f>ROUND(C2014*(1-Settings!$B$3),2)</f>
        <v>262.93</v>
      </c>
      <c r="F2014" s="2" t="inlineStr">
        <is>
          <t>Pokemon</t>
        </is>
      </c>
      <c r="G2014" s="2" t="inlineStr">
        <is>
          <t>Coffret</t>
        </is>
      </c>
      <c r="H2014" s="2" t="inlineStr">
        <is>
          <t>Shining Legends</t>
        </is>
      </c>
      <c r="I2014" s="3" t="n">
        <v>375.62</v>
      </c>
      <c r="J2014" s="3" t="n"/>
      <c r="K2014" s="3" t="n"/>
      <c r="L2014" s="3" t="n"/>
      <c r="M2014" s="2" t="inlineStr">
        <is>
          <t>PriceCharting</t>
        </is>
      </c>
      <c r="N2014" s="4" t="inlineStr">
        <is>
          <t>https://www.pricecharting.com/game/pokemon-shining-legends/sealed-pikachu-pin-collection</t>
        </is>
      </c>
    </row>
    <row r="2015">
      <c r="A2015" s="2" t="inlineStr">
        <is>
          <t>Shining Legends Special Collection Box [Raichu GX]</t>
        </is>
      </c>
      <c r="B2015" s="3">
        <f>IF(I2015&lt;&gt;"",I2015,IF(J2015&lt;&gt;"",J2015,IF(K2015&lt;&gt;"",K2015,L2015)))</f>
        <v>568.67</v>
      </c>
      <c r="C2015" s="3">
        <f>MEDIAN(I2015:L2015)</f>
        <v>568.67</v>
      </c>
      <c r="D2015" s="3">
        <f>ROUND(C2015*(1-Settings!$B$2),2)</f>
        <v>398.07</v>
      </c>
      <c r="E2015" s="3">
        <f>ROUND(C2015*(1-Settings!$B$3),2)</f>
        <v>398.07</v>
      </c>
      <c r="F2015" s="2" t="inlineStr">
        <is>
          <t>Pokemon</t>
        </is>
      </c>
      <c r="G2015" s="2" t="inlineStr">
        <is>
          <t>Coffret</t>
        </is>
      </c>
      <c r="H2015" s="2" t="inlineStr">
        <is>
          <t>Shining Legends</t>
        </is>
      </c>
      <c r="I2015" s="3" t="n">
        <v>568.67</v>
      </c>
      <c r="J2015" s="3" t="n"/>
      <c r="K2015" s="3" t="n"/>
      <c r="L2015" s="3" t="n"/>
      <c r="M2015" s="2" t="inlineStr">
        <is>
          <t>PriceCharting</t>
        </is>
      </c>
      <c r="N2015" s="4" t="inlineStr">
        <is>
          <t>https://www.pricecharting.com/game/pokemon-shining-legends/special-collection-box-raichu-gx</t>
        </is>
      </c>
    </row>
    <row r="2016">
      <c r="A2016" s="2" t="inlineStr">
        <is>
          <t>Shining Legends Special Collection: Raichu GX</t>
        </is>
      </c>
      <c r="B2016" s="3">
        <f>IF(I2016&lt;&gt;"",I2016,IF(J2016&lt;&gt;"",J2016,IF(K2016&lt;&gt;"",K2016,L2016)))</f>
        <v>537.14</v>
      </c>
      <c r="C2016" s="3">
        <f>MEDIAN(I2016:L2016)</f>
        <v>615.0</v>
      </c>
      <c r="D2016" s="3">
        <f>ROUND(C2016*(1-Settings!$B$2),2)</f>
        <v>430.5</v>
      </c>
      <c r="E2016" s="3">
        <f>ROUND(C2016*(1-Settings!$B$3),2)</f>
        <v>430.5</v>
      </c>
      <c r="F2016" s="2" t="inlineStr">
        <is>
          <t>Pokemon</t>
        </is>
      </c>
      <c r="G2016" s="2" t="inlineStr">
        <is>
          <t>Coffret</t>
        </is>
      </c>
      <c r="H2016" s="2" t="inlineStr">
        <is>
          <t>Shining Legends</t>
        </is>
      </c>
      <c r="I2016" s="3" t="n"/>
      <c r="J2016" s="3" t="n">
        <v>537.14</v>
      </c>
      <c r="K2016" s="3" t="n">
        <v>718.98</v>
      </c>
      <c r="L2016" s="3" t="n">
        <v>615</v>
      </c>
      <c r="M2016" s="2" t="inlineStr">
        <is>
          <t>TCGplayer</t>
        </is>
      </c>
      <c r="O2016" s="4" t="inlineStr">
        <is>
          <t>https://www.tcgplayer.com/product/155062</t>
        </is>
      </c>
    </row>
    <row r="2017">
      <c r="A2017" s="2" t="inlineStr">
        <is>
          <t>Shining Legends Special Collection: Zoroark GX</t>
        </is>
      </c>
      <c r="B2017" s="3">
        <f>IF(I2017&lt;&gt;"",I2017,IF(J2017&lt;&gt;"",J2017,IF(K2017&lt;&gt;"",K2017,L2017)))</f>
        <v>499.99</v>
      </c>
      <c r="C2017" s="3">
        <f>MEDIAN(I2017:L2017)</f>
        <v>604.99</v>
      </c>
      <c r="D2017" s="3">
        <f>ROUND(C2017*(1-Settings!$B$2),2)</f>
        <v>423.49</v>
      </c>
      <c r="E2017" s="3">
        <f>ROUND(C2017*(1-Settings!$B$3),2)</f>
        <v>423.49</v>
      </c>
      <c r="F2017" s="2" t="inlineStr">
        <is>
          <t>Pokemon</t>
        </is>
      </c>
      <c r="G2017" s="2" t="inlineStr">
        <is>
          <t>Coffret</t>
        </is>
      </c>
      <c r="H2017" s="2" t="inlineStr">
        <is>
          <t>Shining Legends</t>
        </is>
      </c>
      <c r="I2017" s="3" t="n"/>
      <c r="J2017" s="3" t="n">
        <v>499.99</v>
      </c>
      <c r="K2017" s="3" t="n">
        <v>615</v>
      </c>
      <c r="L2017" s="3" t="n">
        <v>604.99</v>
      </c>
      <c r="M2017" s="2" t="inlineStr">
        <is>
          <t>TCGplayer</t>
        </is>
      </c>
      <c r="O2017" s="4" t="inlineStr">
        <is>
          <t>https://www.tcgplayer.com/product/149378</t>
        </is>
      </c>
    </row>
    <row r="2018">
      <c r="A2018" s="2" t="inlineStr">
        <is>
          <t>Shining Legends Super Premium Collection Box</t>
        </is>
      </c>
      <c r="B2018" s="3">
        <f>IF(I2018&lt;&gt;"",I2018,IF(J2018&lt;&gt;"",J2018,IF(K2018&lt;&gt;"",K2018,L2018)))</f>
        <v>1382.3</v>
      </c>
      <c r="C2018" s="3">
        <f>MEDIAN(I2018:L2018)</f>
        <v>1382.3</v>
      </c>
      <c r="D2018" s="3">
        <f>ROUND(C2018*(1-Settings!$B$2),2)</f>
        <v>967.61</v>
      </c>
      <c r="E2018" s="3">
        <f>ROUND(C2018*(1-Settings!$B$3),2)</f>
        <v>967.61</v>
      </c>
      <c r="F2018" s="2" t="inlineStr">
        <is>
          <t>Pokemon</t>
        </is>
      </c>
      <c r="G2018" s="2" t="inlineStr">
        <is>
          <t>Coffret</t>
        </is>
      </c>
      <c r="H2018" s="2" t="inlineStr">
        <is>
          <t>Shining Legends</t>
        </is>
      </c>
      <c r="I2018" s="3" t="n">
        <v>1382.3</v>
      </c>
      <c r="J2018" s="3" t="n"/>
      <c r="K2018" s="3" t="n"/>
      <c r="L2018" s="3" t="n"/>
      <c r="M2018" s="2" t="inlineStr">
        <is>
          <t>PriceCharting</t>
        </is>
      </c>
      <c r="N2018" s="4" t="inlineStr">
        <is>
          <t>https://www.pricecharting.com/game/pokemon-shining-legends/super-premium-collection-box</t>
        </is>
      </c>
    </row>
    <row r="2019">
      <c r="A2019" s="2" t="inlineStr">
        <is>
          <t>Shining Legends Super-Premium Collection [Ho-Oh GX]</t>
        </is>
      </c>
      <c r="B2019" s="3">
        <f>IF(I2019&lt;&gt;"",I2019,IF(J2019&lt;&gt;"",J2019,IF(K2019&lt;&gt;"",K2019,L2019)))</f>
        <v>1560.0</v>
      </c>
      <c r="C2019" s="3">
        <f>MEDIAN(I2019:L2019)</f>
        <v>1799.97</v>
      </c>
      <c r="D2019" s="3">
        <f>ROUND(C2019*(1-Settings!$B$2),2)</f>
        <v>1259.98</v>
      </c>
      <c r="E2019" s="3">
        <f>ROUND(C2019*(1-Settings!$B$3),2)</f>
        <v>1259.98</v>
      </c>
      <c r="F2019" s="2" t="inlineStr">
        <is>
          <t>Pokemon</t>
        </is>
      </c>
      <c r="G2019" s="2" t="inlineStr">
        <is>
          <t>Coffret</t>
        </is>
      </c>
      <c r="H2019" s="2" t="inlineStr">
        <is>
          <t>Shining Legends</t>
        </is>
      </c>
      <c r="I2019" s="3" t="n"/>
      <c r="J2019" s="3" t="n">
        <v>1560</v>
      </c>
      <c r="K2019" s="3" t="n">
        <v>2300</v>
      </c>
      <c r="L2019" s="3" t="n">
        <v>1799.97</v>
      </c>
      <c r="M2019" s="2" t="inlineStr">
        <is>
          <t>TCGplayer</t>
        </is>
      </c>
      <c r="O2019" s="4" t="inlineStr">
        <is>
          <t>https://www.tcgplayer.com/product/148412</t>
        </is>
      </c>
    </row>
    <row r="2020">
      <c r="A2020" s="2" t="inlineStr">
        <is>
          <t>Shining Legends Zoroark Pin Collection</t>
        </is>
      </c>
      <c r="B2020" s="3">
        <f>IF(I2020&lt;&gt;"",I2020,IF(J2020&lt;&gt;"",J2020,IF(K2020&lt;&gt;"",K2020,L2020)))</f>
        <v>372.25</v>
      </c>
      <c r="C2020" s="3">
        <f>MEDIAN(I2020:L2020)</f>
        <v>372.25</v>
      </c>
      <c r="D2020" s="3">
        <f>ROUND(C2020*(1-Settings!$B$2),2)</f>
        <v>260.58</v>
      </c>
      <c r="E2020" s="3">
        <f>ROUND(C2020*(1-Settings!$B$3),2)</f>
        <v>260.58</v>
      </c>
      <c r="F2020" s="2" t="inlineStr">
        <is>
          <t>Pokemon</t>
        </is>
      </c>
      <c r="G2020" s="2" t="inlineStr">
        <is>
          <t>Coffret</t>
        </is>
      </c>
      <c r="H2020" s="2" t="inlineStr">
        <is>
          <t>Shining Legends</t>
        </is>
      </c>
      <c r="I2020" s="3" t="n">
        <v>372.25</v>
      </c>
      <c r="J2020" s="3" t="n"/>
      <c r="K2020" s="3" t="n"/>
      <c r="L2020" s="3" t="n"/>
      <c r="M2020" s="2" t="inlineStr">
        <is>
          <t>PriceCharting</t>
        </is>
      </c>
      <c r="N2020" s="4" t="inlineStr">
        <is>
          <t>https://www.pricecharting.com/game/pokemon-shining-legends/zoroark-pin-collection</t>
        </is>
      </c>
    </row>
    <row r="2021">
      <c r="A2021" s="2" t="inlineStr">
        <is>
          <t>Shining Legends: Shiny Zygarde GX Box</t>
        </is>
      </c>
      <c r="B2021" s="3">
        <f>IF(I2021&lt;&gt;"",I2021,IF(J2021&lt;&gt;"",J2021,IF(K2021&lt;&gt;"",K2021,L2021)))</f>
        <v>349.99</v>
      </c>
      <c r="C2021" s="3">
        <f>MEDIAN(I2021:L2021)</f>
        <v>349.99</v>
      </c>
      <c r="D2021" s="3">
        <f>ROUND(C2021*(1-Settings!$B$2),2)</f>
        <v>244.99</v>
      </c>
      <c r="E2021" s="3">
        <f>ROUND(C2021*(1-Settings!$B$3),2)</f>
        <v>244.99</v>
      </c>
      <c r="F2021" s="2" t="inlineStr">
        <is>
          <t>Pokemon</t>
        </is>
      </c>
      <c r="G2021" s="2" t="inlineStr">
        <is>
          <t>Coffret</t>
        </is>
      </c>
      <c r="H2021" s="2" t="inlineStr">
        <is>
          <t>Shining Legends</t>
        </is>
      </c>
      <c r="I2021" s="3" t="n"/>
      <c r="J2021" s="3" t="n"/>
      <c r="K2021" s="3" t="n"/>
      <c r="L2021" s="3" t="n">
        <v>349.99</v>
      </c>
      <c r="M2021" s="2" t="inlineStr">
        <is>
          <t>TCGplayer</t>
        </is>
      </c>
      <c r="O2021" s="4" t="inlineStr">
        <is>
          <t>https://www.tcgplayer.com/product/169543</t>
        </is>
      </c>
    </row>
    <row r="2022">
      <c r="A2022" s="2" t="inlineStr">
        <is>
          <t>Shrouded Fable Elite Trainer Box [Pokemon Center]</t>
        </is>
      </c>
      <c r="B2022" s="3">
        <f>IF(I2022&lt;&gt;"",I2022,IF(J2022&lt;&gt;"",J2022,IF(K2022&lt;&gt;"",K2022,L2022)))</f>
        <v>164.52</v>
      </c>
      <c r="C2022" s="3">
        <f>MEDIAN(I2022:L2022)</f>
        <v>164.52</v>
      </c>
      <c r="D2022" s="3">
        <f>ROUND(C2022*(1-Settings!$B$2),2)</f>
        <v>115.16</v>
      </c>
      <c r="E2022" s="3">
        <f>ROUND(C2022*(1-Settings!$B$3),2)</f>
        <v>115.16</v>
      </c>
      <c r="F2022" s="2" t="inlineStr">
        <is>
          <t>Pokemon</t>
        </is>
      </c>
      <c r="G2022" s="2" t="inlineStr">
        <is>
          <t>Coffret</t>
        </is>
      </c>
      <c r="H2022" s="2" t="inlineStr">
        <is>
          <t>Shrouded Fable</t>
        </is>
      </c>
      <c r="I2022" s="3" t="n">
        <v>164.52</v>
      </c>
      <c r="J2022" s="3" t="n"/>
      <c r="K2022" s="3" t="n"/>
      <c r="L2022" s="3" t="n"/>
      <c r="M2022" s="2" t="inlineStr">
        <is>
          <t>PriceCharting</t>
        </is>
      </c>
      <c r="N2022" s="4" t="inlineStr">
        <is>
          <t>https://www.pricecharting.com/game/pokemon-shrouded-fable/elite-trainer-box-pokemon-center</t>
        </is>
      </c>
    </row>
    <row r="2023">
      <c r="A2023" s="2" t="inlineStr">
        <is>
          <t>Shrouded Fable Mini Tin [Zoroark]</t>
        </is>
      </c>
      <c r="B2023" s="3">
        <f>IF(I2023&lt;&gt;"",I2023,IF(J2023&lt;&gt;"",J2023,IF(K2023&lt;&gt;"",K2023,L2023)))</f>
        <v>34.52</v>
      </c>
      <c r="C2023" s="3">
        <f>MEDIAN(I2023:L2023)</f>
        <v>34.52</v>
      </c>
      <c r="D2023" s="3">
        <f>ROUND(C2023*(1-Settings!$B$2),2)</f>
        <v>24.16</v>
      </c>
      <c r="E2023" s="3">
        <f>ROUND(C2023*(1-Settings!$B$3),2)</f>
        <v>24.16</v>
      </c>
      <c r="F2023" s="2" t="inlineStr">
        <is>
          <t>Pokemon</t>
        </is>
      </c>
      <c r="G2023" s="2" t="inlineStr">
        <is>
          <t>Coffret</t>
        </is>
      </c>
      <c r="H2023" s="2" t="inlineStr">
        <is>
          <t>Shrouded Fable</t>
        </is>
      </c>
      <c r="I2023" s="3" t="n">
        <v>34.52</v>
      </c>
      <c r="J2023" s="3" t="n"/>
      <c r="K2023" s="3" t="n"/>
      <c r="L2023" s="3" t="n"/>
      <c r="M2023" s="2" t="inlineStr">
        <is>
          <t>PriceCharting</t>
        </is>
      </c>
      <c r="N2023" s="4" t="inlineStr">
        <is>
          <t>https://www.pricecharting.com/game/pokemon-shrouded-fable/mini-tin-zoroark</t>
        </is>
      </c>
    </row>
    <row r="2024">
      <c r="A2024" s="2" t="inlineStr">
        <is>
          <t>Silver Tempest Collector Chest Fall 2022</t>
        </is>
      </c>
      <c r="B2024" s="3">
        <f>IF(I2024&lt;&gt;"",I2024,IF(J2024&lt;&gt;"",J2024,IF(K2024&lt;&gt;"",K2024,L2024)))</f>
        <v>56.45</v>
      </c>
      <c r="C2024" s="3">
        <f>MEDIAN(I2024:L2024)</f>
        <v>56.45</v>
      </c>
      <c r="D2024" s="3">
        <f>ROUND(C2024*(1-Settings!$B$2),2)</f>
        <v>39.52</v>
      </c>
      <c r="E2024" s="3">
        <f>ROUND(C2024*(1-Settings!$B$3),2)</f>
        <v>39.52</v>
      </c>
      <c r="F2024" s="2" t="inlineStr">
        <is>
          <t>Pokemon</t>
        </is>
      </c>
      <c r="G2024" s="2" t="inlineStr">
        <is>
          <t>Coffret</t>
        </is>
      </c>
      <c r="H2024" s="2" t="inlineStr">
        <is>
          <t>Silver Tempest</t>
        </is>
      </c>
      <c r="I2024" s="3" t="n">
        <v>56.45</v>
      </c>
      <c r="J2024" s="3" t="n"/>
      <c r="K2024" s="3" t="n"/>
      <c r="L2024" s="3" t="n"/>
      <c r="M2024" s="2" t="inlineStr">
        <is>
          <t>PriceCharting</t>
        </is>
      </c>
      <c r="N2024" s="4" t="inlineStr">
        <is>
          <t>https://www.pricecharting.com/game/pokemon-silver-tempest/collector-chest-fall-2022</t>
        </is>
      </c>
    </row>
    <row r="2025">
      <c r="A2025" s="2" t="inlineStr">
        <is>
          <t>Silver Tempest Elite Trainer Box [Pokemon Center]</t>
        </is>
      </c>
      <c r="B2025" s="3">
        <f>IF(I2025&lt;&gt;"",I2025,IF(J2025&lt;&gt;"",J2025,IF(K2025&lt;&gt;"",K2025,L2025)))</f>
        <v>347.5</v>
      </c>
      <c r="C2025" s="3">
        <f>MEDIAN(I2025:L2025)</f>
        <v>347.5</v>
      </c>
      <c r="D2025" s="3">
        <f>ROUND(C2025*(1-Settings!$B$2),2)</f>
        <v>243.25</v>
      </c>
      <c r="E2025" s="3">
        <f>ROUND(C2025*(1-Settings!$B$3),2)</f>
        <v>243.25</v>
      </c>
      <c r="F2025" s="2" t="inlineStr">
        <is>
          <t>Pokemon</t>
        </is>
      </c>
      <c r="G2025" s="2" t="inlineStr">
        <is>
          <t>Coffret</t>
        </is>
      </c>
      <c r="H2025" s="2" t="inlineStr">
        <is>
          <t>Silver Tempest</t>
        </is>
      </c>
      <c r="I2025" s="3" t="n">
        <v>347.5</v>
      </c>
      <c r="J2025" s="3" t="n"/>
      <c r="K2025" s="3" t="n"/>
      <c r="L2025" s="3" t="n"/>
      <c r="M2025" s="2" t="inlineStr">
        <is>
          <t>PriceCharting</t>
        </is>
      </c>
      <c r="N2025" s="4" t="inlineStr">
        <is>
          <t>https://www.pricecharting.com/game/pokemon-silver-tempest/elite-trainer-box-pokemon-center</t>
        </is>
      </c>
    </row>
    <row r="2026">
      <c r="A2026" s="2" t="inlineStr">
        <is>
          <t>VStar Premium Trainer Box</t>
        </is>
      </c>
      <c r="B2026" s="3">
        <f>IF(I2026&lt;&gt;"",I2026,IF(J2026&lt;&gt;"",J2026,IF(K2026&lt;&gt;"",K2026,L2026)))</f>
        <v>249.99</v>
      </c>
      <c r="C2026" s="3">
        <f>MEDIAN(I2026:L2026)</f>
        <v>249.99</v>
      </c>
      <c r="D2026" s="3">
        <f>ROUND(C2026*(1-Settings!$B$2),2)</f>
        <v>174.99</v>
      </c>
      <c r="E2026" s="3">
        <f>ROUND(C2026*(1-Settings!$B$3),2)</f>
        <v>174.99</v>
      </c>
      <c r="F2026" s="2" t="inlineStr">
        <is>
          <t>Pokemon</t>
        </is>
      </c>
      <c r="G2026" s="2" t="inlineStr">
        <is>
          <t>Coffret</t>
        </is>
      </c>
      <c r="H2026" s="2" t="inlineStr">
        <is>
          <t>sK: VSTAR Premium Trainer Box</t>
        </is>
      </c>
      <c r="I2026" s="3" t="n"/>
      <c r="J2026" s="3" t="n"/>
      <c r="K2026" s="3" t="n"/>
      <c r="L2026" s="3" t="n">
        <v>249.99</v>
      </c>
      <c r="M2026" s="2" t="inlineStr">
        <is>
          <t>TCGplayer</t>
        </is>
      </c>
      <c r="O2026" s="4" t="inlineStr">
        <is>
          <t>https://www.tcgplayer.com/product/678055</t>
        </is>
      </c>
    </row>
    <row r="2027">
      <c r="A2027" s="2" t="inlineStr">
        <is>
          <t>Burning Shadows Booster Pack Art Bundle [Set of 4]</t>
        </is>
      </c>
      <c r="B2027" s="3">
        <f>IF(I2027&lt;&gt;"",I2027,IF(J2027&lt;&gt;"",J2027,IF(K2027&lt;&gt;"",K2027,L2027)))</f>
        <v>122.44</v>
      </c>
      <c r="C2027" s="3">
        <f>MEDIAN(I2027:L2027)</f>
        <v>122.44</v>
      </c>
      <c r="D2027" s="3">
        <f>ROUND(C2027*(1-Settings!$B$2),2)</f>
        <v>85.71</v>
      </c>
      <c r="E2027" s="3">
        <f>ROUND(C2027*(1-Settings!$B$3),2)</f>
        <v>85.71</v>
      </c>
      <c r="F2027" s="2" t="inlineStr">
        <is>
          <t>Pokemon</t>
        </is>
      </c>
      <c r="G2027" s="2" t="inlineStr">
        <is>
          <t>Coffret</t>
        </is>
      </c>
      <c r="H2027" s="2" t="inlineStr">
        <is>
          <t>SM - Burning Shadows</t>
        </is>
      </c>
      <c r="I2027" s="3" t="n"/>
      <c r="J2027" s="3" t="n">
        <v>122.44</v>
      </c>
      <c r="K2027" s="3" t="n">
        <v>130</v>
      </c>
      <c r="L2027" s="3" t="n">
        <v>110</v>
      </c>
      <c r="M2027" s="2" t="inlineStr">
        <is>
          <t>TCGplayer</t>
        </is>
      </c>
      <c r="O2027" s="4" t="inlineStr">
        <is>
          <t>https://www.tcgplayer.com/product/267038</t>
        </is>
      </c>
    </row>
    <row r="2028">
      <c r="A2028" s="2" t="inlineStr">
        <is>
          <t>Burning Shadows Elite Trainer Box</t>
        </is>
      </c>
      <c r="B2028" s="3">
        <f>IF(I2028&lt;&gt;"",I2028,IF(J2028&lt;&gt;"",J2028,IF(K2028&lt;&gt;"",K2028,L2028)))</f>
        <v>322.13</v>
      </c>
      <c r="C2028" s="3">
        <f>MEDIAN(I2028:L2028)</f>
        <v>367.53</v>
      </c>
      <c r="D2028" s="3">
        <f>ROUND(C2028*(1-Settings!$B$2),2)</f>
        <v>257.27</v>
      </c>
      <c r="E2028" s="3">
        <f>ROUND(C2028*(1-Settings!$B$3),2)</f>
        <v>257.27</v>
      </c>
      <c r="F2028" s="2" t="inlineStr">
        <is>
          <t>Pokemon</t>
        </is>
      </c>
      <c r="G2028" s="2" t="inlineStr">
        <is>
          <t>Coffret</t>
        </is>
      </c>
      <c r="H2028" s="2" t="inlineStr">
        <is>
          <t>SM - Burning Shadows</t>
        </is>
      </c>
      <c r="I2028" s="3" t="n">
        <v>322.13</v>
      </c>
      <c r="J2028" s="3" t="n">
        <v>335.17</v>
      </c>
      <c r="K2028" s="3" t="n">
        <v>399.94</v>
      </c>
      <c r="L2028" s="3" t="n">
        <v>399.89</v>
      </c>
      <c r="M2028" s="2" t="inlineStr">
        <is>
          <t>PriceCharting + TCGplayer</t>
        </is>
      </c>
      <c r="N2028" s="4" t="inlineStr">
        <is>
          <t>https://www.pricecharting.com/game/pokemon-burning-shadows/elite-trainer-box</t>
        </is>
      </c>
      <c r="O2028" s="4" t="inlineStr">
        <is>
          <t>https://www.tcgplayer.com/product/133776</t>
        </is>
      </c>
    </row>
    <row r="2029">
      <c r="A2029" s="2" t="inlineStr">
        <is>
          <t>Burning Shadows Prerelease Kit</t>
        </is>
      </c>
      <c r="B2029" s="3">
        <f>IF(I2029&lt;&gt;"",I2029,IF(J2029&lt;&gt;"",J2029,IF(K2029&lt;&gt;"",K2029,L2029)))</f>
        <v>299.99</v>
      </c>
      <c r="C2029" s="3">
        <f>MEDIAN(I2029:L2029)</f>
        <v>450.0</v>
      </c>
      <c r="D2029" s="3">
        <f>ROUND(C2029*(1-Settings!$B$2),2)</f>
        <v>315.0</v>
      </c>
      <c r="E2029" s="3">
        <f>ROUND(C2029*(1-Settings!$B$3),2)</f>
        <v>315.0</v>
      </c>
      <c r="F2029" s="2" t="inlineStr">
        <is>
          <t>Pokemon</t>
        </is>
      </c>
      <c r="G2029" s="2" t="inlineStr">
        <is>
          <t>Coffret</t>
        </is>
      </c>
      <c r="H2029" s="2" t="inlineStr">
        <is>
          <t>SM - Burning Shadows</t>
        </is>
      </c>
      <c r="I2029" s="3" t="n"/>
      <c r="J2029" s="3" t="n">
        <v>299.99</v>
      </c>
      <c r="K2029" s="3" t="n">
        <v>454</v>
      </c>
      <c r="L2029" s="3" t="n">
        <v>450</v>
      </c>
      <c r="M2029" s="2" t="inlineStr">
        <is>
          <t>TCGplayer</t>
        </is>
      </c>
      <c r="O2029" s="4" t="inlineStr">
        <is>
          <t>https://www.tcgplayer.com/product/139888</t>
        </is>
      </c>
    </row>
    <row r="2030">
      <c r="A2030" s="2" t="inlineStr">
        <is>
          <t>Charizard GX Premium Collection</t>
        </is>
      </c>
      <c r="B2030" s="3">
        <f>IF(I2030&lt;&gt;"",I2030,IF(J2030&lt;&gt;"",J2030,IF(K2030&lt;&gt;"",K2030,L2030)))</f>
        <v>1320.0</v>
      </c>
      <c r="C2030" s="3">
        <f>MEDIAN(I2030:L2030)</f>
        <v>1160.0</v>
      </c>
      <c r="D2030" s="3">
        <f>ROUND(C2030*(1-Settings!$B$2),2)</f>
        <v>812.0</v>
      </c>
      <c r="E2030" s="3">
        <f>ROUND(C2030*(1-Settings!$B$3),2)</f>
        <v>812.0</v>
      </c>
      <c r="F2030" s="2" t="inlineStr">
        <is>
          <t>Pokemon</t>
        </is>
      </c>
      <c r="G2030" s="2" t="inlineStr">
        <is>
          <t>Coffret</t>
        </is>
      </c>
      <c r="H2030" s="2" t="inlineStr">
        <is>
          <t>SM - Burning Shadows</t>
        </is>
      </c>
      <c r="I2030" s="3" t="n"/>
      <c r="J2030" s="3" t="n"/>
      <c r="K2030" s="3" t="n">
        <v>1320</v>
      </c>
      <c r="L2030" s="3" t="n">
        <v>1000</v>
      </c>
      <c r="M2030" s="2" t="inlineStr">
        <is>
          <t>TCGplayer</t>
        </is>
      </c>
      <c r="O2030" s="4" t="inlineStr">
        <is>
          <t>https://www.tcgplayer.com/product/148154</t>
        </is>
      </c>
    </row>
    <row r="2031">
      <c r="A2031" s="2" t="inlineStr">
        <is>
          <t>Lycanroc GX Challenge Box</t>
        </is>
      </c>
      <c r="B2031" s="3">
        <f>IF(I2031&lt;&gt;"",I2031,IF(J2031&lt;&gt;"",J2031,IF(K2031&lt;&gt;"",K2031,L2031)))</f>
        <v>87.96</v>
      </c>
      <c r="C2031" s="3">
        <f>MEDIAN(I2031:L2031)</f>
        <v>98.96</v>
      </c>
      <c r="D2031" s="3">
        <f>ROUND(C2031*(1-Settings!$B$2),2)</f>
        <v>69.27</v>
      </c>
      <c r="E2031" s="3">
        <f>ROUND(C2031*(1-Settings!$B$3),2)</f>
        <v>69.27</v>
      </c>
      <c r="F2031" s="2" t="inlineStr">
        <is>
          <t>Pokemon</t>
        </is>
      </c>
      <c r="G2031" s="2" t="inlineStr">
        <is>
          <t>Coffret</t>
        </is>
      </c>
      <c r="H2031" s="2" t="inlineStr">
        <is>
          <t>SM - Burning Shadows</t>
        </is>
      </c>
      <c r="I2031" s="3" t="n"/>
      <c r="J2031" s="3" t="n">
        <v>87.95999999999999</v>
      </c>
      <c r="K2031" s="3" t="n">
        <v>549.48</v>
      </c>
      <c r="L2031" s="3" t="n">
        <v>98.95999999999999</v>
      </c>
      <c r="M2031" s="2" t="inlineStr">
        <is>
          <t>TCGplayer</t>
        </is>
      </c>
      <c r="O2031" s="4" t="inlineStr">
        <is>
          <t>https://www.tcgplayer.com/product/218321</t>
        </is>
      </c>
    </row>
    <row r="2032">
      <c r="A2032" s="2" t="inlineStr">
        <is>
          <t>Mysterious Powers Tin [Ho-Oh GX]</t>
        </is>
      </c>
      <c r="B2032" s="3">
        <f>IF(I2032&lt;&gt;"",I2032,IF(J2032&lt;&gt;"",J2032,IF(K2032&lt;&gt;"",K2032,L2032)))</f>
        <v>116.99</v>
      </c>
      <c r="C2032" s="3">
        <f>MEDIAN(I2032:L2032)</f>
        <v>123.445</v>
      </c>
      <c r="D2032" s="3">
        <f>ROUND(C2032*(1-Settings!$B$2),2)</f>
        <v>86.41</v>
      </c>
      <c r="E2032" s="3">
        <f>ROUND(C2032*(1-Settings!$B$3),2)</f>
        <v>86.41</v>
      </c>
      <c r="F2032" s="2" t="inlineStr">
        <is>
          <t>Pokemon</t>
        </is>
      </c>
      <c r="G2032" s="2" t="inlineStr">
        <is>
          <t>Coffret</t>
        </is>
      </c>
      <c r="H2032" s="2" t="inlineStr">
        <is>
          <t>SM - Burning Shadows</t>
        </is>
      </c>
      <c r="I2032" s="3" t="n">
        <v>116.99</v>
      </c>
      <c r="J2032" s="3" t="n">
        <v>115.56</v>
      </c>
      <c r="K2032" s="3" t="n">
        <v>129.9</v>
      </c>
      <c r="L2032" s="3" t="n">
        <v>129.9</v>
      </c>
      <c r="M2032" s="2" t="inlineStr">
        <is>
          <t>PriceCharting + TCGplayer</t>
        </is>
      </c>
      <c r="N2032" s="4" t="inlineStr">
        <is>
          <t>https://www.pricecharting.com/game/pokemon-burning-shadows/mysterious-powers-tin-ho-oh-gx</t>
        </is>
      </c>
      <c r="O2032" s="4" t="inlineStr">
        <is>
          <t>https://www.tcgplayer.com/product/148418</t>
        </is>
      </c>
    </row>
    <row r="2033">
      <c r="A2033" s="2" t="inlineStr">
        <is>
          <t>Mysterious Powers Tin [Necrozma GX]</t>
        </is>
      </c>
      <c r="B2033" s="3">
        <f>IF(I2033&lt;&gt;"",I2033,IF(J2033&lt;&gt;"",J2033,IF(K2033&lt;&gt;"",K2033,L2033)))</f>
        <v>126.74</v>
      </c>
      <c r="C2033" s="3">
        <f>MEDIAN(I2033:L2033)</f>
        <v>124.99</v>
      </c>
      <c r="D2033" s="3">
        <f>ROUND(C2033*(1-Settings!$B$2),2)</f>
        <v>87.49</v>
      </c>
      <c r="E2033" s="3">
        <f>ROUND(C2033*(1-Settings!$B$3),2)</f>
        <v>87.49</v>
      </c>
      <c r="F2033" s="2" t="inlineStr">
        <is>
          <t>Pokemon</t>
        </is>
      </c>
      <c r="G2033" s="2" t="inlineStr">
        <is>
          <t>Coffret</t>
        </is>
      </c>
      <c r="H2033" s="2" t="inlineStr">
        <is>
          <t>SM - Burning Shadows</t>
        </is>
      </c>
      <c r="I2033" s="3" t="n"/>
      <c r="J2033" s="3" t="n">
        <v>126.74</v>
      </c>
      <c r="K2033" s="3" t="n">
        <v>124.99</v>
      </c>
      <c r="L2033" s="3" t="n">
        <v>124.99</v>
      </c>
      <c r="M2033" s="2" t="inlineStr">
        <is>
          <t>TCGplayer</t>
        </is>
      </c>
      <c r="O2033" s="4" t="inlineStr">
        <is>
          <t>https://www.tcgplayer.com/product/148419</t>
        </is>
      </c>
    </row>
    <row r="2034">
      <c r="A2034" s="2" t="inlineStr">
        <is>
          <t>Tapu Lele Pin Collection</t>
        </is>
      </c>
      <c r="B2034" s="3">
        <f>IF(I2034&lt;&gt;"",I2034,IF(J2034&lt;&gt;"",J2034,IF(K2034&lt;&gt;"",K2034,L2034)))</f>
        <v>119.89</v>
      </c>
      <c r="C2034" s="3">
        <f>MEDIAN(I2034:L2034)</f>
        <v>119.89</v>
      </c>
      <c r="D2034" s="3">
        <f>ROUND(C2034*(1-Settings!$B$2),2)</f>
        <v>83.92</v>
      </c>
      <c r="E2034" s="3">
        <f>ROUND(C2034*(1-Settings!$B$3),2)</f>
        <v>83.92</v>
      </c>
      <c r="F2034" s="2" t="inlineStr">
        <is>
          <t>Pokemon</t>
        </is>
      </c>
      <c r="G2034" s="2" t="inlineStr">
        <is>
          <t>Coffret</t>
        </is>
      </c>
      <c r="H2034" s="2" t="inlineStr">
        <is>
          <t>SM - Burning Shadows</t>
        </is>
      </c>
      <c r="I2034" s="3" t="n"/>
      <c r="J2034" s="3" t="n"/>
      <c r="K2034" s="3" t="n">
        <v>119.89</v>
      </c>
      <c r="L2034" s="3" t="n">
        <v>119.89</v>
      </c>
      <c r="M2034" s="2" t="inlineStr">
        <is>
          <t>TCGplayer</t>
        </is>
      </c>
      <c r="O2034" s="4" t="inlineStr">
        <is>
          <t>https://www.tcgplayer.com/product/133775</t>
        </is>
      </c>
    </row>
    <row r="2035">
      <c r="A2035" s="2" t="inlineStr">
        <is>
          <t>Tsareena GX Box</t>
        </is>
      </c>
      <c r="B2035" s="3">
        <f>IF(I2035&lt;&gt;"",I2035,IF(J2035&lt;&gt;"",J2035,IF(K2035&lt;&gt;"",K2035,L2035)))</f>
        <v>199.99</v>
      </c>
      <c r="C2035" s="3">
        <f>MEDIAN(I2035:L2035)</f>
        <v>199.99</v>
      </c>
      <c r="D2035" s="3">
        <f>ROUND(C2035*(1-Settings!$B$2),2)</f>
        <v>139.99</v>
      </c>
      <c r="E2035" s="3">
        <f>ROUND(C2035*(1-Settings!$B$3),2)</f>
        <v>139.99</v>
      </c>
      <c r="F2035" s="2" t="inlineStr">
        <is>
          <t>Pokemon</t>
        </is>
      </c>
      <c r="G2035" s="2" t="inlineStr">
        <is>
          <t>Coffret</t>
        </is>
      </c>
      <c r="H2035" s="2" t="inlineStr">
        <is>
          <t>SM - Burning Shadows</t>
        </is>
      </c>
      <c r="I2035" s="3" t="n"/>
      <c r="J2035" s="3" t="n">
        <v>199.99</v>
      </c>
      <c r="K2035" s="3" t="n"/>
      <c r="L2035" s="3" t="n"/>
      <c r="M2035" s="2" t="inlineStr">
        <is>
          <t>TCGplayer</t>
        </is>
      </c>
      <c r="O2035" s="4" t="inlineStr">
        <is>
          <t>https://www.tcgplayer.com/product/141243</t>
        </is>
      </c>
    </row>
    <row r="2036">
      <c r="A2036" s="2" t="inlineStr">
        <is>
          <t>Celestial Storm Booster Pack Art Bundle [Set of 4]</t>
        </is>
      </c>
      <c r="B2036" s="3">
        <f>IF(I2036&lt;&gt;"",I2036,IF(J2036&lt;&gt;"",J2036,IF(K2036&lt;&gt;"",K2036,L2036)))</f>
        <v>291.33</v>
      </c>
      <c r="C2036" s="3">
        <f>MEDIAN(I2036:L2036)</f>
        <v>291.33</v>
      </c>
      <c r="D2036" s="3">
        <f>ROUND(C2036*(1-Settings!$B$2),2)</f>
        <v>203.93</v>
      </c>
      <c r="E2036" s="3">
        <f>ROUND(C2036*(1-Settings!$B$3),2)</f>
        <v>203.93</v>
      </c>
      <c r="F2036" s="2" t="inlineStr">
        <is>
          <t>Pokemon</t>
        </is>
      </c>
      <c r="G2036" s="2" t="inlineStr">
        <is>
          <t>Coffret</t>
        </is>
      </c>
      <c r="H2036" s="2" t="inlineStr">
        <is>
          <t>SM - Celestial Storm</t>
        </is>
      </c>
      <c r="I2036" s="3" t="n"/>
      <c r="J2036" s="3" t="n">
        <v>291.33</v>
      </c>
      <c r="K2036" s="3" t="n"/>
      <c r="L2036" s="3" t="n"/>
      <c r="M2036" s="2" t="inlineStr">
        <is>
          <t>TCGplayer</t>
        </is>
      </c>
      <c r="O2036" s="4" t="inlineStr">
        <is>
          <t>https://www.tcgplayer.com/product/267042</t>
        </is>
      </c>
    </row>
    <row r="2037">
      <c r="A2037" s="2" t="inlineStr">
        <is>
          <t>Celestial Storm Build &amp; Battle Box</t>
        </is>
      </c>
      <c r="B2037" s="3">
        <f>IF(I2037&lt;&gt;"",I2037,IF(J2037&lt;&gt;"",J2037,IF(K2037&lt;&gt;"",K2037,L2037)))</f>
        <v>730.0</v>
      </c>
      <c r="C2037" s="3">
        <f>MEDIAN(I2037:L2037)</f>
        <v>540.0</v>
      </c>
      <c r="D2037" s="3">
        <f>ROUND(C2037*(1-Settings!$B$2),2)</f>
        <v>378.0</v>
      </c>
      <c r="E2037" s="3">
        <f>ROUND(C2037*(1-Settings!$B$3),2)</f>
        <v>378.0</v>
      </c>
      <c r="F2037" s="2" t="inlineStr">
        <is>
          <t>Pokemon</t>
        </is>
      </c>
      <c r="G2037" s="2" t="inlineStr">
        <is>
          <t>Coffret</t>
        </is>
      </c>
      <c r="H2037" s="2" t="inlineStr">
        <is>
          <t>SM - Celestial Storm</t>
        </is>
      </c>
      <c r="I2037" s="3" t="n"/>
      <c r="J2037" s="3" t="n"/>
      <c r="K2037" s="3" t="n">
        <v>730</v>
      </c>
      <c r="L2037" s="3" t="n">
        <v>350</v>
      </c>
      <c r="M2037" s="2" t="inlineStr">
        <is>
          <t>TCGplayer</t>
        </is>
      </c>
      <c r="O2037" s="4" t="inlineStr">
        <is>
          <t>https://www.tcgplayer.com/product/170280</t>
        </is>
      </c>
    </row>
    <row r="2038">
      <c r="A2038" s="2" t="inlineStr">
        <is>
          <t>Evolution Celebration Tin [Leafeon GX]</t>
        </is>
      </c>
      <c r="B2038" s="3">
        <f>IF(I2038&lt;&gt;"",I2038,IF(J2038&lt;&gt;"",J2038,IF(K2038&lt;&gt;"",K2038,L2038)))</f>
        <v>144.01</v>
      </c>
      <c r="C2038" s="3">
        <f>MEDIAN(I2038:L2038)</f>
        <v>176.185</v>
      </c>
      <c r="D2038" s="3">
        <f>ROUND(C2038*(1-Settings!$B$2),2)</f>
        <v>123.33</v>
      </c>
      <c r="E2038" s="3">
        <f>ROUND(C2038*(1-Settings!$B$3),2)</f>
        <v>123.33</v>
      </c>
      <c r="F2038" s="2" t="inlineStr">
        <is>
          <t>Pokemon</t>
        </is>
      </c>
      <c r="G2038" s="2" t="inlineStr">
        <is>
          <t>Coffret</t>
        </is>
      </c>
      <c r="H2038" s="2" t="inlineStr">
        <is>
          <t>SM - Celestial Storm</t>
        </is>
      </c>
      <c r="I2038" s="3" t="n">
        <v>144.01</v>
      </c>
      <c r="J2038" s="3" t="n">
        <v>162.38</v>
      </c>
      <c r="K2038" s="3" t="n">
        <v>200</v>
      </c>
      <c r="L2038" s="3" t="n">
        <v>189.99</v>
      </c>
      <c r="M2038" s="2" t="inlineStr">
        <is>
          <t>PriceCharting + TCGplayer</t>
        </is>
      </c>
      <c r="N2038" s="4" t="inlineStr">
        <is>
          <t>https://www.pricecharting.com/game/pokemon-celestial-storm/evolution-celebration-tin-leafeon-gx</t>
        </is>
      </c>
      <c r="O2038" s="4" t="inlineStr">
        <is>
          <t>https://www.tcgplayer.com/product/175556</t>
        </is>
      </c>
    </row>
    <row r="2039">
      <c r="A2039" s="2" t="inlineStr">
        <is>
          <t>Evolution Celebration Tin [Sylveon GX]</t>
        </is>
      </c>
      <c r="B2039" s="3">
        <f>IF(I2039&lt;&gt;"",I2039,IF(J2039&lt;&gt;"",J2039,IF(K2039&lt;&gt;"",K2039,L2039)))</f>
        <v>139.14</v>
      </c>
      <c r="C2039" s="3">
        <f>MEDIAN(I2039:L2039)</f>
        <v>171.25</v>
      </c>
      <c r="D2039" s="3">
        <f>ROUND(C2039*(1-Settings!$B$2),2)</f>
        <v>119.88</v>
      </c>
      <c r="E2039" s="3">
        <f>ROUND(C2039*(1-Settings!$B$3),2)</f>
        <v>119.88</v>
      </c>
      <c r="F2039" s="2" t="inlineStr">
        <is>
          <t>Pokemon</t>
        </is>
      </c>
      <c r="G2039" s="2" t="inlineStr">
        <is>
          <t>Coffret</t>
        </is>
      </c>
      <c r="H2039" s="2" t="inlineStr">
        <is>
          <t>SM - Celestial Storm</t>
        </is>
      </c>
      <c r="I2039" s="3" t="n">
        <v>139.14</v>
      </c>
      <c r="J2039" s="3" t="n">
        <v>142.5</v>
      </c>
      <c r="K2039" s="3" t="n">
        <v>211.96</v>
      </c>
      <c r="L2039" s="3" t="n">
        <v>200</v>
      </c>
      <c r="M2039" s="2" t="inlineStr">
        <is>
          <t>PriceCharting + TCGplayer</t>
        </is>
      </c>
      <c r="N2039" s="4" t="inlineStr">
        <is>
          <t>https://www.pricecharting.com/game/pokemon-celestial-storm/evolution-celebration-tin-sylveon-gx</t>
        </is>
      </c>
      <c r="O2039" s="4" t="inlineStr">
        <is>
          <t>https://www.tcgplayer.com/product/175557</t>
        </is>
      </c>
    </row>
    <row r="2040">
      <c r="A2040" s="2" t="inlineStr">
        <is>
          <t>Lunala GX Box</t>
        </is>
      </c>
      <c r="B2040" s="3">
        <f>IF(I2040&lt;&gt;"",I2040,IF(J2040&lt;&gt;"",J2040,IF(K2040&lt;&gt;"",K2040,L2040)))</f>
        <v>288.88</v>
      </c>
      <c r="C2040" s="3">
        <f>MEDIAN(I2040:L2040)</f>
        <v>287.9</v>
      </c>
      <c r="D2040" s="3">
        <f>ROUND(C2040*(1-Settings!$B$2),2)</f>
        <v>201.53</v>
      </c>
      <c r="E2040" s="3">
        <f>ROUND(C2040*(1-Settings!$B$3),2)</f>
        <v>201.53</v>
      </c>
      <c r="F2040" s="2" t="inlineStr">
        <is>
          <t>Pokemon</t>
        </is>
      </c>
      <c r="G2040" s="2" t="inlineStr">
        <is>
          <t>Coffret</t>
        </is>
      </c>
      <c r="H2040" s="2" t="inlineStr">
        <is>
          <t>SM - Celestial Storm</t>
        </is>
      </c>
      <c r="I2040" s="3" t="n"/>
      <c r="J2040" s="3" t="n">
        <v>288.88</v>
      </c>
      <c r="K2040" s="3" t="n">
        <v>287.9</v>
      </c>
      <c r="L2040" s="3" t="n">
        <v>287.9</v>
      </c>
      <c r="M2040" s="2" t="inlineStr">
        <is>
          <t>TCGplayer</t>
        </is>
      </c>
      <c r="O2040" s="4" t="inlineStr">
        <is>
          <t>https://www.tcgplayer.com/product/175559</t>
        </is>
      </c>
    </row>
    <row r="2041">
      <c r="A2041" s="2" t="inlineStr">
        <is>
          <t>Solgaleo GX Box</t>
        </is>
      </c>
      <c r="B2041" s="3">
        <f>IF(I2041&lt;&gt;"",I2041,IF(J2041&lt;&gt;"",J2041,IF(K2041&lt;&gt;"",K2041,L2041)))</f>
        <v>699.99</v>
      </c>
      <c r="C2041" s="3">
        <f>MEDIAN(I2041:L2041)</f>
        <v>699.99</v>
      </c>
      <c r="D2041" s="3">
        <f>ROUND(C2041*(1-Settings!$B$2),2)</f>
        <v>489.99</v>
      </c>
      <c r="E2041" s="3">
        <f>ROUND(C2041*(1-Settings!$B$3),2)</f>
        <v>489.99</v>
      </c>
      <c r="F2041" s="2" t="inlineStr">
        <is>
          <t>Pokemon</t>
        </is>
      </c>
      <c r="G2041" s="2" t="inlineStr">
        <is>
          <t>Coffret</t>
        </is>
      </c>
      <c r="H2041" s="2" t="inlineStr">
        <is>
          <t>SM - Celestial Storm</t>
        </is>
      </c>
      <c r="I2041" s="3" t="n"/>
      <c r="J2041" s="3" t="n"/>
      <c r="K2041" s="3" t="n">
        <v>699.99</v>
      </c>
      <c r="L2041" s="3" t="n">
        <v>699.99</v>
      </c>
      <c r="M2041" s="2" t="inlineStr">
        <is>
          <t>TCGplayer</t>
        </is>
      </c>
      <c r="O2041" s="4" t="inlineStr">
        <is>
          <t>https://www.tcgplayer.com/product/175558</t>
        </is>
      </c>
    </row>
    <row r="2042">
      <c r="A2042" s="2" t="inlineStr">
        <is>
          <t>Cosmic Eclipse 3 Pack Blister [Celebi]</t>
        </is>
      </c>
      <c r="B2042" s="3">
        <f>IF(I2042&lt;&gt;"",I2042,IF(J2042&lt;&gt;"",J2042,IF(K2042&lt;&gt;"",K2042,L2042)))</f>
        <v>398.06</v>
      </c>
      <c r="C2042" s="3">
        <f>MEDIAN(I2042:L2042)</f>
        <v>425.0</v>
      </c>
      <c r="D2042" s="3">
        <f>ROUND(C2042*(1-Settings!$B$2),2)</f>
        <v>297.5</v>
      </c>
      <c r="E2042" s="3">
        <f>ROUND(C2042*(1-Settings!$B$3),2)</f>
        <v>297.5</v>
      </c>
      <c r="F2042" s="2" t="inlineStr">
        <is>
          <t>Pokemon</t>
        </is>
      </c>
      <c r="G2042" s="2" t="inlineStr">
        <is>
          <t>Coffret</t>
        </is>
      </c>
      <c r="H2042" s="2" t="inlineStr">
        <is>
          <t>SM - Cosmic Eclipse</t>
        </is>
      </c>
      <c r="I2042" s="3" t="n">
        <v>398.06</v>
      </c>
      <c r="J2042" s="3" t="n">
        <v>400</v>
      </c>
      <c r="K2042" s="3" t="n">
        <v>450</v>
      </c>
      <c r="L2042" s="3" t="n">
        <v>450</v>
      </c>
      <c r="M2042" s="2" t="inlineStr">
        <is>
          <t>PriceCharting + TCGplayer</t>
        </is>
      </c>
      <c r="N2042" s="4" t="inlineStr">
        <is>
          <t>https://www.pricecharting.com/game/pokemon-cosmic-eclipse/3-pack-blister-celebi</t>
        </is>
      </c>
      <c r="O2042" s="4" t="inlineStr">
        <is>
          <t>https://www.tcgplayer.com/product/199767</t>
        </is>
      </c>
    </row>
    <row r="2043">
      <c r="A2043" s="2" t="inlineStr">
        <is>
          <t>Cosmic Eclipse Booster Pack Art Bundle [Set of 4]</t>
        </is>
      </c>
      <c r="B2043" s="3">
        <f>IF(I2043&lt;&gt;"",I2043,IF(J2043&lt;&gt;"",J2043,IF(K2043&lt;&gt;"",K2043,L2043)))</f>
        <v>305.3</v>
      </c>
      <c r="C2043" s="3">
        <f>MEDIAN(I2043:L2043)</f>
        <v>305.3</v>
      </c>
      <c r="D2043" s="3">
        <f>ROUND(C2043*(1-Settings!$B$2),2)</f>
        <v>213.71</v>
      </c>
      <c r="E2043" s="3">
        <f>ROUND(C2043*(1-Settings!$B$3),2)</f>
        <v>213.71</v>
      </c>
      <c r="F2043" s="2" t="inlineStr">
        <is>
          <t>Pokemon</t>
        </is>
      </c>
      <c r="G2043" s="2" t="inlineStr">
        <is>
          <t>Coffret</t>
        </is>
      </c>
      <c r="H2043" s="2" t="inlineStr">
        <is>
          <t>SM - Cosmic Eclipse</t>
        </is>
      </c>
      <c r="I2043" s="3" t="n"/>
      <c r="J2043" s="3" t="n">
        <v>305.3</v>
      </c>
      <c r="K2043" s="3" t="n">
        <v>309.99</v>
      </c>
      <c r="L2043" s="3" t="n">
        <v>110</v>
      </c>
      <c r="M2043" s="2" t="inlineStr">
        <is>
          <t>TCGplayer</t>
        </is>
      </c>
      <c r="O2043" s="4" t="inlineStr">
        <is>
          <t>https://www.tcgplayer.com/product/267047</t>
        </is>
      </c>
    </row>
    <row r="2044">
      <c r="A2044" s="2" t="inlineStr">
        <is>
          <t>Cosmic Eclipse Build &amp; Battle Box</t>
        </is>
      </c>
      <c r="B2044" s="3">
        <f>IF(I2044&lt;&gt;"",I2044,IF(J2044&lt;&gt;"",J2044,IF(K2044&lt;&gt;"",K2044,L2044)))</f>
        <v>400.0</v>
      </c>
      <c r="C2044" s="3">
        <f>MEDIAN(I2044:L2044)</f>
        <v>799.99</v>
      </c>
      <c r="D2044" s="3">
        <f>ROUND(C2044*(1-Settings!$B$2),2)</f>
        <v>559.99</v>
      </c>
      <c r="E2044" s="3">
        <f>ROUND(C2044*(1-Settings!$B$3),2)</f>
        <v>559.99</v>
      </c>
      <c r="F2044" s="2" t="inlineStr">
        <is>
          <t>Pokemon</t>
        </is>
      </c>
      <c r="G2044" s="2" t="inlineStr">
        <is>
          <t>Coffret</t>
        </is>
      </c>
      <c r="H2044" s="2" t="inlineStr">
        <is>
          <t>SM - Cosmic Eclipse</t>
        </is>
      </c>
      <c r="I2044" s="3" t="n">
        <v>400</v>
      </c>
      <c r="J2044" s="3" t="n"/>
      <c r="K2044" s="3" t="n">
        <v>799.99</v>
      </c>
      <c r="L2044" s="3" t="n">
        <v>799.99</v>
      </c>
      <c r="M2044" s="2" t="inlineStr">
        <is>
          <t>PriceCharting + TCGplayer</t>
        </is>
      </c>
      <c r="N2044" s="4" t="inlineStr">
        <is>
          <t>https://www.pricecharting.com/game/pokemon-cosmic-eclipse/build-&amp;-battle-box</t>
        </is>
      </c>
      <c r="O2044" s="4" t="inlineStr">
        <is>
          <t>https://www.tcgplayer.com/product/199310</t>
        </is>
      </c>
    </row>
    <row r="2045">
      <c r="A2045" s="2" t="inlineStr">
        <is>
          <t>Cosmic Eclipse Elite Trainer Box</t>
        </is>
      </c>
      <c r="B2045" s="3">
        <f>IF(I2045&lt;&gt;"",I2045,IF(J2045&lt;&gt;"",J2045,IF(K2045&lt;&gt;"",K2045,L2045)))</f>
        <v>1712.5</v>
      </c>
      <c r="C2045" s="3">
        <f>MEDIAN(I2045:L2045)</f>
        <v>1929.245</v>
      </c>
      <c r="D2045" s="3">
        <f>ROUND(C2045*(1-Settings!$B$2),2)</f>
        <v>1350.47</v>
      </c>
      <c r="E2045" s="3">
        <f>ROUND(C2045*(1-Settings!$B$3),2)</f>
        <v>1350.47</v>
      </c>
      <c r="F2045" s="2" t="inlineStr">
        <is>
          <t>Pokemon</t>
        </is>
      </c>
      <c r="G2045" s="2" t="inlineStr">
        <is>
          <t>Coffret</t>
        </is>
      </c>
      <c r="H2045" s="2" t="inlineStr">
        <is>
          <t>SM - Cosmic Eclipse</t>
        </is>
      </c>
      <c r="I2045" s="3" t="n">
        <v>1712.5</v>
      </c>
      <c r="J2045" s="3" t="n">
        <v>1874.5</v>
      </c>
      <c r="K2045" s="3" t="n">
        <v>3499.48</v>
      </c>
      <c r="L2045" s="3" t="n">
        <v>1983.99</v>
      </c>
      <c r="M2045" s="2" t="inlineStr">
        <is>
          <t>PriceCharting + TCGplayer</t>
        </is>
      </c>
      <c r="N2045" s="4" t="inlineStr">
        <is>
          <t>https://www.pricecharting.com/game/pokemon-cosmic-eclipse/elite-trainer-box</t>
        </is>
      </c>
      <c r="O2045" s="4" t="inlineStr">
        <is>
          <t>https://www.tcgplayer.com/product/199308</t>
        </is>
      </c>
    </row>
    <row r="2046">
      <c r="A2046" s="2" t="inlineStr">
        <is>
          <t>Cosmic Eclipse Sleeved Booster Pack Art Bundle [Set of 4]</t>
        </is>
      </c>
      <c r="B2046" s="3">
        <f>IF(I2046&lt;&gt;"",I2046,IF(J2046&lt;&gt;"",J2046,IF(K2046&lt;&gt;"",K2046,L2046)))</f>
        <v>467.47</v>
      </c>
      <c r="C2046" s="3">
        <f>MEDIAN(I2046:L2046)</f>
        <v>495.0</v>
      </c>
      <c r="D2046" s="3">
        <f>ROUND(C2046*(1-Settings!$B$2),2)</f>
        <v>346.5</v>
      </c>
      <c r="E2046" s="3">
        <f>ROUND(C2046*(1-Settings!$B$3),2)</f>
        <v>346.5</v>
      </c>
      <c r="F2046" s="2" t="inlineStr">
        <is>
          <t>Pokemon</t>
        </is>
      </c>
      <c r="G2046" s="2" t="inlineStr">
        <is>
          <t>Coffret</t>
        </is>
      </c>
      <c r="H2046" s="2" t="inlineStr">
        <is>
          <t>SM - Cosmic Eclipse</t>
        </is>
      </c>
      <c r="I2046" s="3" t="n"/>
      <c r="J2046" s="3" t="n">
        <v>467.47</v>
      </c>
      <c r="K2046" s="3" t="n">
        <v>499.99</v>
      </c>
      <c r="L2046" s="3" t="n">
        <v>495</v>
      </c>
      <c r="M2046" s="2" t="inlineStr">
        <is>
          <t>TCGplayer</t>
        </is>
      </c>
      <c r="O2046" s="4" t="inlineStr">
        <is>
          <t>https://www.tcgplayer.com/product/276587</t>
        </is>
      </c>
    </row>
    <row r="2047">
      <c r="A2047" s="2" t="inlineStr">
        <is>
          <t>Pikachu GX &amp; Eevee GX Special Collection</t>
        </is>
      </c>
      <c r="B2047" s="3">
        <f>IF(I2047&lt;&gt;"",I2047,IF(J2047&lt;&gt;"",J2047,IF(K2047&lt;&gt;"",K2047,L2047)))</f>
        <v>399.64</v>
      </c>
      <c r="C2047" s="3">
        <f>MEDIAN(I2047:L2047)</f>
        <v>549.97</v>
      </c>
      <c r="D2047" s="3">
        <f>ROUND(C2047*(1-Settings!$B$2),2)</f>
        <v>384.98</v>
      </c>
      <c r="E2047" s="3">
        <f>ROUND(C2047*(1-Settings!$B$3),2)</f>
        <v>384.98</v>
      </c>
      <c r="F2047" s="2" t="inlineStr">
        <is>
          <t>Pokemon</t>
        </is>
      </c>
      <c r="G2047" s="2" t="inlineStr">
        <is>
          <t>Coffret</t>
        </is>
      </c>
      <c r="H2047" s="2" t="inlineStr">
        <is>
          <t>SM - Cosmic Eclipse</t>
        </is>
      </c>
      <c r="I2047" s="3" t="n">
        <v>399.64</v>
      </c>
      <c r="J2047" s="3" t="n">
        <v>549.97</v>
      </c>
      <c r="K2047" s="3" t="n"/>
      <c r="L2047" s="3" t="n">
        <v>689.99</v>
      </c>
      <c r="M2047" s="2" t="inlineStr">
        <is>
          <t>PriceCharting + TCGplayer</t>
        </is>
      </c>
      <c r="N2047" s="4" t="inlineStr">
        <is>
          <t>https://www.pricecharting.com/game/pokemon-cosmic-eclipse/pikachu-gx-&amp;-eevee-gx-special-collection</t>
        </is>
      </c>
      <c r="O2047" s="4" t="inlineStr">
        <is>
          <t>https://www.tcgplayer.com/product/199772</t>
        </is>
      </c>
    </row>
    <row r="2048">
      <c r="A2048" s="2" t="inlineStr">
        <is>
          <t>Crimson Invasion Booster Pack Art Bundle [Set of 4]</t>
        </is>
      </c>
      <c r="B2048" s="3">
        <f>IF(I2048&lt;&gt;"",I2048,IF(J2048&lt;&gt;"",J2048,IF(K2048&lt;&gt;"",K2048,L2048)))</f>
        <v>142.42</v>
      </c>
      <c r="C2048" s="3">
        <f>MEDIAN(I2048:L2048)</f>
        <v>119.42</v>
      </c>
      <c r="D2048" s="3">
        <f>ROUND(C2048*(1-Settings!$B$2),2)</f>
        <v>83.59</v>
      </c>
      <c r="E2048" s="3">
        <f>ROUND(C2048*(1-Settings!$B$3),2)</f>
        <v>83.59</v>
      </c>
      <c r="F2048" s="2" t="inlineStr">
        <is>
          <t>Pokemon</t>
        </is>
      </c>
      <c r="G2048" s="2" t="inlineStr">
        <is>
          <t>Coffret</t>
        </is>
      </c>
      <c r="H2048" s="2" t="inlineStr">
        <is>
          <t>SM - Crimson Invasion</t>
        </is>
      </c>
      <c r="I2048" s="3" t="n"/>
      <c r="J2048" s="3" t="n">
        <v>142.42</v>
      </c>
      <c r="K2048" s="3" t="n">
        <v>119.42</v>
      </c>
      <c r="L2048" s="3" t="n">
        <v>108.99</v>
      </c>
      <c r="M2048" s="2" t="inlineStr">
        <is>
          <t>TCGplayer</t>
        </is>
      </c>
      <c r="O2048" s="4" t="inlineStr">
        <is>
          <t>https://www.tcgplayer.com/product/267039</t>
        </is>
      </c>
    </row>
    <row r="2049">
      <c r="A2049" s="2" t="inlineStr">
        <is>
          <t>Crimson Invasion Elite Trainer Box</t>
        </is>
      </c>
      <c r="B2049" s="3">
        <f>IF(I2049&lt;&gt;"",I2049,IF(J2049&lt;&gt;"",J2049,IF(K2049&lt;&gt;"",K2049,L2049)))</f>
        <v>215.5</v>
      </c>
      <c r="C2049" s="3">
        <f>MEDIAN(I2049:L2049)</f>
        <v>218.405</v>
      </c>
      <c r="D2049" s="3">
        <f>ROUND(C2049*(1-Settings!$B$2),2)</f>
        <v>152.88</v>
      </c>
      <c r="E2049" s="3">
        <f>ROUND(C2049*(1-Settings!$B$3),2)</f>
        <v>152.88</v>
      </c>
      <c r="F2049" s="2" t="inlineStr">
        <is>
          <t>Pokemon</t>
        </is>
      </c>
      <c r="G2049" s="2" t="inlineStr">
        <is>
          <t>Coffret</t>
        </is>
      </c>
      <c r="H2049" s="2" t="inlineStr">
        <is>
          <t>SM - Crimson Invasion</t>
        </is>
      </c>
      <c r="I2049" s="3" t="n">
        <v>215.5</v>
      </c>
      <c r="J2049" s="3" t="n">
        <v>221.31</v>
      </c>
      <c r="K2049" s="3" t="n">
        <v>241.18</v>
      </c>
      <c r="L2049" s="3" t="n">
        <v>194.95</v>
      </c>
      <c r="M2049" s="2" t="inlineStr">
        <is>
          <t>PriceCharting + TCGplayer</t>
        </is>
      </c>
      <c r="N2049" s="4" t="inlineStr">
        <is>
          <t>https://www.pricecharting.com/game/pokemon-crimson-invasion/elite-trainer-box</t>
        </is>
      </c>
      <c r="O2049" s="4" t="inlineStr">
        <is>
          <t>https://www.tcgplayer.com/product/149377</t>
        </is>
      </c>
    </row>
    <row r="2050">
      <c r="A2050" s="2" t="inlineStr">
        <is>
          <t>Crimson Invasion Prerelease Kit</t>
        </is>
      </c>
      <c r="B2050" s="3">
        <f>IF(I2050&lt;&gt;"",I2050,IF(J2050&lt;&gt;"",J2050,IF(K2050&lt;&gt;"",K2050,L2050)))</f>
        <v>99.65</v>
      </c>
      <c r="C2050" s="3">
        <f>MEDIAN(I2050:L2050)</f>
        <v>99.65</v>
      </c>
      <c r="D2050" s="3">
        <f>ROUND(C2050*(1-Settings!$B$2),2)</f>
        <v>69.76</v>
      </c>
      <c r="E2050" s="3">
        <f>ROUND(C2050*(1-Settings!$B$3),2)</f>
        <v>69.76</v>
      </c>
      <c r="F2050" s="2" t="inlineStr">
        <is>
          <t>Pokemon</t>
        </is>
      </c>
      <c r="G2050" s="2" t="inlineStr">
        <is>
          <t>Coffret</t>
        </is>
      </c>
      <c r="H2050" s="2" t="inlineStr">
        <is>
          <t>SM - Crimson Invasion</t>
        </is>
      </c>
      <c r="I2050" s="3" t="n"/>
      <c r="J2050" s="3" t="n">
        <v>99.65000000000001</v>
      </c>
      <c r="K2050" s="3" t="n">
        <v>105</v>
      </c>
      <c r="L2050" s="3" t="n">
        <v>95</v>
      </c>
      <c r="M2050" s="2" t="inlineStr">
        <is>
          <t>TCGplayer</t>
        </is>
      </c>
      <c r="O2050" s="4" t="inlineStr">
        <is>
          <t>https://www.tcgplayer.com/product/153081</t>
        </is>
      </c>
    </row>
    <row r="2051">
      <c r="A2051" s="2" t="inlineStr">
        <is>
          <t>Guzzlord GX Box</t>
        </is>
      </c>
      <c r="B2051" s="3">
        <f>IF(I2051&lt;&gt;"",I2051,IF(J2051&lt;&gt;"",J2051,IF(K2051&lt;&gt;"",K2051,L2051)))</f>
        <v>299.99</v>
      </c>
      <c r="C2051" s="3">
        <f>MEDIAN(I2051:L2051)</f>
        <v>299.99</v>
      </c>
      <c r="D2051" s="3">
        <f>ROUND(C2051*(1-Settings!$B$2),2)</f>
        <v>209.99</v>
      </c>
      <c r="E2051" s="3">
        <f>ROUND(C2051*(1-Settings!$B$3),2)</f>
        <v>209.99</v>
      </c>
      <c r="F2051" s="2" t="inlineStr">
        <is>
          <t>Pokemon</t>
        </is>
      </c>
      <c r="G2051" s="2" t="inlineStr">
        <is>
          <t>Coffret</t>
        </is>
      </c>
      <c r="H2051" s="2" t="inlineStr">
        <is>
          <t>SM - Crimson Invasion</t>
        </is>
      </c>
      <c r="I2051" s="3" t="n"/>
      <c r="J2051" s="3" t="n"/>
      <c r="K2051" s="3" t="n">
        <v>299.99</v>
      </c>
      <c r="L2051" s="3" t="n">
        <v>299.99</v>
      </c>
      <c r="M2051" s="2" t="inlineStr">
        <is>
          <t>TCGplayer</t>
        </is>
      </c>
      <c r="O2051" s="4" t="inlineStr">
        <is>
          <t>https://www.tcgplayer.com/product/155061</t>
        </is>
      </c>
    </row>
    <row r="2052">
      <c r="A2052" s="2" t="inlineStr">
        <is>
          <t>Marshadow Figure Collection</t>
        </is>
      </c>
      <c r="B2052" s="3">
        <f>IF(I2052&lt;&gt;"",I2052,IF(J2052&lt;&gt;"",J2052,IF(K2052&lt;&gt;"",K2052,L2052)))</f>
        <v>278.0</v>
      </c>
      <c r="C2052" s="3">
        <f>MEDIAN(I2052:L2052)</f>
        <v>278.0</v>
      </c>
      <c r="D2052" s="3">
        <f>ROUND(C2052*(1-Settings!$B$2),2)</f>
        <v>194.6</v>
      </c>
      <c r="E2052" s="3">
        <f>ROUND(C2052*(1-Settings!$B$3),2)</f>
        <v>194.6</v>
      </c>
      <c r="F2052" s="2" t="inlineStr">
        <is>
          <t>Pokemon</t>
        </is>
      </c>
      <c r="G2052" s="2" t="inlineStr">
        <is>
          <t>Coffret</t>
        </is>
      </c>
      <c r="H2052" s="2" t="inlineStr">
        <is>
          <t>SM - Crimson Invasion</t>
        </is>
      </c>
      <c r="I2052" s="3" t="n"/>
      <c r="J2052" s="3" t="n">
        <v>278</v>
      </c>
      <c r="K2052" s="3" t="n">
        <v>282.49</v>
      </c>
      <c r="L2052" s="3" t="n">
        <v>264.2</v>
      </c>
      <c r="M2052" s="2" t="inlineStr">
        <is>
          <t>TCGplayer</t>
        </is>
      </c>
      <c r="O2052" s="4" t="inlineStr">
        <is>
          <t>https://www.tcgplayer.com/product/152602</t>
        </is>
      </c>
    </row>
    <row r="2053">
      <c r="A2053" s="2" t="inlineStr">
        <is>
          <t>Mimikyu Sidekick Collection</t>
        </is>
      </c>
      <c r="B2053" s="3">
        <f>IF(I2053&lt;&gt;"",I2053,IF(J2053&lt;&gt;"",J2053,IF(K2053&lt;&gt;"",K2053,L2053)))</f>
        <v>194.56</v>
      </c>
      <c r="C2053" s="3">
        <f>MEDIAN(I2053:L2053)</f>
        <v>230.0</v>
      </c>
      <c r="D2053" s="3">
        <f>ROUND(C2053*(1-Settings!$B$2),2)</f>
        <v>161.0</v>
      </c>
      <c r="E2053" s="3">
        <f>ROUND(C2053*(1-Settings!$B$3),2)</f>
        <v>161.0</v>
      </c>
      <c r="F2053" s="2" t="inlineStr">
        <is>
          <t>Pokemon</t>
        </is>
      </c>
      <c r="G2053" s="2" t="inlineStr">
        <is>
          <t>Coffret</t>
        </is>
      </c>
      <c r="H2053" s="2" t="inlineStr">
        <is>
          <t>SM - Crimson Invasion</t>
        </is>
      </c>
      <c r="I2053" s="3" t="n"/>
      <c r="J2053" s="3" t="n">
        <v>194.56</v>
      </c>
      <c r="K2053" s="3" t="n">
        <v>239.94</v>
      </c>
      <c r="L2053" s="3" t="n">
        <v>230</v>
      </c>
      <c r="M2053" s="2" t="inlineStr">
        <is>
          <t>TCGplayer</t>
        </is>
      </c>
      <c r="O2053" s="4" t="inlineStr">
        <is>
          <t>https://www.tcgplayer.com/product/166410</t>
        </is>
      </c>
    </row>
    <row r="2054">
      <c r="A2054" s="2" t="inlineStr">
        <is>
          <t>Pikachu Sidekick Collection</t>
        </is>
      </c>
      <c r="B2054" s="3">
        <f>IF(I2054&lt;&gt;"",I2054,IF(J2054&lt;&gt;"",J2054,IF(K2054&lt;&gt;"",K2054,L2054)))</f>
        <v>266.37</v>
      </c>
      <c r="C2054" s="3">
        <f>MEDIAN(I2054:L2054)</f>
        <v>308.185</v>
      </c>
      <c r="D2054" s="3">
        <f>ROUND(C2054*(1-Settings!$B$2),2)</f>
        <v>215.73</v>
      </c>
      <c r="E2054" s="3">
        <f>ROUND(C2054*(1-Settings!$B$3),2)</f>
        <v>215.73</v>
      </c>
      <c r="F2054" s="2" t="inlineStr">
        <is>
          <t>Pokemon</t>
        </is>
      </c>
      <c r="G2054" s="2" t="inlineStr">
        <is>
          <t>Coffret</t>
        </is>
      </c>
      <c r="H2054" s="2" t="inlineStr">
        <is>
          <t>SM - Crimson Invasion</t>
        </is>
      </c>
      <c r="I2054" s="3" t="n">
        <v>266.37</v>
      </c>
      <c r="J2054" s="3" t="n">
        <v>210.97</v>
      </c>
      <c r="K2054" s="3" t="n">
        <v>375</v>
      </c>
      <c r="L2054" s="3" t="n">
        <v>350</v>
      </c>
      <c r="M2054" s="2" t="inlineStr">
        <is>
          <t>PriceCharting + TCGplayer</t>
        </is>
      </c>
      <c r="N2054" s="4" t="inlineStr">
        <is>
          <t>https://www.pricecharting.com/game/pokemon-crimson-invasion/pikachu-sidekick-collection</t>
        </is>
      </c>
      <c r="O2054" s="4" t="inlineStr">
        <is>
          <t>https://www.tcgplayer.com/product/166409</t>
        </is>
      </c>
    </row>
    <row r="2055">
      <c r="A2055" s="2" t="inlineStr">
        <is>
          <t>Shiny Silvally GX Box</t>
        </is>
      </c>
      <c r="B2055" s="3">
        <f>IF(I2055&lt;&gt;"",I2055,IF(J2055&lt;&gt;"",J2055,IF(K2055&lt;&gt;"",K2055,L2055)))</f>
        <v>299.99</v>
      </c>
      <c r="C2055" s="3">
        <f>MEDIAN(I2055:L2055)</f>
        <v>299.99</v>
      </c>
      <c r="D2055" s="3">
        <f>ROUND(C2055*(1-Settings!$B$2),2)</f>
        <v>209.99</v>
      </c>
      <c r="E2055" s="3">
        <f>ROUND(C2055*(1-Settings!$B$3),2)</f>
        <v>209.99</v>
      </c>
      <c r="F2055" s="2" t="inlineStr">
        <is>
          <t>Pokemon</t>
        </is>
      </c>
      <c r="G2055" s="2" t="inlineStr">
        <is>
          <t>Coffret</t>
        </is>
      </c>
      <c r="H2055" s="2" t="inlineStr">
        <is>
          <t>SM - Crimson Invasion</t>
        </is>
      </c>
      <c r="I2055" s="3" t="n"/>
      <c r="J2055" s="3" t="n"/>
      <c r="K2055" s="3" t="n">
        <v>299.99</v>
      </c>
      <c r="L2055" s="3" t="n">
        <v>299.99</v>
      </c>
      <c r="M2055" s="2" t="inlineStr">
        <is>
          <t>TCGplayer</t>
        </is>
      </c>
      <c r="O2055" s="4" t="inlineStr">
        <is>
          <t>https://www.tcgplayer.com/product/152598</t>
        </is>
      </c>
    </row>
    <row r="2056">
      <c r="A2056" s="2" t="inlineStr">
        <is>
          <t>Silvally Figure Collection</t>
        </is>
      </c>
      <c r="B2056" s="3">
        <f>IF(I2056&lt;&gt;"",I2056,IF(J2056&lt;&gt;"",J2056,IF(K2056&lt;&gt;"",K2056,L2056)))</f>
        <v>265.99</v>
      </c>
      <c r="C2056" s="3">
        <f>MEDIAN(I2056:L2056)</f>
        <v>265.99</v>
      </c>
      <c r="D2056" s="3">
        <f>ROUND(C2056*(1-Settings!$B$2),2)</f>
        <v>186.19</v>
      </c>
      <c r="E2056" s="3">
        <f>ROUND(C2056*(1-Settings!$B$3),2)</f>
        <v>186.19</v>
      </c>
      <c r="F2056" s="2" t="inlineStr">
        <is>
          <t>Pokemon</t>
        </is>
      </c>
      <c r="G2056" s="2" t="inlineStr">
        <is>
          <t>Coffret</t>
        </is>
      </c>
      <c r="H2056" s="2" t="inlineStr">
        <is>
          <t>SM - Crimson Invasion</t>
        </is>
      </c>
      <c r="I2056" s="3" t="n"/>
      <c r="J2056" s="3" t="n">
        <v>265.99</v>
      </c>
      <c r="K2056" s="3" t="n"/>
      <c r="L2056" s="3" t="n"/>
      <c r="M2056" s="2" t="inlineStr">
        <is>
          <t>TCGplayer</t>
        </is>
      </c>
      <c r="O2056" s="4" t="inlineStr">
        <is>
          <t>https://www.tcgplayer.com/product/152601</t>
        </is>
      </c>
    </row>
    <row r="2057">
      <c r="A2057" s="2" t="inlineStr">
        <is>
          <t>Ultra Beasts GX Premium Collection [Buzzwole GX &amp; Xurkitree GX]</t>
        </is>
      </c>
      <c r="B2057" s="3">
        <f>IF(I2057&lt;&gt;"",I2057,IF(J2057&lt;&gt;"",J2057,IF(K2057&lt;&gt;"",K2057,L2057)))</f>
        <v>275.0</v>
      </c>
      <c r="C2057" s="3">
        <f>MEDIAN(I2057:L2057)</f>
        <v>400.0</v>
      </c>
      <c r="D2057" s="3">
        <f>ROUND(C2057*(1-Settings!$B$2),2)</f>
        <v>280.0</v>
      </c>
      <c r="E2057" s="3">
        <f>ROUND(C2057*(1-Settings!$B$3),2)</f>
        <v>280.0</v>
      </c>
      <c r="F2057" s="2" t="inlineStr">
        <is>
          <t>Pokemon</t>
        </is>
      </c>
      <c r="G2057" s="2" t="inlineStr">
        <is>
          <t>Coffret</t>
        </is>
      </c>
      <c r="H2057" s="2" t="inlineStr">
        <is>
          <t>SM - Crimson Invasion</t>
        </is>
      </c>
      <c r="I2057" s="3" t="n"/>
      <c r="J2057" s="3" t="n">
        <v>275</v>
      </c>
      <c r="K2057" s="3" t="n">
        <v>400</v>
      </c>
      <c r="L2057" s="3" t="n">
        <v>400</v>
      </c>
      <c r="M2057" s="2" t="inlineStr">
        <is>
          <t>TCGplayer</t>
        </is>
      </c>
      <c r="O2057" s="4" t="inlineStr">
        <is>
          <t>https://www.tcgplayer.com/product/149376</t>
        </is>
      </c>
    </row>
    <row r="2058">
      <c r="A2058" s="2" t="inlineStr">
        <is>
          <t>Ultra Beasts GX Premium Collection [Pheromosa GX &amp; Celesteela GX]</t>
        </is>
      </c>
      <c r="B2058" s="3">
        <f>IF(I2058&lt;&gt;"",I2058,IF(J2058&lt;&gt;"",J2058,IF(K2058&lt;&gt;"",K2058,L2058)))</f>
        <v>370.49</v>
      </c>
      <c r="C2058" s="3">
        <f>MEDIAN(I2058:L2058)</f>
        <v>520.325</v>
      </c>
      <c r="D2058" s="3">
        <f>ROUND(C2058*(1-Settings!$B$2),2)</f>
        <v>364.23</v>
      </c>
      <c r="E2058" s="3">
        <f>ROUND(C2058*(1-Settings!$B$3),2)</f>
        <v>364.23</v>
      </c>
      <c r="F2058" s="2" t="inlineStr">
        <is>
          <t>Pokemon</t>
        </is>
      </c>
      <c r="G2058" s="2" t="inlineStr">
        <is>
          <t>Coffret</t>
        </is>
      </c>
      <c r="H2058" s="2" t="inlineStr">
        <is>
          <t>SM - Crimson Invasion</t>
        </is>
      </c>
      <c r="I2058" s="3" t="n">
        <v>370.49</v>
      </c>
      <c r="J2058" s="3" t="n">
        <v>440.65</v>
      </c>
      <c r="K2058" s="3" t="n">
        <v>600</v>
      </c>
      <c r="L2058" s="3" t="n">
        <v>600</v>
      </c>
      <c r="M2058" s="2" t="inlineStr">
        <is>
          <t>PriceCharting + TCGplayer</t>
        </is>
      </c>
      <c r="N2058" s="4" t="inlineStr">
        <is>
          <t>https://www.pricecharting.com/game/pokemon-crimson-invasion/ultra-beasts-gx-premium-collection-pheromosa-gx-&amp;-celesteela-gx</t>
        </is>
      </c>
      <c r="O2058" s="4" t="inlineStr">
        <is>
          <t>https://www.tcgplayer.com/product/149375</t>
        </is>
      </c>
    </row>
    <row r="2059">
      <c r="A2059" s="2" t="inlineStr">
        <is>
          <t>Dawn Wings Necrozma Premium Collection</t>
        </is>
      </c>
      <c r="B2059" s="3">
        <f>IF(I2059&lt;&gt;"",I2059,IF(J2059&lt;&gt;"",J2059,IF(K2059&lt;&gt;"",K2059,L2059)))</f>
        <v>213.81</v>
      </c>
      <c r="C2059" s="3">
        <f>MEDIAN(I2059:L2059)</f>
        <v>226.9</v>
      </c>
      <c r="D2059" s="3">
        <f>ROUND(C2059*(1-Settings!$B$2),2)</f>
        <v>158.83</v>
      </c>
      <c r="E2059" s="3">
        <f>ROUND(C2059*(1-Settings!$B$3),2)</f>
        <v>158.83</v>
      </c>
      <c r="F2059" s="2" t="inlineStr">
        <is>
          <t>Pokemon</t>
        </is>
      </c>
      <c r="G2059" s="2" t="inlineStr">
        <is>
          <t>Coffret</t>
        </is>
      </c>
      <c r="H2059" s="2" t="inlineStr">
        <is>
          <t>SM - Forbidden Light</t>
        </is>
      </c>
      <c r="I2059" s="3" t="n">
        <v>213.81</v>
      </c>
      <c r="J2059" s="3" t="n">
        <v>239.99</v>
      </c>
      <c r="K2059" s="3" t="n"/>
      <c r="L2059" s="3" t="n"/>
      <c r="M2059" s="2" t="inlineStr">
        <is>
          <t>PriceCharting + TCGplayer</t>
        </is>
      </c>
      <c r="N2059" s="4" t="inlineStr">
        <is>
          <t>https://www.pricecharting.com/game/pokemon-forbidden-light/dawn-wings-necrozma-premium-collection</t>
        </is>
      </c>
      <c r="O2059" s="4" t="inlineStr">
        <is>
          <t>https://www.tcgplayer.com/product/164314</t>
        </is>
      </c>
    </row>
    <row r="2060">
      <c r="A2060" s="2" t="inlineStr">
        <is>
          <t>Dusk Mane Necrozma Box</t>
        </is>
      </c>
      <c r="B2060" s="3">
        <f>IF(I2060&lt;&gt;"",I2060,IF(J2060&lt;&gt;"",J2060,IF(K2060&lt;&gt;"",K2060,L2060)))</f>
        <v>176.5</v>
      </c>
      <c r="C2060" s="3">
        <f>MEDIAN(I2060:L2060)</f>
        <v>176.25</v>
      </c>
      <c r="D2060" s="3">
        <f>ROUND(C2060*(1-Settings!$B$2),2)</f>
        <v>123.38</v>
      </c>
      <c r="E2060" s="3">
        <f>ROUND(C2060*(1-Settings!$B$3),2)</f>
        <v>123.38</v>
      </c>
      <c r="F2060" s="2" t="inlineStr">
        <is>
          <t>Pokemon</t>
        </is>
      </c>
      <c r="G2060" s="2" t="inlineStr">
        <is>
          <t>Coffret</t>
        </is>
      </c>
      <c r="H2060" s="2" t="inlineStr">
        <is>
          <t>SM - Forbidden Light</t>
        </is>
      </c>
      <c r="I2060" s="3" t="n">
        <v>176.5</v>
      </c>
      <c r="J2060" s="3" t="n">
        <v>176.5</v>
      </c>
      <c r="K2060" s="3" t="n">
        <v>176</v>
      </c>
      <c r="L2060" s="3" t="n">
        <v>169</v>
      </c>
      <c r="M2060" s="2" t="inlineStr">
        <is>
          <t>PriceCharting + TCGplayer</t>
        </is>
      </c>
      <c r="N2060" s="4" t="inlineStr">
        <is>
          <t>https://www.pricecharting.com/game/pokemon-forbidden-light/dusk-mane-necrozma-box</t>
        </is>
      </c>
      <c r="O2060" s="4" t="inlineStr">
        <is>
          <t>https://www.tcgplayer.com/product/246415</t>
        </is>
      </c>
    </row>
    <row r="2061">
      <c r="A2061" s="2" t="inlineStr">
        <is>
          <t>Dusk Mane Necrozma Premium Collection</t>
        </is>
      </c>
      <c r="B2061" s="3">
        <f>IF(I2061&lt;&gt;"",I2061,IF(J2061&lt;&gt;"",J2061,IF(K2061&lt;&gt;"",K2061,L2061)))</f>
        <v>289.99</v>
      </c>
      <c r="C2061" s="3">
        <f>MEDIAN(I2061:L2061)</f>
        <v>289.99</v>
      </c>
      <c r="D2061" s="3">
        <f>ROUND(C2061*(1-Settings!$B$2),2)</f>
        <v>202.99</v>
      </c>
      <c r="E2061" s="3">
        <f>ROUND(C2061*(1-Settings!$B$3),2)</f>
        <v>202.99</v>
      </c>
      <c r="F2061" s="2" t="inlineStr">
        <is>
          <t>Pokemon</t>
        </is>
      </c>
      <c r="G2061" s="2" t="inlineStr">
        <is>
          <t>Coffret</t>
        </is>
      </c>
      <c r="H2061" s="2" t="inlineStr">
        <is>
          <t>SM - Forbidden Light</t>
        </is>
      </c>
      <c r="I2061" s="3" t="n">
        <v>289.99</v>
      </c>
      <c r="J2061" s="3" t="n">
        <v>289.99</v>
      </c>
      <c r="K2061" s="3" t="n"/>
      <c r="L2061" s="3" t="n">
        <v>299.99</v>
      </c>
      <c r="M2061" s="2" t="inlineStr">
        <is>
          <t>PriceCharting + TCGplayer</t>
        </is>
      </c>
      <c r="N2061" s="4" t="inlineStr">
        <is>
          <t>https://www.pricecharting.com/game/pokemon-forbidden-light/dusk-mane-necrozma-premium-collection</t>
        </is>
      </c>
      <c r="O2061" s="4" t="inlineStr">
        <is>
          <t>https://www.tcgplayer.com/product/164315</t>
        </is>
      </c>
    </row>
    <row r="2062">
      <c r="A2062" s="2" t="inlineStr">
        <is>
          <t>Forbidden Light Booster Pack Art Bundle [Set of 4]</t>
        </is>
      </c>
      <c r="B2062" s="3">
        <f>IF(I2062&lt;&gt;"",I2062,IF(J2062&lt;&gt;"",J2062,IF(K2062&lt;&gt;"",K2062,L2062)))</f>
        <v>170.0</v>
      </c>
      <c r="C2062" s="3">
        <f>MEDIAN(I2062:L2062)</f>
        <v>174.99</v>
      </c>
      <c r="D2062" s="3">
        <f>ROUND(C2062*(1-Settings!$B$2),2)</f>
        <v>122.49</v>
      </c>
      <c r="E2062" s="3">
        <f>ROUND(C2062*(1-Settings!$B$3),2)</f>
        <v>122.49</v>
      </c>
      <c r="F2062" s="2" t="inlineStr">
        <is>
          <t>Pokemon</t>
        </is>
      </c>
      <c r="G2062" s="2" t="inlineStr">
        <is>
          <t>Coffret</t>
        </is>
      </c>
      <c r="H2062" s="2" t="inlineStr">
        <is>
          <t>SM - Forbidden Light</t>
        </is>
      </c>
      <c r="I2062" s="3" t="n"/>
      <c r="J2062" s="3" t="n">
        <v>170</v>
      </c>
      <c r="K2062" s="3" t="n">
        <v>174.99</v>
      </c>
      <c r="L2062" s="3" t="n">
        <v>174.99</v>
      </c>
      <c r="M2062" s="2" t="inlineStr">
        <is>
          <t>TCGplayer</t>
        </is>
      </c>
      <c r="O2062" s="4" t="inlineStr">
        <is>
          <t>https://www.tcgplayer.com/product/267041</t>
        </is>
      </c>
    </row>
    <row r="2063">
      <c r="A2063" s="2" t="inlineStr">
        <is>
          <t>Forbidden Light Elite Trainer Box</t>
        </is>
      </c>
      <c r="B2063" s="3">
        <f>IF(I2063&lt;&gt;"",I2063,IF(J2063&lt;&gt;"",J2063,IF(K2063&lt;&gt;"",K2063,L2063)))</f>
        <v>625.0</v>
      </c>
      <c r="C2063" s="3">
        <f>MEDIAN(I2063:L2063)</f>
        <v>697.31</v>
      </c>
      <c r="D2063" s="3">
        <f>ROUND(C2063*(1-Settings!$B$2),2)</f>
        <v>488.12</v>
      </c>
      <c r="E2063" s="3">
        <f>ROUND(C2063*(1-Settings!$B$3),2)</f>
        <v>488.12</v>
      </c>
      <c r="F2063" s="2" t="inlineStr">
        <is>
          <t>Pokemon</t>
        </is>
      </c>
      <c r="G2063" s="2" t="inlineStr">
        <is>
          <t>Coffret</t>
        </is>
      </c>
      <c r="H2063" s="2" t="inlineStr">
        <is>
          <t>SM - Forbidden Light</t>
        </is>
      </c>
      <c r="I2063" s="3" t="n">
        <v>625</v>
      </c>
      <c r="J2063" s="3" t="n">
        <v>694.62</v>
      </c>
      <c r="K2063" s="3" t="n">
        <v>875</v>
      </c>
      <c r="L2063" s="3" t="n">
        <v>700</v>
      </c>
      <c r="M2063" s="2" t="inlineStr">
        <is>
          <t>PriceCharting + TCGplayer</t>
        </is>
      </c>
      <c r="N2063" s="4" t="inlineStr">
        <is>
          <t>https://www.pricecharting.com/game/pokemon-forbidden-light/elite-trainer-box</t>
        </is>
      </c>
      <c r="O2063" s="4" t="inlineStr">
        <is>
          <t>https://www.tcgplayer.com/product/164303</t>
        </is>
      </c>
    </row>
    <row r="2064">
      <c r="A2064" s="2" t="inlineStr">
        <is>
          <t>Forbidden Light Prerelease Kit</t>
        </is>
      </c>
      <c r="B2064" s="3">
        <f>IF(I2064&lt;&gt;"",I2064,IF(J2064&lt;&gt;"",J2064,IF(K2064&lt;&gt;"",K2064,L2064)))</f>
        <v>159.32</v>
      </c>
      <c r="C2064" s="3">
        <f>MEDIAN(I2064:L2064)</f>
        <v>159.32</v>
      </c>
      <c r="D2064" s="3">
        <f>ROUND(C2064*(1-Settings!$B$2),2)</f>
        <v>111.52</v>
      </c>
      <c r="E2064" s="3">
        <f>ROUND(C2064*(1-Settings!$B$3),2)</f>
        <v>111.52</v>
      </c>
      <c r="F2064" s="2" t="inlineStr">
        <is>
          <t>Pokemon</t>
        </is>
      </c>
      <c r="G2064" s="2" t="inlineStr">
        <is>
          <t>Coffret</t>
        </is>
      </c>
      <c r="H2064" s="2" t="inlineStr">
        <is>
          <t>SM - Forbidden Light</t>
        </is>
      </c>
      <c r="I2064" s="3" t="n"/>
      <c r="J2064" s="3" t="n">
        <v>159.32</v>
      </c>
      <c r="K2064" s="3" t="n">
        <v>227.47</v>
      </c>
      <c r="L2064" s="3" t="n">
        <v>5</v>
      </c>
      <c r="M2064" s="2" t="inlineStr">
        <is>
          <t>TCGplayer</t>
        </is>
      </c>
      <c r="O2064" s="4" t="inlineStr">
        <is>
          <t>https://www.tcgplayer.com/product/166413</t>
        </is>
      </c>
    </row>
    <row r="2065">
      <c r="A2065" s="2" t="inlineStr">
        <is>
          <t>Forces of Nature GX Premium Collection</t>
        </is>
      </c>
      <c r="B2065" s="3">
        <f>IF(I2065&lt;&gt;"",I2065,IF(J2065&lt;&gt;"",J2065,IF(K2065&lt;&gt;"",K2065,L2065)))</f>
        <v>265.0</v>
      </c>
      <c r="C2065" s="3">
        <f>MEDIAN(I2065:L2065)</f>
        <v>384.99</v>
      </c>
      <c r="D2065" s="3">
        <f>ROUND(C2065*(1-Settings!$B$2),2)</f>
        <v>269.49</v>
      </c>
      <c r="E2065" s="3">
        <f>ROUND(C2065*(1-Settings!$B$3),2)</f>
        <v>269.49</v>
      </c>
      <c r="F2065" s="2" t="inlineStr">
        <is>
          <t>Pokemon</t>
        </is>
      </c>
      <c r="G2065" s="2" t="inlineStr">
        <is>
          <t>Coffret</t>
        </is>
      </c>
      <c r="H2065" s="2" t="inlineStr">
        <is>
          <t>SM - Forbidden Light</t>
        </is>
      </c>
      <c r="I2065" s="3" t="n"/>
      <c r="J2065" s="3" t="n">
        <v>265</v>
      </c>
      <c r="K2065" s="3" t="n">
        <v>384.99</v>
      </c>
      <c r="L2065" s="3" t="n">
        <v>384.99</v>
      </c>
      <c r="M2065" s="2" t="inlineStr">
        <is>
          <t>TCGplayer</t>
        </is>
      </c>
      <c r="O2065" s="4" t="inlineStr">
        <is>
          <t>https://www.tcgplayer.com/product/169414</t>
        </is>
      </c>
    </row>
    <row r="2066">
      <c r="A2066" s="2" t="inlineStr">
        <is>
          <t>Bewear GX Box</t>
        </is>
      </c>
      <c r="B2066" s="3">
        <f>IF(I2066&lt;&gt;"",I2066,IF(J2066&lt;&gt;"",J2066,IF(K2066&lt;&gt;"",K2066,L2066)))</f>
        <v>142.0</v>
      </c>
      <c r="C2066" s="3">
        <f>MEDIAN(I2066:L2066)</f>
        <v>272.975</v>
      </c>
      <c r="D2066" s="3">
        <f>ROUND(C2066*(1-Settings!$B$2),2)</f>
        <v>191.08</v>
      </c>
      <c r="E2066" s="3">
        <f>ROUND(C2066*(1-Settings!$B$3),2)</f>
        <v>191.08</v>
      </c>
      <c r="F2066" s="2" t="inlineStr">
        <is>
          <t>Pokemon</t>
        </is>
      </c>
      <c r="G2066" s="2" t="inlineStr">
        <is>
          <t>Coffret</t>
        </is>
      </c>
      <c r="H2066" s="2" t="inlineStr">
        <is>
          <t>SM - Guardians Rising</t>
        </is>
      </c>
      <c r="I2066" s="3" t="n">
        <v>142</v>
      </c>
      <c r="J2066" s="3" t="n">
        <v>277.97</v>
      </c>
      <c r="K2066" s="3" t="n">
        <v>277.97</v>
      </c>
      <c r="L2066" s="3" t="n">
        <v>267.98</v>
      </c>
      <c r="M2066" s="2" t="inlineStr">
        <is>
          <t>PriceCharting + TCGplayer</t>
        </is>
      </c>
      <c r="N2066" s="4" t="inlineStr">
        <is>
          <t>https://www.pricecharting.com/game/pokemon-guardians-rising/bewear-gx-box</t>
        </is>
      </c>
      <c r="O2066" s="4" t="inlineStr">
        <is>
          <t>https://www.tcgplayer.com/product/132238</t>
        </is>
      </c>
    </row>
    <row r="2067">
      <c r="A2067" s="2" t="inlineStr">
        <is>
          <t>Espeon GX Premium Collection</t>
        </is>
      </c>
      <c r="B2067" s="3">
        <f>IF(I2067&lt;&gt;"",I2067,IF(J2067&lt;&gt;"",J2067,IF(K2067&lt;&gt;"",K2067,L2067)))</f>
        <v>494.83</v>
      </c>
      <c r="C2067" s="3">
        <f>MEDIAN(I2067:L2067)</f>
        <v>639.99</v>
      </c>
      <c r="D2067" s="3">
        <f>ROUND(C2067*(1-Settings!$B$2),2)</f>
        <v>447.99</v>
      </c>
      <c r="E2067" s="3">
        <f>ROUND(C2067*(1-Settings!$B$3),2)</f>
        <v>447.99</v>
      </c>
      <c r="F2067" s="2" t="inlineStr">
        <is>
          <t>Pokemon</t>
        </is>
      </c>
      <c r="G2067" s="2" t="inlineStr">
        <is>
          <t>Coffret</t>
        </is>
      </c>
      <c r="H2067" s="2" t="inlineStr">
        <is>
          <t>SM - Guardians Rising</t>
        </is>
      </c>
      <c r="I2067" s="3" t="n"/>
      <c r="J2067" s="3" t="n">
        <v>494.83</v>
      </c>
      <c r="K2067" s="3" t="n">
        <v>900</v>
      </c>
      <c r="L2067" s="3" t="n">
        <v>639.99</v>
      </c>
      <c r="M2067" s="2" t="inlineStr">
        <is>
          <t>TCGplayer</t>
        </is>
      </c>
      <c r="O2067" s="4" t="inlineStr">
        <is>
          <t>https://www.tcgplayer.com/product/137523</t>
        </is>
      </c>
    </row>
    <row r="2068">
      <c r="A2068" s="2" t="inlineStr">
        <is>
          <t>Guardians Rising 3 Pack Blister [Turtonator]</t>
        </is>
      </c>
      <c r="B2068" s="3">
        <f>IF(I2068&lt;&gt;"",I2068,IF(J2068&lt;&gt;"",J2068,IF(K2068&lt;&gt;"",K2068,L2068)))</f>
        <v>73.35</v>
      </c>
      <c r="C2068" s="3">
        <f>MEDIAN(I2068:L2068)</f>
        <v>102.865</v>
      </c>
      <c r="D2068" s="3">
        <f>ROUND(C2068*(1-Settings!$B$2),2)</f>
        <v>72.01</v>
      </c>
      <c r="E2068" s="3">
        <f>ROUND(C2068*(1-Settings!$B$3),2)</f>
        <v>72.01</v>
      </c>
      <c r="F2068" s="2" t="inlineStr">
        <is>
          <t>Pokemon</t>
        </is>
      </c>
      <c r="G2068" s="2" t="inlineStr">
        <is>
          <t>Coffret</t>
        </is>
      </c>
      <c r="H2068" s="2" t="inlineStr">
        <is>
          <t>SM - Guardians Rising</t>
        </is>
      </c>
      <c r="I2068" s="3" t="n">
        <v>73.34999999999999</v>
      </c>
      <c r="J2068" s="3" t="n">
        <v>88.73999999999999</v>
      </c>
      <c r="K2068" s="3" t="n">
        <v>116.99</v>
      </c>
      <c r="L2068" s="3" t="n">
        <v>116.99</v>
      </c>
      <c r="M2068" s="2" t="inlineStr">
        <is>
          <t>PriceCharting + TCGplayer</t>
        </is>
      </c>
      <c r="N2068" s="4" t="inlineStr">
        <is>
          <t>https://www.pricecharting.com/game/pokemon-guardians-rising/3-pack-blister-turtonator</t>
        </is>
      </c>
      <c r="O2068" s="4" t="inlineStr">
        <is>
          <t>https://www.tcgplayer.com/product/184340</t>
        </is>
      </c>
    </row>
    <row r="2069">
      <c r="A2069" s="2" t="inlineStr">
        <is>
          <t>Guardians Rising Booster Pack Art Bundle [Set of 4]</t>
        </is>
      </c>
      <c r="B2069" s="3">
        <f>IF(I2069&lt;&gt;"",I2069,IF(J2069&lt;&gt;"",J2069,IF(K2069&lt;&gt;"",K2069,L2069)))</f>
        <v>184.97</v>
      </c>
      <c r="C2069" s="3">
        <f>MEDIAN(I2069:L2069)</f>
        <v>188.99</v>
      </c>
      <c r="D2069" s="3">
        <f>ROUND(C2069*(1-Settings!$B$2),2)</f>
        <v>132.29</v>
      </c>
      <c r="E2069" s="3">
        <f>ROUND(C2069*(1-Settings!$B$3),2)</f>
        <v>132.29</v>
      </c>
      <c r="F2069" s="2" t="inlineStr">
        <is>
          <t>Pokemon</t>
        </is>
      </c>
      <c r="G2069" s="2" t="inlineStr">
        <is>
          <t>Coffret</t>
        </is>
      </c>
      <c r="H2069" s="2" t="inlineStr">
        <is>
          <t>SM - Guardians Rising</t>
        </is>
      </c>
      <c r="I2069" s="3" t="n"/>
      <c r="J2069" s="3" t="n">
        <v>184.97</v>
      </c>
      <c r="K2069" s="3" t="n">
        <v>189.99</v>
      </c>
      <c r="L2069" s="3" t="n">
        <v>188.99</v>
      </c>
      <c r="M2069" s="2" t="inlineStr">
        <is>
          <t>TCGplayer</t>
        </is>
      </c>
      <c r="O2069" s="4" t="inlineStr">
        <is>
          <t>https://www.tcgplayer.com/product/267037</t>
        </is>
      </c>
    </row>
    <row r="2070">
      <c r="A2070" s="2" t="inlineStr">
        <is>
          <t>Guardians Rising Elite Trainer Box</t>
        </is>
      </c>
      <c r="B2070" s="3">
        <f>IF(I2070&lt;&gt;"",I2070,IF(J2070&lt;&gt;"",J2070,IF(K2070&lt;&gt;"",K2070,L2070)))</f>
        <v>433.52</v>
      </c>
      <c r="C2070" s="3">
        <f>MEDIAN(I2070:L2070)</f>
        <v>443.735</v>
      </c>
      <c r="D2070" s="3">
        <f>ROUND(C2070*(1-Settings!$B$2),2)</f>
        <v>310.61</v>
      </c>
      <c r="E2070" s="3">
        <f>ROUND(C2070*(1-Settings!$B$3),2)</f>
        <v>310.61</v>
      </c>
      <c r="F2070" s="2" t="inlineStr">
        <is>
          <t>Pokemon</t>
        </is>
      </c>
      <c r="G2070" s="2" t="inlineStr">
        <is>
          <t>Coffret</t>
        </is>
      </c>
      <c r="H2070" s="2" t="inlineStr">
        <is>
          <t>SM - Guardians Rising</t>
        </is>
      </c>
      <c r="I2070" s="3" t="n">
        <v>433.52</v>
      </c>
      <c r="J2070" s="3" t="n">
        <v>453.95</v>
      </c>
      <c r="K2070" s="3" t="n">
        <v>524.99</v>
      </c>
      <c r="L2070" s="3" t="n">
        <v>24.97</v>
      </c>
      <c r="M2070" s="2" t="inlineStr">
        <is>
          <t>PriceCharting + TCGplayer</t>
        </is>
      </c>
      <c r="N2070" s="4" t="inlineStr">
        <is>
          <t>https://www.pricecharting.com/game/pokemon-guardians-rising/elite-trainer-box</t>
        </is>
      </c>
      <c r="O2070" s="4" t="inlineStr">
        <is>
          <t>https://www.tcgplayer.com/product/129890</t>
        </is>
      </c>
    </row>
    <row r="2071">
      <c r="A2071" s="2" t="inlineStr">
        <is>
          <t>Guardians Rising Prerelease Kit</t>
        </is>
      </c>
      <c r="B2071" s="3">
        <f>IF(I2071&lt;&gt;"",I2071,IF(J2071&lt;&gt;"",J2071,IF(K2071&lt;&gt;"",K2071,L2071)))</f>
        <v>399.99</v>
      </c>
      <c r="C2071" s="3">
        <f>MEDIAN(I2071:L2071)</f>
        <v>500.0</v>
      </c>
      <c r="D2071" s="3">
        <f>ROUND(C2071*(1-Settings!$B$2),2)</f>
        <v>350.0</v>
      </c>
      <c r="E2071" s="3">
        <f>ROUND(C2071*(1-Settings!$B$3),2)</f>
        <v>350.0</v>
      </c>
      <c r="F2071" s="2" t="inlineStr">
        <is>
          <t>Pokemon</t>
        </is>
      </c>
      <c r="G2071" s="2" t="inlineStr">
        <is>
          <t>Coffret</t>
        </is>
      </c>
      <c r="H2071" s="2" t="inlineStr">
        <is>
          <t>SM - Guardians Rising</t>
        </is>
      </c>
      <c r="I2071" s="3" t="n"/>
      <c r="J2071" s="3" t="n">
        <v>399.99</v>
      </c>
      <c r="K2071" s="3" t="n">
        <v>500</v>
      </c>
      <c r="L2071" s="3" t="n">
        <v>500</v>
      </c>
      <c r="M2071" s="2" t="inlineStr">
        <is>
          <t>TCGplayer</t>
        </is>
      </c>
      <c r="O2071" s="4" t="inlineStr">
        <is>
          <t>https://www.tcgplayer.com/product/131273</t>
        </is>
      </c>
    </row>
    <row r="2072">
      <c r="A2072" s="2" t="inlineStr">
        <is>
          <t>Guardians Rising Sleeved Booster Pack Art Bundle [Set of 4]</t>
        </is>
      </c>
      <c r="B2072" s="3">
        <f>IF(I2072&lt;&gt;"",I2072,IF(J2072&lt;&gt;"",J2072,IF(K2072&lt;&gt;"",K2072,L2072)))</f>
        <v>144.0</v>
      </c>
      <c r="C2072" s="3">
        <f>MEDIAN(I2072:L2072)</f>
        <v>159.99</v>
      </c>
      <c r="D2072" s="3">
        <f>ROUND(C2072*(1-Settings!$B$2),2)</f>
        <v>111.99</v>
      </c>
      <c r="E2072" s="3">
        <f>ROUND(C2072*(1-Settings!$B$3),2)</f>
        <v>111.99</v>
      </c>
      <c r="F2072" s="2" t="inlineStr">
        <is>
          <t>Pokemon</t>
        </is>
      </c>
      <c r="G2072" s="2" t="inlineStr">
        <is>
          <t>Coffret</t>
        </is>
      </c>
      <c r="H2072" s="2" t="inlineStr">
        <is>
          <t>SM - Guardians Rising</t>
        </is>
      </c>
      <c r="I2072" s="3" t="n"/>
      <c r="J2072" s="3" t="n">
        <v>144</v>
      </c>
      <c r="K2072" s="3" t="n">
        <v>159.99</v>
      </c>
      <c r="L2072" s="3" t="n">
        <v>159.99</v>
      </c>
      <c r="M2072" s="2" t="inlineStr">
        <is>
          <t>TCGplayer</t>
        </is>
      </c>
      <c r="O2072" s="4" t="inlineStr">
        <is>
          <t>https://www.tcgplayer.com/product/276578</t>
        </is>
      </c>
    </row>
    <row r="2073">
      <c r="A2073" s="2" t="inlineStr">
        <is>
          <t>Incineroar GX Premium Collection</t>
        </is>
      </c>
      <c r="B2073" s="3">
        <f>IF(I2073&lt;&gt;"",I2073,IF(J2073&lt;&gt;"",J2073,IF(K2073&lt;&gt;"",K2073,L2073)))</f>
        <v>299.99</v>
      </c>
      <c r="C2073" s="3">
        <f>MEDIAN(I2073:L2073)</f>
        <v>299.99</v>
      </c>
      <c r="D2073" s="3">
        <f>ROUND(C2073*(1-Settings!$B$2),2)</f>
        <v>209.99</v>
      </c>
      <c r="E2073" s="3">
        <f>ROUND(C2073*(1-Settings!$B$3),2)</f>
        <v>209.99</v>
      </c>
      <c r="F2073" s="2" t="inlineStr">
        <is>
          <t>Pokemon</t>
        </is>
      </c>
      <c r="G2073" s="2" t="inlineStr">
        <is>
          <t>Coffret</t>
        </is>
      </c>
      <c r="H2073" s="2" t="inlineStr">
        <is>
          <t>SM - Guardians Rising</t>
        </is>
      </c>
      <c r="I2073" s="3" t="n"/>
      <c r="J2073" s="3" t="n"/>
      <c r="K2073" s="3" t="n"/>
      <c r="L2073" s="3" t="n">
        <v>299.99</v>
      </c>
      <c r="M2073" s="2" t="inlineStr">
        <is>
          <t>TCGplayer</t>
        </is>
      </c>
      <c r="O2073" s="4" t="inlineStr">
        <is>
          <t>https://www.tcgplayer.com/product/133807</t>
        </is>
      </c>
    </row>
    <row r="2074">
      <c r="A2074" s="2" t="inlineStr">
        <is>
          <t>Island Guardians Tin [Tapu Bulu GX]</t>
        </is>
      </c>
      <c r="B2074" s="3">
        <f>IF(I2074&lt;&gt;"",I2074,IF(J2074&lt;&gt;"",J2074,IF(K2074&lt;&gt;"",K2074,L2074)))</f>
        <v>169.99</v>
      </c>
      <c r="C2074" s="3">
        <f>MEDIAN(I2074:L2074)</f>
        <v>168.465</v>
      </c>
      <c r="D2074" s="3">
        <f>ROUND(C2074*(1-Settings!$B$2),2)</f>
        <v>117.93</v>
      </c>
      <c r="E2074" s="3">
        <f>ROUND(C2074*(1-Settings!$B$3),2)</f>
        <v>117.93</v>
      </c>
      <c r="F2074" s="2" t="inlineStr">
        <is>
          <t>Pokemon</t>
        </is>
      </c>
      <c r="G2074" s="2" t="inlineStr">
        <is>
          <t>Coffret</t>
        </is>
      </c>
      <c r="H2074" s="2" t="inlineStr">
        <is>
          <t>SM - Guardians Rising</t>
        </is>
      </c>
      <c r="I2074" s="3" t="n"/>
      <c r="J2074" s="3" t="n"/>
      <c r="K2074" s="3" t="n">
        <v>169.99</v>
      </c>
      <c r="L2074" s="3" t="n">
        <v>166.94</v>
      </c>
      <c r="M2074" s="2" t="inlineStr">
        <is>
          <t>TCGplayer</t>
        </is>
      </c>
      <c r="O2074" s="4" t="inlineStr">
        <is>
          <t>https://www.tcgplayer.com/product/131726</t>
        </is>
      </c>
    </row>
    <row r="2075">
      <c r="A2075" s="2" t="inlineStr">
        <is>
          <t>Island Guardians Tin [Tapu Koko GX]</t>
        </is>
      </c>
      <c r="B2075" s="3">
        <f>IF(I2075&lt;&gt;"",I2075,IF(J2075&lt;&gt;"",J2075,IF(K2075&lt;&gt;"",K2075,L2075)))</f>
        <v>175.0</v>
      </c>
      <c r="C2075" s="3">
        <f>MEDIAN(I2075:L2075)</f>
        <v>180.0</v>
      </c>
      <c r="D2075" s="3">
        <f>ROUND(C2075*(1-Settings!$B$2),2)</f>
        <v>126.0</v>
      </c>
      <c r="E2075" s="3">
        <f>ROUND(C2075*(1-Settings!$B$3),2)</f>
        <v>126.0</v>
      </c>
      <c r="F2075" s="2" t="inlineStr">
        <is>
          <t>Pokemon</t>
        </is>
      </c>
      <c r="G2075" s="2" t="inlineStr">
        <is>
          <t>Coffret</t>
        </is>
      </c>
      <c r="H2075" s="2" t="inlineStr">
        <is>
          <t>SM - Guardians Rising</t>
        </is>
      </c>
      <c r="I2075" s="3" t="n"/>
      <c r="J2075" s="3" t="n">
        <v>175</v>
      </c>
      <c r="K2075" s="3" t="n">
        <v>182</v>
      </c>
      <c r="L2075" s="3" t="n">
        <v>180</v>
      </c>
      <c r="M2075" s="2" t="inlineStr">
        <is>
          <t>TCGplayer</t>
        </is>
      </c>
      <c r="O2075" s="4" t="inlineStr">
        <is>
          <t>https://www.tcgplayer.com/product/131725</t>
        </is>
      </c>
    </row>
    <row r="2076">
      <c r="A2076" s="2" t="inlineStr">
        <is>
          <t>Lunala GX Challenge Box</t>
        </is>
      </c>
      <c r="B2076" s="3">
        <f>IF(I2076&lt;&gt;"",I2076,IF(J2076&lt;&gt;"",J2076,IF(K2076&lt;&gt;"",K2076,L2076)))</f>
        <v>199.99</v>
      </c>
      <c r="C2076" s="3">
        <f>MEDIAN(I2076:L2076)</f>
        <v>199.99</v>
      </c>
      <c r="D2076" s="3">
        <f>ROUND(C2076*(1-Settings!$B$2),2)</f>
        <v>139.99</v>
      </c>
      <c r="E2076" s="3">
        <f>ROUND(C2076*(1-Settings!$B$3),2)</f>
        <v>139.99</v>
      </c>
      <c r="F2076" s="2" t="inlineStr">
        <is>
          <t>Pokemon</t>
        </is>
      </c>
      <c r="G2076" s="2" t="inlineStr">
        <is>
          <t>Coffret</t>
        </is>
      </c>
      <c r="H2076" s="2" t="inlineStr">
        <is>
          <t>SM - Guardians Rising</t>
        </is>
      </c>
      <c r="I2076" s="3" t="n"/>
      <c r="J2076" s="3" t="n"/>
      <c r="K2076" s="3" t="n">
        <v>199.99</v>
      </c>
      <c r="L2076" s="3" t="n">
        <v>199.99</v>
      </c>
      <c r="M2076" s="2" t="inlineStr">
        <is>
          <t>TCGplayer</t>
        </is>
      </c>
      <c r="O2076" s="4" t="inlineStr">
        <is>
          <t>https://www.tcgplayer.com/product/218328</t>
        </is>
      </c>
    </row>
    <row r="2077">
      <c r="A2077" s="2" t="inlineStr">
        <is>
          <t>Mega Powers Collection</t>
        </is>
      </c>
      <c r="B2077" s="3">
        <f>IF(I2077&lt;&gt;"",I2077,IF(J2077&lt;&gt;"",J2077,IF(K2077&lt;&gt;"",K2077,L2077)))</f>
        <v>1799.0</v>
      </c>
      <c r="C2077" s="3">
        <f>MEDIAN(I2077:L2077)</f>
        <v>1799.0</v>
      </c>
      <c r="D2077" s="3">
        <f>ROUND(C2077*(1-Settings!$B$2),2)</f>
        <v>1259.3</v>
      </c>
      <c r="E2077" s="3">
        <f>ROUND(C2077*(1-Settings!$B$3),2)</f>
        <v>1259.3</v>
      </c>
      <c r="F2077" s="2" t="inlineStr">
        <is>
          <t>Pokemon</t>
        </is>
      </c>
      <c r="G2077" s="2" t="inlineStr">
        <is>
          <t>Coffret</t>
        </is>
      </c>
      <c r="H2077" s="2" t="inlineStr">
        <is>
          <t>SM - Guardians Rising</t>
        </is>
      </c>
      <c r="I2077" s="3" t="n"/>
      <c r="J2077" s="3" t="n"/>
      <c r="K2077" s="3" t="n">
        <v>1799</v>
      </c>
      <c r="L2077" s="3" t="n">
        <v>1799</v>
      </c>
      <c r="M2077" s="2" t="inlineStr">
        <is>
          <t>TCGplayer</t>
        </is>
      </c>
      <c r="O2077" s="4" t="inlineStr">
        <is>
          <t>https://www.tcgplayer.com/product/131693</t>
        </is>
      </c>
    </row>
    <row r="2078">
      <c r="A2078" s="2" t="inlineStr">
        <is>
          <t>Mega Tyranitar EX Premium Collection</t>
        </is>
      </c>
      <c r="B2078" s="3">
        <f>IF(I2078&lt;&gt;"",I2078,IF(J2078&lt;&gt;"",J2078,IF(K2078&lt;&gt;"",K2078,L2078)))</f>
        <v>419.0</v>
      </c>
      <c r="C2078" s="3">
        <f>MEDIAN(I2078:L2078)</f>
        <v>409.5</v>
      </c>
      <c r="D2078" s="3">
        <f>ROUND(C2078*(1-Settings!$B$2),2)</f>
        <v>286.65</v>
      </c>
      <c r="E2078" s="3">
        <f>ROUND(C2078*(1-Settings!$B$3),2)</f>
        <v>286.65</v>
      </c>
      <c r="F2078" s="2" t="inlineStr">
        <is>
          <t>Pokemon</t>
        </is>
      </c>
      <c r="G2078" s="2" t="inlineStr">
        <is>
          <t>Coffret</t>
        </is>
      </c>
      <c r="H2078" s="2" t="inlineStr">
        <is>
          <t>SM - Guardians Rising</t>
        </is>
      </c>
      <c r="I2078" s="3" t="n"/>
      <c r="J2078" s="3" t="n"/>
      <c r="K2078" s="3" t="n">
        <v>419</v>
      </c>
      <c r="L2078" s="3" t="n">
        <v>400</v>
      </c>
      <c r="M2078" s="2" t="inlineStr">
        <is>
          <t>TCGplayer</t>
        </is>
      </c>
      <c r="O2078" s="4" t="inlineStr">
        <is>
          <t>https://www.tcgplayer.com/product/133808</t>
        </is>
      </c>
    </row>
    <row r="2079">
      <c r="A2079" s="2" t="inlineStr">
        <is>
          <t>Premium Collection [Set of 3] Decidueye GX, Primarina GX, &amp; Incineroar GX</t>
        </is>
      </c>
      <c r="B2079" s="3">
        <f>IF(I2079&lt;&gt;"",I2079,IF(J2079&lt;&gt;"",J2079,IF(K2079&lt;&gt;"",K2079,L2079)))</f>
        <v>1690.0</v>
      </c>
      <c r="C2079" s="3">
        <f>MEDIAN(I2079:L2079)</f>
        <v>1690.0</v>
      </c>
      <c r="D2079" s="3">
        <f>ROUND(C2079*(1-Settings!$B$2),2)</f>
        <v>1183.0</v>
      </c>
      <c r="E2079" s="3">
        <f>ROUND(C2079*(1-Settings!$B$3),2)</f>
        <v>1183.0</v>
      </c>
      <c r="F2079" s="2" t="inlineStr">
        <is>
          <t>Pokemon</t>
        </is>
      </c>
      <c r="G2079" s="2" t="inlineStr">
        <is>
          <t>Coffret</t>
        </is>
      </c>
      <c r="H2079" s="2" t="inlineStr">
        <is>
          <t>SM - Guardians Rising</t>
        </is>
      </c>
      <c r="I2079" s="3" t="n"/>
      <c r="J2079" s="3" t="n"/>
      <c r="K2079" s="3" t="n">
        <v>1690</v>
      </c>
      <c r="L2079" s="3" t="n">
        <v>1690</v>
      </c>
      <c r="M2079" s="2" t="inlineStr">
        <is>
          <t>TCGplayer</t>
        </is>
      </c>
      <c r="O2079" s="4" t="inlineStr">
        <is>
          <t>https://www.tcgplayer.com/product/133809</t>
        </is>
      </c>
    </row>
    <row r="2080">
      <c r="A2080" s="2" t="inlineStr">
        <is>
          <t>Primarina GX Premium Collection</t>
        </is>
      </c>
      <c r="B2080" s="3">
        <f>IF(I2080&lt;&gt;"",I2080,IF(J2080&lt;&gt;"",J2080,IF(K2080&lt;&gt;"",K2080,L2080)))</f>
        <v>337.99</v>
      </c>
      <c r="C2080" s="3">
        <f>MEDIAN(I2080:L2080)</f>
        <v>337.99</v>
      </c>
      <c r="D2080" s="3">
        <f>ROUND(C2080*(1-Settings!$B$2),2)</f>
        <v>236.59</v>
      </c>
      <c r="E2080" s="3">
        <f>ROUND(C2080*(1-Settings!$B$3),2)</f>
        <v>236.59</v>
      </c>
      <c r="F2080" s="2" t="inlineStr">
        <is>
          <t>Pokemon</t>
        </is>
      </c>
      <c r="G2080" s="2" t="inlineStr">
        <is>
          <t>Coffret</t>
        </is>
      </c>
      <c r="H2080" s="2" t="inlineStr">
        <is>
          <t>SM - Guardians Rising</t>
        </is>
      </c>
      <c r="I2080" s="3" t="n"/>
      <c r="J2080" s="3" t="n">
        <v>337.99</v>
      </c>
      <c r="K2080" s="3" t="n"/>
      <c r="L2080" s="3" t="n"/>
      <c r="M2080" s="2" t="inlineStr">
        <is>
          <t>TCGplayer</t>
        </is>
      </c>
      <c r="O2080" s="4" t="inlineStr">
        <is>
          <t>https://www.tcgplayer.com/product/133805</t>
        </is>
      </c>
    </row>
    <row r="2081">
      <c r="A2081" s="2" t="inlineStr">
        <is>
          <t>Shiny Tapu Koko GX Box</t>
        </is>
      </c>
      <c r="B2081" s="3">
        <f>IF(I2081&lt;&gt;"",I2081,IF(J2081&lt;&gt;"",J2081,IF(K2081&lt;&gt;"",K2081,L2081)))</f>
        <v>91.95</v>
      </c>
      <c r="C2081" s="3">
        <f>MEDIAN(I2081:L2081)</f>
        <v>135.01</v>
      </c>
      <c r="D2081" s="3">
        <f>ROUND(C2081*(1-Settings!$B$2),2)</f>
        <v>94.51</v>
      </c>
      <c r="E2081" s="3">
        <f>ROUND(C2081*(1-Settings!$B$3),2)</f>
        <v>94.51</v>
      </c>
      <c r="F2081" s="2" t="inlineStr">
        <is>
          <t>Pokemon</t>
        </is>
      </c>
      <c r="G2081" s="2" t="inlineStr">
        <is>
          <t>Coffret</t>
        </is>
      </c>
      <c r="H2081" s="2" t="inlineStr">
        <is>
          <t>SM - Guardians Rising</t>
        </is>
      </c>
      <c r="I2081" s="3" t="n">
        <v>91.95</v>
      </c>
      <c r="J2081" s="3" t="n"/>
      <c r="K2081" s="3" t="n">
        <v>146</v>
      </c>
      <c r="L2081" s="3" t="n">
        <v>135.01</v>
      </c>
      <c r="M2081" s="2" t="inlineStr">
        <is>
          <t>PriceCharting + TCGplayer</t>
        </is>
      </c>
      <c r="N2081" s="4" t="inlineStr">
        <is>
          <t>https://www.pricecharting.com/game/pokemon-guardians-rising/shiny-tapu-koko-gx-box</t>
        </is>
      </c>
      <c r="O2081" s="4" t="inlineStr">
        <is>
          <t>https://www.tcgplayer.com/product/137872</t>
        </is>
      </c>
    </row>
    <row r="2082">
      <c r="A2082" s="2" t="inlineStr">
        <is>
          <t>Solgaleo GX Challenge Box</t>
        </is>
      </c>
      <c r="B2082" s="3">
        <f>IF(I2082&lt;&gt;"",I2082,IF(J2082&lt;&gt;"",J2082,IF(K2082&lt;&gt;"",K2082,L2082)))</f>
        <v>300.0</v>
      </c>
      <c r="C2082" s="3">
        <f>MEDIAN(I2082:L2082)</f>
        <v>300.0</v>
      </c>
      <c r="D2082" s="3">
        <f>ROUND(C2082*(1-Settings!$B$2),2)</f>
        <v>210.0</v>
      </c>
      <c r="E2082" s="3">
        <f>ROUND(C2082*(1-Settings!$B$3),2)</f>
        <v>210.0</v>
      </c>
      <c r="F2082" s="2" t="inlineStr">
        <is>
          <t>Pokemon</t>
        </is>
      </c>
      <c r="G2082" s="2" t="inlineStr">
        <is>
          <t>Coffret</t>
        </is>
      </c>
      <c r="H2082" s="2" t="inlineStr">
        <is>
          <t>SM - Guardians Rising</t>
        </is>
      </c>
      <c r="I2082" s="3" t="n"/>
      <c r="J2082" s="3" t="n"/>
      <c r="K2082" s="3" t="n">
        <v>300</v>
      </c>
      <c r="L2082" s="3" t="n">
        <v>300</v>
      </c>
      <c r="M2082" s="2" t="inlineStr">
        <is>
          <t>TCGplayer</t>
        </is>
      </c>
      <c r="O2082" s="4" t="inlineStr">
        <is>
          <t>https://www.tcgplayer.com/product/218327</t>
        </is>
      </c>
    </row>
    <row r="2083">
      <c r="A2083" s="2" t="inlineStr">
        <is>
          <t>Tapu Koko Pin Collection</t>
        </is>
      </c>
      <c r="B2083" s="3">
        <f>IF(I2083&lt;&gt;"",I2083,IF(J2083&lt;&gt;"",J2083,IF(K2083&lt;&gt;"",K2083,L2083)))</f>
        <v>61.63</v>
      </c>
      <c r="C2083" s="3">
        <f>MEDIAN(I2083:L2083)</f>
        <v>87.16499999999999</v>
      </c>
      <c r="D2083" s="3">
        <f>ROUND(C2083*(1-Settings!$B$2),2)</f>
        <v>61.02</v>
      </c>
      <c r="E2083" s="3">
        <f>ROUND(C2083*(1-Settings!$B$3),2)</f>
        <v>61.02</v>
      </c>
      <c r="F2083" s="2" t="inlineStr">
        <is>
          <t>Pokemon</t>
        </is>
      </c>
      <c r="G2083" s="2" t="inlineStr">
        <is>
          <t>Coffret</t>
        </is>
      </c>
      <c r="H2083" s="2" t="inlineStr">
        <is>
          <t>SM - Guardians Rising</t>
        </is>
      </c>
      <c r="I2083" s="3" t="n">
        <v>61.63</v>
      </c>
      <c r="J2083" s="3" t="n">
        <v>79.33</v>
      </c>
      <c r="K2083" s="3" t="n">
        <v>107.5</v>
      </c>
      <c r="L2083" s="3" t="n">
        <v>95</v>
      </c>
      <c r="M2083" s="2" t="inlineStr">
        <is>
          <t>PriceCharting + TCGplayer</t>
        </is>
      </c>
      <c r="N2083" s="4" t="inlineStr">
        <is>
          <t>https://www.pricecharting.com/game/pokemon-guardians-rising/tapu-koko-pin-collection</t>
        </is>
      </c>
      <c r="O2083" s="4" t="inlineStr">
        <is>
          <t>https://www.tcgplayer.com/product/132237</t>
        </is>
      </c>
    </row>
    <row r="2084">
      <c r="A2084" s="2" t="inlineStr">
        <is>
          <t>Triple Effect Tin [Flareon]</t>
        </is>
      </c>
      <c r="B2084" s="3">
        <f>IF(I2084&lt;&gt;"",I2084,IF(J2084&lt;&gt;"",J2084,IF(K2084&lt;&gt;"",K2084,L2084)))</f>
        <v>300.0</v>
      </c>
      <c r="C2084" s="3">
        <f>MEDIAN(I2084:L2084)</f>
        <v>300.0</v>
      </c>
      <c r="D2084" s="3">
        <f>ROUND(C2084*(1-Settings!$B$2),2)</f>
        <v>210.0</v>
      </c>
      <c r="E2084" s="3">
        <f>ROUND(C2084*(1-Settings!$B$3),2)</f>
        <v>210.0</v>
      </c>
      <c r="F2084" s="2" t="inlineStr">
        <is>
          <t>Pokemon</t>
        </is>
      </c>
      <c r="G2084" s="2" t="inlineStr">
        <is>
          <t>Coffret</t>
        </is>
      </c>
      <c r="H2084" s="2" t="inlineStr">
        <is>
          <t>SM - Guardians Rising</t>
        </is>
      </c>
      <c r="I2084" s="3" t="n"/>
      <c r="J2084" s="3" t="n">
        <v>300</v>
      </c>
      <c r="K2084" s="3" t="n"/>
      <c r="L2084" s="3" t="n"/>
      <c r="M2084" s="2" t="inlineStr">
        <is>
          <t>TCGplayer</t>
        </is>
      </c>
      <c r="O2084" s="4" t="inlineStr">
        <is>
          <t>https://www.tcgplayer.com/product/177868</t>
        </is>
      </c>
    </row>
    <row r="2085">
      <c r="A2085" s="2" t="inlineStr">
        <is>
          <t>Triple Effect Tin [Jolteon]</t>
        </is>
      </c>
      <c r="B2085" s="3">
        <f>IF(I2085&lt;&gt;"",I2085,IF(J2085&lt;&gt;"",J2085,IF(K2085&lt;&gt;"",K2085,L2085)))</f>
        <v>300.0</v>
      </c>
      <c r="C2085" s="3">
        <f>MEDIAN(I2085:L2085)</f>
        <v>300.0</v>
      </c>
      <c r="D2085" s="3">
        <f>ROUND(C2085*(1-Settings!$B$2),2)</f>
        <v>210.0</v>
      </c>
      <c r="E2085" s="3">
        <f>ROUND(C2085*(1-Settings!$B$3),2)</f>
        <v>210.0</v>
      </c>
      <c r="F2085" s="2" t="inlineStr">
        <is>
          <t>Pokemon</t>
        </is>
      </c>
      <c r="G2085" s="2" t="inlineStr">
        <is>
          <t>Coffret</t>
        </is>
      </c>
      <c r="H2085" s="2" t="inlineStr">
        <is>
          <t>SM - Guardians Rising</t>
        </is>
      </c>
      <c r="I2085" s="3" t="n"/>
      <c r="J2085" s="3" t="n">
        <v>300</v>
      </c>
      <c r="K2085" s="3" t="n"/>
      <c r="L2085" s="3" t="n"/>
      <c r="M2085" s="2" t="inlineStr">
        <is>
          <t>TCGplayer</t>
        </is>
      </c>
      <c r="O2085" s="4" t="inlineStr">
        <is>
          <t>https://www.tcgplayer.com/product/177869</t>
        </is>
      </c>
    </row>
    <row r="2086">
      <c r="A2086" s="2" t="inlineStr">
        <is>
          <t>Umbreon GX Premium Collection</t>
        </is>
      </c>
      <c r="B2086" s="3">
        <f>IF(I2086&lt;&gt;"",I2086,IF(J2086&lt;&gt;"",J2086,IF(K2086&lt;&gt;"",K2086,L2086)))</f>
        <v>800.0</v>
      </c>
      <c r="C2086" s="3">
        <f>MEDIAN(I2086:L2086)</f>
        <v>840.825</v>
      </c>
      <c r="D2086" s="3">
        <f>ROUND(C2086*(1-Settings!$B$2),2)</f>
        <v>588.58</v>
      </c>
      <c r="E2086" s="3">
        <f>ROUND(C2086*(1-Settings!$B$3),2)</f>
        <v>588.58</v>
      </c>
      <c r="F2086" s="2" t="inlineStr">
        <is>
          <t>Pokemon</t>
        </is>
      </c>
      <c r="G2086" s="2" t="inlineStr">
        <is>
          <t>Coffret</t>
        </is>
      </c>
      <c r="H2086" s="2" t="inlineStr">
        <is>
          <t>SM - Guardians Rising</t>
        </is>
      </c>
      <c r="I2086" s="3" t="n">
        <v>800</v>
      </c>
      <c r="J2086" s="3" t="n">
        <v>866.66</v>
      </c>
      <c r="K2086" s="3" t="n">
        <v>1249.99</v>
      </c>
      <c r="L2086" s="3" t="n">
        <v>814.99</v>
      </c>
      <c r="M2086" s="2" t="inlineStr">
        <is>
          <t>PriceCharting + TCGplayer</t>
        </is>
      </c>
      <c r="N2086" s="4" t="inlineStr">
        <is>
          <t>https://www.pricecharting.com/game/pokemon-guardians-rising/umbreon-gx-premium-collection</t>
        </is>
      </c>
      <c r="O2086" s="4" t="inlineStr">
        <is>
          <t>https://www.tcgplayer.com/product/137524</t>
        </is>
      </c>
    </row>
    <row r="2087">
      <c r="A2087" s="2" t="inlineStr">
        <is>
          <t>Fall 2018 Collector Chest</t>
        </is>
      </c>
      <c r="B2087" s="3">
        <f>IF(I2087&lt;&gt;"",I2087,IF(J2087&lt;&gt;"",J2087,IF(K2087&lt;&gt;"",K2087,L2087)))</f>
        <v>300.0</v>
      </c>
      <c r="C2087" s="3">
        <f>MEDIAN(I2087:L2087)</f>
        <v>300.0</v>
      </c>
      <c r="D2087" s="3">
        <f>ROUND(C2087*(1-Settings!$B$2),2)</f>
        <v>210.0</v>
      </c>
      <c r="E2087" s="3">
        <f>ROUND(C2087*(1-Settings!$B$3),2)</f>
        <v>210.0</v>
      </c>
      <c r="F2087" s="2" t="inlineStr">
        <is>
          <t>Pokemon</t>
        </is>
      </c>
      <c r="G2087" s="2" t="inlineStr">
        <is>
          <t>Coffret</t>
        </is>
      </c>
      <c r="H2087" s="2" t="inlineStr">
        <is>
          <t>SM - Lost Thunder</t>
        </is>
      </c>
      <c r="I2087" s="3" t="n"/>
      <c r="J2087" s="3" t="n">
        <v>300</v>
      </c>
      <c r="K2087" s="3" t="n"/>
      <c r="L2087" s="3" t="n"/>
      <c r="M2087" s="2" t="inlineStr">
        <is>
          <t>TCGplayer</t>
        </is>
      </c>
      <c r="O2087" s="4" t="inlineStr">
        <is>
          <t>https://www.tcgplayer.com/product/180518</t>
        </is>
      </c>
    </row>
    <row r="2088">
      <c r="A2088" s="2" t="inlineStr">
        <is>
          <t>Flareon GX Special Collection</t>
        </is>
      </c>
      <c r="B2088" s="3">
        <f>IF(I2088&lt;&gt;"",I2088,IF(J2088&lt;&gt;"",J2088,IF(K2088&lt;&gt;"",K2088,L2088)))</f>
        <v>589.0</v>
      </c>
      <c r="C2088" s="3">
        <f>MEDIAN(I2088:L2088)</f>
        <v>589.0</v>
      </c>
      <c r="D2088" s="3">
        <f>ROUND(C2088*(1-Settings!$B$2),2)</f>
        <v>412.3</v>
      </c>
      <c r="E2088" s="3">
        <f>ROUND(C2088*(1-Settings!$B$3),2)</f>
        <v>412.3</v>
      </c>
      <c r="F2088" s="2" t="inlineStr">
        <is>
          <t>Pokemon</t>
        </is>
      </c>
      <c r="G2088" s="2" t="inlineStr">
        <is>
          <t>Coffret</t>
        </is>
      </c>
      <c r="H2088" s="2" t="inlineStr">
        <is>
          <t>SM - Lost Thunder</t>
        </is>
      </c>
      <c r="I2088" s="3" t="n"/>
      <c r="J2088" s="3" t="n">
        <v>589</v>
      </c>
      <c r="K2088" s="3" t="n"/>
      <c r="L2088" s="3" t="n"/>
      <c r="M2088" s="2" t="inlineStr">
        <is>
          <t>TCGplayer</t>
        </is>
      </c>
      <c r="O2088" s="4" t="inlineStr">
        <is>
          <t>https://www.tcgplayer.com/product/181708</t>
        </is>
      </c>
    </row>
    <row r="2089">
      <c r="A2089" s="2" t="inlineStr">
        <is>
          <t>Island Guardians GX Premium Collection</t>
        </is>
      </c>
      <c r="B2089" s="3">
        <f>IF(I2089&lt;&gt;"",I2089,IF(J2089&lt;&gt;"",J2089,IF(K2089&lt;&gt;"",K2089,L2089)))</f>
        <v>599.99</v>
      </c>
      <c r="C2089" s="3">
        <f>MEDIAN(I2089:L2089)</f>
        <v>579.995</v>
      </c>
      <c r="D2089" s="3">
        <f>ROUND(C2089*(1-Settings!$B$2),2)</f>
        <v>406.0</v>
      </c>
      <c r="E2089" s="3">
        <f>ROUND(C2089*(1-Settings!$B$3),2)</f>
        <v>406.0</v>
      </c>
      <c r="F2089" s="2" t="inlineStr">
        <is>
          <t>Pokemon</t>
        </is>
      </c>
      <c r="G2089" s="2" t="inlineStr">
        <is>
          <t>Coffret</t>
        </is>
      </c>
      <c r="H2089" s="2" t="inlineStr">
        <is>
          <t>SM - Lost Thunder</t>
        </is>
      </c>
      <c r="I2089" s="3" t="n"/>
      <c r="J2089" s="3" t="n"/>
      <c r="K2089" s="3" t="n">
        <v>599.99</v>
      </c>
      <c r="L2089" s="3" t="n">
        <v>560</v>
      </c>
      <c r="M2089" s="2" t="inlineStr">
        <is>
          <t>TCGplayer</t>
        </is>
      </c>
      <c r="O2089" s="4" t="inlineStr">
        <is>
          <t>https://www.tcgplayer.com/product/177864</t>
        </is>
      </c>
    </row>
    <row r="2090">
      <c r="A2090" s="2" t="inlineStr">
        <is>
          <t>Island Guardians GX Premium Pin Collection</t>
        </is>
      </c>
      <c r="B2090" s="3">
        <f>IF(I2090&lt;&gt;"",I2090,IF(J2090&lt;&gt;"",J2090,IF(K2090&lt;&gt;"",K2090,L2090)))</f>
        <v>895.99</v>
      </c>
      <c r="C2090" s="3">
        <f>MEDIAN(I2090:L2090)</f>
        <v>895.99</v>
      </c>
      <c r="D2090" s="3">
        <f>ROUND(C2090*(1-Settings!$B$2),2)</f>
        <v>627.19</v>
      </c>
      <c r="E2090" s="3">
        <f>ROUND(C2090*(1-Settings!$B$3),2)</f>
        <v>627.19</v>
      </c>
      <c r="F2090" s="2" t="inlineStr">
        <is>
          <t>Pokemon</t>
        </is>
      </c>
      <c r="G2090" s="2" t="inlineStr">
        <is>
          <t>Coffret</t>
        </is>
      </c>
      <c r="H2090" s="2" t="inlineStr">
        <is>
          <t>SM - Lost Thunder</t>
        </is>
      </c>
      <c r="I2090" s="3" t="n"/>
      <c r="J2090" s="3" t="n"/>
      <c r="K2090" s="3" t="n">
        <v>895.99</v>
      </c>
      <c r="L2090" s="3" t="n">
        <v>895.99</v>
      </c>
      <c r="M2090" s="2" t="inlineStr">
        <is>
          <t>TCGplayer</t>
        </is>
      </c>
      <c r="O2090" s="4" t="inlineStr">
        <is>
          <t>https://www.tcgplayer.com/product/181707</t>
        </is>
      </c>
    </row>
    <row r="2091">
      <c r="A2091" s="2" t="inlineStr">
        <is>
          <t>Jolteon GX Special Collection</t>
        </is>
      </c>
      <c r="B2091" s="3">
        <f>IF(I2091&lt;&gt;"",I2091,IF(J2091&lt;&gt;"",J2091,IF(K2091&lt;&gt;"",K2091,L2091)))</f>
        <v>600.0</v>
      </c>
      <c r="C2091" s="3">
        <f>MEDIAN(I2091:L2091)</f>
        <v>600.0</v>
      </c>
      <c r="D2091" s="3">
        <f>ROUND(C2091*(1-Settings!$B$2),2)</f>
        <v>420.0</v>
      </c>
      <c r="E2091" s="3">
        <f>ROUND(C2091*(1-Settings!$B$3),2)</f>
        <v>420.0</v>
      </c>
      <c r="F2091" s="2" t="inlineStr">
        <is>
          <t>Pokemon</t>
        </is>
      </c>
      <c r="G2091" s="2" t="inlineStr">
        <is>
          <t>Coffret</t>
        </is>
      </c>
      <c r="H2091" s="2" t="inlineStr">
        <is>
          <t>SM - Lost Thunder</t>
        </is>
      </c>
      <c r="I2091" s="3" t="n"/>
      <c r="J2091" s="3" t="n"/>
      <c r="K2091" s="3" t="n">
        <v>600</v>
      </c>
      <c r="L2091" s="3" t="n">
        <v>600</v>
      </c>
      <c r="M2091" s="2" t="inlineStr">
        <is>
          <t>TCGplayer</t>
        </is>
      </c>
      <c r="O2091" s="4" t="inlineStr">
        <is>
          <t>https://www.tcgplayer.com/product/181709</t>
        </is>
      </c>
    </row>
    <row r="2092">
      <c r="A2092" s="2" t="inlineStr">
        <is>
          <t>Lost Thunder Booster Pack Art Bundle [Set of 4]</t>
        </is>
      </c>
      <c r="B2092" s="3">
        <f>IF(I2092&lt;&gt;"",I2092,IF(J2092&lt;&gt;"",J2092,IF(K2092&lt;&gt;"",K2092,L2092)))</f>
        <v>199.48</v>
      </c>
      <c r="C2092" s="3">
        <f>MEDIAN(I2092:L2092)</f>
        <v>129.74</v>
      </c>
      <c r="D2092" s="3">
        <f>ROUND(C2092*(1-Settings!$B$2),2)</f>
        <v>90.82</v>
      </c>
      <c r="E2092" s="3">
        <f>ROUND(C2092*(1-Settings!$B$3),2)</f>
        <v>90.82</v>
      </c>
      <c r="F2092" s="2" t="inlineStr">
        <is>
          <t>Pokemon</t>
        </is>
      </c>
      <c r="G2092" s="2" t="inlineStr">
        <is>
          <t>Coffret</t>
        </is>
      </c>
      <c r="H2092" s="2" t="inlineStr">
        <is>
          <t>SM - Lost Thunder</t>
        </is>
      </c>
      <c r="I2092" s="3" t="n"/>
      <c r="J2092" s="3" t="n">
        <v>199.48</v>
      </c>
      <c r="K2092" s="3" t="n"/>
      <c r="L2092" s="3" t="n">
        <v>60</v>
      </c>
      <c r="M2092" s="2" t="inlineStr">
        <is>
          <t>TCGplayer</t>
        </is>
      </c>
      <c r="O2092" s="4" t="inlineStr">
        <is>
          <t>https://www.tcgplayer.com/product/267043</t>
        </is>
      </c>
    </row>
    <row r="2093">
      <c r="A2093" s="2" t="inlineStr">
        <is>
          <t>Lost Thunder Build &amp; Battle Box</t>
        </is>
      </c>
      <c r="B2093" s="3">
        <f>IF(I2093&lt;&gt;"",I2093,IF(J2093&lt;&gt;"",J2093,IF(K2093&lt;&gt;"",K2093,L2093)))</f>
        <v>210.0</v>
      </c>
      <c r="C2093" s="3">
        <f>MEDIAN(I2093:L2093)</f>
        <v>214.995</v>
      </c>
      <c r="D2093" s="3">
        <f>ROUND(C2093*(1-Settings!$B$2),2)</f>
        <v>150.5</v>
      </c>
      <c r="E2093" s="3">
        <f>ROUND(C2093*(1-Settings!$B$3),2)</f>
        <v>150.5</v>
      </c>
      <c r="F2093" s="2" t="inlineStr">
        <is>
          <t>Pokemon</t>
        </is>
      </c>
      <c r="G2093" s="2" t="inlineStr">
        <is>
          <t>Coffret</t>
        </is>
      </c>
      <c r="H2093" s="2" t="inlineStr">
        <is>
          <t>SM - Lost Thunder</t>
        </is>
      </c>
      <c r="I2093" s="3" t="n">
        <v>210</v>
      </c>
      <c r="J2093" s="3" t="n">
        <v>194.88</v>
      </c>
      <c r="K2093" s="3" t="n">
        <v>239.96</v>
      </c>
      <c r="L2093" s="3" t="n">
        <v>219.99</v>
      </c>
      <c r="M2093" s="2" t="inlineStr">
        <is>
          <t>PriceCharting + TCGplayer</t>
        </is>
      </c>
      <c r="N2093" s="4" t="inlineStr">
        <is>
          <t>https://www.pricecharting.com/game/pokemon-lost-thunder/build-&amp;-battle-box</t>
        </is>
      </c>
      <c r="O2093" s="4" t="inlineStr">
        <is>
          <t>https://www.tcgplayer.com/product/179423</t>
        </is>
      </c>
    </row>
    <row r="2094">
      <c r="A2094" s="2" t="inlineStr">
        <is>
          <t>Lost Thunder Elite Trainer Box</t>
        </is>
      </c>
      <c r="B2094" s="3">
        <f>IF(I2094&lt;&gt;"",I2094,IF(J2094&lt;&gt;"",J2094,IF(K2094&lt;&gt;"",K2094,L2094)))</f>
        <v>730.0</v>
      </c>
      <c r="C2094" s="3">
        <f>MEDIAN(I2094:L2094)</f>
        <v>722.495</v>
      </c>
      <c r="D2094" s="3">
        <f>ROUND(C2094*(1-Settings!$B$2),2)</f>
        <v>505.75</v>
      </c>
      <c r="E2094" s="3">
        <f>ROUND(C2094*(1-Settings!$B$3),2)</f>
        <v>505.75</v>
      </c>
      <c r="F2094" s="2" t="inlineStr">
        <is>
          <t>Pokemon</t>
        </is>
      </c>
      <c r="G2094" s="2" t="inlineStr">
        <is>
          <t>Coffret</t>
        </is>
      </c>
      <c r="H2094" s="2" t="inlineStr">
        <is>
          <t>SM - Lost Thunder</t>
        </is>
      </c>
      <c r="I2094" s="3" t="n">
        <v>730</v>
      </c>
      <c r="J2094" s="3" t="n">
        <v>695.46</v>
      </c>
      <c r="K2094" s="3" t="n">
        <v>799.99</v>
      </c>
      <c r="L2094" s="3" t="n">
        <v>714.99</v>
      </c>
      <c r="M2094" s="2" t="inlineStr">
        <is>
          <t>PriceCharting + TCGplayer</t>
        </is>
      </c>
      <c r="N2094" s="4" t="inlineStr">
        <is>
          <t>https://www.pricecharting.com/game/pokemon-lost-thunder/elite-trainer-box</t>
        </is>
      </c>
      <c r="O2094" s="4" t="inlineStr">
        <is>
          <t>https://www.tcgplayer.com/product/175511</t>
        </is>
      </c>
    </row>
    <row r="2095">
      <c r="A2095" s="2" t="inlineStr">
        <is>
          <t>Vaporeon GX Special Collection</t>
        </is>
      </c>
      <c r="B2095" s="3">
        <f>IF(I2095&lt;&gt;"",I2095,IF(J2095&lt;&gt;"",J2095,IF(K2095&lt;&gt;"",K2095,L2095)))</f>
        <v>599.99</v>
      </c>
      <c r="C2095" s="3">
        <f>MEDIAN(I2095:L2095)</f>
        <v>599.99</v>
      </c>
      <c r="D2095" s="3">
        <f>ROUND(C2095*(1-Settings!$B$2),2)</f>
        <v>419.99</v>
      </c>
      <c r="E2095" s="3">
        <f>ROUND(C2095*(1-Settings!$B$3),2)</f>
        <v>419.99</v>
      </c>
      <c r="F2095" s="2" t="inlineStr">
        <is>
          <t>Pokemon</t>
        </is>
      </c>
      <c r="G2095" s="2" t="inlineStr">
        <is>
          <t>Coffret</t>
        </is>
      </c>
      <c r="H2095" s="2" t="inlineStr">
        <is>
          <t>SM - Lost Thunder</t>
        </is>
      </c>
      <c r="I2095" s="3" t="n"/>
      <c r="J2095" s="3" t="n">
        <v>599.99</v>
      </c>
      <c r="K2095" s="3" t="n"/>
      <c r="L2095" s="3" t="n"/>
      <c r="M2095" s="2" t="inlineStr">
        <is>
          <t>TCGplayer</t>
        </is>
      </c>
      <c r="O2095" s="4" t="inlineStr">
        <is>
          <t>https://www.tcgplayer.com/product/181710</t>
        </is>
      </c>
    </row>
    <row r="2096">
      <c r="A2096" s="2" t="inlineStr">
        <is>
          <t>Melmetal GX Box</t>
        </is>
      </c>
      <c r="B2096" s="3">
        <f>IF(I2096&lt;&gt;"",I2096,IF(J2096&lt;&gt;"",J2096,IF(K2096&lt;&gt;"",K2096,L2096)))</f>
        <v>950.0</v>
      </c>
      <c r="C2096" s="3">
        <f>MEDIAN(I2096:L2096)</f>
        <v>949.99</v>
      </c>
      <c r="D2096" s="3">
        <f>ROUND(C2096*(1-Settings!$B$2),2)</f>
        <v>664.99</v>
      </c>
      <c r="E2096" s="3">
        <f>ROUND(C2096*(1-Settings!$B$3),2)</f>
        <v>664.99</v>
      </c>
      <c r="F2096" s="2" t="inlineStr">
        <is>
          <t>Pokemon</t>
        </is>
      </c>
      <c r="G2096" s="2" t="inlineStr">
        <is>
          <t>Coffret</t>
        </is>
      </c>
      <c r="H2096" s="2" t="inlineStr">
        <is>
          <t>SM - Team Up</t>
        </is>
      </c>
      <c r="I2096" s="3" t="n"/>
      <c r="J2096" s="3" t="n">
        <v>950</v>
      </c>
      <c r="K2096" s="3" t="n">
        <v>949.99</v>
      </c>
      <c r="L2096" s="3" t="n">
        <v>949.99</v>
      </c>
      <c r="M2096" s="2" t="inlineStr">
        <is>
          <t>TCGplayer</t>
        </is>
      </c>
      <c r="O2096" s="4" t="inlineStr">
        <is>
          <t>https://www.tcgplayer.com/product/185246</t>
        </is>
      </c>
    </row>
    <row r="2097">
      <c r="A2097" s="2" t="inlineStr">
        <is>
          <t>TAG TEAM Tin [Celebi &amp; Venusaur GX]</t>
        </is>
      </c>
      <c r="B2097" s="3">
        <f>IF(I2097&lt;&gt;"",I2097,IF(J2097&lt;&gt;"",J2097,IF(K2097&lt;&gt;"",K2097,L2097)))</f>
        <v>618.33</v>
      </c>
      <c r="C2097" s="3">
        <f>MEDIAN(I2097:L2097)</f>
        <v>700.0</v>
      </c>
      <c r="D2097" s="3">
        <f>ROUND(C2097*(1-Settings!$B$2),2)</f>
        <v>490.0</v>
      </c>
      <c r="E2097" s="3">
        <f>ROUND(C2097*(1-Settings!$B$3),2)</f>
        <v>490.0</v>
      </c>
      <c r="F2097" s="2" t="inlineStr">
        <is>
          <t>Pokemon</t>
        </is>
      </c>
      <c r="G2097" s="2" t="inlineStr">
        <is>
          <t>Coffret</t>
        </is>
      </c>
      <c r="H2097" s="2" t="inlineStr">
        <is>
          <t>SM - Team Up</t>
        </is>
      </c>
      <c r="I2097" s="3" t="n"/>
      <c r="J2097" s="3" t="n">
        <v>618.33</v>
      </c>
      <c r="K2097" s="3" t="n">
        <v>779.95</v>
      </c>
      <c r="L2097" s="3" t="n">
        <v>700</v>
      </c>
      <c r="M2097" s="2" t="inlineStr">
        <is>
          <t>TCGplayer</t>
        </is>
      </c>
      <c r="O2097" s="4" t="inlineStr">
        <is>
          <t>https://www.tcgplayer.com/product/185256</t>
        </is>
      </c>
    </row>
    <row r="2098">
      <c r="A2098" s="2" t="inlineStr">
        <is>
          <t>TAG TEAM Tin [Eevee &amp; Snorlax GX]</t>
        </is>
      </c>
      <c r="B2098" s="3">
        <f>IF(I2098&lt;&gt;"",I2098,IF(J2098&lt;&gt;"",J2098,IF(K2098&lt;&gt;"",K2098,L2098)))</f>
        <v>716.67</v>
      </c>
      <c r="C2098" s="3">
        <f>MEDIAN(I2098:L2098)</f>
        <v>775.0</v>
      </c>
      <c r="D2098" s="3">
        <f>ROUND(C2098*(1-Settings!$B$2),2)</f>
        <v>542.5</v>
      </c>
      <c r="E2098" s="3">
        <f>ROUND(C2098*(1-Settings!$B$3),2)</f>
        <v>542.5</v>
      </c>
      <c r="F2098" s="2" t="inlineStr">
        <is>
          <t>Pokemon</t>
        </is>
      </c>
      <c r="G2098" s="2" t="inlineStr">
        <is>
          <t>Coffret</t>
        </is>
      </c>
      <c r="H2098" s="2" t="inlineStr">
        <is>
          <t>SM - Team Up</t>
        </is>
      </c>
      <c r="I2098" s="3" t="n"/>
      <c r="J2098" s="3" t="n">
        <v>716.67</v>
      </c>
      <c r="K2098" s="3" t="n">
        <v>849.99</v>
      </c>
      <c r="L2098" s="3" t="n">
        <v>775</v>
      </c>
      <c r="M2098" s="2" t="inlineStr">
        <is>
          <t>TCGplayer</t>
        </is>
      </c>
      <c r="O2098" s="4" t="inlineStr">
        <is>
          <t>https://www.tcgplayer.com/product/185257</t>
        </is>
      </c>
    </row>
    <row r="2099">
      <c r="A2099" s="2" t="inlineStr">
        <is>
          <t>TAG TEAM Tin [Pikachu &amp; Zekrom GX]</t>
        </is>
      </c>
      <c r="B2099" s="3">
        <f>IF(I2099&lt;&gt;"",I2099,IF(J2099&lt;&gt;"",J2099,IF(K2099&lt;&gt;"",K2099,L2099)))</f>
        <v>726.93</v>
      </c>
      <c r="C2099" s="3">
        <f>MEDIAN(I2099:L2099)</f>
        <v>849.0</v>
      </c>
      <c r="D2099" s="3">
        <f>ROUND(C2099*(1-Settings!$B$2),2)</f>
        <v>594.3</v>
      </c>
      <c r="E2099" s="3">
        <f>ROUND(C2099*(1-Settings!$B$3),2)</f>
        <v>594.3</v>
      </c>
      <c r="F2099" s="2" t="inlineStr">
        <is>
          <t>Pokemon</t>
        </is>
      </c>
      <c r="G2099" s="2" t="inlineStr">
        <is>
          <t>Coffret</t>
        </is>
      </c>
      <c r="H2099" s="2" t="inlineStr">
        <is>
          <t>SM - Team Up</t>
        </is>
      </c>
      <c r="I2099" s="3" t="n"/>
      <c r="J2099" s="3" t="n">
        <v>726.9299999999999</v>
      </c>
      <c r="K2099" s="3" t="n">
        <v>849</v>
      </c>
      <c r="L2099" s="3" t="n">
        <v>849</v>
      </c>
      <c r="M2099" s="2" t="inlineStr">
        <is>
          <t>TCGplayer</t>
        </is>
      </c>
      <c r="O2099" s="4" t="inlineStr">
        <is>
          <t>https://www.tcgplayer.com/product/185258</t>
        </is>
      </c>
    </row>
    <row r="2100">
      <c r="A2100" s="2" t="inlineStr">
        <is>
          <t>Team Up Booster Pack Art Bundle [Set of 4]</t>
        </is>
      </c>
      <c r="B2100" s="3">
        <f>IF(I2100&lt;&gt;"",I2100,IF(J2100&lt;&gt;"",J2100,IF(K2100&lt;&gt;"",K2100,L2100)))</f>
        <v>1000.0</v>
      </c>
      <c r="C2100" s="3">
        <f>MEDIAN(I2100:L2100)</f>
        <v>2000.0</v>
      </c>
      <c r="D2100" s="3">
        <f>ROUND(C2100*(1-Settings!$B$2),2)</f>
        <v>1400.0</v>
      </c>
      <c r="E2100" s="3">
        <f>ROUND(C2100*(1-Settings!$B$3),2)</f>
        <v>1400.0</v>
      </c>
      <c r="F2100" s="2" t="inlineStr">
        <is>
          <t>Pokemon</t>
        </is>
      </c>
      <c r="G2100" s="2" t="inlineStr">
        <is>
          <t>Coffret</t>
        </is>
      </c>
      <c r="H2100" s="2" t="inlineStr">
        <is>
          <t>SM - Team Up</t>
        </is>
      </c>
      <c r="I2100" s="3" t="n"/>
      <c r="J2100" s="3" t="n">
        <v>1000</v>
      </c>
      <c r="K2100" s="3" t="n">
        <v>2000</v>
      </c>
      <c r="L2100" s="3" t="n">
        <v>2000</v>
      </c>
      <c r="M2100" s="2" t="inlineStr">
        <is>
          <t>TCGplayer</t>
        </is>
      </c>
      <c r="O2100" s="4" t="inlineStr">
        <is>
          <t>https://www.tcgplayer.com/product/267044</t>
        </is>
      </c>
    </row>
    <row r="2101">
      <c r="A2101" s="2" t="inlineStr">
        <is>
          <t>Team Up Elite Trainer Box</t>
        </is>
      </c>
      <c r="B2101" s="3">
        <f>IF(I2101&lt;&gt;"",I2101,IF(J2101&lt;&gt;"",J2101,IF(K2101&lt;&gt;"",K2101,L2101)))</f>
        <v>3722.41</v>
      </c>
      <c r="C2101" s="3">
        <f>MEDIAN(I2101:L2101)</f>
        <v>4700.0</v>
      </c>
      <c r="D2101" s="3">
        <f>ROUND(C2101*(1-Settings!$B$2),2)</f>
        <v>3290.0</v>
      </c>
      <c r="E2101" s="3">
        <f>ROUND(C2101*(1-Settings!$B$3),2)</f>
        <v>3290.0</v>
      </c>
      <c r="F2101" s="2" t="inlineStr">
        <is>
          <t>Pokemon</t>
        </is>
      </c>
      <c r="G2101" s="2" t="inlineStr">
        <is>
          <t>Coffret</t>
        </is>
      </c>
      <c r="H2101" s="2" t="inlineStr">
        <is>
          <t>SM - Team Up</t>
        </is>
      </c>
      <c r="I2101" s="3" t="n">
        <v>3722.41</v>
      </c>
      <c r="J2101" s="3" t="n">
        <v>4000</v>
      </c>
      <c r="K2101" s="3" t="n">
        <v>5607.45</v>
      </c>
      <c r="L2101" s="3" t="n">
        <v>5400</v>
      </c>
      <c r="M2101" s="2" t="inlineStr">
        <is>
          <t>PriceCharting + TCGplayer</t>
        </is>
      </c>
      <c r="N2101" s="4" t="inlineStr">
        <is>
          <t>https://www.pricecharting.com/game/pokemon-team-up/elite-trainer-box</t>
        </is>
      </c>
      <c r="O2101" s="4" t="inlineStr">
        <is>
          <t>https://www.tcgplayer.com/product/181704</t>
        </is>
      </c>
    </row>
    <row r="2102">
      <c r="A2102" s="2" t="inlineStr">
        <is>
          <t>Team Up Prerelease Kit</t>
        </is>
      </c>
      <c r="B2102" s="3">
        <f>IF(I2102&lt;&gt;"",I2102,IF(J2102&lt;&gt;"",J2102,IF(K2102&lt;&gt;"",K2102,L2102)))</f>
        <v>1300.0</v>
      </c>
      <c r="C2102" s="3">
        <f>MEDIAN(I2102:L2102)</f>
        <v>2499.99</v>
      </c>
      <c r="D2102" s="3">
        <f>ROUND(C2102*(1-Settings!$B$2),2)</f>
        <v>1749.99</v>
      </c>
      <c r="E2102" s="3">
        <f>ROUND(C2102*(1-Settings!$B$3),2)</f>
        <v>1749.99</v>
      </c>
      <c r="F2102" s="2" t="inlineStr">
        <is>
          <t>Pokemon</t>
        </is>
      </c>
      <c r="G2102" s="2" t="inlineStr">
        <is>
          <t>Coffret</t>
        </is>
      </c>
      <c r="H2102" s="2" t="inlineStr">
        <is>
          <t>SM - Team Up</t>
        </is>
      </c>
      <c r="I2102" s="3" t="n"/>
      <c r="J2102" s="3" t="n">
        <v>1300</v>
      </c>
      <c r="K2102" s="3" t="n">
        <v>2499.99</v>
      </c>
      <c r="L2102" s="3" t="n">
        <v>2499.99</v>
      </c>
      <c r="M2102" s="2" t="inlineStr">
        <is>
          <t>TCGplayer</t>
        </is>
      </c>
      <c r="O2102" s="4" t="inlineStr">
        <is>
          <t>https://www.tcgplayer.com/product/183975</t>
        </is>
      </c>
    </row>
    <row r="2103">
      <c r="A2103" s="2" t="inlineStr">
        <is>
          <t>Team Up Sleeved Booster Pack Art Bundle [Set of 4]</t>
        </is>
      </c>
      <c r="B2103" s="3">
        <f>IF(I2103&lt;&gt;"",I2103,IF(J2103&lt;&gt;"",J2103,IF(K2103&lt;&gt;"",K2103,L2103)))</f>
        <v>1311.25</v>
      </c>
      <c r="C2103" s="3">
        <f>MEDIAN(I2103:L2103)</f>
        <v>1311.25</v>
      </c>
      <c r="D2103" s="3">
        <f>ROUND(C2103*(1-Settings!$B$2),2)</f>
        <v>917.88</v>
      </c>
      <c r="E2103" s="3">
        <f>ROUND(C2103*(1-Settings!$B$3),2)</f>
        <v>917.88</v>
      </c>
      <c r="F2103" s="2" t="inlineStr">
        <is>
          <t>Pokemon</t>
        </is>
      </c>
      <c r="G2103" s="2" t="inlineStr">
        <is>
          <t>Coffret</t>
        </is>
      </c>
      <c r="H2103" s="2" t="inlineStr">
        <is>
          <t>SM - Team Up</t>
        </is>
      </c>
      <c r="I2103" s="3" t="n"/>
      <c r="J2103" s="3" t="n">
        <v>1311.25</v>
      </c>
      <c r="K2103" s="3" t="n"/>
      <c r="L2103" s="3" t="n"/>
      <c r="M2103" s="2" t="inlineStr">
        <is>
          <t>TCGplayer</t>
        </is>
      </c>
      <c r="O2103" s="4" t="inlineStr">
        <is>
          <t>https://www.tcgplayer.com/product/276584</t>
        </is>
      </c>
    </row>
    <row r="2104">
      <c r="A2104" s="2" t="inlineStr">
        <is>
          <t>Towering Splash GX Box</t>
        </is>
      </c>
      <c r="B2104" s="3">
        <f>IF(I2104&lt;&gt;"",I2104,IF(J2104&lt;&gt;"",J2104,IF(K2104&lt;&gt;"",K2104,L2104)))</f>
        <v>1200.0</v>
      </c>
      <c r="C2104" s="3">
        <f>MEDIAN(I2104:L2104)</f>
        <v>1200.0</v>
      </c>
      <c r="D2104" s="3">
        <f>ROUND(C2104*(1-Settings!$B$2),2)</f>
        <v>840.0</v>
      </c>
      <c r="E2104" s="3">
        <f>ROUND(C2104*(1-Settings!$B$3),2)</f>
        <v>840.0</v>
      </c>
      <c r="F2104" s="2" t="inlineStr">
        <is>
          <t>Pokemon</t>
        </is>
      </c>
      <c r="G2104" s="2" t="inlineStr">
        <is>
          <t>Coffret</t>
        </is>
      </c>
      <c r="H2104" s="2" t="inlineStr">
        <is>
          <t>SM - Team Up</t>
        </is>
      </c>
      <c r="I2104" s="3" t="n">
        <v>1200</v>
      </c>
      <c r="J2104" s="3" t="n"/>
      <c r="K2104" s="3" t="n"/>
      <c r="L2104" s="3" t="n"/>
      <c r="M2104" s="2" t="inlineStr">
        <is>
          <t>PriceCharting + TCGplayer</t>
        </is>
      </c>
      <c r="N2104" s="4" t="inlineStr">
        <is>
          <t>https://www.pricecharting.com/game/pokemon-team-up/towering-splash-gx-box</t>
        </is>
      </c>
      <c r="O2104" s="4" t="inlineStr">
        <is>
          <t>https://www.tcgplayer.com/product/181693</t>
        </is>
      </c>
    </row>
    <row r="2105">
      <c r="A2105" s="2" t="inlineStr">
        <is>
          <t>Charmander Sidekick Collection</t>
        </is>
      </c>
      <c r="B2105" s="3">
        <f>IF(I2105&lt;&gt;"",I2105,IF(J2105&lt;&gt;"",J2105,IF(K2105&lt;&gt;"",K2105,L2105)))</f>
        <v>171.96</v>
      </c>
      <c r="C2105" s="3">
        <f>MEDIAN(I2105:L2105)</f>
        <v>274.975</v>
      </c>
      <c r="D2105" s="3">
        <f>ROUND(C2105*(1-Settings!$B$2),2)</f>
        <v>192.48</v>
      </c>
      <c r="E2105" s="3">
        <f>ROUND(C2105*(1-Settings!$B$3),2)</f>
        <v>192.48</v>
      </c>
      <c r="F2105" s="2" t="inlineStr">
        <is>
          <t>Pokemon</t>
        </is>
      </c>
      <c r="G2105" s="2" t="inlineStr">
        <is>
          <t>Coffret</t>
        </is>
      </c>
      <c r="H2105" s="2" t="inlineStr">
        <is>
          <t>SM - Ultra Prism</t>
        </is>
      </c>
      <c r="I2105" s="3" t="n">
        <v>171.96</v>
      </c>
      <c r="J2105" s="3" t="n">
        <v>250</v>
      </c>
      <c r="K2105" s="3" t="n">
        <v>487.97</v>
      </c>
      <c r="L2105" s="3" t="n">
        <v>299.95</v>
      </c>
      <c r="M2105" s="2" t="inlineStr">
        <is>
          <t>PriceCharting + TCGplayer</t>
        </is>
      </c>
      <c r="N2105" s="4" t="inlineStr">
        <is>
          <t>https://www.pricecharting.com/game/pokemon-ultra-prism/charmander-sidekick-collection</t>
        </is>
      </c>
      <c r="O2105" s="4" t="inlineStr">
        <is>
          <t>https://www.tcgplayer.com/product/186105</t>
        </is>
      </c>
    </row>
    <row r="2106">
      <c r="A2106" s="2" t="inlineStr">
        <is>
          <t>Legends of Johto GX Premium Collection Box</t>
        </is>
      </c>
      <c r="B2106" s="3">
        <f>IF(I2106&lt;&gt;"",I2106,IF(J2106&lt;&gt;"",J2106,IF(K2106&lt;&gt;"",K2106,L2106)))</f>
        <v>323.25</v>
      </c>
      <c r="C2106" s="3">
        <f>MEDIAN(I2106:L2106)</f>
        <v>323.25</v>
      </c>
      <c r="D2106" s="3">
        <f>ROUND(C2106*(1-Settings!$B$2),2)</f>
        <v>226.28</v>
      </c>
      <c r="E2106" s="3">
        <f>ROUND(C2106*(1-Settings!$B$3),2)</f>
        <v>226.28</v>
      </c>
      <c r="F2106" s="2" t="inlineStr">
        <is>
          <t>Pokemon</t>
        </is>
      </c>
      <c r="G2106" s="2" t="inlineStr">
        <is>
          <t>Coffret</t>
        </is>
      </c>
      <c r="H2106" s="2" t="inlineStr">
        <is>
          <t>SM - Ultra Prism</t>
        </is>
      </c>
      <c r="I2106" s="3" t="n"/>
      <c r="J2106" s="3" t="n">
        <v>323.25</v>
      </c>
      <c r="K2106" s="3" t="n">
        <v>329.93</v>
      </c>
      <c r="L2106" s="3" t="n">
        <v>319.9</v>
      </c>
      <c r="M2106" s="2" t="inlineStr">
        <is>
          <t>TCGplayer</t>
        </is>
      </c>
      <c r="O2106" s="4" t="inlineStr">
        <is>
          <t>https://www.tcgplayer.com/product/164232</t>
        </is>
      </c>
    </row>
    <row r="2107">
      <c r="A2107" s="2" t="inlineStr">
        <is>
          <t>Lucario GX Box</t>
        </is>
      </c>
      <c r="B2107" s="3">
        <f>IF(I2107&lt;&gt;"",I2107,IF(J2107&lt;&gt;"",J2107,IF(K2107&lt;&gt;"",K2107,L2107)))</f>
        <v>399.99</v>
      </c>
      <c r="C2107" s="3">
        <f>MEDIAN(I2107:L2107)</f>
        <v>399.99</v>
      </c>
      <c r="D2107" s="3">
        <f>ROUND(C2107*(1-Settings!$B$2),2)</f>
        <v>279.99</v>
      </c>
      <c r="E2107" s="3">
        <f>ROUND(C2107*(1-Settings!$B$3),2)</f>
        <v>279.99</v>
      </c>
      <c r="F2107" s="2" t="inlineStr">
        <is>
          <t>Pokemon</t>
        </is>
      </c>
      <c r="G2107" s="2" t="inlineStr">
        <is>
          <t>Coffret</t>
        </is>
      </c>
      <c r="H2107" s="2" t="inlineStr">
        <is>
          <t>SM - Ultra Prism</t>
        </is>
      </c>
      <c r="I2107" s="3" t="n"/>
      <c r="J2107" s="3" t="n"/>
      <c r="K2107" s="3" t="n"/>
      <c r="L2107" s="3" t="n">
        <v>399.99</v>
      </c>
      <c r="M2107" s="2" t="inlineStr">
        <is>
          <t>TCGplayer</t>
        </is>
      </c>
      <c r="O2107" s="4" t="inlineStr">
        <is>
          <t>https://www.tcgplayer.com/product/161256</t>
        </is>
      </c>
    </row>
    <row r="2108">
      <c r="A2108" s="2" t="inlineStr">
        <is>
          <t>Necrozma Prism Tin [Dawn Wings Necrozma GX]</t>
        </is>
      </c>
      <c r="B2108" s="3">
        <f>IF(I2108&lt;&gt;"",I2108,IF(J2108&lt;&gt;"",J2108,IF(K2108&lt;&gt;"",K2108,L2108)))</f>
        <v>237.5</v>
      </c>
      <c r="C2108" s="3">
        <f>MEDIAN(I2108:L2108)</f>
        <v>236.25</v>
      </c>
      <c r="D2108" s="3">
        <f>ROUND(C2108*(1-Settings!$B$2),2)</f>
        <v>165.38</v>
      </c>
      <c r="E2108" s="3">
        <f>ROUND(C2108*(1-Settings!$B$3),2)</f>
        <v>165.38</v>
      </c>
      <c r="F2108" s="2" t="inlineStr">
        <is>
          <t>Pokemon</t>
        </is>
      </c>
      <c r="G2108" s="2" t="inlineStr">
        <is>
          <t>Coffret</t>
        </is>
      </c>
      <c r="H2108" s="2" t="inlineStr">
        <is>
          <t>SM - Ultra Prism</t>
        </is>
      </c>
      <c r="I2108" s="3" t="n"/>
      <c r="J2108" s="3" t="n"/>
      <c r="K2108" s="3" t="n">
        <v>237.5</v>
      </c>
      <c r="L2108" s="3" t="n">
        <v>235</v>
      </c>
      <c r="M2108" s="2" t="inlineStr">
        <is>
          <t>TCGplayer</t>
        </is>
      </c>
      <c r="O2108" s="4" t="inlineStr">
        <is>
          <t>https://www.tcgplayer.com/product/162046</t>
        </is>
      </c>
    </row>
    <row r="2109">
      <c r="A2109" s="2" t="inlineStr">
        <is>
          <t>Necrozma Prism Tin [Dusk Mane Necrozma GX]</t>
        </is>
      </c>
      <c r="B2109" s="3">
        <f>IF(I2109&lt;&gt;"",I2109,IF(J2109&lt;&gt;"",J2109,IF(K2109&lt;&gt;"",K2109,L2109)))</f>
        <v>262.0</v>
      </c>
      <c r="C2109" s="3">
        <f>MEDIAN(I2109:L2109)</f>
        <v>262.0</v>
      </c>
      <c r="D2109" s="3">
        <f>ROUND(C2109*(1-Settings!$B$2),2)</f>
        <v>183.4</v>
      </c>
      <c r="E2109" s="3">
        <f>ROUND(C2109*(1-Settings!$B$3),2)</f>
        <v>183.4</v>
      </c>
      <c r="F2109" s="2" t="inlineStr">
        <is>
          <t>Pokemon</t>
        </is>
      </c>
      <c r="G2109" s="2" t="inlineStr">
        <is>
          <t>Coffret</t>
        </is>
      </c>
      <c r="H2109" s="2" t="inlineStr">
        <is>
          <t>SM - Ultra Prism</t>
        </is>
      </c>
      <c r="I2109" s="3" t="n"/>
      <c r="J2109" s="3" t="n">
        <v>262</v>
      </c>
      <c r="K2109" s="3" t="n"/>
      <c r="L2109" s="3" t="n"/>
      <c r="M2109" s="2" t="inlineStr">
        <is>
          <t>TCGplayer</t>
        </is>
      </c>
      <c r="O2109" s="4" t="inlineStr">
        <is>
          <t>https://www.tcgplayer.com/product/162045</t>
        </is>
      </c>
    </row>
    <row r="2110">
      <c r="A2110" s="2" t="inlineStr">
        <is>
          <t>Ultra Prism 3 Pack Hanger Box</t>
        </is>
      </c>
      <c r="B2110" s="3">
        <f>IF(I2110&lt;&gt;"",I2110,IF(J2110&lt;&gt;"",J2110,IF(K2110&lt;&gt;"",K2110,L2110)))</f>
        <v>149.99</v>
      </c>
      <c r="C2110" s="3">
        <f>MEDIAN(I2110:L2110)</f>
        <v>154.935</v>
      </c>
      <c r="D2110" s="3">
        <f>ROUND(C2110*(1-Settings!$B$2),2)</f>
        <v>108.45</v>
      </c>
      <c r="E2110" s="3">
        <f>ROUND(C2110*(1-Settings!$B$3),2)</f>
        <v>108.45</v>
      </c>
      <c r="F2110" s="2" t="inlineStr">
        <is>
          <t>Pokemon</t>
        </is>
      </c>
      <c r="G2110" s="2" t="inlineStr">
        <is>
          <t>Coffret</t>
        </is>
      </c>
      <c r="H2110" s="2" t="inlineStr">
        <is>
          <t>SM - Ultra Prism</t>
        </is>
      </c>
      <c r="I2110" s="3" t="n">
        <v>149.99</v>
      </c>
      <c r="J2110" s="3" t="n">
        <v>139.98</v>
      </c>
      <c r="K2110" s="3" t="n">
        <v>159.95</v>
      </c>
      <c r="L2110" s="3" t="n">
        <v>159.88</v>
      </c>
      <c r="M2110" s="2" t="inlineStr">
        <is>
          <t>PriceCharting + TCGplayer</t>
        </is>
      </c>
      <c r="N2110" s="4" t="inlineStr">
        <is>
          <t>https://www.pricecharting.com/game/pokemon-ultra-prism/3-pack-hanger-box</t>
        </is>
      </c>
      <c r="O2110" s="4" t="inlineStr">
        <is>
          <t>https://www.tcgplayer.com/product/232314</t>
        </is>
      </c>
    </row>
    <row r="2111">
      <c r="A2111" s="2" t="inlineStr">
        <is>
          <t>Ultra Prism Booster Pack Art Bundle [Set of 4]</t>
        </is>
      </c>
      <c r="B2111" s="3">
        <f>IF(I2111&lt;&gt;"",I2111,IF(J2111&lt;&gt;"",J2111,IF(K2111&lt;&gt;"",K2111,L2111)))</f>
        <v>199.99</v>
      </c>
      <c r="C2111" s="3">
        <f>MEDIAN(I2111:L2111)</f>
        <v>199.99</v>
      </c>
      <c r="D2111" s="3">
        <f>ROUND(C2111*(1-Settings!$B$2),2)</f>
        <v>139.99</v>
      </c>
      <c r="E2111" s="3">
        <f>ROUND(C2111*(1-Settings!$B$3),2)</f>
        <v>139.99</v>
      </c>
      <c r="F2111" s="2" t="inlineStr">
        <is>
          <t>Pokemon</t>
        </is>
      </c>
      <c r="G2111" s="2" t="inlineStr">
        <is>
          <t>Coffret</t>
        </is>
      </c>
      <c r="H2111" s="2" t="inlineStr">
        <is>
          <t>SM - Ultra Prism</t>
        </is>
      </c>
      <c r="I2111" s="3" t="n"/>
      <c r="J2111" s="3" t="n">
        <v>199.99</v>
      </c>
      <c r="K2111" s="3" t="n"/>
      <c r="L2111" s="3" t="n"/>
      <c r="M2111" s="2" t="inlineStr">
        <is>
          <t>TCGplayer</t>
        </is>
      </c>
      <c r="O2111" s="4" t="inlineStr">
        <is>
          <t>https://www.tcgplayer.com/product/267040</t>
        </is>
      </c>
    </row>
    <row r="2112">
      <c r="A2112" s="2" t="inlineStr">
        <is>
          <t>Ultra Prism Elite Trainer Box [Dawn Wings Necrozma]</t>
        </is>
      </c>
      <c r="B2112" s="3">
        <f>IF(I2112&lt;&gt;"",I2112,IF(J2112&lt;&gt;"",J2112,IF(K2112&lt;&gt;"",K2112,L2112)))</f>
        <v>900.66</v>
      </c>
      <c r="C2112" s="3">
        <f>MEDIAN(I2112:L2112)</f>
        <v>1300.325</v>
      </c>
      <c r="D2112" s="3">
        <f>ROUND(C2112*(1-Settings!$B$2),2)</f>
        <v>910.23</v>
      </c>
      <c r="E2112" s="3">
        <f>ROUND(C2112*(1-Settings!$B$3),2)</f>
        <v>910.23</v>
      </c>
      <c r="F2112" s="2" t="inlineStr">
        <is>
          <t>Pokemon</t>
        </is>
      </c>
      <c r="G2112" s="2" t="inlineStr">
        <is>
          <t>Coffret</t>
        </is>
      </c>
      <c r="H2112" s="2" t="inlineStr">
        <is>
          <t>SM - Ultra Prism</t>
        </is>
      </c>
      <c r="I2112" s="3" t="n">
        <v>900.66</v>
      </c>
      <c r="J2112" s="3" t="n">
        <v>711.99</v>
      </c>
      <c r="K2112" s="3" t="n">
        <v>1899.99</v>
      </c>
      <c r="L2112" s="3" t="n">
        <v>1699.99</v>
      </c>
      <c r="M2112" s="2" t="inlineStr">
        <is>
          <t>PriceCharting + TCGplayer</t>
        </is>
      </c>
      <c r="N2112" s="4" t="inlineStr">
        <is>
          <t>https://www.pricecharting.com/game/pokemon-ultra-prism/elite-trainer-box-dawn-wings-necrozma</t>
        </is>
      </c>
      <c r="O2112" s="4" t="inlineStr">
        <is>
          <t>https://www.tcgplayer.com/product/155663</t>
        </is>
      </c>
    </row>
    <row r="2113">
      <c r="A2113" s="2" t="inlineStr">
        <is>
          <t>Ultra Prism Elite Trainer Box [Dusk Mane Necrozma]</t>
        </is>
      </c>
      <c r="B2113" s="3">
        <f>IF(I2113&lt;&gt;"",I2113,IF(J2113&lt;&gt;"",J2113,IF(K2113&lt;&gt;"",K2113,L2113)))</f>
        <v>800.0</v>
      </c>
      <c r="C2113" s="3">
        <f>MEDIAN(I2113:L2113)</f>
        <v>770.98</v>
      </c>
      <c r="D2113" s="3">
        <f>ROUND(C2113*(1-Settings!$B$2),2)</f>
        <v>539.69</v>
      </c>
      <c r="E2113" s="3">
        <f>ROUND(C2113*(1-Settings!$B$3),2)</f>
        <v>539.69</v>
      </c>
      <c r="F2113" s="2" t="inlineStr">
        <is>
          <t>Pokemon</t>
        </is>
      </c>
      <c r="G2113" s="2" t="inlineStr">
        <is>
          <t>Coffret</t>
        </is>
      </c>
      <c r="H2113" s="2" t="inlineStr">
        <is>
          <t>SM - Ultra Prism</t>
        </is>
      </c>
      <c r="I2113" s="3" t="n">
        <v>800</v>
      </c>
      <c r="J2113" s="3" t="n">
        <v>741.96</v>
      </c>
      <c r="K2113" s="3" t="n">
        <v>850</v>
      </c>
      <c r="L2113" s="3" t="n">
        <v>727.99</v>
      </c>
      <c r="M2113" s="2" t="inlineStr">
        <is>
          <t>PriceCharting + TCGplayer</t>
        </is>
      </c>
      <c r="N2113" s="4" t="inlineStr">
        <is>
          <t>https://www.pricecharting.com/game/pokemon-ultra-prism/elite-trainer-box-dusk-mane-necrozma</t>
        </is>
      </c>
      <c r="O2113" s="4" t="inlineStr">
        <is>
          <t>https://www.tcgplayer.com/product/155664</t>
        </is>
      </c>
    </row>
    <row r="2114">
      <c r="A2114" s="2" t="inlineStr">
        <is>
          <t>Ultra Prism Prerelease Kit</t>
        </is>
      </c>
      <c r="B2114" s="3">
        <f>IF(I2114&lt;&gt;"",I2114,IF(J2114&lt;&gt;"",J2114,IF(K2114&lt;&gt;"",K2114,L2114)))</f>
        <v>344.99</v>
      </c>
      <c r="C2114" s="3">
        <f>MEDIAN(I2114:L2114)</f>
        <v>457.0</v>
      </c>
      <c r="D2114" s="3">
        <f>ROUND(C2114*(1-Settings!$B$2),2)</f>
        <v>319.9</v>
      </c>
      <c r="E2114" s="3">
        <f>ROUND(C2114*(1-Settings!$B$3),2)</f>
        <v>319.9</v>
      </c>
      <c r="F2114" s="2" t="inlineStr">
        <is>
          <t>Pokemon</t>
        </is>
      </c>
      <c r="G2114" s="2" t="inlineStr">
        <is>
          <t>Coffret</t>
        </is>
      </c>
      <c r="H2114" s="2" t="inlineStr">
        <is>
          <t>SM - Ultra Prism</t>
        </is>
      </c>
      <c r="I2114" s="3" t="n"/>
      <c r="J2114" s="3" t="n">
        <v>344.99</v>
      </c>
      <c r="K2114" s="3" t="n">
        <v>478.5</v>
      </c>
      <c r="L2114" s="3" t="n">
        <v>457</v>
      </c>
      <c r="M2114" s="2" t="inlineStr">
        <is>
          <t>TCGplayer</t>
        </is>
      </c>
      <c r="O2114" s="4" t="inlineStr">
        <is>
          <t>https://www.tcgplayer.com/product/158254</t>
        </is>
      </c>
    </row>
    <row r="2115">
      <c r="A2115" s="2" t="inlineStr">
        <is>
          <t>Ultra Prism Sleeved Booster Pack Art Bundle [Set of 4]</t>
        </is>
      </c>
      <c r="B2115" s="3">
        <f>IF(I2115&lt;&gt;"",I2115,IF(J2115&lt;&gt;"",J2115,IF(K2115&lt;&gt;"",K2115,L2115)))</f>
        <v>1300.0</v>
      </c>
      <c r="C2115" s="3">
        <f>MEDIAN(I2115:L2115)</f>
        <v>1295.005</v>
      </c>
      <c r="D2115" s="3">
        <f>ROUND(C2115*(1-Settings!$B$2),2)</f>
        <v>906.5</v>
      </c>
      <c r="E2115" s="3">
        <f>ROUND(C2115*(1-Settings!$B$3),2)</f>
        <v>906.5</v>
      </c>
      <c r="F2115" s="2" t="inlineStr">
        <is>
          <t>Pokemon</t>
        </is>
      </c>
      <c r="G2115" s="2" t="inlineStr">
        <is>
          <t>Coffret</t>
        </is>
      </c>
      <c r="H2115" s="2" t="inlineStr">
        <is>
          <t>SM - Ultra Prism</t>
        </is>
      </c>
      <c r="I2115" s="3" t="n"/>
      <c r="J2115" s="3" t="n"/>
      <c r="K2115" s="3" t="n">
        <v>1300</v>
      </c>
      <c r="L2115" s="3" t="n">
        <v>1290.01</v>
      </c>
      <c r="M2115" s="2" t="inlineStr">
        <is>
          <t>TCGplayer</t>
        </is>
      </c>
      <c r="O2115" s="4" t="inlineStr">
        <is>
          <t>https://www.tcgplayer.com/product/276581</t>
        </is>
      </c>
    </row>
    <row r="2116">
      <c r="A2116" s="2" t="inlineStr">
        <is>
          <t>Alolan Marowak GX Box</t>
        </is>
      </c>
      <c r="B2116" s="3">
        <f>IF(I2116&lt;&gt;"",I2116,IF(J2116&lt;&gt;"",J2116,IF(K2116&lt;&gt;"",K2116,L2116)))</f>
        <v>849.0</v>
      </c>
      <c r="C2116" s="3">
        <f>MEDIAN(I2116:L2116)</f>
        <v>849.0</v>
      </c>
      <c r="D2116" s="3">
        <f>ROUND(C2116*(1-Settings!$B$2),2)</f>
        <v>594.3</v>
      </c>
      <c r="E2116" s="3">
        <f>ROUND(C2116*(1-Settings!$B$3),2)</f>
        <v>594.3</v>
      </c>
      <c r="F2116" s="2" t="inlineStr">
        <is>
          <t>Pokemon</t>
        </is>
      </c>
      <c r="G2116" s="2" t="inlineStr">
        <is>
          <t>Coffret</t>
        </is>
      </c>
      <c r="H2116" s="2" t="inlineStr">
        <is>
          <t>SM - Unbroken Bonds</t>
        </is>
      </c>
      <c r="I2116" s="3" t="n"/>
      <c r="J2116" s="3" t="n">
        <v>849</v>
      </c>
      <c r="K2116" s="3" t="n"/>
      <c r="L2116" s="3" t="n"/>
      <c r="M2116" s="2" t="inlineStr">
        <is>
          <t>TCGplayer</t>
        </is>
      </c>
      <c r="O2116" s="4" t="inlineStr">
        <is>
          <t>https://www.tcgplayer.com/product/189658</t>
        </is>
      </c>
    </row>
    <row r="2117">
      <c r="A2117" s="2" t="inlineStr">
        <is>
          <t>Kangaskhan GX Box</t>
        </is>
      </c>
      <c r="B2117" s="3">
        <f>IF(I2117&lt;&gt;"",I2117,IF(J2117&lt;&gt;"",J2117,IF(K2117&lt;&gt;"",K2117,L2117)))</f>
        <v>400.0</v>
      </c>
      <c r="C2117" s="3">
        <f>MEDIAN(I2117:L2117)</f>
        <v>375.0</v>
      </c>
      <c r="D2117" s="3">
        <f>ROUND(C2117*(1-Settings!$B$2),2)</f>
        <v>262.5</v>
      </c>
      <c r="E2117" s="3">
        <f>ROUND(C2117*(1-Settings!$B$3),2)</f>
        <v>262.5</v>
      </c>
      <c r="F2117" s="2" t="inlineStr">
        <is>
          <t>Pokemon</t>
        </is>
      </c>
      <c r="G2117" s="2" t="inlineStr">
        <is>
          <t>Coffret</t>
        </is>
      </c>
      <c r="H2117" s="2" t="inlineStr">
        <is>
          <t>SM - Unbroken Bonds</t>
        </is>
      </c>
      <c r="I2117" s="3" t="n"/>
      <c r="J2117" s="3" t="n"/>
      <c r="K2117" s="3" t="n">
        <v>400</v>
      </c>
      <c r="L2117" s="3" t="n">
        <v>350</v>
      </c>
      <c r="M2117" s="2" t="inlineStr">
        <is>
          <t>TCGplayer</t>
        </is>
      </c>
      <c r="O2117" s="4" t="inlineStr">
        <is>
          <t>https://www.tcgplayer.com/product/192083</t>
        </is>
      </c>
    </row>
    <row r="2118">
      <c r="A2118" s="2" t="inlineStr">
        <is>
          <t>Reshiram &amp; Charizard GX Figure Collection</t>
        </is>
      </c>
      <c r="B2118" s="3">
        <f>IF(I2118&lt;&gt;"",I2118,IF(J2118&lt;&gt;"",J2118,IF(K2118&lt;&gt;"",K2118,L2118)))</f>
        <v>856.33</v>
      </c>
      <c r="C2118" s="3">
        <f>MEDIAN(I2118:L2118)</f>
        <v>900.0</v>
      </c>
      <c r="D2118" s="3">
        <f>ROUND(C2118*(1-Settings!$B$2),2)</f>
        <v>630.0</v>
      </c>
      <c r="E2118" s="3">
        <f>ROUND(C2118*(1-Settings!$B$3),2)</f>
        <v>630.0</v>
      </c>
      <c r="F2118" s="2" t="inlineStr">
        <is>
          <t>Pokemon</t>
        </is>
      </c>
      <c r="G2118" s="2" t="inlineStr">
        <is>
          <t>Coffret</t>
        </is>
      </c>
      <c r="H2118" s="2" t="inlineStr">
        <is>
          <t>SM - Unbroken Bonds</t>
        </is>
      </c>
      <c r="I2118" s="3" t="n">
        <v>856.33</v>
      </c>
      <c r="J2118" s="3" t="n">
        <v>900</v>
      </c>
      <c r="K2118" s="3" t="n">
        <v>950</v>
      </c>
      <c r="L2118" s="3" t="n">
        <v>900</v>
      </c>
      <c r="M2118" s="2" t="inlineStr">
        <is>
          <t>PriceCharting + TCGplayer</t>
        </is>
      </c>
      <c r="N2118" s="4" t="inlineStr">
        <is>
          <t>https://www.pricecharting.com/game/pokemon-unbroken-bonds/reshiram-&amp;-charizard-gx-figure-collection</t>
        </is>
      </c>
      <c r="O2118" s="4" t="inlineStr">
        <is>
          <t>https://www.tcgplayer.com/product/194597</t>
        </is>
      </c>
    </row>
    <row r="2119">
      <c r="A2119" s="2" t="inlineStr">
        <is>
          <t>Unbroken Bonds Booster Pack Art Bundle [Set of 4]</t>
        </is>
      </c>
      <c r="B2119" s="3">
        <f>IF(I2119&lt;&gt;"",I2119,IF(J2119&lt;&gt;"",J2119,IF(K2119&lt;&gt;"",K2119,L2119)))</f>
        <v>255.0</v>
      </c>
      <c r="C2119" s="3">
        <f>MEDIAN(I2119:L2119)</f>
        <v>162.5</v>
      </c>
      <c r="D2119" s="3">
        <f>ROUND(C2119*(1-Settings!$B$2),2)</f>
        <v>113.75</v>
      </c>
      <c r="E2119" s="3">
        <f>ROUND(C2119*(1-Settings!$B$3),2)</f>
        <v>113.75</v>
      </c>
      <c r="F2119" s="2" t="inlineStr">
        <is>
          <t>Pokemon</t>
        </is>
      </c>
      <c r="G2119" s="2" t="inlineStr">
        <is>
          <t>Coffret</t>
        </is>
      </c>
      <c r="H2119" s="2" t="inlineStr">
        <is>
          <t>SM - Unbroken Bonds</t>
        </is>
      </c>
      <c r="I2119" s="3" t="n"/>
      <c r="J2119" s="3" t="n">
        <v>255</v>
      </c>
      <c r="K2119" s="3" t="n"/>
      <c r="L2119" s="3" t="n">
        <v>70</v>
      </c>
      <c r="M2119" s="2" t="inlineStr">
        <is>
          <t>TCGplayer</t>
        </is>
      </c>
      <c r="O2119" s="4" t="inlineStr">
        <is>
          <t>https://www.tcgplayer.com/product/267045</t>
        </is>
      </c>
    </row>
    <row r="2120">
      <c r="A2120" s="2" t="inlineStr">
        <is>
          <t>Unbroken Bonds Elite Trainer Box</t>
        </is>
      </c>
      <c r="B2120" s="3">
        <f>IF(I2120&lt;&gt;"",I2120,IF(J2120&lt;&gt;"",J2120,IF(K2120&lt;&gt;"",K2120,L2120)))</f>
        <v>1775.0</v>
      </c>
      <c r="C2120" s="3">
        <f>MEDIAN(I2120:L2120)</f>
        <v>2349.99</v>
      </c>
      <c r="D2120" s="3">
        <f>ROUND(C2120*(1-Settings!$B$2),2)</f>
        <v>1644.99</v>
      </c>
      <c r="E2120" s="3">
        <f>ROUND(C2120*(1-Settings!$B$3),2)</f>
        <v>1644.99</v>
      </c>
      <c r="F2120" s="2" t="inlineStr">
        <is>
          <t>Pokemon</t>
        </is>
      </c>
      <c r="G2120" s="2" t="inlineStr">
        <is>
          <t>Coffret</t>
        </is>
      </c>
      <c r="H2120" s="2" t="inlineStr">
        <is>
          <t>SM - Unbroken Bonds</t>
        </is>
      </c>
      <c r="I2120" s="3" t="n">
        <v>1775</v>
      </c>
      <c r="J2120" s="3" t="n">
        <v>1899.99</v>
      </c>
      <c r="K2120" s="3" t="n">
        <v>3149.99</v>
      </c>
      <c r="L2120" s="3" t="n">
        <v>2799.99</v>
      </c>
      <c r="M2120" s="2" t="inlineStr">
        <is>
          <t>PriceCharting + TCGplayer</t>
        </is>
      </c>
      <c r="N2120" s="4" t="inlineStr">
        <is>
          <t>https://www.pricecharting.com/game/pokemon-unbroken-bonds/elite-trainer-box</t>
        </is>
      </c>
      <c r="O2120" s="4" t="inlineStr">
        <is>
          <t>https://www.tcgplayer.com/product/185719</t>
        </is>
      </c>
    </row>
    <row r="2121">
      <c r="A2121" s="2" t="inlineStr">
        <is>
          <t>Unbroken Bonds Prerelease Kit</t>
        </is>
      </c>
      <c r="B2121" s="3">
        <f>IF(I2121&lt;&gt;"",I2121,IF(J2121&lt;&gt;"",J2121,IF(K2121&lt;&gt;"",K2121,L2121)))</f>
        <v>334.99</v>
      </c>
      <c r="C2121" s="3">
        <f>MEDIAN(I2121:L2121)</f>
        <v>449.99</v>
      </c>
      <c r="D2121" s="3">
        <f>ROUND(C2121*(1-Settings!$B$2),2)</f>
        <v>314.99</v>
      </c>
      <c r="E2121" s="3">
        <f>ROUND(C2121*(1-Settings!$B$3),2)</f>
        <v>314.99</v>
      </c>
      <c r="F2121" s="2" t="inlineStr">
        <is>
          <t>Pokemon</t>
        </is>
      </c>
      <c r="G2121" s="2" t="inlineStr">
        <is>
          <t>Coffret</t>
        </is>
      </c>
      <c r="H2121" s="2" t="inlineStr">
        <is>
          <t>SM - Unbroken Bonds</t>
        </is>
      </c>
      <c r="I2121" s="3" t="n"/>
      <c r="J2121" s="3" t="n">
        <v>334.99</v>
      </c>
      <c r="K2121" s="3" t="n">
        <v>449.99</v>
      </c>
      <c r="L2121" s="3" t="n">
        <v>449.99</v>
      </c>
      <c r="M2121" s="2" t="inlineStr">
        <is>
          <t>TCGplayer</t>
        </is>
      </c>
      <c r="O2121" s="4" t="inlineStr">
        <is>
          <t>https://www.tcgplayer.com/product/189823</t>
        </is>
      </c>
    </row>
    <row r="2122">
      <c r="A2122" s="2" t="inlineStr">
        <is>
          <t>Unbroken Bonds Sleeved Booster Pack Art Bundle [Set of 4]</t>
        </is>
      </c>
      <c r="B2122" s="3">
        <f>IF(I2122&lt;&gt;"",I2122,IF(J2122&lt;&gt;"",J2122,IF(K2122&lt;&gt;"",K2122,L2122)))</f>
        <v>379.0</v>
      </c>
      <c r="C2122" s="3">
        <f>MEDIAN(I2122:L2122)</f>
        <v>395.0</v>
      </c>
      <c r="D2122" s="3">
        <f>ROUND(C2122*(1-Settings!$B$2),2)</f>
        <v>276.5</v>
      </c>
      <c r="E2122" s="3">
        <f>ROUND(C2122*(1-Settings!$B$3),2)</f>
        <v>276.5</v>
      </c>
      <c r="F2122" s="2" t="inlineStr">
        <is>
          <t>Pokemon</t>
        </is>
      </c>
      <c r="G2122" s="2" t="inlineStr">
        <is>
          <t>Coffret</t>
        </is>
      </c>
      <c r="H2122" s="2" t="inlineStr">
        <is>
          <t>SM - Unbroken Bonds</t>
        </is>
      </c>
      <c r="I2122" s="3" t="n"/>
      <c r="J2122" s="3" t="n">
        <v>379</v>
      </c>
      <c r="K2122" s="3" t="n">
        <v>395</v>
      </c>
      <c r="L2122" s="3" t="n">
        <v>395</v>
      </c>
      <c r="M2122" s="2" t="inlineStr">
        <is>
          <t>TCGplayer</t>
        </is>
      </c>
      <c r="O2122" s="4" t="inlineStr">
        <is>
          <t>https://www.tcgplayer.com/product/276585</t>
        </is>
      </c>
    </row>
    <row r="2123">
      <c r="A2123" s="2" t="inlineStr">
        <is>
          <t>Pale Moon GX Box</t>
        </is>
      </c>
      <c r="B2123" s="3">
        <f>IF(I2123&lt;&gt;"",I2123,IF(J2123&lt;&gt;"",J2123,IF(K2123&lt;&gt;"",K2123,L2123)))</f>
        <v>400.0</v>
      </c>
      <c r="C2123" s="3">
        <f>MEDIAN(I2123:L2123)</f>
        <v>400.0</v>
      </c>
      <c r="D2123" s="3">
        <f>ROUND(C2123*(1-Settings!$B$2),2)</f>
        <v>280.0</v>
      </c>
      <c r="E2123" s="3">
        <f>ROUND(C2123*(1-Settings!$B$3),2)</f>
        <v>280.0</v>
      </c>
      <c r="F2123" s="2" t="inlineStr">
        <is>
          <t>Pokemon</t>
        </is>
      </c>
      <c r="G2123" s="2" t="inlineStr">
        <is>
          <t>Coffret</t>
        </is>
      </c>
      <c r="H2123" s="2" t="inlineStr">
        <is>
          <t>SM - Unified Minds</t>
        </is>
      </c>
      <c r="I2123" s="3" t="n"/>
      <c r="J2123" s="3" t="n">
        <v>400</v>
      </c>
      <c r="K2123" s="3" t="n">
        <v>433.97</v>
      </c>
      <c r="L2123" s="3" t="n">
        <v>399.99</v>
      </c>
      <c r="M2123" s="2" t="inlineStr">
        <is>
          <t>TCGplayer</t>
        </is>
      </c>
      <c r="O2123" s="4" t="inlineStr">
        <is>
          <t>https://www.tcgplayer.com/product/198528</t>
        </is>
      </c>
    </row>
    <row r="2124">
      <c r="A2124" s="2" t="inlineStr">
        <is>
          <t>Porygon-Z GX Box</t>
        </is>
      </c>
      <c r="B2124" s="3">
        <f>IF(I2124&lt;&gt;"",I2124,IF(J2124&lt;&gt;"",J2124,IF(K2124&lt;&gt;"",K2124,L2124)))</f>
        <v>399.97</v>
      </c>
      <c r="C2124" s="3">
        <f>MEDIAN(I2124:L2124)</f>
        <v>399.97</v>
      </c>
      <c r="D2124" s="3">
        <f>ROUND(C2124*(1-Settings!$B$2),2)</f>
        <v>279.98</v>
      </c>
      <c r="E2124" s="3">
        <f>ROUND(C2124*(1-Settings!$B$3),2)</f>
        <v>279.98</v>
      </c>
      <c r="F2124" s="2" t="inlineStr">
        <is>
          <t>Pokemon</t>
        </is>
      </c>
      <c r="G2124" s="2" t="inlineStr">
        <is>
          <t>Coffret</t>
        </is>
      </c>
      <c r="H2124" s="2" t="inlineStr">
        <is>
          <t>SM - Unified Minds</t>
        </is>
      </c>
      <c r="I2124" s="3" t="n"/>
      <c r="J2124" s="3" t="n"/>
      <c r="K2124" s="3" t="n"/>
      <c r="L2124" s="3" t="n">
        <v>399.97</v>
      </c>
      <c r="M2124" s="2" t="inlineStr">
        <is>
          <t>TCGplayer</t>
        </is>
      </c>
      <c r="O2124" s="4" t="inlineStr">
        <is>
          <t>https://www.tcgplayer.com/product/198521</t>
        </is>
      </c>
    </row>
    <row r="2125">
      <c r="A2125" s="2" t="inlineStr">
        <is>
          <t>Power Partnership Tin [Garchomp &amp; Giratina GX]</t>
        </is>
      </c>
      <c r="B2125" s="3">
        <f>IF(I2125&lt;&gt;"",I2125,IF(J2125&lt;&gt;"",J2125,IF(K2125&lt;&gt;"",K2125,L2125)))</f>
        <v>549.99</v>
      </c>
      <c r="C2125" s="3">
        <f>MEDIAN(I2125:L2125)</f>
        <v>549.99</v>
      </c>
      <c r="D2125" s="3">
        <f>ROUND(C2125*(1-Settings!$B$2),2)</f>
        <v>384.99</v>
      </c>
      <c r="E2125" s="3">
        <f>ROUND(C2125*(1-Settings!$B$3),2)</f>
        <v>384.99</v>
      </c>
      <c r="F2125" s="2" t="inlineStr">
        <is>
          <t>Pokemon</t>
        </is>
      </c>
      <c r="G2125" s="2" t="inlineStr">
        <is>
          <t>Coffret</t>
        </is>
      </c>
      <c r="H2125" s="2" t="inlineStr">
        <is>
          <t>SM - Unified Minds</t>
        </is>
      </c>
      <c r="I2125" s="3" t="n"/>
      <c r="J2125" s="3" t="n">
        <v>549.99</v>
      </c>
      <c r="K2125" s="3" t="n">
        <v>666.66</v>
      </c>
      <c r="L2125" s="3" t="n">
        <v>549.99</v>
      </c>
      <c r="M2125" s="2" t="inlineStr">
        <is>
          <t>TCGplayer</t>
        </is>
      </c>
      <c r="O2125" s="4" t="inlineStr">
        <is>
          <t>https://www.tcgplayer.com/product/194737</t>
        </is>
      </c>
    </row>
    <row r="2126">
      <c r="A2126" s="2" t="inlineStr">
        <is>
          <t>Power Partnership Tin [Lucario &amp; Melmetal GX]</t>
        </is>
      </c>
      <c r="B2126" s="3">
        <f>IF(I2126&lt;&gt;"",I2126,IF(J2126&lt;&gt;"",J2126,IF(K2126&lt;&gt;"",K2126,L2126)))</f>
        <v>412.49</v>
      </c>
      <c r="C2126" s="3">
        <f>MEDIAN(I2126:L2126)</f>
        <v>380.245</v>
      </c>
      <c r="D2126" s="3">
        <f>ROUND(C2126*(1-Settings!$B$2),2)</f>
        <v>266.17</v>
      </c>
      <c r="E2126" s="3">
        <f>ROUND(C2126*(1-Settings!$B$3),2)</f>
        <v>266.17</v>
      </c>
      <c r="F2126" s="2" t="inlineStr">
        <is>
          <t>Pokemon</t>
        </is>
      </c>
      <c r="G2126" s="2" t="inlineStr">
        <is>
          <t>Coffret</t>
        </is>
      </c>
      <c r="H2126" s="2" t="inlineStr">
        <is>
          <t>SM - Unified Minds</t>
        </is>
      </c>
      <c r="I2126" s="3" t="n"/>
      <c r="J2126" s="3" t="n"/>
      <c r="K2126" s="3" t="n">
        <v>412.49</v>
      </c>
      <c r="L2126" s="3" t="n">
        <v>348</v>
      </c>
      <c r="M2126" s="2" t="inlineStr">
        <is>
          <t>TCGplayer</t>
        </is>
      </c>
      <c r="O2126" s="4" t="inlineStr">
        <is>
          <t>https://www.tcgplayer.com/product/194736</t>
        </is>
      </c>
    </row>
    <row r="2127">
      <c r="A2127" s="2" t="inlineStr">
        <is>
          <t>Power Partnership Tin [Mewtwo &amp; Mew GX]</t>
        </is>
      </c>
      <c r="B2127" s="3">
        <f>IF(I2127&lt;&gt;"",I2127,IF(J2127&lt;&gt;"",J2127,IF(K2127&lt;&gt;"",K2127,L2127)))</f>
        <v>869.49</v>
      </c>
      <c r="C2127" s="3">
        <f>MEDIAN(I2127:L2127)</f>
        <v>1250.0</v>
      </c>
      <c r="D2127" s="3">
        <f>ROUND(C2127*(1-Settings!$B$2),2)</f>
        <v>875.0</v>
      </c>
      <c r="E2127" s="3">
        <f>ROUND(C2127*(1-Settings!$B$3),2)</f>
        <v>875.0</v>
      </c>
      <c r="F2127" s="2" t="inlineStr">
        <is>
          <t>Pokemon</t>
        </is>
      </c>
      <c r="G2127" s="2" t="inlineStr">
        <is>
          <t>Coffret</t>
        </is>
      </c>
      <c r="H2127" s="2" t="inlineStr">
        <is>
          <t>SM - Unified Minds</t>
        </is>
      </c>
      <c r="I2127" s="3" t="n"/>
      <c r="J2127" s="3" t="n">
        <v>869.49</v>
      </c>
      <c r="K2127" s="3" t="n">
        <v>1385</v>
      </c>
      <c r="L2127" s="3" t="n">
        <v>1250</v>
      </c>
      <c r="M2127" s="2" t="inlineStr">
        <is>
          <t>TCGplayer</t>
        </is>
      </c>
      <c r="O2127" s="4" t="inlineStr">
        <is>
          <t>https://www.tcgplayer.com/product/194735</t>
        </is>
      </c>
    </row>
    <row r="2128">
      <c r="A2128" s="2" t="inlineStr">
        <is>
          <t>Power Partnership Tin [Set of 3]</t>
        </is>
      </c>
      <c r="B2128" s="3">
        <f>IF(I2128&lt;&gt;"",I2128,IF(J2128&lt;&gt;"",J2128,IF(K2128&lt;&gt;"",K2128,L2128)))</f>
        <v>1899.95</v>
      </c>
      <c r="C2128" s="3">
        <f>MEDIAN(I2128:L2128)</f>
        <v>1899.95</v>
      </c>
      <c r="D2128" s="3">
        <f>ROUND(C2128*(1-Settings!$B$2),2)</f>
        <v>1329.97</v>
      </c>
      <c r="E2128" s="3">
        <f>ROUND(C2128*(1-Settings!$B$3),2)</f>
        <v>1329.97</v>
      </c>
      <c r="F2128" s="2" t="inlineStr">
        <is>
          <t>Pokemon</t>
        </is>
      </c>
      <c r="G2128" s="2" t="inlineStr">
        <is>
          <t>Coffret</t>
        </is>
      </c>
      <c r="H2128" s="2" t="inlineStr">
        <is>
          <t>SM - Unified Minds</t>
        </is>
      </c>
      <c r="I2128" s="3" t="n"/>
      <c r="J2128" s="3" t="n">
        <v>1899.95</v>
      </c>
      <c r="K2128" s="3" t="n"/>
      <c r="L2128" s="3" t="n"/>
      <c r="M2128" s="2" t="inlineStr">
        <is>
          <t>TCGplayer</t>
        </is>
      </c>
      <c r="O2128" s="4" t="inlineStr">
        <is>
          <t>https://www.tcgplayer.com/product/195611</t>
        </is>
      </c>
    </row>
    <row r="2129">
      <c r="A2129" s="2" t="inlineStr">
        <is>
          <t>Unified Minds Booster Pack Art Bundle [Set of 4]</t>
        </is>
      </c>
      <c r="B2129" s="3">
        <f>IF(I2129&lt;&gt;"",I2129,IF(J2129&lt;&gt;"",J2129,IF(K2129&lt;&gt;"",K2129,L2129)))</f>
        <v>230.0</v>
      </c>
      <c r="C2129" s="3">
        <f>MEDIAN(I2129:L2129)</f>
        <v>230.0</v>
      </c>
      <c r="D2129" s="3">
        <f>ROUND(C2129*(1-Settings!$B$2),2)</f>
        <v>161.0</v>
      </c>
      <c r="E2129" s="3">
        <f>ROUND(C2129*(1-Settings!$B$3),2)</f>
        <v>161.0</v>
      </c>
      <c r="F2129" s="2" t="inlineStr">
        <is>
          <t>Pokemon</t>
        </is>
      </c>
      <c r="G2129" s="2" t="inlineStr">
        <is>
          <t>Coffret</t>
        </is>
      </c>
      <c r="H2129" s="2" t="inlineStr">
        <is>
          <t>SM - Unified Minds</t>
        </is>
      </c>
      <c r="I2129" s="3" t="n"/>
      <c r="J2129" s="3" t="n">
        <v>230</v>
      </c>
      <c r="K2129" s="3" t="n">
        <v>597</v>
      </c>
      <c r="L2129" s="3" t="n">
        <v>154.97</v>
      </c>
      <c r="M2129" s="2" t="inlineStr">
        <is>
          <t>TCGplayer</t>
        </is>
      </c>
      <c r="O2129" s="4" t="inlineStr">
        <is>
          <t>https://www.tcgplayer.com/product/267046</t>
        </is>
      </c>
    </row>
    <row r="2130">
      <c r="A2130" s="2" t="inlineStr">
        <is>
          <t>Unified Minds Elite Trainer Box</t>
        </is>
      </c>
      <c r="B2130" s="3">
        <f>IF(I2130&lt;&gt;"",I2130,IF(J2130&lt;&gt;"",J2130,IF(K2130&lt;&gt;"",K2130,L2130)))</f>
        <v>1591.42</v>
      </c>
      <c r="C2130" s="3">
        <f>MEDIAN(I2130:L2130)</f>
        <v>3359.95</v>
      </c>
      <c r="D2130" s="3">
        <f>ROUND(C2130*(1-Settings!$B$2),2)</f>
        <v>2351.97</v>
      </c>
      <c r="E2130" s="3">
        <f>ROUND(C2130*(1-Settings!$B$3),2)</f>
        <v>2351.97</v>
      </c>
      <c r="F2130" s="2" t="inlineStr">
        <is>
          <t>Pokemon</t>
        </is>
      </c>
      <c r="G2130" s="2" t="inlineStr">
        <is>
          <t>Coffret</t>
        </is>
      </c>
      <c r="H2130" s="2" t="inlineStr">
        <is>
          <t>SM - Unified Minds</t>
        </is>
      </c>
      <c r="I2130" s="3" t="n">
        <v>1591.42</v>
      </c>
      <c r="J2130" s="3" t="n">
        <v>1719.9</v>
      </c>
      <c r="K2130" s="3" t="n">
        <v>5000</v>
      </c>
      <c r="L2130" s="3" t="n">
        <v>5000</v>
      </c>
      <c r="M2130" s="2" t="inlineStr">
        <is>
          <t>PriceCharting + TCGplayer</t>
        </is>
      </c>
      <c r="N2130" s="4" t="inlineStr">
        <is>
          <t>https://www.pricecharting.com/game/pokemon-unified-minds/elite-trainer-box</t>
        </is>
      </c>
      <c r="O2130" s="4" t="inlineStr">
        <is>
          <t>https://www.tcgplayer.com/product/193052</t>
        </is>
      </c>
    </row>
    <row r="2131">
      <c r="A2131" s="2" t="inlineStr">
        <is>
          <t>Unified Minds Prerelease Kit</t>
        </is>
      </c>
      <c r="B2131" s="3">
        <f>IF(I2131&lt;&gt;"",I2131,IF(J2131&lt;&gt;"",J2131,IF(K2131&lt;&gt;"",K2131,L2131)))</f>
        <v>349.98</v>
      </c>
      <c r="C2131" s="3">
        <f>MEDIAN(I2131:L2131)</f>
        <v>349.98</v>
      </c>
      <c r="D2131" s="3">
        <f>ROUND(C2131*(1-Settings!$B$2),2)</f>
        <v>244.99</v>
      </c>
      <c r="E2131" s="3">
        <f>ROUND(C2131*(1-Settings!$B$3),2)</f>
        <v>244.99</v>
      </c>
      <c r="F2131" s="2" t="inlineStr">
        <is>
          <t>Pokemon</t>
        </is>
      </c>
      <c r="G2131" s="2" t="inlineStr">
        <is>
          <t>Coffret</t>
        </is>
      </c>
      <c r="H2131" s="2" t="inlineStr">
        <is>
          <t>SM - Unified Minds</t>
        </is>
      </c>
      <c r="I2131" s="3" t="n"/>
      <c r="J2131" s="3" t="n">
        <v>349.98</v>
      </c>
      <c r="K2131" s="3" t="n">
        <v>399.99</v>
      </c>
      <c r="L2131" s="3" t="n">
        <v>154.99</v>
      </c>
      <c r="M2131" s="2" t="inlineStr">
        <is>
          <t>TCGplayer</t>
        </is>
      </c>
      <c r="O2131" s="4" t="inlineStr">
        <is>
          <t>https://www.tcgplayer.com/product/195612</t>
        </is>
      </c>
    </row>
    <row r="2132">
      <c r="A2132" s="2" t="inlineStr">
        <is>
          <t>Unified Minds Sleeved Booster Pack Art Bundle [Set of 4]</t>
        </is>
      </c>
      <c r="B2132" s="3">
        <f>IF(I2132&lt;&gt;"",I2132,IF(J2132&lt;&gt;"",J2132,IF(K2132&lt;&gt;"",K2132,L2132)))</f>
        <v>455.78</v>
      </c>
      <c r="C2132" s="3">
        <f>MEDIAN(I2132:L2132)</f>
        <v>452.835</v>
      </c>
      <c r="D2132" s="3">
        <f>ROUND(C2132*(1-Settings!$B$2),2)</f>
        <v>316.98</v>
      </c>
      <c r="E2132" s="3">
        <f>ROUND(C2132*(1-Settings!$B$3),2)</f>
        <v>316.98</v>
      </c>
      <c r="F2132" s="2" t="inlineStr">
        <is>
          <t>Pokemon</t>
        </is>
      </c>
      <c r="G2132" s="2" t="inlineStr">
        <is>
          <t>Coffret</t>
        </is>
      </c>
      <c r="H2132" s="2" t="inlineStr">
        <is>
          <t>SM - Unified Minds</t>
        </is>
      </c>
      <c r="I2132" s="3" t="n"/>
      <c r="J2132" s="3" t="n"/>
      <c r="K2132" s="3" t="n">
        <v>455.78</v>
      </c>
      <c r="L2132" s="3" t="n">
        <v>449.89</v>
      </c>
      <c r="M2132" s="2" t="inlineStr">
        <is>
          <t>TCGplayer</t>
        </is>
      </c>
      <c r="O2132" s="4" t="inlineStr">
        <is>
          <t>https://www.tcgplayer.com/product/276586</t>
        </is>
      </c>
    </row>
    <row r="2133">
      <c r="A2133" s="2" t="inlineStr">
        <is>
          <t>Decidueye GX Challenge Box</t>
        </is>
      </c>
      <c r="B2133" s="3">
        <f>IF(I2133&lt;&gt;"",I2133,IF(J2133&lt;&gt;"",J2133,IF(K2133&lt;&gt;"",K2133,L2133)))</f>
        <v>68.0</v>
      </c>
      <c r="C2133" s="3">
        <f>MEDIAN(I2133:L2133)</f>
        <v>68.0</v>
      </c>
      <c r="D2133" s="3">
        <f>ROUND(C2133*(1-Settings!$B$2),2)</f>
        <v>47.6</v>
      </c>
      <c r="E2133" s="3">
        <f>ROUND(C2133*(1-Settings!$B$3),2)</f>
        <v>47.6</v>
      </c>
      <c r="F2133" s="2" t="inlineStr">
        <is>
          <t>Pokemon</t>
        </is>
      </c>
      <c r="G2133" s="2" t="inlineStr">
        <is>
          <t>Coffret</t>
        </is>
      </c>
      <c r="H2133" s="2" t="inlineStr">
        <is>
          <t>SM Base Set</t>
        </is>
      </c>
      <c r="I2133" s="3" t="n"/>
      <c r="J2133" s="3" t="n">
        <v>68</v>
      </c>
      <c r="K2133" s="3" t="n"/>
      <c r="L2133" s="3" t="n"/>
      <c r="M2133" s="2" t="inlineStr">
        <is>
          <t>TCGplayer</t>
        </is>
      </c>
      <c r="O2133" s="4" t="inlineStr">
        <is>
          <t>https://www.tcgplayer.com/product/230425</t>
        </is>
      </c>
    </row>
    <row r="2134">
      <c r="A2134" s="2" t="inlineStr">
        <is>
          <t>Legacy Evolution Pin Collection</t>
        </is>
      </c>
      <c r="B2134" s="3">
        <f>IF(I2134&lt;&gt;"",I2134,IF(J2134&lt;&gt;"",J2134,IF(K2134&lt;&gt;"",K2134,L2134)))</f>
        <v>349.0</v>
      </c>
      <c r="C2134" s="3">
        <f>MEDIAN(I2134:L2134)</f>
        <v>599.0</v>
      </c>
      <c r="D2134" s="3">
        <f>ROUND(C2134*(1-Settings!$B$2),2)</f>
        <v>419.3</v>
      </c>
      <c r="E2134" s="3">
        <f>ROUND(C2134*(1-Settings!$B$3),2)</f>
        <v>419.3</v>
      </c>
      <c r="F2134" s="2" t="inlineStr">
        <is>
          <t>Pokemon</t>
        </is>
      </c>
      <c r="G2134" s="2" t="inlineStr">
        <is>
          <t>Coffret</t>
        </is>
      </c>
      <c r="H2134" s="2" t="inlineStr">
        <is>
          <t>SM Base Set</t>
        </is>
      </c>
      <c r="I2134" s="3" t="n"/>
      <c r="J2134" s="3" t="n">
        <v>349</v>
      </c>
      <c r="K2134" s="3" t="n">
        <v>599</v>
      </c>
      <c r="L2134" s="3" t="n">
        <v>599</v>
      </c>
      <c r="M2134" s="2" t="inlineStr">
        <is>
          <t>TCGplayer</t>
        </is>
      </c>
      <c r="O2134" s="4" t="inlineStr">
        <is>
          <t>https://www.tcgplayer.com/product/148381</t>
        </is>
      </c>
    </row>
    <row r="2135">
      <c r="A2135" s="2" t="inlineStr">
        <is>
          <t>Legends of Alola Tin [Lunala GX]</t>
        </is>
      </c>
      <c r="B2135" s="3">
        <f>IF(I2135&lt;&gt;"",I2135,IF(J2135&lt;&gt;"",J2135,IF(K2135&lt;&gt;"",K2135,L2135)))</f>
        <v>196.96</v>
      </c>
      <c r="C2135" s="3">
        <f>MEDIAN(I2135:L2135)</f>
        <v>196.96</v>
      </c>
      <c r="D2135" s="3">
        <f>ROUND(C2135*(1-Settings!$B$2),2)</f>
        <v>137.87</v>
      </c>
      <c r="E2135" s="3">
        <f>ROUND(C2135*(1-Settings!$B$3),2)</f>
        <v>137.87</v>
      </c>
      <c r="F2135" s="2" t="inlineStr">
        <is>
          <t>Pokemon</t>
        </is>
      </c>
      <c r="G2135" s="2" t="inlineStr">
        <is>
          <t>Coffret</t>
        </is>
      </c>
      <c r="H2135" s="2" t="inlineStr">
        <is>
          <t>SM Base Set</t>
        </is>
      </c>
      <c r="I2135" s="3" t="n"/>
      <c r="J2135" s="3" t="n"/>
      <c r="K2135" s="3" t="n">
        <v>196.96</v>
      </c>
      <c r="L2135" s="3" t="n">
        <v>196.96</v>
      </c>
      <c r="M2135" s="2" t="inlineStr">
        <is>
          <t>TCGplayer</t>
        </is>
      </c>
      <c r="O2135" s="4" t="inlineStr">
        <is>
          <t>https://www.tcgplayer.com/product/129310</t>
        </is>
      </c>
    </row>
    <row r="2136">
      <c r="A2136" s="2" t="inlineStr">
        <is>
          <t>Legends of Alola Tin [Solgaleo GX]</t>
        </is>
      </c>
      <c r="B2136" s="3">
        <f>IF(I2136&lt;&gt;"",I2136,IF(J2136&lt;&gt;"",J2136,IF(K2136&lt;&gt;"",K2136,L2136)))</f>
        <v>192.49</v>
      </c>
      <c r="C2136" s="3">
        <f>MEDIAN(I2136:L2136)</f>
        <v>191.245</v>
      </c>
      <c r="D2136" s="3">
        <f>ROUND(C2136*(1-Settings!$B$2),2)</f>
        <v>133.87</v>
      </c>
      <c r="E2136" s="3">
        <f>ROUND(C2136*(1-Settings!$B$3),2)</f>
        <v>133.87</v>
      </c>
      <c r="F2136" s="2" t="inlineStr">
        <is>
          <t>Pokemon</t>
        </is>
      </c>
      <c r="G2136" s="2" t="inlineStr">
        <is>
          <t>Coffret</t>
        </is>
      </c>
      <c r="H2136" s="2" t="inlineStr">
        <is>
          <t>SM Base Set</t>
        </is>
      </c>
      <c r="I2136" s="3" t="n"/>
      <c r="J2136" s="3" t="n"/>
      <c r="K2136" s="3" t="n">
        <v>192.49</v>
      </c>
      <c r="L2136" s="3" t="n">
        <v>190</v>
      </c>
      <c r="M2136" s="2" t="inlineStr">
        <is>
          <t>TCGplayer</t>
        </is>
      </c>
      <c r="O2136" s="4" t="inlineStr">
        <is>
          <t>https://www.tcgplayer.com/product/129309</t>
        </is>
      </c>
    </row>
    <row r="2137">
      <c r="A2137" s="2" t="inlineStr">
        <is>
          <t>Lycanroc GX Box</t>
        </is>
      </c>
      <c r="B2137" s="3">
        <f>IF(I2137&lt;&gt;"",I2137,IF(J2137&lt;&gt;"",J2137,IF(K2137&lt;&gt;"",K2137,L2137)))</f>
        <v>240.0</v>
      </c>
      <c r="C2137" s="3">
        <f>MEDIAN(I2137:L2137)</f>
        <v>240.0</v>
      </c>
      <c r="D2137" s="3">
        <f>ROUND(C2137*(1-Settings!$B$2),2)</f>
        <v>168.0</v>
      </c>
      <c r="E2137" s="3">
        <f>ROUND(C2137*(1-Settings!$B$3),2)</f>
        <v>168.0</v>
      </c>
      <c r="F2137" s="2" t="inlineStr">
        <is>
          <t>Pokemon</t>
        </is>
      </c>
      <c r="G2137" s="2" t="inlineStr">
        <is>
          <t>Coffret</t>
        </is>
      </c>
      <c r="H2137" s="2" t="inlineStr">
        <is>
          <t>SM Base Set</t>
        </is>
      </c>
      <c r="I2137" s="3" t="n"/>
      <c r="J2137" s="3" t="n"/>
      <c r="K2137" s="3" t="n">
        <v>240</v>
      </c>
      <c r="L2137" s="3" t="n">
        <v>240</v>
      </c>
      <c r="M2137" s="2" t="inlineStr">
        <is>
          <t>TCGplayer</t>
        </is>
      </c>
      <c r="O2137" s="4" t="inlineStr">
        <is>
          <t>https://www.tcgplayer.com/product/131865</t>
        </is>
      </c>
    </row>
    <row r="2138">
      <c r="A2138" s="2" t="inlineStr">
        <is>
          <t>Mega Camerupt EX Premium Collection</t>
        </is>
      </c>
      <c r="B2138" s="3">
        <f>IF(I2138&lt;&gt;"",I2138,IF(J2138&lt;&gt;"",J2138,IF(K2138&lt;&gt;"",K2138,L2138)))</f>
        <v>500.0</v>
      </c>
      <c r="C2138" s="3">
        <f>MEDIAN(I2138:L2138)</f>
        <v>500.0</v>
      </c>
      <c r="D2138" s="3">
        <f>ROUND(C2138*(1-Settings!$B$2),2)</f>
        <v>350.0</v>
      </c>
      <c r="E2138" s="3">
        <f>ROUND(C2138*(1-Settings!$B$3),2)</f>
        <v>350.0</v>
      </c>
      <c r="F2138" s="2" t="inlineStr">
        <is>
          <t>Pokemon</t>
        </is>
      </c>
      <c r="G2138" s="2" t="inlineStr">
        <is>
          <t>Coffret</t>
        </is>
      </c>
      <c r="H2138" s="2" t="inlineStr">
        <is>
          <t>SM Base Set</t>
        </is>
      </c>
      <c r="I2138" s="3" t="n"/>
      <c r="J2138" s="3" t="n"/>
      <c r="K2138" s="3" t="n">
        <v>500</v>
      </c>
      <c r="L2138" s="3" t="n">
        <v>500</v>
      </c>
      <c r="M2138" s="2" t="inlineStr">
        <is>
          <t>TCGplayer</t>
        </is>
      </c>
      <c r="O2138" s="4" t="inlineStr">
        <is>
          <t>https://www.tcgplayer.com/product/129896</t>
        </is>
      </c>
    </row>
    <row r="2139">
      <c r="A2139" s="2" t="inlineStr">
        <is>
          <t>Mimikyu Pin Collection</t>
        </is>
      </c>
      <c r="B2139" s="3">
        <f>IF(I2139&lt;&gt;"",I2139,IF(J2139&lt;&gt;"",J2139,IF(K2139&lt;&gt;"",K2139,L2139)))</f>
        <v>183.89</v>
      </c>
      <c r="C2139" s="3">
        <f>MEDIAN(I2139:L2139)</f>
        <v>183.89</v>
      </c>
      <c r="D2139" s="3">
        <f>ROUND(C2139*(1-Settings!$B$2),2)</f>
        <v>128.72</v>
      </c>
      <c r="E2139" s="3">
        <f>ROUND(C2139*(1-Settings!$B$3),2)</f>
        <v>128.72</v>
      </c>
      <c r="F2139" s="2" t="inlineStr">
        <is>
          <t>Pokemon</t>
        </is>
      </c>
      <c r="G2139" s="2" t="inlineStr">
        <is>
          <t>Coffret</t>
        </is>
      </c>
      <c r="H2139" s="2" t="inlineStr">
        <is>
          <t>SM Base Set</t>
        </is>
      </c>
      <c r="I2139" s="3" t="n"/>
      <c r="J2139" s="3" t="n">
        <v>183.89</v>
      </c>
      <c r="K2139" s="3" t="n">
        <v>224.99</v>
      </c>
      <c r="L2139" s="3" t="n">
        <v>15</v>
      </c>
      <c r="M2139" s="2" t="inlineStr">
        <is>
          <t>TCGplayer</t>
        </is>
      </c>
      <c r="O2139" s="4" t="inlineStr">
        <is>
          <t>https://www.tcgplayer.com/product/129895</t>
        </is>
      </c>
    </row>
    <row r="2140">
      <c r="A2140" s="2" t="inlineStr">
        <is>
          <t>Scizor EX Box</t>
        </is>
      </c>
      <c r="B2140" s="3">
        <f>IF(I2140&lt;&gt;"",I2140,IF(J2140&lt;&gt;"",J2140,IF(K2140&lt;&gt;"",K2140,L2140)))</f>
        <v>249.95</v>
      </c>
      <c r="C2140" s="3">
        <f>MEDIAN(I2140:L2140)</f>
        <v>450.0</v>
      </c>
      <c r="D2140" s="3">
        <f>ROUND(C2140*(1-Settings!$B$2),2)</f>
        <v>315.0</v>
      </c>
      <c r="E2140" s="3">
        <f>ROUND(C2140*(1-Settings!$B$3),2)</f>
        <v>315.0</v>
      </c>
      <c r="F2140" s="2" t="inlineStr">
        <is>
          <t>Pokemon</t>
        </is>
      </c>
      <c r="G2140" s="2" t="inlineStr">
        <is>
          <t>Coffret</t>
        </is>
      </c>
      <c r="H2140" s="2" t="inlineStr">
        <is>
          <t>SM Base Set</t>
        </is>
      </c>
      <c r="I2140" s="3" t="n"/>
      <c r="J2140" s="3" t="n">
        <v>249.95</v>
      </c>
      <c r="K2140" s="3" t="n">
        <v>450</v>
      </c>
      <c r="L2140" s="3" t="n">
        <v>450</v>
      </c>
      <c r="M2140" s="2" t="inlineStr">
        <is>
          <t>TCGplayer</t>
        </is>
      </c>
      <c r="O2140" s="4" t="inlineStr">
        <is>
          <t>https://www.tcgplayer.com/product/131870</t>
        </is>
      </c>
    </row>
    <row r="2141">
      <c r="A2141" s="2" t="inlineStr">
        <is>
          <t>Sun &amp; Moon Booster Pack Art Bundle [Set of 5]</t>
        </is>
      </c>
      <c r="B2141" s="3">
        <f>IF(I2141&lt;&gt;"",I2141,IF(J2141&lt;&gt;"",J2141,IF(K2141&lt;&gt;"",K2141,L2141)))</f>
        <v>129.34</v>
      </c>
      <c r="C2141" s="3">
        <f>MEDIAN(I2141:L2141)</f>
        <v>116.95</v>
      </c>
      <c r="D2141" s="3">
        <f>ROUND(C2141*(1-Settings!$B$2),2)</f>
        <v>81.87</v>
      </c>
      <c r="E2141" s="3">
        <f>ROUND(C2141*(1-Settings!$B$3),2)</f>
        <v>81.87</v>
      </c>
      <c r="F2141" s="2" t="inlineStr">
        <is>
          <t>Pokemon</t>
        </is>
      </c>
      <c r="G2141" s="2" t="inlineStr">
        <is>
          <t>Coffret</t>
        </is>
      </c>
      <c r="H2141" s="2" t="inlineStr">
        <is>
          <t>SM Base Set</t>
        </is>
      </c>
      <c r="I2141" s="3" t="n"/>
      <c r="J2141" s="3" t="n">
        <v>129.34</v>
      </c>
      <c r="K2141" s="3" t="n">
        <v>116.95</v>
      </c>
      <c r="L2141" s="3" t="n">
        <v>80</v>
      </c>
      <c r="M2141" s="2" t="inlineStr">
        <is>
          <t>TCGplayer</t>
        </is>
      </c>
      <c r="O2141" s="4" t="inlineStr">
        <is>
          <t>https://www.tcgplayer.com/product/267036</t>
        </is>
      </c>
    </row>
    <row r="2142">
      <c r="A2142" s="2" t="inlineStr">
        <is>
          <t>Sun &amp; Moon Elite Trainer Box [Lunala]</t>
        </is>
      </c>
      <c r="B2142" s="3">
        <f>IF(I2142&lt;&gt;"",I2142,IF(J2142&lt;&gt;"",J2142,IF(K2142&lt;&gt;"",K2142,L2142)))</f>
        <v>247.49</v>
      </c>
      <c r="C2142" s="3">
        <f>MEDIAN(I2142:L2142)</f>
        <v>247.49</v>
      </c>
      <c r="D2142" s="3">
        <f>ROUND(C2142*(1-Settings!$B$2),2)</f>
        <v>173.24</v>
      </c>
      <c r="E2142" s="3">
        <f>ROUND(C2142*(1-Settings!$B$3),2)</f>
        <v>173.24</v>
      </c>
      <c r="F2142" s="2" t="inlineStr">
        <is>
          <t>Pokemon</t>
        </is>
      </c>
      <c r="G2142" s="2" t="inlineStr">
        <is>
          <t>Coffret</t>
        </is>
      </c>
      <c r="H2142" s="2" t="inlineStr">
        <is>
          <t>SM Base Set</t>
        </is>
      </c>
      <c r="I2142" s="3" t="n"/>
      <c r="J2142" s="3" t="n">
        <v>247.49</v>
      </c>
      <c r="K2142" s="3" t="n">
        <v>275.99</v>
      </c>
      <c r="L2142" s="3" t="n">
        <v>230</v>
      </c>
      <c r="M2142" s="2" t="inlineStr">
        <is>
          <t>TCGplayer</t>
        </is>
      </c>
      <c r="O2142" s="4" t="inlineStr">
        <is>
          <t>https://www.tcgplayer.com/product/126091</t>
        </is>
      </c>
    </row>
    <row r="2143">
      <c r="A2143" s="2" t="inlineStr">
        <is>
          <t>Sun &amp; Moon Elite Trainer Box [Solgaleo]</t>
        </is>
      </c>
      <c r="B2143" s="3">
        <f>IF(I2143&lt;&gt;"",I2143,IF(J2143&lt;&gt;"",J2143,IF(K2143&lt;&gt;"",K2143,L2143)))</f>
        <v>249.03</v>
      </c>
      <c r="C2143" s="3">
        <f>MEDIAN(I2143:L2143)</f>
        <v>249.03</v>
      </c>
      <c r="D2143" s="3">
        <f>ROUND(C2143*(1-Settings!$B$2),2)</f>
        <v>174.32</v>
      </c>
      <c r="E2143" s="3">
        <f>ROUND(C2143*(1-Settings!$B$3),2)</f>
        <v>174.32</v>
      </c>
      <c r="F2143" s="2" t="inlineStr">
        <is>
          <t>Pokemon</t>
        </is>
      </c>
      <c r="G2143" s="2" t="inlineStr">
        <is>
          <t>Coffret</t>
        </is>
      </c>
      <c r="H2143" s="2" t="inlineStr">
        <is>
          <t>SM Base Set</t>
        </is>
      </c>
      <c r="I2143" s="3" t="n"/>
      <c r="J2143" s="3" t="n">
        <v>249.03</v>
      </c>
      <c r="K2143" s="3" t="n">
        <v>550</v>
      </c>
      <c r="L2143" s="3" t="n">
        <v>20.99</v>
      </c>
      <c r="M2143" s="2" t="inlineStr">
        <is>
          <t>TCGplayer</t>
        </is>
      </c>
      <c r="O2143" s="4" t="inlineStr">
        <is>
          <t>https://www.tcgplayer.com/product/126089</t>
        </is>
      </c>
    </row>
    <row r="2144">
      <c r="A2144" s="2" t="inlineStr">
        <is>
          <t>Sun &amp; Moon GX Challenge Box [Decidueye]</t>
        </is>
      </c>
      <c r="B2144" s="3">
        <f>IF(I2144&lt;&gt;"",I2144,IF(J2144&lt;&gt;"",J2144,IF(K2144&lt;&gt;"",K2144,L2144)))</f>
        <v>150.0</v>
      </c>
      <c r="C2144" s="3">
        <f>MEDIAN(I2144:L2144)</f>
        <v>269.6</v>
      </c>
      <c r="D2144" s="3">
        <f>ROUND(C2144*(1-Settings!$B$2),2)</f>
        <v>188.72</v>
      </c>
      <c r="E2144" s="3">
        <f>ROUND(C2144*(1-Settings!$B$3),2)</f>
        <v>188.72</v>
      </c>
      <c r="F2144" s="2" t="inlineStr">
        <is>
          <t>Pokemon</t>
        </is>
      </c>
      <c r="G2144" s="2" t="inlineStr">
        <is>
          <t>Coffret</t>
        </is>
      </c>
      <c r="H2144" s="2" t="inlineStr">
        <is>
          <t>SM Base Set</t>
        </is>
      </c>
      <c r="I2144" s="3" t="n"/>
      <c r="J2144" s="3" t="n">
        <v>150</v>
      </c>
      <c r="K2144" s="3" t="n">
        <v>269.69</v>
      </c>
      <c r="L2144" s="3" t="n">
        <v>269.6</v>
      </c>
      <c r="M2144" s="2" t="inlineStr">
        <is>
          <t>TCGplayer</t>
        </is>
      </c>
      <c r="O2144" s="4" t="inlineStr">
        <is>
          <t>https://www.tcgplayer.com/product/244314</t>
        </is>
      </c>
    </row>
    <row r="2145">
      <c r="A2145" s="2" t="inlineStr">
        <is>
          <t>Sun &amp; Moon Prerelease Kit</t>
        </is>
      </c>
      <c r="B2145" s="3">
        <f>IF(I2145&lt;&gt;"",I2145,IF(J2145&lt;&gt;"",J2145,IF(K2145&lt;&gt;"",K2145,L2145)))</f>
        <v>662.5</v>
      </c>
      <c r="C2145" s="3">
        <f>MEDIAN(I2145:L2145)</f>
        <v>631.245</v>
      </c>
      <c r="D2145" s="3">
        <f>ROUND(C2145*(1-Settings!$B$2),2)</f>
        <v>441.87</v>
      </c>
      <c r="E2145" s="3">
        <f>ROUND(C2145*(1-Settings!$B$3),2)</f>
        <v>441.87</v>
      </c>
      <c r="F2145" s="2" t="inlineStr">
        <is>
          <t>Pokemon</t>
        </is>
      </c>
      <c r="G2145" s="2" t="inlineStr">
        <is>
          <t>Coffret</t>
        </is>
      </c>
      <c r="H2145" s="2" t="inlineStr">
        <is>
          <t>SM Base Set</t>
        </is>
      </c>
      <c r="I2145" s="3" t="n"/>
      <c r="J2145" s="3" t="n"/>
      <c r="K2145" s="3" t="n">
        <v>662.5</v>
      </c>
      <c r="L2145" s="3" t="n">
        <v>599.99</v>
      </c>
      <c r="M2145" s="2" t="inlineStr">
        <is>
          <t>TCGplayer</t>
        </is>
      </c>
      <c r="O2145" s="4" t="inlineStr">
        <is>
          <t>https://www.tcgplayer.com/product/206409</t>
        </is>
      </c>
    </row>
    <row r="2146">
      <c r="A2146" s="2" t="inlineStr">
        <is>
          <t>Zygarde Complete Forme Pin Collection</t>
        </is>
      </c>
      <c r="B2146" s="3">
        <f>IF(I2146&lt;&gt;"",I2146,IF(J2146&lt;&gt;"",J2146,IF(K2146&lt;&gt;"",K2146,L2146)))</f>
        <v>150.0</v>
      </c>
      <c r="C2146" s="3">
        <f>MEDIAN(I2146:L2146)</f>
        <v>137.495</v>
      </c>
      <c r="D2146" s="3">
        <f>ROUND(C2146*(1-Settings!$B$2),2)</f>
        <v>96.25</v>
      </c>
      <c r="E2146" s="3">
        <f>ROUND(C2146*(1-Settings!$B$3),2)</f>
        <v>96.25</v>
      </c>
      <c r="F2146" s="2" t="inlineStr">
        <is>
          <t>Pokemon</t>
        </is>
      </c>
      <c r="G2146" s="2" t="inlineStr">
        <is>
          <t>Coffret</t>
        </is>
      </c>
      <c r="H2146" s="2" t="inlineStr">
        <is>
          <t>SM Base Set</t>
        </is>
      </c>
      <c r="I2146" s="3" t="n"/>
      <c r="J2146" s="3" t="n"/>
      <c r="K2146" s="3" t="n">
        <v>150</v>
      </c>
      <c r="L2146" s="3" t="n">
        <v>124.99</v>
      </c>
      <c r="M2146" s="2" t="inlineStr">
        <is>
          <t>TCGplayer</t>
        </is>
      </c>
      <c r="O2146" s="4" t="inlineStr">
        <is>
          <t>https://www.tcgplayer.com/product/455776</t>
        </is>
      </c>
    </row>
    <row r="2147">
      <c r="A2147" s="2" t="inlineStr">
        <is>
          <t>Pikachu's New Friends Collection</t>
        </is>
      </c>
      <c r="B2147" s="3">
        <f>IF(I2147&lt;&gt;"",I2147,IF(J2147&lt;&gt;"",J2147,IF(K2147&lt;&gt;"",K2147,L2147)))</f>
        <v>199.99</v>
      </c>
      <c r="C2147" s="3">
        <f>MEDIAN(I2147:L2147)</f>
        <v>199.99</v>
      </c>
      <c r="D2147" s="3">
        <f>ROUND(C2147*(1-Settings!$B$2),2)</f>
        <v>139.99</v>
      </c>
      <c r="E2147" s="3">
        <f>ROUND(C2147*(1-Settings!$B$3),2)</f>
        <v>139.99</v>
      </c>
      <c r="F2147" s="2" t="inlineStr">
        <is>
          <t>Pokemon</t>
        </is>
      </c>
      <c r="G2147" s="2" t="inlineStr">
        <is>
          <t>Coffret</t>
        </is>
      </c>
      <c r="H2147" s="2" t="inlineStr">
        <is>
          <t>SM0: Pikachu's New Friends</t>
        </is>
      </c>
      <c r="I2147" s="3" t="n"/>
      <c r="J2147" s="3" t="n">
        <v>199.99</v>
      </c>
      <c r="K2147" s="3" t="n"/>
      <c r="L2147" s="3" t="n"/>
      <c r="M2147" s="2" t="inlineStr">
        <is>
          <t>TCGplayer</t>
        </is>
      </c>
      <c r="O2147" s="4" t="inlineStr">
        <is>
          <t>https://www.tcgplayer.com/product/576965</t>
        </is>
      </c>
    </row>
    <row r="2148">
      <c r="A2148" s="2" t="inlineStr">
        <is>
          <t>Rainbow Island Fields of Flowers Box Set</t>
        </is>
      </c>
      <c r="B2148" s="3">
        <f>IF(I2148&lt;&gt;"",I2148,IF(J2148&lt;&gt;"",J2148,IF(K2148&lt;&gt;"",K2148,L2148)))</f>
        <v>195.0</v>
      </c>
      <c r="C2148" s="3">
        <f>MEDIAN(I2148:L2148)</f>
        <v>195.0</v>
      </c>
      <c r="D2148" s="3">
        <f>ROUND(C2148*(1-Settings!$B$2),2)</f>
        <v>136.5</v>
      </c>
      <c r="E2148" s="3">
        <f>ROUND(C2148*(1-Settings!$B$3),2)</f>
        <v>136.5</v>
      </c>
      <c r="F2148" s="2" t="inlineStr">
        <is>
          <t>Pokemon</t>
        </is>
      </c>
      <c r="G2148" s="2" t="inlineStr">
        <is>
          <t>Coffret</t>
        </is>
      </c>
      <c r="H2148" s="2" t="inlineStr">
        <is>
          <t>Southern Island</t>
        </is>
      </c>
      <c r="I2148" s="3" t="n"/>
      <c r="J2148" s="3" t="n"/>
      <c r="K2148" s="3" t="n"/>
      <c r="L2148" s="3" t="n">
        <v>195</v>
      </c>
      <c r="M2148" s="2" t="inlineStr">
        <is>
          <t>TCGplayer</t>
        </is>
      </c>
      <c r="O2148" s="4" t="inlineStr">
        <is>
          <t>https://www.tcgplayer.com/product/701545</t>
        </is>
      </c>
    </row>
    <row r="2149">
      <c r="A2149" s="2" t="inlineStr">
        <is>
          <t>Rainbow Island Riverside Box Set</t>
        </is>
      </c>
      <c r="B2149" s="3">
        <f>IF(I2149&lt;&gt;"",I2149,IF(J2149&lt;&gt;"",J2149,IF(K2149&lt;&gt;"",K2149,L2149)))</f>
        <v>235.0</v>
      </c>
      <c r="C2149" s="3">
        <f>MEDIAN(I2149:L2149)</f>
        <v>392.5</v>
      </c>
      <c r="D2149" s="3">
        <f>ROUND(C2149*(1-Settings!$B$2),2)</f>
        <v>274.75</v>
      </c>
      <c r="E2149" s="3">
        <f>ROUND(C2149*(1-Settings!$B$3),2)</f>
        <v>274.75</v>
      </c>
      <c r="F2149" s="2" t="inlineStr">
        <is>
          <t>Pokemon</t>
        </is>
      </c>
      <c r="G2149" s="2" t="inlineStr">
        <is>
          <t>Coffret</t>
        </is>
      </c>
      <c r="H2149" s="2" t="inlineStr">
        <is>
          <t>Southern Island</t>
        </is>
      </c>
      <c r="I2149" s="3" t="n"/>
      <c r="J2149" s="3" t="n">
        <v>235</v>
      </c>
      <c r="K2149" s="3" t="n"/>
      <c r="L2149" s="3" t="n">
        <v>550</v>
      </c>
      <c r="M2149" s="2" t="inlineStr">
        <is>
          <t>TCGplayer</t>
        </is>
      </c>
      <c r="O2149" s="4" t="inlineStr">
        <is>
          <t>https://www.tcgplayer.com/product/701544</t>
        </is>
      </c>
    </row>
    <row r="2150">
      <c r="A2150" s="2" t="inlineStr">
        <is>
          <t>Rainbow Island Sky Box Set</t>
        </is>
      </c>
      <c r="B2150" s="3">
        <f>IF(I2150&lt;&gt;"",I2150,IF(J2150&lt;&gt;"",J2150,IF(K2150&lt;&gt;"",K2150,L2150)))</f>
        <v>1250.0</v>
      </c>
      <c r="C2150" s="3">
        <f>MEDIAN(I2150:L2150)</f>
        <v>1250.0</v>
      </c>
      <c r="D2150" s="3">
        <f>ROUND(C2150*(1-Settings!$B$2),2)</f>
        <v>875.0</v>
      </c>
      <c r="E2150" s="3">
        <f>ROUND(C2150*(1-Settings!$B$3),2)</f>
        <v>875.0</v>
      </c>
      <c r="F2150" s="2" t="inlineStr">
        <is>
          <t>Pokemon</t>
        </is>
      </c>
      <c r="G2150" s="2" t="inlineStr">
        <is>
          <t>Coffret</t>
        </is>
      </c>
      <c r="H2150" s="2" t="inlineStr">
        <is>
          <t>Southern Island</t>
        </is>
      </c>
      <c r="I2150" s="3" t="n"/>
      <c r="J2150" s="3" t="n"/>
      <c r="K2150" s="3" t="n"/>
      <c r="L2150" s="3" t="n">
        <v>1250</v>
      </c>
      <c r="M2150" s="2" t="inlineStr">
        <is>
          <t>TCGplayer</t>
        </is>
      </c>
      <c r="O2150" s="4" t="inlineStr">
        <is>
          <t>https://www.tcgplayer.com/product/701543</t>
        </is>
      </c>
    </row>
    <row r="2151">
      <c r="A2151" s="2" t="inlineStr">
        <is>
          <t>Tropical Island Beach Box Set</t>
        </is>
      </c>
      <c r="B2151" s="3">
        <f>IF(I2151&lt;&gt;"",I2151,IF(J2151&lt;&gt;"",J2151,IF(K2151&lt;&gt;"",K2151,L2151)))</f>
        <v>295.0</v>
      </c>
      <c r="C2151" s="3">
        <f>MEDIAN(I2151:L2151)</f>
        <v>295.0</v>
      </c>
      <c r="D2151" s="3">
        <f>ROUND(C2151*(1-Settings!$B$2),2)</f>
        <v>206.5</v>
      </c>
      <c r="E2151" s="3">
        <f>ROUND(C2151*(1-Settings!$B$3),2)</f>
        <v>206.5</v>
      </c>
      <c r="F2151" s="2" t="inlineStr">
        <is>
          <t>Pokemon</t>
        </is>
      </c>
      <c r="G2151" s="2" t="inlineStr">
        <is>
          <t>Coffret</t>
        </is>
      </c>
      <c r="H2151" s="2" t="inlineStr">
        <is>
          <t>Southern Island</t>
        </is>
      </c>
      <c r="I2151" s="3" t="n"/>
      <c r="J2151" s="3" t="n"/>
      <c r="K2151" s="3" t="n"/>
      <c r="L2151" s="3" t="n">
        <v>295</v>
      </c>
      <c r="M2151" s="2" t="inlineStr">
        <is>
          <t>TCGplayer</t>
        </is>
      </c>
      <c r="O2151" s="4" t="inlineStr">
        <is>
          <t>https://www.tcgplayer.com/product/701539</t>
        </is>
      </c>
    </row>
    <row r="2152">
      <c r="A2152" s="2" t="inlineStr">
        <is>
          <t>Tropical Island Jungle Box Set</t>
        </is>
      </c>
      <c r="B2152" s="3">
        <f>IF(I2152&lt;&gt;"",I2152,IF(J2152&lt;&gt;"",J2152,IF(K2152&lt;&gt;"",K2152,L2152)))</f>
        <v>185.0</v>
      </c>
      <c r="C2152" s="3">
        <f>MEDIAN(I2152:L2152)</f>
        <v>185.0</v>
      </c>
      <c r="D2152" s="3">
        <f>ROUND(C2152*(1-Settings!$B$2),2)</f>
        <v>129.5</v>
      </c>
      <c r="E2152" s="3">
        <f>ROUND(C2152*(1-Settings!$B$3),2)</f>
        <v>129.5</v>
      </c>
      <c r="F2152" s="2" t="inlineStr">
        <is>
          <t>Pokemon</t>
        </is>
      </c>
      <c r="G2152" s="2" t="inlineStr">
        <is>
          <t>Coffret</t>
        </is>
      </c>
      <c r="H2152" s="2" t="inlineStr">
        <is>
          <t>Southern Island</t>
        </is>
      </c>
      <c r="I2152" s="3" t="n"/>
      <c r="J2152" s="3" t="n"/>
      <c r="K2152" s="3" t="n"/>
      <c r="L2152" s="3" t="n">
        <v>185</v>
      </c>
      <c r="M2152" s="2" t="inlineStr">
        <is>
          <t>TCGplayer</t>
        </is>
      </c>
      <c r="O2152" s="4" t="inlineStr">
        <is>
          <t>https://www.tcgplayer.com/product/701538</t>
        </is>
      </c>
    </row>
    <row r="2153">
      <c r="A2153" s="2" t="inlineStr">
        <is>
          <t>Tropical Island Sea Box Set</t>
        </is>
      </c>
      <c r="B2153" s="3">
        <f>IF(I2153&lt;&gt;"",I2153,IF(J2153&lt;&gt;"",J2153,IF(K2153&lt;&gt;"",K2153,L2153)))</f>
        <v>449.99</v>
      </c>
      <c r="C2153" s="3">
        <f>MEDIAN(I2153:L2153)</f>
        <v>449.99</v>
      </c>
      <c r="D2153" s="3">
        <f>ROUND(C2153*(1-Settings!$B$2),2)</f>
        <v>314.99</v>
      </c>
      <c r="E2153" s="3">
        <f>ROUND(C2153*(1-Settings!$B$3),2)</f>
        <v>314.99</v>
      </c>
      <c r="F2153" s="2" t="inlineStr">
        <is>
          <t>Pokemon</t>
        </is>
      </c>
      <c r="G2153" s="2" t="inlineStr">
        <is>
          <t>Coffret</t>
        </is>
      </c>
      <c r="H2153" s="2" t="inlineStr">
        <is>
          <t>Southern Island</t>
        </is>
      </c>
      <c r="I2153" s="3" t="n"/>
      <c r="J2153" s="3" t="n"/>
      <c r="K2153" s="3" t="n"/>
      <c r="L2153" s="3" t="n">
        <v>449.99</v>
      </c>
      <c r="M2153" s="2" t="inlineStr">
        <is>
          <t>TCGplayer</t>
        </is>
      </c>
      <c r="O2153" s="4" t="inlineStr">
        <is>
          <t>https://www.tcgplayer.com/product/701546</t>
        </is>
      </c>
    </row>
    <row r="2154">
      <c r="A2154" s="2" t="inlineStr">
        <is>
          <t>Southern Islands Collection</t>
        </is>
      </c>
      <c r="B2154" s="3">
        <f>IF(I2154&lt;&gt;"",I2154,IF(J2154&lt;&gt;"",J2154,IF(K2154&lt;&gt;"",K2154,L2154)))</f>
        <v>29850.0</v>
      </c>
      <c r="C2154" s="3">
        <f>MEDIAN(I2154:L2154)</f>
        <v>18924.5</v>
      </c>
      <c r="D2154" s="3">
        <f>ROUND(C2154*(1-Settings!$B$2),2)</f>
        <v>13247.15</v>
      </c>
      <c r="E2154" s="3">
        <f>ROUND(C2154*(1-Settings!$B$3),2)</f>
        <v>13247.15</v>
      </c>
      <c r="F2154" s="2" t="inlineStr">
        <is>
          <t>Pokemon</t>
        </is>
      </c>
      <c r="G2154" s="2" t="inlineStr">
        <is>
          <t>Coffret</t>
        </is>
      </c>
      <c r="H2154" s="2" t="inlineStr">
        <is>
          <t>Southern Islands</t>
        </is>
      </c>
      <c r="I2154" s="3" t="n"/>
      <c r="J2154" s="3" t="n"/>
      <c r="K2154" s="3" t="n">
        <v>29850</v>
      </c>
      <c r="L2154" s="3" t="n">
        <v>7999</v>
      </c>
      <c r="M2154" s="2" t="inlineStr">
        <is>
          <t>TCGplayer</t>
        </is>
      </c>
      <c r="O2154" s="4" t="inlineStr">
        <is>
          <t>https://www.tcgplayer.com/product/610709</t>
        </is>
      </c>
    </row>
    <row r="2155">
      <c r="A2155" s="2" t="inlineStr">
        <is>
          <t>Southern Islands Collection Box</t>
        </is>
      </c>
      <c r="B2155" s="3">
        <f>IF(I2155&lt;&gt;"",I2155,IF(J2155&lt;&gt;"",J2155,IF(K2155&lt;&gt;"",K2155,L2155)))</f>
        <v>7225.0</v>
      </c>
      <c r="C2155" s="3">
        <f>MEDIAN(I2155:L2155)</f>
        <v>7225.0</v>
      </c>
      <c r="D2155" s="3">
        <f>ROUND(C2155*(1-Settings!$B$2),2)</f>
        <v>5057.5</v>
      </c>
      <c r="E2155" s="3">
        <f>ROUND(C2155*(1-Settings!$B$3),2)</f>
        <v>5057.5</v>
      </c>
      <c r="F2155" s="2" t="inlineStr">
        <is>
          <t>Pokemon</t>
        </is>
      </c>
      <c r="G2155" s="2" t="inlineStr">
        <is>
          <t>Coffret</t>
        </is>
      </c>
      <c r="H2155" s="2" t="inlineStr">
        <is>
          <t>Southern Islands</t>
        </is>
      </c>
      <c r="I2155" s="3" t="n">
        <v>7225</v>
      </c>
      <c r="J2155" s="3" t="n"/>
      <c r="K2155" s="3" t="n"/>
      <c r="L2155" s="3" t="n"/>
      <c r="M2155" s="2" t="inlineStr">
        <is>
          <t>PriceCharting</t>
        </is>
      </c>
      <c r="N2155" s="4" t="inlineStr">
        <is>
          <t>https://www.pricecharting.com/game/pokemon-southern-islands/collection-box</t>
        </is>
      </c>
    </row>
    <row r="2156">
      <c r="A2156" s="2" t="inlineStr">
        <is>
          <t>Pokemon Go Special BOX</t>
        </is>
      </c>
      <c r="B2156" s="3">
        <f>IF(I2156&lt;&gt;"",I2156,IF(J2156&lt;&gt;"",J2156,IF(K2156&lt;&gt;"",K2156,L2156)))</f>
        <v>1250.0</v>
      </c>
      <c r="C2156" s="3">
        <f>MEDIAN(I2156:L2156)</f>
        <v>1250.0</v>
      </c>
      <c r="D2156" s="3">
        <f>ROUND(C2156*(1-Settings!$B$2),2)</f>
        <v>875.0</v>
      </c>
      <c r="E2156" s="3">
        <f>ROUND(C2156*(1-Settings!$B$3),2)</f>
        <v>875.0</v>
      </c>
      <c r="F2156" s="2" t="inlineStr">
        <is>
          <t>Pokemon</t>
        </is>
      </c>
      <c r="G2156" s="2" t="inlineStr">
        <is>
          <t>Coffret</t>
        </is>
      </c>
      <c r="H2156" s="2" t="inlineStr">
        <is>
          <t>Special Box Collections</t>
        </is>
      </c>
      <c r="I2156" s="3" t="n"/>
      <c r="J2156" s="3" t="n"/>
      <c r="K2156" s="3" t="n"/>
      <c r="L2156" s="3" t="n">
        <v>1250</v>
      </c>
      <c r="M2156" s="2" t="inlineStr">
        <is>
          <t>TCGplayer</t>
        </is>
      </c>
      <c r="O2156" s="4" t="inlineStr">
        <is>
          <t>https://www.tcgplayer.com/product/688627</t>
        </is>
      </c>
    </row>
    <row r="2157">
      <c r="A2157" s="2" t="inlineStr">
        <is>
          <t>Pokemon the Movie: Secrets of the Jungle Koko Box</t>
        </is>
      </c>
      <c r="B2157" s="3">
        <f>IF(I2157&lt;&gt;"",I2157,IF(J2157&lt;&gt;"",J2157,IF(K2157&lt;&gt;"",K2157,L2157)))</f>
        <v>2999.0</v>
      </c>
      <c r="C2157" s="3">
        <f>MEDIAN(I2157:L2157)</f>
        <v>2999.0</v>
      </c>
      <c r="D2157" s="3">
        <f>ROUND(C2157*(1-Settings!$B$2),2)</f>
        <v>2099.3</v>
      </c>
      <c r="E2157" s="3">
        <f>ROUND(C2157*(1-Settings!$B$3),2)</f>
        <v>2099.3</v>
      </c>
      <c r="F2157" s="2" t="inlineStr">
        <is>
          <t>Pokemon</t>
        </is>
      </c>
      <c r="G2157" s="2" t="inlineStr">
        <is>
          <t>Coffret</t>
        </is>
      </c>
      <c r="H2157" s="2" t="inlineStr">
        <is>
          <t>Special Box Collections</t>
        </is>
      </c>
      <c r="I2157" s="3" t="n"/>
      <c r="J2157" s="3" t="n"/>
      <c r="K2157" s="3" t="n"/>
      <c r="L2157" s="3" t="n">
        <v>2999</v>
      </c>
      <c r="M2157" s="2" t="inlineStr">
        <is>
          <t>TCGplayer</t>
        </is>
      </c>
      <c r="O2157" s="4" t="inlineStr">
        <is>
          <t>https://www.tcgplayer.com/product/659614</t>
        </is>
      </c>
    </row>
    <row r="2158">
      <c r="A2158" s="2" t="inlineStr">
        <is>
          <t>Special BOX Pokemon Center Fukuoka</t>
        </is>
      </c>
      <c r="B2158" s="3">
        <f>IF(I2158&lt;&gt;"",I2158,IF(J2158&lt;&gt;"",J2158,IF(K2158&lt;&gt;"",K2158,L2158)))</f>
        <v>151.24</v>
      </c>
      <c r="C2158" s="3">
        <f>MEDIAN(I2158:L2158)</f>
        <v>76.36500000000001</v>
      </c>
      <c r="D2158" s="3">
        <f>ROUND(C2158*(1-Settings!$B$2),2)</f>
        <v>53.46</v>
      </c>
      <c r="E2158" s="3">
        <f>ROUND(C2158*(1-Settings!$B$3),2)</f>
        <v>53.46</v>
      </c>
      <c r="F2158" s="2" t="inlineStr">
        <is>
          <t>Pokemon</t>
        </is>
      </c>
      <c r="G2158" s="2" t="inlineStr">
        <is>
          <t>Coffret</t>
        </is>
      </c>
      <c r="H2158" s="2" t="inlineStr">
        <is>
          <t>Special Box Collections</t>
        </is>
      </c>
      <c r="I2158" s="3" t="n"/>
      <c r="J2158" s="3" t="n">
        <v>151.24</v>
      </c>
      <c r="K2158" s="3" t="n"/>
      <c r="L2158" s="3" t="n">
        <v>1.49</v>
      </c>
      <c r="M2158" s="2" t="inlineStr">
        <is>
          <t>TCGplayer</t>
        </is>
      </c>
      <c r="O2158" s="4" t="inlineStr">
        <is>
          <t>https://www.tcgplayer.com/product/657845</t>
        </is>
      </c>
    </row>
    <row r="2159">
      <c r="A2159" s="2" t="inlineStr">
        <is>
          <t>Special BOX Pokemon Center Hiroshima</t>
        </is>
      </c>
      <c r="B2159" s="3">
        <f>IF(I2159&lt;&gt;"",I2159,IF(J2159&lt;&gt;"",J2159,IF(K2159&lt;&gt;"",K2159,L2159)))</f>
        <v>167.09</v>
      </c>
      <c r="C2159" s="3">
        <f>MEDIAN(I2159:L2159)</f>
        <v>98.545</v>
      </c>
      <c r="D2159" s="3">
        <f>ROUND(C2159*(1-Settings!$B$2),2)</f>
        <v>68.98</v>
      </c>
      <c r="E2159" s="3">
        <f>ROUND(C2159*(1-Settings!$B$3),2)</f>
        <v>68.98</v>
      </c>
      <c r="F2159" s="2" t="inlineStr">
        <is>
          <t>Pokemon</t>
        </is>
      </c>
      <c r="G2159" s="2" t="inlineStr">
        <is>
          <t>Coffret</t>
        </is>
      </c>
      <c r="H2159" s="2" t="inlineStr">
        <is>
          <t>Special Box Collections</t>
        </is>
      </c>
      <c r="I2159" s="3" t="n"/>
      <c r="J2159" s="3" t="n">
        <v>167.09</v>
      </c>
      <c r="K2159" s="3" t="n"/>
      <c r="L2159" s="3" t="n">
        <v>30</v>
      </c>
      <c r="M2159" s="2" t="inlineStr">
        <is>
          <t>TCGplayer</t>
        </is>
      </c>
      <c r="O2159" s="4" t="inlineStr">
        <is>
          <t>https://www.tcgplayer.com/product/650760</t>
        </is>
      </c>
    </row>
    <row r="2160">
      <c r="A2160" s="2" t="inlineStr">
        <is>
          <t>Special BOX Pokemon Center Tohoku</t>
        </is>
      </c>
      <c r="B2160" s="3">
        <f>IF(I2160&lt;&gt;"",I2160,IF(J2160&lt;&gt;"",J2160,IF(K2160&lt;&gt;"",K2160,L2160)))</f>
        <v>131.85</v>
      </c>
      <c r="C2160" s="3">
        <f>MEDIAN(I2160:L2160)</f>
        <v>73.425</v>
      </c>
      <c r="D2160" s="3">
        <f>ROUND(C2160*(1-Settings!$B$2),2)</f>
        <v>51.4</v>
      </c>
      <c r="E2160" s="3">
        <f>ROUND(C2160*(1-Settings!$B$3),2)</f>
        <v>51.4</v>
      </c>
      <c r="F2160" s="2" t="inlineStr">
        <is>
          <t>Pokemon</t>
        </is>
      </c>
      <c r="G2160" s="2" t="inlineStr">
        <is>
          <t>Coffret</t>
        </is>
      </c>
      <c r="H2160" s="2" t="inlineStr">
        <is>
          <t>Special Box Collections</t>
        </is>
      </c>
      <c r="I2160" s="3" t="n"/>
      <c r="J2160" s="3" t="n">
        <v>131.85</v>
      </c>
      <c r="K2160" s="3" t="n"/>
      <c r="L2160" s="3" t="n">
        <v>15</v>
      </c>
      <c r="M2160" s="2" t="inlineStr">
        <is>
          <t>TCGplayer</t>
        </is>
      </c>
      <c r="O2160" s="4" t="inlineStr">
        <is>
          <t>https://www.tcgplayer.com/product/650419</t>
        </is>
      </c>
    </row>
    <row r="2161">
      <c r="A2161" s="2" t="inlineStr">
        <is>
          <t>Steam Siege Elite Trainer Box</t>
        </is>
      </c>
      <c r="B2161" s="3">
        <f>IF(I2161&lt;&gt;"",I2161,IF(J2161&lt;&gt;"",J2161,IF(K2161&lt;&gt;"",K2161,L2161)))</f>
        <v>1412.63</v>
      </c>
      <c r="C2161" s="3">
        <f>MEDIAN(I2161:L2161)</f>
        <v>1412.63</v>
      </c>
      <c r="D2161" s="3">
        <f>ROUND(C2161*(1-Settings!$B$2),2)</f>
        <v>988.84</v>
      </c>
      <c r="E2161" s="3">
        <f>ROUND(C2161*(1-Settings!$B$3),2)</f>
        <v>988.84</v>
      </c>
      <c r="F2161" s="2" t="inlineStr">
        <is>
          <t>Pokemon</t>
        </is>
      </c>
      <c r="G2161" s="2" t="inlineStr">
        <is>
          <t>Coffret</t>
        </is>
      </c>
      <c r="H2161" s="2" t="inlineStr">
        <is>
          <t>Steam Siege</t>
        </is>
      </c>
      <c r="I2161" s="3" t="n">
        <v>1412.63</v>
      </c>
      <c r="J2161" s="3" t="n"/>
      <c r="K2161" s="3" t="n"/>
      <c r="L2161" s="3" t="n"/>
      <c r="M2161" s="2" t="inlineStr">
        <is>
          <t>PriceCharting</t>
        </is>
      </c>
      <c r="N2161" s="4" t="inlineStr">
        <is>
          <t>https://www.pricecharting.com/game/pokemon-steam-siege/elite-trainer-box</t>
        </is>
      </c>
    </row>
    <row r="2162">
      <c r="A2162" s="2" t="inlineStr">
        <is>
          <t>Stellar Crown Booster Bundle</t>
        </is>
      </c>
      <c r="B2162" s="3">
        <f>IF(I2162&lt;&gt;"",I2162,IF(J2162&lt;&gt;"",J2162,IF(K2162&lt;&gt;"",K2162,L2162)))</f>
        <v>62.36</v>
      </c>
      <c r="C2162" s="3">
        <f>MEDIAN(I2162:L2162)</f>
        <v>62.36</v>
      </c>
      <c r="D2162" s="3">
        <f>ROUND(C2162*(1-Settings!$B$2),2)</f>
        <v>43.65</v>
      </c>
      <c r="E2162" s="3">
        <f>ROUND(C2162*(1-Settings!$B$3),2)</f>
        <v>43.65</v>
      </c>
      <c r="F2162" s="2" t="inlineStr">
        <is>
          <t>Pokemon</t>
        </is>
      </c>
      <c r="G2162" s="2" t="inlineStr">
        <is>
          <t>Coffret</t>
        </is>
      </c>
      <c r="H2162" s="2" t="inlineStr">
        <is>
          <t>Stellar Crown</t>
        </is>
      </c>
      <c r="I2162" s="3" t="n">
        <v>62.36</v>
      </c>
      <c r="J2162" s="3" t="n"/>
      <c r="K2162" s="3" t="n"/>
      <c r="L2162" s="3" t="n"/>
      <c r="M2162" s="2" t="inlineStr">
        <is>
          <t>PriceCharting</t>
        </is>
      </c>
      <c r="N2162" s="4" t="inlineStr">
        <is>
          <t>https://www.pricecharting.com/game/pokemon-stellar-crown/booster-bundle</t>
        </is>
      </c>
    </row>
    <row r="2163">
      <c r="A2163" s="2" t="inlineStr">
        <is>
          <t>Stellar Crown Build and Battle Box</t>
        </is>
      </c>
      <c r="B2163" s="3">
        <f>IF(I2163&lt;&gt;"",I2163,IF(J2163&lt;&gt;"",J2163,IF(K2163&lt;&gt;"",K2163,L2163)))</f>
        <v>47.78</v>
      </c>
      <c r="C2163" s="3">
        <f>MEDIAN(I2163:L2163)</f>
        <v>47.78</v>
      </c>
      <c r="D2163" s="3">
        <f>ROUND(C2163*(1-Settings!$B$2),2)</f>
        <v>33.45</v>
      </c>
      <c r="E2163" s="3">
        <f>ROUND(C2163*(1-Settings!$B$3),2)</f>
        <v>33.45</v>
      </c>
      <c r="F2163" s="2" t="inlineStr">
        <is>
          <t>Pokemon</t>
        </is>
      </c>
      <c r="G2163" s="2" t="inlineStr">
        <is>
          <t>Coffret</t>
        </is>
      </c>
      <c r="H2163" s="2" t="inlineStr">
        <is>
          <t>Stellar Crown</t>
        </is>
      </c>
      <c r="I2163" s="3" t="n">
        <v>47.78</v>
      </c>
      <c r="J2163" s="3" t="n"/>
      <c r="K2163" s="3" t="n"/>
      <c r="L2163" s="3" t="n"/>
      <c r="M2163" s="2" t="inlineStr">
        <is>
          <t>PriceCharting</t>
        </is>
      </c>
      <c r="N2163" s="4" t="inlineStr">
        <is>
          <t>https://www.pricecharting.com/game/pokemon-stellar-crown/build-and-battle-box</t>
        </is>
      </c>
    </row>
    <row r="2164">
      <c r="A2164" s="2" t="inlineStr">
        <is>
          <t>Stellar Crown Elite Trainer Box</t>
        </is>
      </c>
      <c r="B2164" s="3">
        <f>IF(I2164&lt;&gt;"",I2164,IF(J2164&lt;&gt;"",J2164,IF(K2164&lt;&gt;"",K2164,L2164)))</f>
        <v>155.95</v>
      </c>
      <c r="C2164" s="3">
        <f>MEDIAN(I2164:L2164)</f>
        <v>155.95</v>
      </c>
      <c r="D2164" s="3">
        <f>ROUND(C2164*(1-Settings!$B$2),2)</f>
        <v>109.17</v>
      </c>
      <c r="E2164" s="3">
        <f>ROUND(C2164*(1-Settings!$B$3),2)</f>
        <v>109.17</v>
      </c>
      <c r="F2164" s="2" t="inlineStr">
        <is>
          <t>Pokemon</t>
        </is>
      </c>
      <c r="G2164" s="2" t="inlineStr">
        <is>
          <t>Coffret</t>
        </is>
      </c>
      <c r="H2164" s="2" t="inlineStr">
        <is>
          <t>Stellar Crown</t>
        </is>
      </c>
      <c r="I2164" s="3" t="n">
        <v>155.95</v>
      </c>
      <c r="J2164" s="3" t="n"/>
      <c r="K2164" s="3" t="n"/>
      <c r="L2164" s="3" t="n"/>
      <c r="M2164" s="2" t="inlineStr">
        <is>
          <t>PriceCharting</t>
        </is>
      </c>
      <c r="N2164" s="4" t="inlineStr">
        <is>
          <t>https://www.pricecharting.com/game/pokemon-stellar-crown/elite-trainer-box</t>
        </is>
      </c>
    </row>
    <row r="2165">
      <c r="A2165" s="2" t="inlineStr">
        <is>
          <t>Stellar Crown Elite Trainer Box [Pokemon Center]</t>
        </is>
      </c>
      <c r="B2165" s="3">
        <f>IF(I2165&lt;&gt;"",I2165,IF(J2165&lt;&gt;"",J2165,IF(K2165&lt;&gt;"",K2165,L2165)))</f>
        <v>160.35</v>
      </c>
      <c r="C2165" s="3">
        <f>MEDIAN(I2165:L2165)</f>
        <v>160.35</v>
      </c>
      <c r="D2165" s="3">
        <f>ROUND(C2165*(1-Settings!$B$2),2)</f>
        <v>112.25</v>
      </c>
      <c r="E2165" s="3">
        <f>ROUND(C2165*(1-Settings!$B$3),2)</f>
        <v>112.25</v>
      </c>
      <c r="F2165" s="2" t="inlineStr">
        <is>
          <t>Pokemon</t>
        </is>
      </c>
      <c r="G2165" s="2" t="inlineStr">
        <is>
          <t>Coffret</t>
        </is>
      </c>
      <c r="H2165" s="2" t="inlineStr">
        <is>
          <t>Stellar Crown</t>
        </is>
      </c>
      <c r="I2165" s="3" t="n">
        <v>160.35</v>
      </c>
      <c r="J2165" s="3" t="n"/>
      <c r="K2165" s="3" t="n"/>
      <c r="L2165" s="3" t="n"/>
      <c r="M2165" s="2" t="inlineStr">
        <is>
          <t>PriceCharting</t>
        </is>
      </c>
      <c r="N2165" s="4" t="inlineStr">
        <is>
          <t>https://www.pricecharting.com/game/pokemon-stellar-crown/elite-trainer-box-pokemon-center</t>
        </is>
      </c>
    </row>
    <row r="2166">
      <c r="A2166" s="2" t="inlineStr">
        <is>
          <t>Stormfront 2-Pack Blister</t>
        </is>
      </c>
      <c r="B2166" s="3">
        <f>IF(I2166&lt;&gt;"",I2166,IF(J2166&lt;&gt;"",J2166,IF(K2166&lt;&gt;"",K2166,L2166)))</f>
        <v>499.0</v>
      </c>
      <c r="C2166" s="3">
        <f>MEDIAN(I2166:L2166)</f>
        <v>499.0</v>
      </c>
      <c r="D2166" s="3">
        <f>ROUND(C2166*(1-Settings!$B$2),2)</f>
        <v>349.3</v>
      </c>
      <c r="E2166" s="3">
        <f>ROUND(C2166*(1-Settings!$B$3),2)</f>
        <v>349.3</v>
      </c>
      <c r="F2166" s="2" t="inlineStr">
        <is>
          <t>Pokemon</t>
        </is>
      </c>
      <c r="G2166" s="2" t="inlineStr">
        <is>
          <t>Coffret</t>
        </is>
      </c>
      <c r="H2166" s="2" t="inlineStr">
        <is>
          <t>Stormfront</t>
        </is>
      </c>
      <c r="I2166" s="3" t="n">
        <v>499</v>
      </c>
      <c r="J2166" s="3" t="n"/>
      <c r="K2166" s="3" t="n"/>
      <c r="L2166" s="3" t="n"/>
      <c r="M2166" s="2" t="inlineStr">
        <is>
          <t>PriceCharting</t>
        </is>
      </c>
      <c r="N2166" s="4" t="inlineStr">
        <is>
          <t>https://www.pricecharting.com/game/pokemon-stormfront/2-pack-blister</t>
        </is>
      </c>
    </row>
    <row r="2167">
      <c r="A2167" s="2" t="inlineStr">
        <is>
          <t>Stormfront 3-Pack Blister</t>
        </is>
      </c>
      <c r="B2167" s="3">
        <f>IF(I2167&lt;&gt;"",I2167,IF(J2167&lt;&gt;"",J2167,IF(K2167&lt;&gt;"",K2167,L2167)))</f>
        <v>16.96</v>
      </c>
      <c r="C2167" s="3">
        <f>MEDIAN(I2167:L2167)</f>
        <v>16.96</v>
      </c>
      <c r="D2167" s="3">
        <f>ROUND(C2167*(1-Settings!$B$2),2)</f>
        <v>11.87</v>
      </c>
      <c r="E2167" s="3">
        <f>ROUND(C2167*(1-Settings!$B$3),2)</f>
        <v>11.87</v>
      </c>
      <c r="F2167" s="2" t="inlineStr">
        <is>
          <t>Pokemon</t>
        </is>
      </c>
      <c r="G2167" s="2" t="inlineStr">
        <is>
          <t>Coffret</t>
        </is>
      </c>
      <c r="H2167" s="2" t="inlineStr">
        <is>
          <t>Stormfront</t>
        </is>
      </c>
      <c r="I2167" s="3" t="n">
        <v>16.96</v>
      </c>
      <c r="J2167" s="3" t="n"/>
      <c r="K2167" s="3" t="n"/>
      <c r="L2167" s="3" t="n"/>
      <c r="M2167" s="2" t="inlineStr">
        <is>
          <t>PriceCharting</t>
        </is>
      </c>
      <c r="N2167" s="4" t="inlineStr">
        <is>
          <t>https://www.pricecharting.com/game/pokemon-stormfront/3-pack-blister</t>
        </is>
      </c>
    </row>
    <row r="2168">
      <c r="A2168" s="2" t="inlineStr">
        <is>
          <t>Supreme Victors Poster Pack Box</t>
        </is>
      </c>
      <c r="B2168" s="3">
        <f>IF(I2168&lt;&gt;"",I2168,IF(J2168&lt;&gt;"",J2168,IF(K2168&lt;&gt;"",K2168,L2168)))</f>
        <v>806.69</v>
      </c>
      <c r="C2168" s="3">
        <f>MEDIAN(I2168:L2168)</f>
        <v>806.69</v>
      </c>
      <c r="D2168" s="3">
        <f>ROUND(C2168*(1-Settings!$B$2),2)</f>
        <v>564.68</v>
      </c>
      <c r="E2168" s="3">
        <f>ROUND(C2168*(1-Settings!$B$3),2)</f>
        <v>564.68</v>
      </c>
      <c r="F2168" s="2" t="inlineStr">
        <is>
          <t>Pokemon</t>
        </is>
      </c>
      <c r="G2168" s="2" t="inlineStr">
        <is>
          <t>Coffret</t>
        </is>
      </c>
      <c r="H2168" s="2" t="inlineStr">
        <is>
          <t>Supreme Victors</t>
        </is>
      </c>
      <c r="I2168" s="3" t="n">
        <v>806.6900000000001</v>
      </c>
      <c r="J2168" s="3" t="n"/>
      <c r="K2168" s="3" t="n"/>
      <c r="L2168" s="3" t="n"/>
      <c r="M2168" s="2" t="inlineStr">
        <is>
          <t>PriceCharting</t>
        </is>
      </c>
      <c r="N2168" s="4" t="inlineStr">
        <is>
          <t>https://www.pricecharting.com/game/pokemon-supreme-victors/poster-pack-box</t>
        </is>
      </c>
    </row>
    <row r="2169">
      <c r="A2169" s="2" t="inlineStr">
        <is>
          <t>Supreme Victors Regigigas 3-Pack Blister</t>
        </is>
      </c>
      <c r="B2169" s="3">
        <f>IF(I2169&lt;&gt;"",I2169,IF(J2169&lt;&gt;"",J2169,IF(K2169&lt;&gt;"",K2169,L2169)))</f>
        <v>1143.36</v>
      </c>
      <c r="C2169" s="3">
        <f>MEDIAN(I2169:L2169)</f>
        <v>1143.36</v>
      </c>
      <c r="D2169" s="3">
        <f>ROUND(C2169*(1-Settings!$B$2),2)</f>
        <v>800.35</v>
      </c>
      <c r="E2169" s="3">
        <f>ROUND(C2169*(1-Settings!$B$3),2)</f>
        <v>800.35</v>
      </c>
      <c r="F2169" s="2" t="inlineStr">
        <is>
          <t>Pokemon</t>
        </is>
      </c>
      <c r="G2169" s="2" t="inlineStr">
        <is>
          <t>Coffret</t>
        </is>
      </c>
      <c r="H2169" s="2" t="inlineStr">
        <is>
          <t>Supreme Victors</t>
        </is>
      </c>
      <c r="I2169" s="3" t="n">
        <v>1143.36</v>
      </c>
      <c r="J2169" s="3" t="n"/>
      <c r="K2169" s="3" t="n"/>
      <c r="L2169" s="3" t="n"/>
      <c r="M2169" s="2" t="inlineStr">
        <is>
          <t>PriceCharting</t>
        </is>
      </c>
      <c r="N2169" s="4" t="inlineStr">
        <is>
          <t>https://www.pricecharting.com/game/pokemon-supreme-victors/regigigas-3-pack-blister</t>
        </is>
      </c>
    </row>
    <row r="2170">
      <c r="A2170" s="2" t="inlineStr">
        <is>
          <t>Surging Sparks Bloodmoon Ursaluna Ex Box</t>
        </is>
      </c>
      <c r="B2170" s="3">
        <f>IF(I2170&lt;&gt;"",I2170,IF(J2170&lt;&gt;"",J2170,IF(K2170&lt;&gt;"",K2170,L2170)))</f>
        <v>34.0</v>
      </c>
      <c r="C2170" s="3">
        <f>MEDIAN(I2170:L2170)</f>
        <v>34.0</v>
      </c>
      <c r="D2170" s="3">
        <f>ROUND(C2170*(1-Settings!$B$2),2)</f>
        <v>23.8</v>
      </c>
      <c r="E2170" s="3">
        <f>ROUND(C2170*(1-Settings!$B$3),2)</f>
        <v>23.8</v>
      </c>
      <c r="F2170" s="2" t="inlineStr">
        <is>
          <t>Pokemon</t>
        </is>
      </c>
      <c r="G2170" s="2" t="inlineStr">
        <is>
          <t>Coffret</t>
        </is>
      </c>
      <c r="H2170" s="2" t="inlineStr">
        <is>
          <t>Surging Sparks</t>
        </is>
      </c>
      <c r="I2170" s="3" t="n">
        <v>34</v>
      </c>
      <c r="J2170" s="3" t="n"/>
      <c r="K2170" s="3" t="n"/>
      <c r="L2170" s="3" t="n"/>
      <c r="M2170" s="2" t="inlineStr">
        <is>
          <t>PriceCharting</t>
        </is>
      </c>
      <c r="N2170" s="4" t="inlineStr">
        <is>
          <t>https://www.pricecharting.com/game/pokemon-surging-sparks/bloodmoon-ursaluna-ex-box</t>
        </is>
      </c>
    </row>
    <row r="2171">
      <c r="A2171" s="2" t="inlineStr">
        <is>
          <t>Surging Sparks Booster Bundle</t>
        </is>
      </c>
      <c r="B2171" s="3">
        <f>IF(I2171&lt;&gt;"",I2171,IF(J2171&lt;&gt;"",J2171,IF(K2171&lt;&gt;"",K2171,L2171)))</f>
        <v>61.95</v>
      </c>
      <c r="C2171" s="3">
        <f>MEDIAN(I2171:L2171)</f>
        <v>61.95</v>
      </c>
      <c r="D2171" s="3">
        <f>ROUND(C2171*(1-Settings!$B$2),2)</f>
        <v>43.37</v>
      </c>
      <c r="E2171" s="3">
        <f>ROUND(C2171*(1-Settings!$B$3),2)</f>
        <v>43.37</v>
      </c>
      <c r="F2171" s="2" t="inlineStr">
        <is>
          <t>Pokemon</t>
        </is>
      </c>
      <c r="G2171" s="2" t="inlineStr">
        <is>
          <t>Coffret</t>
        </is>
      </c>
      <c r="H2171" s="2" t="inlineStr">
        <is>
          <t>Surging Sparks</t>
        </is>
      </c>
      <c r="I2171" s="3" t="n">
        <v>61.95</v>
      </c>
      <c r="J2171" s="3" t="n"/>
      <c r="K2171" s="3" t="n"/>
      <c r="L2171" s="3" t="n"/>
      <c r="M2171" s="2" t="inlineStr">
        <is>
          <t>PriceCharting</t>
        </is>
      </c>
      <c r="N2171" s="4" t="inlineStr">
        <is>
          <t>https://www.pricecharting.com/game/pokemon-surging-sparks/booster-bundle</t>
        </is>
      </c>
    </row>
    <row r="2172">
      <c r="A2172" s="2" t="inlineStr">
        <is>
          <t>Surging Sparks Costco 2-Pack Trainer Box &amp; Booster Bundle</t>
        </is>
      </c>
      <c r="B2172" s="3">
        <f>IF(I2172&lt;&gt;"",I2172,IF(J2172&lt;&gt;"",J2172,IF(K2172&lt;&gt;"",K2172,L2172)))</f>
        <v>181.95</v>
      </c>
      <c r="C2172" s="3">
        <f>MEDIAN(I2172:L2172)</f>
        <v>181.95</v>
      </c>
      <c r="D2172" s="3">
        <f>ROUND(C2172*(1-Settings!$B$2),2)</f>
        <v>127.37</v>
      </c>
      <c r="E2172" s="3">
        <f>ROUND(C2172*(1-Settings!$B$3),2)</f>
        <v>127.37</v>
      </c>
      <c r="F2172" s="2" t="inlineStr">
        <is>
          <t>Pokemon</t>
        </is>
      </c>
      <c r="G2172" s="2" t="inlineStr">
        <is>
          <t>Coffret</t>
        </is>
      </c>
      <c r="H2172" s="2" t="inlineStr">
        <is>
          <t>Surging Sparks</t>
        </is>
      </c>
      <c r="I2172" s="3" t="n">
        <v>181.95</v>
      </c>
      <c r="J2172" s="3" t="n"/>
      <c r="K2172" s="3" t="n"/>
      <c r="L2172" s="3" t="n"/>
      <c r="M2172" s="2" t="inlineStr">
        <is>
          <t>PriceCharting</t>
        </is>
      </c>
      <c r="N2172" s="4" t="inlineStr">
        <is>
          <t>https://www.pricecharting.com/game/pokemon-surging-sparks/costco-2-pack-trainer-box-&amp;-booster-bundle</t>
        </is>
      </c>
    </row>
    <row r="2173">
      <c r="A2173" s="2" t="inlineStr">
        <is>
          <t>Surging Sparks Elite Trainer Box [Pokemon Center]</t>
        </is>
      </c>
      <c r="B2173" s="3">
        <f>IF(I2173&lt;&gt;"",I2173,IF(J2173&lt;&gt;"",J2173,IF(K2173&lt;&gt;"",K2173,L2173)))</f>
        <v>261.25</v>
      </c>
      <c r="C2173" s="3">
        <f>MEDIAN(I2173:L2173)</f>
        <v>261.25</v>
      </c>
      <c r="D2173" s="3">
        <f>ROUND(C2173*(1-Settings!$B$2),2)</f>
        <v>182.88</v>
      </c>
      <c r="E2173" s="3">
        <f>ROUND(C2173*(1-Settings!$B$3),2)</f>
        <v>182.88</v>
      </c>
      <c r="F2173" s="2" t="inlineStr">
        <is>
          <t>Pokemon</t>
        </is>
      </c>
      <c r="G2173" s="2" t="inlineStr">
        <is>
          <t>Coffret</t>
        </is>
      </c>
      <c r="H2173" s="2" t="inlineStr">
        <is>
          <t>Surging Sparks</t>
        </is>
      </c>
      <c r="I2173" s="3" t="n">
        <v>261.25</v>
      </c>
      <c r="J2173" s="3" t="n"/>
      <c r="K2173" s="3" t="n"/>
      <c r="L2173" s="3" t="n"/>
      <c r="M2173" s="2" t="inlineStr">
        <is>
          <t>PriceCharting</t>
        </is>
      </c>
      <c r="N2173" s="4" t="inlineStr">
        <is>
          <t>https://www.pricecharting.com/game/pokemon-surging-sparks/elite-trainer-box-pokemon-center</t>
        </is>
      </c>
    </row>
    <row r="2174">
      <c r="A2174" s="2" t="inlineStr">
        <is>
          <t>Surging Sparks Grand Adventure Collection</t>
        </is>
      </c>
      <c r="B2174" s="3">
        <f>IF(I2174&lt;&gt;"",I2174,IF(J2174&lt;&gt;"",J2174,IF(K2174&lt;&gt;"",K2174,L2174)))</f>
        <v>45.49</v>
      </c>
      <c r="C2174" s="3">
        <f>MEDIAN(I2174:L2174)</f>
        <v>45.49</v>
      </c>
      <c r="D2174" s="3">
        <f>ROUND(C2174*(1-Settings!$B$2),2)</f>
        <v>31.84</v>
      </c>
      <c r="E2174" s="3">
        <f>ROUND(C2174*(1-Settings!$B$3),2)</f>
        <v>31.84</v>
      </c>
      <c r="F2174" s="2" t="inlineStr">
        <is>
          <t>Pokemon</t>
        </is>
      </c>
      <c r="G2174" s="2" t="inlineStr">
        <is>
          <t>Coffret</t>
        </is>
      </c>
      <c r="H2174" s="2" t="inlineStr">
        <is>
          <t>Surging Sparks</t>
        </is>
      </c>
      <c r="I2174" s="3" t="n">
        <v>45.49</v>
      </c>
      <c r="J2174" s="3" t="n"/>
      <c r="K2174" s="3" t="n"/>
      <c r="L2174" s="3" t="n"/>
      <c r="M2174" s="2" t="inlineStr">
        <is>
          <t>PriceCharting</t>
        </is>
      </c>
      <c r="N2174" s="4" t="inlineStr">
        <is>
          <t>https://www.pricecharting.com/game/pokemon-surging-sparks/grand-adventure-collection</t>
        </is>
      </c>
    </row>
    <row r="2175">
      <c r="A2175" s="2" t="inlineStr">
        <is>
          <t>Surging Sparks Meddling Sparks Premium Collection Box</t>
        </is>
      </c>
      <c r="B2175" s="3">
        <f>IF(I2175&lt;&gt;"",I2175,IF(J2175&lt;&gt;"",J2175,IF(K2175&lt;&gt;"",K2175,L2175)))</f>
        <v>47.0</v>
      </c>
      <c r="C2175" s="3">
        <f>MEDIAN(I2175:L2175)</f>
        <v>47.0</v>
      </c>
      <c r="D2175" s="3">
        <f>ROUND(C2175*(1-Settings!$B$2),2)</f>
        <v>32.9</v>
      </c>
      <c r="E2175" s="3">
        <f>ROUND(C2175*(1-Settings!$B$3),2)</f>
        <v>32.9</v>
      </c>
      <c r="F2175" s="2" t="inlineStr">
        <is>
          <t>Pokemon</t>
        </is>
      </c>
      <c r="G2175" s="2" t="inlineStr">
        <is>
          <t>Coffret</t>
        </is>
      </c>
      <c r="H2175" s="2" t="inlineStr">
        <is>
          <t>Surging Sparks</t>
        </is>
      </c>
      <c r="I2175" s="3" t="n">
        <v>47</v>
      </c>
      <c r="J2175" s="3" t="n"/>
      <c r="K2175" s="3" t="n"/>
      <c r="L2175" s="3" t="n"/>
      <c r="M2175" s="2" t="inlineStr">
        <is>
          <t>PriceCharting</t>
        </is>
      </c>
      <c r="N2175" s="4" t="inlineStr">
        <is>
          <t>https://www.pricecharting.com/game/pokemon-surging-sparks/meddling-sparks-premium-collection-box</t>
        </is>
      </c>
    </row>
    <row r="2176">
      <c r="A2176" s="2" t="inlineStr">
        <is>
          <t>Scarlet &amp; Violet Booster Bundle</t>
        </is>
      </c>
      <c r="B2176" s="3">
        <f>IF(I2176&lt;&gt;"",I2176,IF(J2176&lt;&gt;"",J2176,IF(K2176&lt;&gt;"",K2176,L2176)))</f>
        <v>104.17</v>
      </c>
      <c r="C2176" s="3">
        <f>MEDIAN(I2176:L2176)</f>
        <v>104.17</v>
      </c>
      <c r="D2176" s="3">
        <f>ROUND(C2176*(1-Settings!$B$2),2)</f>
        <v>72.92</v>
      </c>
      <c r="E2176" s="3">
        <f>ROUND(C2176*(1-Settings!$B$3),2)</f>
        <v>72.92</v>
      </c>
      <c r="F2176" s="2" t="inlineStr">
        <is>
          <t>Pokemon</t>
        </is>
      </c>
      <c r="G2176" s="2" t="inlineStr">
        <is>
          <t>Coffret</t>
        </is>
      </c>
      <c r="H2176" s="2" t="inlineStr">
        <is>
          <t>SV01: Scarlet &amp; Violet Base Set</t>
        </is>
      </c>
      <c r="I2176" s="3" t="n"/>
      <c r="J2176" s="3" t="n">
        <v>104.17</v>
      </c>
      <c r="K2176" s="3" t="n">
        <v>109.99</v>
      </c>
      <c r="L2176" s="3" t="n">
        <v>93.98999999999999</v>
      </c>
      <c r="M2176" s="2" t="inlineStr">
        <is>
          <t>TCGplayer</t>
        </is>
      </c>
      <c r="O2176" s="4" t="inlineStr">
        <is>
          <t>https://www.tcgplayer.com/product/478258</t>
        </is>
      </c>
    </row>
    <row r="2177">
      <c r="A2177" s="2" t="inlineStr">
        <is>
          <t>Scarlet &amp; Violet Booster Pack Art Bundle [Set of 4]</t>
        </is>
      </c>
      <c r="B2177" s="3">
        <f>IF(I2177&lt;&gt;"",I2177,IF(J2177&lt;&gt;"",J2177,IF(K2177&lt;&gt;"",K2177,L2177)))</f>
        <v>39.35</v>
      </c>
      <c r="C2177" s="3">
        <f>MEDIAN(I2177:L2177)</f>
        <v>39.35</v>
      </c>
      <c r="D2177" s="3">
        <f>ROUND(C2177*(1-Settings!$B$2),2)</f>
        <v>27.55</v>
      </c>
      <c r="E2177" s="3">
        <f>ROUND(C2177*(1-Settings!$B$3),2)</f>
        <v>27.55</v>
      </c>
      <c r="F2177" s="2" t="inlineStr">
        <is>
          <t>Pokemon</t>
        </is>
      </c>
      <c r="G2177" s="2" t="inlineStr">
        <is>
          <t>Coffret</t>
        </is>
      </c>
      <c r="H2177" s="2" t="inlineStr">
        <is>
          <t>SV01: Scarlet &amp; Violet Base Set</t>
        </is>
      </c>
      <c r="I2177" s="3" t="n"/>
      <c r="J2177" s="3" t="n">
        <v>39.35</v>
      </c>
      <c r="K2177" s="3" t="n">
        <v>40</v>
      </c>
      <c r="L2177" s="3" t="n">
        <v>36.99</v>
      </c>
      <c r="M2177" s="2" t="inlineStr">
        <is>
          <t>TCGplayer</t>
        </is>
      </c>
      <c r="O2177" s="4" t="inlineStr">
        <is>
          <t>https://www.tcgplayer.com/product/478759</t>
        </is>
      </c>
    </row>
    <row r="2178">
      <c r="A2178" s="2" t="inlineStr">
        <is>
          <t>Scarlet &amp; Violet Build &amp; Battle Box</t>
        </is>
      </c>
      <c r="B2178" s="3">
        <f>IF(I2178&lt;&gt;"",I2178,IF(J2178&lt;&gt;"",J2178,IF(K2178&lt;&gt;"",K2178,L2178)))</f>
        <v>41.02</v>
      </c>
      <c r="C2178" s="3">
        <f>MEDIAN(I2178:L2178)</f>
        <v>41.02</v>
      </c>
      <c r="D2178" s="3">
        <f>ROUND(C2178*(1-Settings!$B$2),2)</f>
        <v>28.71</v>
      </c>
      <c r="E2178" s="3">
        <f>ROUND(C2178*(1-Settings!$B$3),2)</f>
        <v>28.71</v>
      </c>
      <c r="F2178" s="2" t="inlineStr">
        <is>
          <t>Pokemon</t>
        </is>
      </c>
      <c r="G2178" s="2" t="inlineStr">
        <is>
          <t>Coffret</t>
        </is>
      </c>
      <c r="H2178" s="2" t="inlineStr">
        <is>
          <t>SV01: Scarlet &amp; Violet Base Set</t>
        </is>
      </c>
      <c r="I2178" s="3" t="n"/>
      <c r="J2178" s="3" t="n">
        <v>41.02</v>
      </c>
      <c r="K2178" s="3" t="n">
        <v>43.58</v>
      </c>
      <c r="L2178" s="3" t="n">
        <v>33.99</v>
      </c>
      <c r="M2178" s="2" t="inlineStr">
        <is>
          <t>TCGplayer</t>
        </is>
      </c>
      <c r="O2178" s="4" t="inlineStr">
        <is>
          <t>https://www.tcgplayer.com/product/478253</t>
        </is>
      </c>
    </row>
    <row r="2179">
      <c r="A2179" s="2" t="inlineStr">
        <is>
          <t>Scarlet &amp; Violet Build &amp; Battle Stadium</t>
        </is>
      </c>
      <c r="B2179" s="3">
        <f>IF(I2179&lt;&gt;"",I2179,IF(J2179&lt;&gt;"",J2179,IF(K2179&lt;&gt;"",K2179,L2179)))</f>
        <v>89.2</v>
      </c>
      <c r="C2179" s="3">
        <f>MEDIAN(I2179:L2179)</f>
        <v>89.2</v>
      </c>
      <c r="D2179" s="3">
        <f>ROUND(C2179*(1-Settings!$B$2),2)</f>
        <v>62.44</v>
      </c>
      <c r="E2179" s="3">
        <f>ROUND(C2179*(1-Settings!$B$3),2)</f>
        <v>62.44</v>
      </c>
      <c r="F2179" s="2" t="inlineStr">
        <is>
          <t>Pokemon</t>
        </is>
      </c>
      <c r="G2179" s="2" t="inlineStr">
        <is>
          <t>Coffret</t>
        </is>
      </c>
      <c r="H2179" s="2" t="inlineStr">
        <is>
          <t>SV01: Scarlet &amp; Violet Base Set</t>
        </is>
      </c>
      <c r="I2179" s="3" t="n"/>
      <c r="J2179" s="3" t="n">
        <v>89.2</v>
      </c>
      <c r="K2179" s="3" t="n">
        <v>100</v>
      </c>
      <c r="L2179" s="3" t="n">
        <v>83</v>
      </c>
      <c r="M2179" s="2" t="inlineStr">
        <is>
          <t>TCGplayer</t>
        </is>
      </c>
      <c r="O2179" s="4" t="inlineStr">
        <is>
          <t>https://www.tcgplayer.com/product/478257</t>
        </is>
      </c>
    </row>
    <row r="2180">
      <c r="A2180" s="2" t="inlineStr">
        <is>
          <t>Scarlet &amp; Violet Elite Trainer Box [Koraidon]</t>
        </is>
      </c>
      <c r="B2180" s="3">
        <f>IF(I2180&lt;&gt;"",I2180,IF(J2180&lt;&gt;"",J2180,IF(K2180&lt;&gt;"",K2180,L2180)))</f>
        <v>129.17</v>
      </c>
      <c r="C2180" s="3">
        <f>MEDIAN(I2180:L2180)</f>
        <v>129.17</v>
      </c>
      <c r="D2180" s="3">
        <f>ROUND(C2180*(1-Settings!$B$2),2)</f>
        <v>90.42</v>
      </c>
      <c r="E2180" s="3">
        <f>ROUND(C2180*(1-Settings!$B$3),2)</f>
        <v>90.42</v>
      </c>
      <c r="F2180" s="2" t="inlineStr">
        <is>
          <t>Pokemon</t>
        </is>
      </c>
      <c r="G2180" s="2" t="inlineStr">
        <is>
          <t>Coffret</t>
        </is>
      </c>
      <c r="H2180" s="2" t="inlineStr">
        <is>
          <t>SV01: Scarlet &amp; Violet Base Set</t>
        </is>
      </c>
      <c r="I2180" s="3" t="n"/>
      <c r="J2180" s="3" t="n">
        <v>129.17</v>
      </c>
      <c r="K2180" s="3" t="n">
        <v>140</v>
      </c>
      <c r="L2180" s="3" t="n">
        <v>127</v>
      </c>
      <c r="M2180" s="2" t="inlineStr">
        <is>
          <t>TCGplayer</t>
        </is>
      </c>
      <c r="O2180" s="4" t="inlineStr">
        <is>
          <t>https://www.tcgplayer.com/product/478335</t>
        </is>
      </c>
    </row>
    <row r="2181">
      <c r="A2181" s="2" t="inlineStr">
        <is>
          <t>Scarlet &amp; Violet Elite Trainer Box [Miraidon]</t>
        </is>
      </c>
      <c r="B2181" s="3">
        <f>IF(I2181&lt;&gt;"",I2181,IF(J2181&lt;&gt;"",J2181,IF(K2181&lt;&gt;"",K2181,L2181)))</f>
        <v>143.51</v>
      </c>
      <c r="C2181" s="3">
        <f>MEDIAN(I2181:L2181)</f>
        <v>143.51</v>
      </c>
      <c r="D2181" s="3">
        <f>ROUND(C2181*(1-Settings!$B$2),2)</f>
        <v>100.46</v>
      </c>
      <c r="E2181" s="3">
        <f>ROUND(C2181*(1-Settings!$B$3),2)</f>
        <v>100.46</v>
      </c>
      <c r="F2181" s="2" t="inlineStr">
        <is>
          <t>Pokemon</t>
        </is>
      </c>
      <c r="G2181" s="2" t="inlineStr">
        <is>
          <t>Coffret</t>
        </is>
      </c>
      <c r="H2181" s="2" t="inlineStr">
        <is>
          <t>SV01: Scarlet &amp; Violet Base Set</t>
        </is>
      </c>
      <c r="I2181" s="3" t="n"/>
      <c r="J2181" s="3" t="n">
        <v>143.51</v>
      </c>
      <c r="K2181" s="3" t="n">
        <v>157.39</v>
      </c>
      <c r="L2181" s="3" t="n">
        <v>140.99</v>
      </c>
      <c r="M2181" s="2" t="inlineStr">
        <is>
          <t>TCGplayer</t>
        </is>
      </c>
      <c r="O2181" s="4" t="inlineStr">
        <is>
          <t>https://www.tcgplayer.com/product/478336</t>
        </is>
      </c>
    </row>
    <row r="2182">
      <c r="A2182" s="2" t="inlineStr">
        <is>
          <t>Scarlet &amp; Violet Pokemon Center Elite Trainer Box (Exclusive) [Koraidon]</t>
        </is>
      </c>
      <c r="B2182" s="3">
        <f>IF(I2182&lt;&gt;"",I2182,IF(J2182&lt;&gt;"",J2182,IF(K2182&lt;&gt;"",K2182,L2182)))</f>
        <v>287.19</v>
      </c>
      <c r="C2182" s="3">
        <f>MEDIAN(I2182:L2182)</f>
        <v>287.19</v>
      </c>
      <c r="D2182" s="3">
        <f>ROUND(C2182*(1-Settings!$B$2),2)</f>
        <v>201.03</v>
      </c>
      <c r="E2182" s="3">
        <f>ROUND(C2182*(1-Settings!$B$3),2)</f>
        <v>201.03</v>
      </c>
      <c r="F2182" s="2" t="inlineStr">
        <is>
          <t>Pokemon</t>
        </is>
      </c>
      <c r="G2182" s="2" t="inlineStr">
        <is>
          <t>Coffret</t>
        </is>
      </c>
      <c r="H2182" s="2" t="inlineStr">
        <is>
          <t>SV01: Scarlet &amp; Violet Base Set</t>
        </is>
      </c>
      <c r="I2182" s="3" t="n"/>
      <c r="J2182" s="3" t="n">
        <v>287.19</v>
      </c>
      <c r="K2182" s="3" t="n">
        <v>295</v>
      </c>
      <c r="L2182" s="3" t="n">
        <v>254.99</v>
      </c>
      <c r="M2182" s="2" t="inlineStr">
        <is>
          <t>TCGplayer</t>
        </is>
      </c>
      <c r="O2182" s="4" t="inlineStr">
        <is>
          <t>https://www.tcgplayer.com/product/478758</t>
        </is>
      </c>
    </row>
    <row r="2183">
      <c r="A2183" s="2" t="inlineStr">
        <is>
          <t>Scarlet &amp; Violet Pokemon Center Elite Trainer Box (Exclusive) [Miraidon]</t>
        </is>
      </c>
      <c r="B2183" s="3">
        <f>IF(I2183&lt;&gt;"",I2183,IF(J2183&lt;&gt;"",J2183,IF(K2183&lt;&gt;"",K2183,L2183)))</f>
        <v>319.46</v>
      </c>
      <c r="C2183" s="3">
        <f>MEDIAN(I2183:L2183)</f>
        <v>319.46</v>
      </c>
      <c r="D2183" s="3">
        <f>ROUND(C2183*(1-Settings!$B$2),2)</f>
        <v>223.62</v>
      </c>
      <c r="E2183" s="3">
        <f>ROUND(C2183*(1-Settings!$B$3),2)</f>
        <v>223.62</v>
      </c>
      <c r="F2183" s="2" t="inlineStr">
        <is>
          <t>Pokemon</t>
        </is>
      </c>
      <c r="G2183" s="2" t="inlineStr">
        <is>
          <t>Coffret</t>
        </is>
      </c>
      <c r="H2183" s="2" t="inlineStr">
        <is>
          <t>SV01: Scarlet &amp; Violet Base Set</t>
        </is>
      </c>
      <c r="I2183" s="3" t="n"/>
      <c r="J2183" s="3" t="n">
        <v>319.46</v>
      </c>
      <c r="K2183" s="3" t="n">
        <v>324.95</v>
      </c>
      <c r="L2183" s="3" t="n">
        <v>279.99</v>
      </c>
      <c r="M2183" s="2" t="inlineStr">
        <is>
          <t>TCGplayer</t>
        </is>
      </c>
      <c r="O2183" s="4" t="inlineStr">
        <is>
          <t>https://www.tcgplayer.com/product/478756</t>
        </is>
      </c>
    </row>
    <row r="2184">
      <c r="A2184" s="2" t="inlineStr">
        <is>
          <t>Scarlet &amp; Violet Sleeved Booster Pack Art Bundle [Set of 4]</t>
        </is>
      </c>
      <c r="B2184" s="3">
        <f>IF(I2184&lt;&gt;"",I2184,IF(J2184&lt;&gt;"",J2184,IF(K2184&lt;&gt;"",K2184,L2184)))</f>
        <v>43.54</v>
      </c>
      <c r="C2184" s="3">
        <f>MEDIAN(I2184:L2184)</f>
        <v>43.54</v>
      </c>
      <c r="D2184" s="3">
        <f>ROUND(C2184*(1-Settings!$B$2),2)</f>
        <v>30.48</v>
      </c>
      <c r="E2184" s="3">
        <f>ROUND(C2184*(1-Settings!$B$3),2)</f>
        <v>30.48</v>
      </c>
      <c r="F2184" s="2" t="inlineStr">
        <is>
          <t>Pokemon</t>
        </is>
      </c>
      <c r="G2184" s="2" t="inlineStr">
        <is>
          <t>Coffret</t>
        </is>
      </c>
      <c r="H2184" s="2" t="inlineStr">
        <is>
          <t>SV01: Scarlet &amp; Violet Base Set</t>
        </is>
      </c>
      <c r="I2184" s="3" t="n"/>
      <c r="J2184" s="3" t="n">
        <v>43.54</v>
      </c>
      <c r="K2184" s="3" t="n">
        <v>44.7</v>
      </c>
      <c r="L2184" s="3" t="n">
        <v>42</v>
      </c>
      <c r="M2184" s="2" t="inlineStr">
        <is>
          <t>TCGplayer</t>
        </is>
      </c>
      <c r="O2184" s="4" t="inlineStr">
        <is>
          <t>https://www.tcgplayer.com/product/478274</t>
        </is>
      </c>
    </row>
    <row r="2185">
      <c r="A2185" s="2" t="inlineStr">
        <is>
          <t>Scarlet &amp; Violet Sleeved Booster Pack Bundle [Set of 8]</t>
        </is>
      </c>
      <c r="B2185" s="3">
        <f>IF(I2185&lt;&gt;"",I2185,IF(J2185&lt;&gt;"",J2185,IF(K2185&lt;&gt;"",K2185,L2185)))</f>
        <v>83.47</v>
      </c>
      <c r="C2185" s="3">
        <f>MEDIAN(I2185:L2185)</f>
        <v>89.9</v>
      </c>
      <c r="D2185" s="3">
        <f>ROUND(C2185*(1-Settings!$B$2),2)</f>
        <v>62.93</v>
      </c>
      <c r="E2185" s="3">
        <f>ROUND(C2185*(1-Settings!$B$3),2)</f>
        <v>62.93</v>
      </c>
      <c r="F2185" s="2" t="inlineStr">
        <is>
          <t>Pokemon</t>
        </is>
      </c>
      <c r="G2185" s="2" t="inlineStr">
        <is>
          <t>Coffret</t>
        </is>
      </c>
      <c r="H2185" s="2" t="inlineStr">
        <is>
          <t>SV01: Scarlet &amp; Violet Base Set</t>
        </is>
      </c>
      <c r="I2185" s="3" t="n"/>
      <c r="J2185" s="3" t="n">
        <v>83.47</v>
      </c>
      <c r="K2185" s="3" t="n">
        <v>91.33</v>
      </c>
      <c r="L2185" s="3" t="n">
        <v>89.90000000000001</v>
      </c>
      <c r="M2185" s="2" t="inlineStr">
        <is>
          <t>TCGplayer</t>
        </is>
      </c>
      <c r="O2185" s="4" t="inlineStr">
        <is>
          <t>https://www.tcgplayer.com/product/478275</t>
        </is>
      </c>
    </row>
    <row r="2186">
      <c r="A2186" s="2" t="inlineStr">
        <is>
          <t>Paldea Evolved Booster Bundle</t>
        </is>
      </c>
      <c r="B2186" s="3">
        <f>IF(I2186&lt;&gt;"",I2186,IF(J2186&lt;&gt;"",J2186,IF(K2186&lt;&gt;"",K2186,L2186)))</f>
        <v>125.39</v>
      </c>
      <c r="C2186" s="3">
        <f>MEDIAN(I2186:L2186)</f>
        <v>126.03</v>
      </c>
      <c r="D2186" s="3">
        <f>ROUND(C2186*(1-Settings!$B$2),2)</f>
        <v>88.22</v>
      </c>
      <c r="E2186" s="3">
        <f>ROUND(C2186*(1-Settings!$B$3),2)</f>
        <v>88.22</v>
      </c>
      <c r="F2186" s="2" t="inlineStr">
        <is>
          <t>Pokemon</t>
        </is>
      </c>
      <c r="G2186" s="2" t="inlineStr">
        <is>
          <t>Coffret</t>
        </is>
      </c>
      <c r="H2186" s="2" t="inlineStr">
        <is>
          <t>SV02: Paldea Evolved</t>
        </is>
      </c>
      <c r="I2186" s="3" t="n">
        <v>125.39</v>
      </c>
      <c r="J2186" s="3" t="n">
        <v>126.67</v>
      </c>
      <c r="K2186" s="3" t="n">
        <v>134.99</v>
      </c>
      <c r="L2186" s="3" t="n">
        <v>112</v>
      </c>
      <c r="M2186" s="2" t="inlineStr">
        <is>
          <t>PriceCharting + TCGplayer</t>
        </is>
      </c>
      <c r="N2186" s="4" t="inlineStr">
        <is>
          <t>https://www.pricecharting.com/game/pokemon-paldea-evolved/booster-bundle</t>
        </is>
      </c>
      <c r="O2186" s="4" t="inlineStr">
        <is>
          <t>https://www.tcgplayer.com/product/496914</t>
        </is>
      </c>
    </row>
    <row r="2187">
      <c r="A2187" s="2" t="inlineStr">
        <is>
          <t>Paldea Evolved Build &amp; Battle Box</t>
        </is>
      </c>
      <c r="B2187" s="3">
        <f>IF(I2187&lt;&gt;"",I2187,IF(J2187&lt;&gt;"",J2187,IF(K2187&lt;&gt;"",K2187,L2187)))</f>
        <v>65.24</v>
      </c>
      <c r="C2187" s="3">
        <f>MEDIAN(I2187:L2187)</f>
        <v>65.095</v>
      </c>
      <c r="D2187" s="3">
        <f>ROUND(C2187*(1-Settings!$B$2),2)</f>
        <v>45.57</v>
      </c>
      <c r="E2187" s="3">
        <f>ROUND(C2187*(1-Settings!$B$3),2)</f>
        <v>45.57</v>
      </c>
      <c r="F2187" s="2" t="inlineStr">
        <is>
          <t>Pokemon</t>
        </is>
      </c>
      <c r="G2187" s="2" t="inlineStr">
        <is>
          <t>Coffret</t>
        </is>
      </c>
      <c r="H2187" s="2" t="inlineStr">
        <is>
          <t>SV02: Paldea Evolved</t>
        </is>
      </c>
      <c r="I2187" s="3" t="n">
        <v>65.23999999999999</v>
      </c>
      <c r="J2187" s="3" t="n">
        <v>64.91</v>
      </c>
      <c r="K2187" s="3" t="n">
        <v>79.84</v>
      </c>
      <c r="L2187" s="3" t="n">
        <v>64.95</v>
      </c>
      <c r="M2187" s="2" t="inlineStr">
        <is>
          <t>PriceCharting + TCGplayer</t>
        </is>
      </c>
      <c r="N2187" s="4" t="inlineStr">
        <is>
          <t>https://www.pricecharting.com/game/pokemon-paldea-evolved/build-and-battle-box</t>
        </is>
      </c>
      <c r="O2187" s="4" t="inlineStr">
        <is>
          <t>https://www.tcgplayer.com/product/496929</t>
        </is>
      </c>
    </row>
    <row r="2188">
      <c r="A2188" s="2" t="inlineStr">
        <is>
          <t>Paldea Evolved Build &amp; Battle Stadium</t>
        </is>
      </c>
      <c r="B2188" s="3">
        <f>IF(I2188&lt;&gt;"",I2188,IF(J2188&lt;&gt;"",J2188,IF(K2188&lt;&gt;"",K2188,L2188)))</f>
        <v>188.69</v>
      </c>
      <c r="C2188" s="3">
        <f>MEDIAN(I2188:L2188)</f>
        <v>202.74</v>
      </c>
      <c r="D2188" s="3">
        <f>ROUND(C2188*(1-Settings!$B$2),2)</f>
        <v>141.92</v>
      </c>
      <c r="E2188" s="3">
        <f>ROUND(C2188*(1-Settings!$B$3),2)</f>
        <v>141.92</v>
      </c>
      <c r="F2188" s="2" t="inlineStr">
        <is>
          <t>Pokemon</t>
        </is>
      </c>
      <c r="G2188" s="2" t="inlineStr">
        <is>
          <t>Coffret</t>
        </is>
      </c>
      <c r="H2188" s="2" t="inlineStr">
        <is>
          <t>SV02: Paldea Evolved</t>
        </is>
      </c>
      <c r="I2188" s="3" t="n">
        <v>188.69</v>
      </c>
      <c r="J2188" s="3" t="n">
        <v>205.49</v>
      </c>
      <c r="K2188" s="3" t="n">
        <v>207.97</v>
      </c>
      <c r="L2188" s="3" t="n">
        <v>199.99</v>
      </c>
      <c r="M2188" s="2" t="inlineStr">
        <is>
          <t>PriceCharting + TCGplayer</t>
        </is>
      </c>
      <c r="N2188" s="4" t="inlineStr">
        <is>
          <t>https://www.pricecharting.com/game/pokemon-paldea-evolved/build-&amp;-battle-stadium</t>
        </is>
      </c>
      <c r="O2188" s="4" t="inlineStr">
        <is>
          <t>https://www.tcgplayer.com/product/496935</t>
        </is>
      </c>
    </row>
    <row r="2189">
      <c r="A2189" s="2" t="inlineStr">
        <is>
          <t>Paldea Evolved Elite Trainer Box</t>
        </is>
      </c>
      <c r="B2189" s="3">
        <f>IF(I2189&lt;&gt;"",I2189,IF(J2189&lt;&gt;"",J2189,IF(K2189&lt;&gt;"",K2189,L2189)))</f>
        <v>213.39</v>
      </c>
      <c r="C2189" s="3">
        <f>MEDIAN(I2189:L2189)</f>
        <v>214.02499999999998</v>
      </c>
      <c r="D2189" s="3">
        <f>ROUND(C2189*(1-Settings!$B$2),2)</f>
        <v>149.82</v>
      </c>
      <c r="E2189" s="3">
        <f>ROUND(C2189*(1-Settings!$B$3),2)</f>
        <v>149.82</v>
      </c>
      <c r="F2189" s="2" t="inlineStr">
        <is>
          <t>Pokemon</t>
        </is>
      </c>
      <c r="G2189" s="2" t="inlineStr">
        <is>
          <t>Coffret</t>
        </is>
      </c>
      <c r="H2189" s="2" t="inlineStr">
        <is>
          <t>SV02: Paldea Evolved</t>
        </is>
      </c>
      <c r="I2189" s="3" t="n">
        <v>213.39</v>
      </c>
      <c r="J2189" s="3" t="n">
        <v>214.66</v>
      </c>
      <c r="K2189" s="3" t="n">
        <v>239.98</v>
      </c>
      <c r="L2189" s="3" t="n">
        <v>190</v>
      </c>
      <c r="M2189" s="2" t="inlineStr">
        <is>
          <t>PriceCharting + TCGplayer</t>
        </is>
      </c>
      <c r="N2189" s="4" t="inlineStr">
        <is>
          <t>https://www.pricecharting.com/game/pokemon-paldea-evolved/elite-trainer-box</t>
        </is>
      </c>
      <c r="O2189" s="4" t="inlineStr">
        <is>
          <t>https://www.tcgplayer.com/product/493974</t>
        </is>
      </c>
    </row>
    <row r="2190">
      <c r="A2190" s="2" t="inlineStr">
        <is>
          <t>Paldea Evolved Pokemon Center Elite Trainer Box (Exclusive)</t>
        </is>
      </c>
      <c r="B2190" s="3">
        <f>IF(I2190&lt;&gt;"",I2190,IF(J2190&lt;&gt;"",J2190,IF(K2190&lt;&gt;"",K2190,L2190)))</f>
        <v>608.08</v>
      </c>
      <c r="C2190" s="3">
        <f>MEDIAN(I2190:L2190)</f>
        <v>608.08</v>
      </c>
      <c r="D2190" s="3">
        <f>ROUND(C2190*(1-Settings!$B$2),2)</f>
        <v>425.66</v>
      </c>
      <c r="E2190" s="3">
        <f>ROUND(C2190*(1-Settings!$B$3),2)</f>
        <v>425.66</v>
      </c>
      <c r="F2190" s="2" t="inlineStr">
        <is>
          <t>Pokemon</t>
        </is>
      </c>
      <c r="G2190" s="2" t="inlineStr">
        <is>
          <t>Coffret</t>
        </is>
      </c>
      <c r="H2190" s="2" t="inlineStr">
        <is>
          <t>SV02: Paldea Evolved</t>
        </is>
      </c>
      <c r="I2190" s="3" t="n"/>
      <c r="J2190" s="3" t="n">
        <v>608.08</v>
      </c>
      <c r="K2190" s="3" t="n">
        <v>608.08</v>
      </c>
      <c r="L2190" s="3" t="n">
        <v>565</v>
      </c>
      <c r="M2190" s="2" t="inlineStr">
        <is>
          <t>TCGplayer</t>
        </is>
      </c>
      <c r="O2190" s="4" t="inlineStr">
        <is>
          <t>https://www.tcgplayer.com/product/493973</t>
        </is>
      </c>
    </row>
    <row r="2191">
      <c r="A2191" s="2" t="inlineStr">
        <is>
          <t>Paldea Evolved Sleeved Booster Pack Art Bundle [Set of 5]</t>
        </is>
      </c>
      <c r="B2191" s="3">
        <f>IF(I2191&lt;&gt;"",I2191,IF(J2191&lt;&gt;"",J2191,IF(K2191&lt;&gt;"",K2191,L2191)))</f>
        <v>79.39</v>
      </c>
      <c r="C2191" s="3">
        <f>MEDIAN(I2191:L2191)</f>
        <v>82.99</v>
      </c>
      <c r="D2191" s="3">
        <f>ROUND(C2191*(1-Settings!$B$2),2)</f>
        <v>58.09</v>
      </c>
      <c r="E2191" s="3">
        <f>ROUND(C2191*(1-Settings!$B$3),2)</f>
        <v>58.09</v>
      </c>
      <c r="F2191" s="2" t="inlineStr">
        <is>
          <t>Pokemon</t>
        </is>
      </c>
      <c r="G2191" s="2" t="inlineStr">
        <is>
          <t>Coffret</t>
        </is>
      </c>
      <c r="H2191" s="2" t="inlineStr">
        <is>
          <t>SV02: Paldea Evolved</t>
        </is>
      </c>
      <c r="I2191" s="3" t="n"/>
      <c r="J2191" s="3" t="n">
        <v>79.39</v>
      </c>
      <c r="K2191" s="3" t="n">
        <v>89.12</v>
      </c>
      <c r="L2191" s="3" t="n">
        <v>82.98999999999999</v>
      </c>
      <c r="M2191" s="2" t="inlineStr">
        <is>
          <t>TCGplayer</t>
        </is>
      </c>
      <c r="O2191" s="4" t="inlineStr">
        <is>
          <t>https://www.tcgplayer.com/product/502480</t>
        </is>
      </c>
    </row>
    <row r="2192">
      <c r="A2192" s="2" t="inlineStr">
        <is>
          <t>Obsidian Flames Booster Bundle</t>
        </is>
      </c>
      <c r="B2192" s="3">
        <f>IF(I2192&lt;&gt;"",I2192,IF(J2192&lt;&gt;"",J2192,IF(K2192&lt;&gt;"",K2192,L2192)))</f>
        <v>108.85</v>
      </c>
      <c r="C2192" s="3">
        <f>MEDIAN(I2192:L2192)</f>
        <v>119.345</v>
      </c>
      <c r="D2192" s="3">
        <f>ROUND(C2192*(1-Settings!$B$2),2)</f>
        <v>83.54</v>
      </c>
      <c r="E2192" s="3">
        <f>ROUND(C2192*(1-Settings!$B$3),2)</f>
        <v>83.54</v>
      </c>
      <c r="F2192" s="2" t="inlineStr">
        <is>
          <t>Pokemon</t>
        </is>
      </c>
      <c r="G2192" s="2" t="inlineStr">
        <is>
          <t>Coffret</t>
        </is>
      </c>
      <c r="H2192" s="2" t="inlineStr">
        <is>
          <t>SV03: Obsidian Flames</t>
        </is>
      </c>
      <c r="I2192" s="3" t="n">
        <v>108.85</v>
      </c>
      <c r="J2192" s="3" t="n">
        <v>121.69</v>
      </c>
      <c r="K2192" s="3" t="n">
        <v>125.98</v>
      </c>
      <c r="L2192" s="3" t="n">
        <v>117</v>
      </c>
      <c r="M2192" s="2" t="inlineStr">
        <is>
          <t>PriceCharting + TCGplayer</t>
        </is>
      </c>
      <c r="N2192" s="4" t="inlineStr">
        <is>
          <t>https://www.pricecharting.com/game/pokemon-obsidian-flames/booster-bundle</t>
        </is>
      </c>
      <c r="O2192" s="4" t="inlineStr">
        <is>
          <t>https://www.tcgplayer.com/product/501263</t>
        </is>
      </c>
    </row>
    <row r="2193">
      <c r="A2193" s="2" t="inlineStr">
        <is>
          <t>Obsidian Flames Booster Pack Art Bundle [Set of 4]</t>
        </is>
      </c>
      <c r="B2193" s="3">
        <f>IF(I2193&lt;&gt;"",I2193,IF(J2193&lt;&gt;"",J2193,IF(K2193&lt;&gt;"",K2193,L2193)))</f>
        <v>52.91</v>
      </c>
      <c r="C2193" s="3">
        <f>MEDIAN(I2193:L2193)</f>
        <v>52.91</v>
      </c>
      <c r="D2193" s="3">
        <f>ROUND(C2193*(1-Settings!$B$2),2)</f>
        <v>37.04</v>
      </c>
      <c r="E2193" s="3">
        <f>ROUND(C2193*(1-Settings!$B$3),2)</f>
        <v>37.04</v>
      </c>
      <c r="F2193" s="2" t="inlineStr">
        <is>
          <t>Pokemon</t>
        </is>
      </c>
      <c r="G2193" s="2" t="inlineStr">
        <is>
          <t>Coffret</t>
        </is>
      </c>
      <c r="H2193" s="2" t="inlineStr">
        <is>
          <t>SV03: Obsidian Flames</t>
        </is>
      </c>
      <c r="I2193" s="3" t="n"/>
      <c r="J2193" s="3" t="n">
        <v>52.91</v>
      </c>
      <c r="K2193" s="3" t="n">
        <v>55.62</v>
      </c>
      <c r="L2193" s="3" t="n">
        <v>52.65</v>
      </c>
      <c r="M2193" s="2" t="inlineStr">
        <is>
          <t>TCGplayer</t>
        </is>
      </c>
      <c r="O2193" s="4" t="inlineStr">
        <is>
          <t>https://www.tcgplayer.com/product/515079</t>
        </is>
      </c>
    </row>
    <row r="2194">
      <c r="A2194" s="2" t="inlineStr">
        <is>
          <t>Obsidian Flames Build &amp; Battle Box</t>
        </is>
      </c>
      <c r="B2194" s="3">
        <f>IF(I2194&lt;&gt;"",I2194,IF(J2194&lt;&gt;"",J2194,IF(K2194&lt;&gt;"",K2194,L2194)))</f>
        <v>61.98</v>
      </c>
      <c r="C2194" s="3">
        <f>MEDIAN(I2194:L2194)</f>
        <v>59.89</v>
      </c>
      <c r="D2194" s="3">
        <f>ROUND(C2194*(1-Settings!$B$2),2)</f>
        <v>41.92</v>
      </c>
      <c r="E2194" s="3">
        <f>ROUND(C2194*(1-Settings!$B$3),2)</f>
        <v>41.92</v>
      </c>
      <c r="F2194" s="2" t="inlineStr">
        <is>
          <t>Pokemon</t>
        </is>
      </c>
      <c r="G2194" s="2" t="inlineStr">
        <is>
          <t>Coffret</t>
        </is>
      </c>
      <c r="H2194" s="2" t="inlineStr">
        <is>
          <t>SV03: Obsidian Flames</t>
        </is>
      </c>
      <c r="I2194" s="3" t="n">
        <v>61.98</v>
      </c>
      <c r="J2194" s="3" t="n">
        <v>57.8</v>
      </c>
      <c r="K2194" s="3" t="n">
        <v>61.98</v>
      </c>
      <c r="L2194" s="3" t="n">
        <v>57</v>
      </c>
      <c r="M2194" s="2" t="inlineStr">
        <is>
          <t>PriceCharting + TCGplayer</t>
        </is>
      </c>
      <c r="N2194" s="4" t="inlineStr">
        <is>
          <t>https://www.pricecharting.com/game/pokemon-obsidian-flames/build-and-battle-box</t>
        </is>
      </c>
      <c r="O2194" s="4" t="inlineStr">
        <is>
          <t>https://www.tcgplayer.com/product/501268</t>
        </is>
      </c>
    </row>
    <row r="2195">
      <c r="A2195" s="2" t="inlineStr">
        <is>
          <t>Obsidian Flames Elite Trainer Box</t>
        </is>
      </c>
      <c r="B2195" s="3">
        <f>IF(I2195&lt;&gt;"",I2195,IF(J2195&lt;&gt;"",J2195,IF(K2195&lt;&gt;"",K2195,L2195)))</f>
        <v>265.0</v>
      </c>
      <c r="C2195" s="3">
        <f>MEDIAN(I2195:L2195)</f>
        <v>268.65999999999997</v>
      </c>
      <c r="D2195" s="3">
        <f>ROUND(C2195*(1-Settings!$B$2),2)</f>
        <v>188.06</v>
      </c>
      <c r="E2195" s="3">
        <f>ROUND(C2195*(1-Settings!$B$3),2)</f>
        <v>188.06</v>
      </c>
      <c r="F2195" s="2" t="inlineStr">
        <is>
          <t>Pokemon</t>
        </is>
      </c>
      <c r="G2195" s="2" t="inlineStr">
        <is>
          <t>Coffret</t>
        </is>
      </c>
      <c r="H2195" s="2" t="inlineStr">
        <is>
          <t>SV03: Obsidian Flames</t>
        </is>
      </c>
      <c r="I2195" s="3" t="n">
        <v>265</v>
      </c>
      <c r="J2195" s="3" t="n">
        <v>272.32</v>
      </c>
      <c r="K2195" s="3" t="n">
        <v>309.99</v>
      </c>
      <c r="L2195" s="3" t="n">
        <v>220</v>
      </c>
      <c r="M2195" s="2" t="inlineStr">
        <is>
          <t>PriceCharting + TCGplayer</t>
        </is>
      </c>
      <c r="N2195" s="4" t="inlineStr">
        <is>
          <t>https://www.pricecharting.com/game/pokemon-obsidian-flames/elite-trainer-box</t>
        </is>
      </c>
      <c r="O2195" s="4" t="inlineStr">
        <is>
          <t>https://www.tcgplayer.com/product/501264</t>
        </is>
      </c>
    </row>
    <row r="2196">
      <c r="A2196" s="2" t="inlineStr">
        <is>
          <t>Obsidian Flames Pokemon Center Elite Trainer Box (Exclusive)</t>
        </is>
      </c>
      <c r="B2196" s="3">
        <f>IF(I2196&lt;&gt;"",I2196,IF(J2196&lt;&gt;"",J2196,IF(K2196&lt;&gt;"",K2196,L2196)))</f>
        <v>626.99</v>
      </c>
      <c r="C2196" s="3">
        <f>MEDIAN(I2196:L2196)</f>
        <v>626.99</v>
      </c>
      <c r="D2196" s="3">
        <f>ROUND(C2196*(1-Settings!$B$2),2)</f>
        <v>438.89</v>
      </c>
      <c r="E2196" s="3">
        <f>ROUND(C2196*(1-Settings!$B$3),2)</f>
        <v>438.89</v>
      </c>
      <c r="F2196" s="2" t="inlineStr">
        <is>
          <t>Pokemon</t>
        </is>
      </c>
      <c r="G2196" s="2" t="inlineStr">
        <is>
          <t>Coffret</t>
        </is>
      </c>
      <c r="H2196" s="2" t="inlineStr">
        <is>
          <t>SV03: Obsidian Flames</t>
        </is>
      </c>
      <c r="I2196" s="3" t="n"/>
      <c r="J2196" s="3" t="n">
        <v>626.99</v>
      </c>
      <c r="K2196" s="3" t="n">
        <v>777.77</v>
      </c>
      <c r="L2196" s="3" t="n">
        <v>599.99</v>
      </c>
      <c r="M2196" s="2" t="inlineStr">
        <is>
          <t>TCGplayer</t>
        </is>
      </c>
      <c r="O2196" s="4" t="inlineStr">
        <is>
          <t>https://www.tcgplayer.com/product/501266</t>
        </is>
      </c>
    </row>
    <row r="2197">
      <c r="A2197" s="2" t="inlineStr">
        <is>
          <t>Obsidian Flames Sleeved Booster Pack Art Bundle [Set of 4]</t>
        </is>
      </c>
      <c r="B2197" s="3">
        <f>IF(I2197&lt;&gt;"",I2197,IF(J2197&lt;&gt;"",J2197,IF(K2197&lt;&gt;"",K2197,L2197)))</f>
        <v>57.76</v>
      </c>
      <c r="C2197" s="3">
        <f>MEDIAN(I2197:L2197)</f>
        <v>59.99</v>
      </c>
      <c r="D2197" s="3">
        <f>ROUND(C2197*(1-Settings!$B$2),2)</f>
        <v>41.99</v>
      </c>
      <c r="E2197" s="3">
        <f>ROUND(C2197*(1-Settings!$B$3),2)</f>
        <v>41.99</v>
      </c>
      <c r="F2197" s="2" t="inlineStr">
        <is>
          <t>Pokemon</t>
        </is>
      </c>
      <c r="G2197" s="2" t="inlineStr">
        <is>
          <t>Coffret</t>
        </is>
      </c>
      <c r="H2197" s="2" t="inlineStr">
        <is>
          <t>SV03: Obsidian Flames</t>
        </is>
      </c>
      <c r="I2197" s="3" t="n"/>
      <c r="J2197" s="3" t="n">
        <v>57.76</v>
      </c>
      <c r="K2197" s="3" t="n">
        <v>66.25</v>
      </c>
      <c r="L2197" s="3" t="n">
        <v>59.99</v>
      </c>
      <c r="M2197" s="2" t="inlineStr">
        <is>
          <t>TCGplayer</t>
        </is>
      </c>
      <c r="O2197" s="4" t="inlineStr">
        <is>
          <t>https://www.tcgplayer.com/product/513422</t>
        </is>
      </c>
    </row>
    <row r="2198">
      <c r="A2198" s="2" t="inlineStr">
        <is>
          <t>Paradox Rift Booster Bundle</t>
        </is>
      </c>
      <c r="B2198" s="3">
        <f>IF(I2198&lt;&gt;"",I2198,IF(J2198&lt;&gt;"",J2198,IF(K2198&lt;&gt;"",K2198,L2198)))</f>
        <v>39.92</v>
      </c>
      <c r="C2198" s="3">
        <f>MEDIAN(I2198:L2198)</f>
        <v>80.29499999999999</v>
      </c>
      <c r="D2198" s="3">
        <f>ROUND(C2198*(1-Settings!$B$2),2)</f>
        <v>56.21</v>
      </c>
      <c r="E2198" s="3">
        <f>ROUND(C2198*(1-Settings!$B$3),2)</f>
        <v>56.21</v>
      </c>
      <c r="F2198" s="2" t="inlineStr">
        <is>
          <t>Pokemon</t>
        </is>
      </c>
      <c r="G2198" s="2" t="inlineStr">
        <is>
          <t>Coffret</t>
        </is>
      </c>
      <c r="H2198" s="2" t="inlineStr">
        <is>
          <t>SV04: Paradox Rift</t>
        </is>
      </c>
      <c r="I2198" s="3" t="n">
        <v>39.92</v>
      </c>
      <c r="J2198" s="3" t="n">
        <v>90.59999999999999</v>
      </c>
      <c r="K2198" s="3" t="n">
        <v>116.89</v>
      </c>
      <c r="L2198" s="3" t="n">
        <v>69.98999999999999</v>
      </c>
      <c r="M2198" s="2" t="inlineStr">
        <is>
          <t>PriceCharting + TCGplayer</t>
        </is>
      </c>
      <c r="N2198" s="4" t="inlineStr">
        <is>
          <t>https://www.pricecharting.com/game/pokemon-paradox-rift/booster-bundle</t>
        </is>
      </c>
      <c r="O2198" s="4" t="inlineStr">
        <is>
          <t>https://www.tcgplayer.com/product/512820</t>
        </is>
      </c>
    </row>
    <row r="2199">
      <c r="A2199" s="2" t="inlineStr">
        <is>
          <t>Paradox Rift Booster Pack Art Bundle [Set of 4]</t>
        </is>
      </c>
      <c r="B2199" s="3">
        <f>IF(I2199&lt;&gt;"",I2199,IF(J2199&lt;&gt;"",J2199,IF(K2199&lt;&gt;"",K2199,L2199)))</f>
        <v>39.77</v>
      </c>
      <c r="C2199" s="3">
        <f>MEDIAN(I2199:L2199)</f>
        <v>39.77</v>
      </c>
      <c r="D2199" s="3">
        <f>ROUND(C2199*(1-Settings!$B$2),2)</f>
        <v>27.84</v>
      </c>
      <c r="E2199" s="3">
        <f>ROUND(C2199*(1-Settings!$B$3),2)</f>
        <v>27.84</v>
      </c>
      <c r="F2199" s="2" t="inlineStr">
        <is>
          <t>Pokemon</t>
        </is>
      </c>
      <c r="G2199" s="2" t="inlineStr">
        <is>
          <t>Coffret</t>
        </is>
      </c>
      <c r="H2199" s="2" t="inlineStr">
        <is>
          <t>SV04: Paradox Rift</t>
        </is>
      </c>
      <c r="I2199" s="3" t="n"/>
      <c r="J2199" s="3" t="n">
        <v>39.77</v>
      </c>
      <c r="K2199" s="3" t="n">
        <v>40.22</v>
      </c>
      <c r="L2199" s="3" t="n">
        <v>35.98</v>
      </c>
      <c r="M2199" s="2" t="inlineStr">
        <is>
          <t>TCGplayer</t>
        </is>
      </c>
      <c r="O2199" s="4" t="inlineStr">
        <is>
          <t>https://www.tcgplayer.com/product/512831</t>
        </is>
      </c>
    </row>
    <row r="2200">
      <c r="A2200" s="2" t="inlineStr">
        <is>
          <t>Paradox Rift Build &amp; Battle Box</t>
        </is>
      </c>
      <c r="B2200" s="3">
        <f>IF(I2200&lt;&gt;"",I2200,IF(J2200&lt;&gt;"",J2200,IF(K2200&lt;&gt;"",K2200,L2200)))</f>
        <v>44.0</v>
      </c>
      <c r="C2200" s="3">
        <f>MEDIAN(I2200:L2200)</f>
        <v>43.485</v>
      </c>
      <c r="D2200" s="3">
        <f>ROUND(C2200*(1-Settings!$B$2),2)</f>
        <v>30.44</v>
      </c>
      <c r="E2200" s="3">
        <f>ROUND(C2200*(1-Settings!$B$3),2)</f>
        <v>30.44</v>
      </c>
      <c r="F2200" s="2" t="inlineStr">
        <is>
          <t>Pokemon</t>
        </is>
      </c>
      <c r="G2200" s="2" t="inlineStr">
        <is>
          <t>Coffret</t>
        </is>
      </c>
      <c r="H2200" s="2" t="inlineStr">
        <is>
          <t>SV04: Paradox Rift</t>
        </is>
      </c>
      <c r="I2200" s="3" t="n">
        <v>44</v>
      </c>
      <c r="J2200" s="3" t="n">
        <v>42.97</v>
      </c>
      <c r="K2200" s="3" t="n">
        <v>52.48</v>
      </c>
      <c r="L2200" s="3" t="n">
        <v>15</v>
      </c>
      <c r="M2200" s="2" t="inlineStr">
        <is>
          <t>PriceCharting + TCGplayer</t>
        </is>
      </c>
      <c r="N2200" s="4" t="inlineStr">
        <is>
          <t>https://www.pricecharting.com/game/pokemon-paradox-rift/build-&amp;-battle-box</t>
        </is>
      </c>
      <c r="O2200" s="4" t="inlineStr">
        <is>
          <t>https://www.tcgplayer.com/product/514068</t>
        </is>
      </c>
    </row>
    <row r="2201">
      <c r="A2201" s="2" t="inlineStr">
        <is>
          <t>Paradox Rift Build &amp; Battle Stadium</t>
        </is>
      </c>
      <c r="B2201" s="3">
        <f>IF(I2201&lt;&gt;"",I2201,IF(J2201&lt;&gt;"",J2201,IF(K2201&lt;&gt;"",K2201,L2201)))</f>
        <v>95.0</v>
      </c>
      <c r="C2201" s="3">
        <f>MEDIAN(I2201:L2201)</f>
        <v>98.005</v>
      </c>
      <c r="D2201" s="3">
        <f>ROUND(C2201*(1-Settings!$B$2),2)</f>
        <v>68.6</v>
      </c>
      <c r="E2201" s="3">
        <f>ROUND(C2201*(1-Settings!$B$3),2)</f>
        <v>68.6</v>
      </c>
      <c r="F2201" s="2" t="inlineStr">
        <is>
          <t>Pokemon</t>
        </is>
      </c>
      <c r="G2201" s="2" t="inlineStr">
        <is>
          <t>Coffret</t>
        </is>
      </c>
      <c r="H2201" s="2" t="inlineStr">
        <is>
          <t>SV04: Paradox Rift</t>
        </is>
      </c>
      <c r="I2201" s="3" t="n">
        <v>95</v>
      </c>
      <c r="J2201" s="3" t="n">
        <v>96.06</v>
      </c>
      <c r="K2201" s="3" t="n">
        <v>107.89</v>
      </c>
      <c r="L2201" s="3" t="n">
        <v>99.95</v>
      </c>
      <c r="M2201" s="2" t="inlineStr">
        <is>
          <t>PriceCharting + TCGplayer</t>
        </is>
      </c>
      <c r="N2201" s="4" t="inlineStr">
        <is>
          <t>https://www.pricecharting.com/game/pokemon-paradox-rift/build-&amp;-battle-stadium</t>
        </is>
      </c>
      <c r="O2201" s="4" t="inlineStr">
        <is>
          <t>https://www.tcgplayer.com/product/514070</t>
        </is>
      </c>
    </row>
    <row r="2202">
      <c r="A2202" s="2" t="inlineStr">
        <is>
          <t>Paradox Rift Elite Trainer Box [Iron Valiant]</t>
        </is>
      </c>
      <c r="B2202" s="3">
        <f>IF(I2202&lt;&gt;"",I2202,IF(J2202&lt;&gt;"",J2202,IF(K2202&lt;&gt;"",K2202,L2202)))</f>
        <v>137.5</v>
      </c>
      <c r="C2202" s="3">
        <f>MEDIAN(I2202:L2202)</f>
        <v>136.64</v>
      </c>
      <c r="D2202" s="3">
        <f>ROUND(C2202*(1-Settings!$B$2),2)</f>
        <v>95.65</v>
      </c>
      <c r="E2202" s="3">
        <f>ROUND(C2202*(1-Settings!$B$3),2)</f>
        <v>95.65</v>
      </c>
      <c r="F2202" s="2" t="inlineStr">
        <is>
          <t>Pokemon</t>
        </is>
      </c>
      <c r="G2202" s="2" t="inlineStr">
        <is>
          <t>Coffret</t>
        </is>
      </c>
      <c r="H2202" s="2" t="inlineStr">
        <is>
          <t>SV04: Paradox Rift</t>
        </is>
      </c>
      <c r="I2202" s="3" t="n">
        <v>137.5</v>
      </c>
      <c r="J2202" s="3" t="n">
        <v>135.78</v>
      </c>
      <c r="K2202" s="3" t="n">
        <v>149.99</v>
      </c>
      <c r="L2202" s="3" t="n">
        <v>134.99</v>
      </c>
      <c r="M2202" s="2" t="inlineStr">
        <is>
          <t>PriceCharting + TCGplayer</t>
        </is>
      </c>
      <c r="N2202" s="4" t="inlineStr">
        <is>
          <t>https://www.pricecharting.com/game/pokemon-paradox-rift/elite-trainer-box-iron-valiant</t>
        </is>
      </c>
      <c r="O2202" s="4" t="inlineStr">
        <is>
          <t>https://www.tcgplayer.com/product/512813</t>
        </is>
      </c>
    </row>
    <row r="2203">
      <c r="A2203" s="2" t="inlineStr">
        <is>
          <t>Paradox Rift Elite Trainer Box [Roaring Moon]</t>
        </is>
      </c>
      <c r="B2203" s="3">
        <f>IF(I2203&lt;&gt;"",I2203,IF(J2203&lt;&gt;"",J2203,IF(K2203&lt;&gt;"",K2203,L2203)))</f>
        <v>138.96</v>
      </c>
      <c r="C2203" s="3">
        <f>MEDIAN(I2203:L2203)</f>
        <v>136.97500000000002</v>
      </c>
      <c r="D2203" s="3">
        <f>ROUND(C2203*(1-Settings!$B$2),2)</f>
        <v>95.88</v>
      </c>
      <c r="E2203" s="3">
        <f>ROUND(C2203*(1-Settings!$B$3),2)</f>
        <v>95.88</v>
      </c>
      <c r="F2203" s="2" t="inlineStr">
        <is>
          <t>Pokemon</t>
        </is>
      </c>
      <c r="G2203" s="2" t="inlineStr">
        <is>
          <t>Coffret</t>
        </is>
      </c>
      <c r="H2203" s="2" t="inlineStr">
        <is>
          <t>SV04: Paradox Rift</t>
        </is>
      </c>
      <c r="I2203" s="3" t="n">
        <v>138.96</v>
      </c>
      <c r="J2203" s="3" t="n">
        <v>134.07</v>
      </c>
      <c r="K2203" s="3" t="n">
        <v>143</v>
      </c>
      <c r="L2203" s="3" t="n">
        <v>134.99</v>
      </c>
      <c r="M2203" s="2" t="inlineStr">
        <is>
          <t>PriceCharting + TCGplayer</t>
        </is>
      </c>
      <c r="N2203" s="4" t="inlineStr">
        <is>
          <t>https://www.pricecharting.com/game/pokemon-paradox-rift/elite-trainer-box-roaring-moon</t>
        </is>
      </c>
      <c r="O2203" s="4" t="inlineStr">
        <is>
          <t>https://www.tcgplayer.com/product/512815</t>
        </is>
      </c>
    </row>
    <row r="2204">
      <c r="A2204" s="2" t="inlineStr">
        <is>
          <t>Paradox Rift Pokemon Center Elite Trainer Box (Exclusive) [Iron Valiant]</t>
        </is>
      </c>
      <c r="B2204" s="3">
        <f>IF(I2204&lt;&gt;"",I2204,IF(J2204&lt;&gt;"",J2204,IF(K2204&lt;&gt;"",K2204,L2204)))</f>
        <v>191.27</v>
      </c>
      <c r="C2204" s="3">
        <f>MEDIAN(I2204:L2204)</f>
        <v>191.27</v>
      </c>
      <c r="D2204" s="3">
        <f>ROUND(C2204*(1-Settings!$B$2),2)</f>
        <v>133.89</v>
      </c>
      <c r="E2204" s="3">
        <f>ROUND(C2204*(1-Settings!$B$3),2)</f>
        <v>133.89</v>
      </c>
      <c r="F2204" s="2" t="inlineStr">
        <is>
          <t>Pokemon</t>
        </is>
      </c>
      <c r="G2204" s="2" t="inlineStr">
        <is>
          <t>Coffret</t>
        </is>
      </c>
      <c r="H2204" s="2" t="inlineStr">
        <is>
          <t>SV04: Paradox Rift</t>
        </is>
      </c>
      <c r="I2204" s="3" t="n"/>
      <c r="J2204" s="3" t="n">
        <v>191.27</v>
      </c>
      <c r="K2204" s="3" t="n">
        <v>200</v>
      </c>
      <c r="L2204" s="3" t="n">
        <v>180</v>
      </c>
      <c r="M2204" s="2" t="inlineStr">
        <is>
          <t>TCGplayer</t>
        </is>
      </c>
      <c r="O2204" s="4" t="inlineStr">
        <is>
          <t>https://www.tcgplayer.com/product/512801</t>
        </is>
      </c>
    </row>
    <row r="2205">
      <c r="A2205" s="2" t="inlineStr">
        <is>
          <t>Paradox Rift Pokemon Center Elite Trainer Box (Exclusive) [Roaring Moon]</t>
        </is>
      </c>
      <c r="B2205" s="3">
        <f>IF(I2205&lt;&gt;"",I2205,IF(J2205&lt;&gt;"",J2205,IF(K2205&lt;&gt;"",K2205,L2205)))</f>
        <v>220.36</v>
      </c>
      <c r="C2205" s="3">
        <f>MEDIAN(I2205:L2205)</f>
        <v>220.36</v>
      </c>
      <c r="D2205" s="3">
        <f>ROUND(C2205*(1-Settings!$B$2),2)</f>
        <v>154.25</v>
      </c>
      <c r="E2205" s="3">
        <f>ROUND(C2205*(1-Settings!$B$3),2)</f>
        <v>154.25</v>
      </c>
      <c r="F2205" s="2" t="inlineStr">
        <is>
          <t>Pokemon</t>
        </is>
      </c>
      <c r="G2205" s="2" t="inlineStr">
        <is>
          <t>Coffret</t>
        </is>
      </c>
      <c r="H2205" s="2" t="inlineStr">
        <is>
          <t>SV04: Paradox Rift</t>
        </is>
      </c>
      <c r="I2205" s="3" t="n"/>
      <c r="J2205" s="3" t="n">
        <v>220.36</v>
      </c>
      <c r="K2205" s="3" t="n">
        <v>222.91</v>
      </c>
      <c r="L2205" s="3" t="n">
        <v>200</v>
      </c>
      <c r="M2205" s="2" t="inlineStr">
        <is>
          <t>TCGplayer</t>
        </is>
      </c>
      <c r="O2205" s="4" t="inlineStr">
        <is>
          <t>https://www.tcgplayer.com/product/512809</t>
        </is>
      </c>
    </row>
    <row r="2206">
      <c r="A2206" s="2" t="inlineStr">
        <is>
          <t>Paradox Rift Pokemon Center Elite Trainer Box (Exclusive) [Set of 2]</t>
        </is>
      </c>
      <c r="B2206" s="3">
        <f>IF(I2206&lt;&gt;"",I2206,IF(J2206&lt;&gt;"",J2206,IF(K2206&lt;&gt;"",K2206,L2206)))</f>
        <v>406.23</v>
      </c>
      <c r="C2206" s="3">
        <f>MEDIAN(I2206:L2206)</f>
        <v>399.99</v>
      </c>
      <c r="D2206" s="3">
        <f>ROUND(C2206*(1-Settings!$B$2),2)</f>
        <v>279.99</v>
      </c>
      <c r="E2206" s="3">
        <f>ROUND(C2206*(1-Settings!$B$3),2)</f>
        <v>279.99</v>
      </c>
      <c r="F2206" s="2" t="inlineStr">
        <is>
          <t>Pokemon</t>
        </is>
      </c>
      <c r="G2206" s="2" t="inlineStr">
        <is>
          <t>Coffret</t>
        </is>
      </c>
      <c r="H2206" s="2" t="inlineStr">
        <is>
          <t>SV04: Paradox Rift</t>
        </is>
      </c>
      <c r="I2206" s="3" t="n"/>
      <c r="J2206" s="3" t="n">
        <v>406.23</v>
      </c>
      <c r="K2206" s="3" t="n">
        <v>399.99</v>
      </c>
      <c r="L2206" s="3" t="n">
        <v>399.99</v>
      </c>
      <c r="M2206" s="2" t="inlineStr">
        <is>
          <t>TCGplayer</t>
        </is>
      </c>
      <c r="O2206" s="4" t="inlineStr">
        <is>
          <t>https://www.tcgplayer.com/product/524394</t>
        </is>
      </c>
    </row>
    <row r="2207">
      <c r="A2207" s="2" t="inlineStr">
        <is>
          <t>Paradox Rift Sleeved Booster Pack Art Bundle [Set of 4]</t>
        </is>
      </c>
      <c r="B2207" s="3">
        <f>IF(I2207&lt;&gt;"",I2207,IF(J2207&lt;&gt;"",J2207,IF(K2207&lt;&gt;"",K2207,L2207)))</f>
        <v>40.99</v>
      </c>
      <c r="C2207" s="3">
        <f>MEDIAN(I2207:L2207)</f>
        <v>49.59</v>
      </c>
      <c r="D2207" s="3">
        <f>ROUND(C2207*(1-Settings!$B$2),2)</f>
        <v>34.71</v>
      </c>
      <c r="E2207" s="3">
        <f>ROUND(C2207*(1-Settings!$B$3),2)</f>
        <v>34.71</v>
      </c>
      <c r="F2207" s="2" t="inlineStr">
        <is>
          <t>Pokemon</t>
        </is>
      </c>
      <c r="G2207" s="2" t="inlineStr">
        <is>
          <t>Coffret</t>
        </is>
      </c>
      <c r="H2207" s="2" t="inlineStr">
        <is>
          <t>SV04: Paradox Rift</t>
        </is>
      </c>
      <c r="I2207" s="3" t="n"/>
      <c r="J2207" s="3" t="n">
        <v>40.99</v>
      </c>
      <c r="K2207" s="3" t="n">
        <v>49.99</v>
      </c>
      <c r="L2207" s="3" t="n">
        <v>49.59</v>
      </c>
      <c r="M2207" s="2" t="inlineStr">
        <is>
          <t>TCGplayer</t>
        </is>
      </c>
      <c r="O2207" s="4" t="inlineStr">
        <is>
          <t>https://www.tcgplayer.com/product/526674</t>
        </is>
      </c>
    </row>
    <row r="2208">
      <c r="A2208" s="2" t="inlineStr">
        <is>
          <t>Temporal Forces Booster Bundle</t>
        </is>
      </c>
      <c r="B2208" s="3">
        <f>IF(I2208&lt;&gt;"",I2208,IF(J2208&lt;&gt;"",J2208,IF(K2208&lt;&gt;"",K2208,L2208)))</f>
        <v>78.99</v>
      </c>
      <c r="C2208" s="3">
        <f>MEDIAN(I2208:L2208)</f>
        <v>83.705</v>
      </c>
      <c r="D2208" s="3">
        <f>ROUND(C2208*(1-Settings!$B$2),2)</f>
        <v>58.59</v>
      </c>
      <c r="E2208" s="3">
        <f>ROUND(C2208*(1-Settings!$B$3),2)</f>
        <v>58.59</v>
      </c>
      <c r="F2208" s="2" t="inlineStr">
        <is>
          <t>Pokemon</t>
        </is>
      </c>
      <c r="G2208" s="2" t="inlineStr">
        <is>
          <t>Coffret</t>
        </is>
      </c>
      <c r="H2208" s="2" t="inlineStr">
        <is>
          <t>SV05: Temporal Forces</t>
        </is>
      </c>
      <c r="I2208" s="3" t="n">
        <v>78.98999999999999</v>
      </c>
      <c r="J2208" s="3" t="n">
        <v>88.42</v>
      </c>
      <c r="K2208" s="3" t="n">
        <v>92.42</v>
      </c>
      <c r="L2208" s="3" t="n">
        <v>74.98999999999999</v>
      </c>
      <c r="M2208" s="2" t="inlineStr">
        <is>
          <t>PriceCharting + TCGplayer</t>
        </is>
      </c>
      <c r="N2208" s="4" t="inlineStr">
        <is>
          <t>https://www.pricecharting.com/game/pokemon-temporal-forces/booster-bundle</t>
        </is>
      </c>
      <c r="O2208" s="4" t="inlineStr">
        <is>
          <t>https://www.tcgplayer.com/product/541017</t>
        </is>
      </c>
    </row>
    <row r="2209">
      <c r="A2209" s="2" t="inlineStr">
        <is>
          <t>Temporal Forces Booster Pack Art Bundle [Set of 4]</t>
        </is>
      </c>
      <c r="B2209" s="3">
        <f>IF(I2209&lt;&gt;"",I2209,IF(J2209&lt;&gt;"",J2209,IF(K2209&lt;&gt;"",K2209,L2209)))</f>
        <v>39.9</v>
      </c>
      <c r="C2209" s="3">
        <f>MEDIAN(I2209:L2209)</f>
        <v>41.0</v>
      </c>
      <c r="D2209" s="3">
        <f>ROUND(C2209*(1-Settings!$B$2),2)</f>
        <v>28.7</v>
      </c>
      <c r="E2209" s="3">
        <f>ROUND(C2209*(1-Settings!$B$3),2)</f>
        <v>28.7</v>
      </c>
      <c r="F2209" s="2" t="inlineStr">
        <is>
          <t>Pokemon</t>
        </is>
      </c>
      <c r="G2209" s="2" t="inlineStr">
        <is>
          <t>Coffret</t>
        </is>
      </c>
      <c r="H2209" s="2" t="inlineStr">
        <is>
          <t>SV05: Temporal Forces</t>
        </is>
      </c>
      <c r="I2209" s="3" t="n"/>
      <c r="J2209" s="3" t="n">
        <v>39.9</v>
      </c>
      <c r="K2209" s="3" t="n">
        <v>42.38</v>
      </c>
      <c r="L2209" s="3" t="n">
        <v>41</v>
      </c>
      <c r="M2209" s="2" t="inlineStr">
        <is>
          <t>TCGplayer</t>
        </is>
      </c>
      <c r="O2209" s="4" t="inlineStr">
        <is>
          <t>https://www.tcgplayer.com/product/538786</t>
        </is>
      </c>
    </row>
    <row r="2210">
      <c r="A2210" s="2" t="inlineStr">
        <is>
          <t>Temporal Forces Build &amp; Battle Box</t>
        </is>
      </c>
      <c r="B2210" s="3">
        <f>IF(I2210&lt;&gt;"",I2210,IF(J2210&lt;&gt;"",J2210,IF(K2210&lt;&gt;"",K2210,L2210)))</f>
        <v>79.66</v>
      </c>
      <c r="C2210" s="3">
        <f>MEDIAN(I2210:L2210)</f>
        <v>59.495000000000005</v>
      </c>
      <c r="D2210" s="3">
        <f>ROUND(C2210*(1-Settings!$B$2),2)</f>
        <v>41.65</v>
      </c>
      <c r="E2210" s="3">
        <f>ROUND(C2210*(1-Settings!$B$3),2)</f>
        <v>41.65</v>
      </c>
      <c r="F2210" s="2" t="inlineStr">
        <is>
          <t>Pokemon</t>
        </is>
      </c>
      <c r="G2210" s="2" t="inlineStr">
        <is>
          <t>Coffret</t>
        </is>
      </c>
      <c r="H2210" s="2" t="inlineStr">
        <is>
          <t>SV05: Temporal Forces</t>
        </is>
      </c>
      <c r="I2210" s="3" t="n">
        <v>79.66</v>
      </c>
      <c r="J2210" s="3" t="n">
        <v>43.46</v>
      </c>
      <c r="K2210" s="3" t="n">
        <v>63.99</v>
      </c>
      <c r="L2210" s="3" t="n">
        <v>55</v>
      </c>
      <c r="M2210" s="2" t="inlineStr">
        <is>
          <t>PriceCharting + TCGplayer</t>
        </is>
      </c>
      <c r="N2210" s="4" t="inlineStr">
        <is>
          <t>https://www.pricecharting.com/game/pokemon-temporal-forces/build-and-battle-box</t>
        </is>
      </c>
      <c r="O2210" s="4" t="inlineStr">
        <is>
          <t>https://www.tcgplayer.com/product/537411</t>
        </is>
      </c>
    </row>
    <row r="2211">
      <c r="A2211" s="2" t="inlineStr">
        <is>
          <t>Temporal Forces Elite Trainer Box [Iron Leaves ex]</t>
        </is>
      </c>
      <c r="B2211" s="3">
        <f>IF(I2211&lt;&gt;"",I2211,IF(J2211&lt;&gt;"",J2211,IF(K2211&lt;&gt;"",K2211,L2211)))</f>
        <v>125.63</v>
      </c>
      <c r="C2211" s="3">
        <f>MEDIAN(I2211:L2211)</f>
        <v>125.63</v>
      </c>
      <c r="D2211" s="3">
        <f>ROUND(C2211*(1-Settings!$B$2),2)</f>
        <v>87.94</v>
      </c>
      <c r="E2211" s="3">
        <f>ROUND(C2211*(1-Settings!$B$3),2)</f>
        <v>87.94</v>
      </c>
      <c r="F2211" s="2" t="inlineStr">
        <is>
          <t>Pokemon</t>
        </is>
      </c>
      <c r="G2211" s="2" t="inlineStr">
        <is>
          <t>Coffret</t>
        </is>
      </c>
      <c r="H2211" s="2" t="inlineStr">
        <is>
          <t>SV05: Temporal Forces</t>
        </is>
      </c>
      <c r="I2211" s="3" t="n"/>
      <c r="J2211" s="3" t="n">
        <v>125.63</v>
      </c>
      <c r="K2211" s="3" t="n">
        <v>150</v>
      </c>
      <c r="L2211" s="3" t="n">
        <v>4.99</v>
      </c>
      <c r="M2211" s="2" t="inlineStr">
        <is>
          <t>TCGplayer</t>
        </is>
      </c>
      <c r="O2211" s="4" t="inlineStr">
        <is>
          <t>https://www.tcgplayer.com/product/532848</t>
        </is>
      </c>
    </row>
    <row r="2212">
      <c r="A2212" s="2" t="inlineStr">
        <is>
          <t>Temporal Forces Elite Trainer Box [Set of 2]</t>
        </is>
      </c>
      <c r="B2212" s="3">
        <f>IF(I2212&lt;&gt;"",I2212,IF(J2212&lt;&gt;"",J2212,IF(K2212&lt;&gt;"",K2212,L2212)))</f>
        <v>235.05</v>
      </c>
      <c r="C2212" s="3">
        <f>MEDIAN(I2212:L2212)</f>
        <v>300.0</v>
      </c>
      <c r="D2212" s="3">
        <f>ROUND(C2212*(1-Settings!$B$2),2)</f>
        <v>210.0</v>
      </c>
      <c r="E2212" s="3">
        <f>ROUND(C2212*(1-Settings!$B$3),2)</f>
        <v>210.0</v>
      </c>
      <c r="F2212" s="2" t="inlineStr">
        <is>
          <t>Pokemon</t>
        </is>
      </c>
      <c r="G2212" s="2" t="inlineStr">
        <is>
          <t>Coffret</t>
        </is>
      </c>
      <c r="H2212" s="2" t="inlineStr">
        <is>
          <t>SV05: Temporal Forces</t>
        </is>
      </c>
      <c r="I2212" s="3" t="n"/>
      <c r="J2212" s="3" t="n">
        <v>235.05</v>
      </c>
      <c r="K2212" s="3" t="n">
        <v>449.99</v>
      </c>
      <c r="L2212" s="3" t="n">
        <v>300</v>
      </c>
      <c r="M2212" s="2" t="inlineStr">
        <is>
          <t>TCGplayer</t>
        </is>
      </c>
      <c r="O2212" s="4" t="inlineStr">
        <is>
          <t>https://www.tcgplayer.com/product/532849</t>
        </is>
      </c>
    </row>
    <row r="2213">
      <c r="A2213" s="2" t="inlineStr">
        <is>
          <t>Temporal Forces Elite Trainer Box [Walking Wake]</t>
        </is>
      </c>
      <c r="B2213" s="3">
        <f>IF(I2213&lt;&gt;"",I2213,IF(J2213&lt;&gt;"",J2213,IF(K2213&lt;&gt;"",K2213,L2213)))</f>
        <v>142.86</v>
      </c>
      <c r="C2213" s="3">
        <f>MEDIAN(I2213:L2213)</f>
        <v>143.51</v>
      </c>
      <c r="D2213" s="3">
        <f>ROUND(C2213*(1-Settings!$B$2),2)</f>
        <v>100.46</v>
      </c>
      <c r="E2213" s="3">
        <f>ROUND(C2213*(1-Settings!$B$3),2)</f>
        <v>100.46</v>
      </c>
      <c r="F2213" s="2" t="inlineStr">
        <is>
          <t>Pokemon</t>
        </is>
      </c>
      <c r="G2213" s="2" t="inlineStr">
        <is>
          <t>Coffret</t>
        </is>
      </c>
      <c r="H2213" s="2" t="inlineStr">
        <is>
          <t>SV05: Temporal Forces</t>
        </is>
      </c>
      <c r="I2213" s="3" t="n">
        <v>142.86</v>
      </c>
      <c r="J2213" s="3" t="n">
        <v>144.16</v>
      </c>
      <c r="K2213" s="3" t="n">
        <v>153.46</v>
      </c>
      <c r="L2213" s="3" t="n">
        <v>112</v>
      </c>
      <c r="M2213" s="2" t="inlineStr">
        <is>
          <t>PriceCharting + TCGplayer</t>
        </is>
      </c>
      <c r="N2213" s="4" t="inlineStr">
        <is>
          <t>https://www.pricecharting.com/game/pokemon-temporal-forces/elite-trainer-box-walking-wake</t>
        </is>
      </c>
      <c r="O2213" s="4" t="inlineStr">
        <is>
          <t>https://www.tcgplayer.com/product/532845</t>
        </is>
      </c>
    </row>
    <row r="2214">
      <c r="A2214" s="2" t="inlineStr">
        <is>
          <t>Temporal Forces Pokemon Center Elite Trainer Box (Exclusive) [Iron Leaves]</t>
        </is>
      </c>
      <c r="B2214" s="3">
        <f>IF(I2214&lt;&gt;"",I2214,IF(J2214&lt;&gt;"",J2214,IF(K2214&lt;&gt;"",K2214,L2214)))</f>
        <v>195.96</v>
      </c>
      <c r="C2214" s="3">
        <f>MEDIAN(I2214:L2214)</f>
        <v>195.96</v>
      </c>
      <c r="D2214" s="3">
        <f>ROUND(C2214*(1-Settings!$B$2),2)</f>
        <v>137.17</v>
      </c>
      <c r="E2214" s="3">
        <f>ROUND(C2214*(1-Settings!$B$3),2)</f>
        <v>137.17</v>
      </c>
      <c r="F2214" s="2" t="inlineStr">
        <is>
          <t>Pokemon</t>
        </is>
      </c>
      <c r="G2214" s="2" t="inlineStr">
        <is>
          <t>Coffret</t>
        </is>
      </c>
      <c r="H2214" s="2" t="inlineStr">
        <is>
          <t>SV05: Temporal Forces</t>
        </is>
      </c>
      <c r="I2214" s="3" t="n"/>
      <c r="J2214" s="3" t="n">
        <v>195.96</v>
      </c>
      <c r="K2214" s="3" t="n">
        <v>253</v>
      </c>
      <c r="L2214" s="3" t="n">
        <v>195.5</v>
      </c>
      <c r="M2214" s="2" t="inlineStr">
        <is>
          <t>TCGplayer</t>
        </is>
      </c>
      <c r="O2214" s="4" t="inlineStr">
        <is>
          <t>https://www.tcgplayer.com/product/532853</t>
        </is>
      </c>
    </row>
    <row r="2215">
      <c r="A2215" s="2" t="inlineStr">
        <is>
          <t>Temporal Forces Pokemon Center Elite Trainer Box (Exclusive) [Walking Wake]</t>
        </is>
      </c>
      <c r="B2215" s="3">
        <f>IF(I2215&lt;&gt;"",I2215,IF(J2215&lt;&gt;"",J2215,IF(K2215&lt;&gt;"",K2215,L2215)))</f>
        <v>208.17</v>
      </c>
      <c r="C2215" s="3">
        <f>MEDIAN(I2215:L2215)</f>
        <v>229.99</v>
      </c>
      <c r="D2215" s="3">
        <f>ROUND(C2215*(1-Settings!$B$2),2)</f>
        <v>160.99</v>
      </c>
      <c r="E2215" s="3">
        <f>ROUND(C2215*(1-Settings!$B$3),2)</f>
        <v>160.99</v>
      </c>
      <c r="F2215" s="2" t="inlineStr">
        <is>
          <t>Pokemon</t>
        </is>
      </c>
      <c r="G2215" s="2" t="inlineStr">
        <is>
          <t>Coffret</t>
        </is>
      </c>
      <c r="H2215" s="2" t="inlineStr">
        <is>
          <t>SV05: Temporal Forces</t>
        </is>
      </c>
      <c r="I2215" s="3" t="n"/>
      <c r="J2215" s="3" t="n">
        <v>208.17</v>
      </c>
      <c r="K2215" s="3" t="n">
        <v>275</v>
      </c>
      <c r="L2215" s="3" t="n">
        <v>229.99</v>
      </c>
      <c r="M2215" s="2" t="inlineStr">
        <is>
          <t>TCGplayer</t>
        </is>
      </c>
      <c r="O2215" s="4" t="inlineStr">
        <is>
          <t>https://www.tcgplayer.com/product/538775</t>
        </is>
      </c>
    </row>
    <row r="2216">
      <c r="A2216" s="2" t="inlineStr">
        <is>
          <t>Temporal Forces Sleeved Booster Pack Art Bundle [Set of 4]</t>
        </is>
      </c>
      <c r="B2216" s="3">
        <f>IF(I2216&lt;&gt;"",I2216,IF(J2216&lt;&gt;"",J2216,IF(K2216&lt;&gt;"",K2216,L2216)))</f>
        <v>42.71</v>
      </c>
      <c r="C2216" s="3">
        <f>MEDIAN(I2216:L2216)</f>
        <v>44.99</v>
      </c>
      <c r="D2216" s="3">
        <f>ROUND(C2216*(1-Settings!$B$2),2)</f>
        <v>31.49</v>
      </c>
      <c r="E2216" s="3">
        <f>ROUND(C2216*(1-Settings!$B$3),2)</f>
        <v>31.49</v>
      </c>
      <c r="F2216" s="2" t="inlineStr">
        <is>
          <t>Pokemon</t>
        </is>
      </c>
      <c r="G2216" s="2" t="inlineStr">
        <is>
          <t>Coffret</t>
        </is>
      </c>
      <c r="H2216" s="2" t="inlineStr">
        <is>
          <t>SV05: Temporal Forces</t>
        </is>
      </c>
      <c r="I2216" s="3" t="n"/>
      <c r="J2216" s="3" t="n">
        <v>42.71</v>
      </c>
      <c r="K2216" s="3" t="n">
        <v>45</v>
      </c>
      <c r="L2216" s="3" t="n">
        <v>44.99</v>
      </c>
      <c r="M2216" s="2" t="inlineStr">
        <is>
          <t>TCGplayer</t>
        </is>
      </c>
      <c r="O2216" s="4" t="inlineStr">
        <is>
          <t>https://www.tcgplayer.com/product/538789</t>
        </is>
      </c>
    </row>
    <row r="2217">
      <c r="A2217" s="2" t="inlineStr">
        <is>
          <t>Temporal Forces Sleeved Booster Pack Bundle [Set of 8]</t>
        </is>
      </c>
      <c r="B2217" s="3">
        <f>IF(I2217&lt;&gt;"",I2217,IF(J2217&lt;&gt;"",J2217,IF(K2217&lt;&gt;"",K2217,L2217)))</f>
        <v>85.9</v>
      </c>
      <c r="C2217" s="3">
        <f>MEDIAN(I2217:L2217)</f>
        <v>85.9</v>
      </c>
      <c r="D2217" s="3">
        <f>ROUND(C2217*(1-Settings!$B$2),2)</f>
        <v>60.13</v>
      </c>
      <c r="E2217" s="3">
        <f>ROUND(C2217*(1-Settings!$B$3),2)</f>
        <v>60.13</v>
      </c>
      <c r="F2217" s="2" t="inlineStr">
        <is>
          <t>Pokemon</t>
        </is>
      </c>
      <c r="G2217" s="2" t="inlineStr">
        <is>
          <t>Coffret</t>
        </is>
      </c>
      <c r="H2217" s="2" t="inlineStr">
        <is>
          <t>SV05: Temporal Forces</t>
        </is>
      </c>
      <c r="I2217" s="3" t="n"/>
      <c r="J2217" s="3" t="n">
        <v>85.90000000000001</v>
      </c>
      <c r="K2217" s="3" t="n"/>
      <c r="L2217" s="3" t="n"/>
      <c r="M2217" s="2" t="inlineStr">
        <is>
          <t>TCGplayer</t>
        </is>
      </c>
      <c r="O2217" s="4" t="inlineStr">
        <is>
          <t>https://www.tcgplayer.com/product/538807</t>
        </is>
      </c>
    </row>
    <row r="2218">
      <c r="A2218" s="2" t="inlineStr">
        <is>
          <t>Twilight Masquerade Booster Bundle</t>
        </is>
      </c>
      <c r="B2218" s="3">
        <f>IF(I2218&lt;&gt;"",I2218,IF(J2218&lt;&gt;"",J2218,IF(K2218&lt;&gt;"",K2218,L2218)))</f>
        <v>45.45</v>
      </c>
      <c r="C2218" s="3">
        <f>MEDIAN(I2218:L2218)</f>
        <v>74.89500000000001</v>
      </c>
      <c r="D2218" s="3">
        <f>ROUND(C2218*(1-Settings!$B$2),2)</f>
        <v>52.43</v>
      </c>
      <c r="E2218" s="3">
        <f>ROUND(C2218*(1-Settings!$B$3),2)</f>
        <v>52.43</v>
      </c>
      <c r="F2218" s="2" t="inlineStr">
        <is>
          <t>Pokemon</t>
        </is>
      </c>
      <c r="G2218" s="2" t="inlineStr">
        <is>
          <t>Coffret</t>
        </is>
      </c>
      <c r="H2218" s="2" t="inlineStr">
        <is>
          <t>SV06: Twilight Masquerade</t>
        </is>
      </c>
      <c r="I2218" s="3" t="n">
        <v>45.45</v>
      </c>
      <c r="J2218" s="3" t="n">
        <v>75.84</v>
      </c>
      <c r="K2218" s="3" t="n">
        <v>79.79000000000001</v>
      </c>
      <c r="L2218" s="3" t="n">
        <v>73.95</v>
      </c>
      <c r="M2218" s="2" t="inlineStr">
        <is>
          <t>PriceCharting + TCGplayer</t>
        </is>
      </c>
      <c r="N2218" s="4" t="inlineStr">
        <is>
          <t>https://www.pricecharting.com/game/pokemon-twilight-masquerade/booster-bundle</t>
        </is>
      </c>
      <c r="O2218" s="4" t="inlineStr">
        <is>
          <t>https://www.tcgplayer.com/product/543852</t>
        </is>
      </c>
    </row>
    <row r="2219">
      <c r="A2219" s="2" t="inlineStr">
        <is>
          <t>Twilight Masquerade Booster Pack Art Bundle [Set of 4]</t>
        </is>
      </c>
      <c r="B2219" s="3">
        <f>IF(I2219&lt;&gt;"",I2219,IF(J2219&lt;&gt;"",J2219,IF(K2219&lt;&gt;"",K2219,L2219)))</f>
        <v>37.92</v>
      </c>
      <c r="C2219" s="3">
        <f>MEDIAN(I2219:L2219)</f>
        <v>40.45</v>
      </c>
      <c r="D2219" s="3">
        <f>ROUND(C2219*(1-Settings!$B$2),2)</f>
        <v>28.32</v>
      </c>
      <c r="E2219" s="3">
        <f>ROUND(C2219*(1-Settings!$B$3),2)</f>
        <v>28.32</v>
      </c>
      <c r="F2219" s="2" t="inlineStr">
        <is>
          <t>Pokemon</t>
        </is>
      </c>
      <c r="G2219" s="2" t="inlineStr">
        <is>
          <t>Coffret</t>
        </is>
      </c>
      <c r="H2219" s="2" t="inlineStr">
        <is>
          <t>SV06: Twilight Masquerade</t>
        </is>
      </c>
      <c r="I2219" s="3" t="n"/>
      <c r="J2219" s="3" t="n">
        <v>37.92</v>
      </c>
      <c r="K2219" s="3" t="n">
        <v>40.99</v>
      </c>
      <c r="L2219" s="3" t="n">
        <v>40.45</v>
      </c>
      <c r="M2219" s="2" t="inlineStr">
        <is>
          <t>TCGplayer</t>
        </is>
      </c>
      <c r="O2219" s="4" t="inlineStr">
        <is>
          <t>https://www.tcgplayer.com/product/549487</t>
        </is>
      </c>
    </row>
    <row r="2220">
      <c r="A2220" s="2" t="inlineStr">
        <is>
          <t>Twilight Masquerade Build &amp; Battle Box</t>
        </is>
      </c>
      <c r="B2220" s="3">
        <f>IF(I2220&lt;&gt;"",I2220,IF(J2220&lt;&gt;"",J2220,IF(K2220&lt;&gt;"",K2220,L2220)))</f>
        <v>40.91</v>
      </c>
      <c r="C2220" s="3">
        <f>MEDIAN(I2220:L2220)</f>
        <v>59.620000000000005</v>
      </c>
      <c r="D2220" s="3">
        <f>ROUND(C2220*(1-Settings!$B$2),2)</f>
        <v>41.73</v>
      </c>
      <c r="E2220" s="3">
        <f>ROUND(C2220*(1-Settings!$B$3),2)</f>
        <v>41.73</v>
      </c>
      <c r="F2220" s="2" t="inlineStr">
        <is>
          <t>Pokemon</t>
        </is>
      </c>
      <c r="G2220" s="2" t="inlineStr">
        <is>
          <t>Coffret</t>
        </is>
      </c>
      <c r="H2220" s="2" t="inlineStr">
        <is>
          <t>SV06: Twilight Masquerade</t>
        </is>
      </c>
      <c r="I2220" s="3" t="n">
        <v>40.91</v>
      </c>
      <c r="J2220" s="3" t="n">
        <v>62.65</v>
      </c>
      <c r="K2220" s="3" t="n">
        <v>63.97</v>
      </c>
      <c r="L2220" s="3" t="n">
        <v>56.59</v>
      </c>
      <c r="M2220" s="2" t="inlineStr">
        <is>
          <t>PriceCharting + TCGplayer</t>
        </is>
      </c>
      <c r="N2220" s="4" t="inlineStr">
        <is>
          <t>https://www.pricecharting.com/game/pokemon-twilight-masquerade/build-and-battle-box</t>
        </is>
      </c>
      <c r="O2220" s="4" t="inlineStr">
        <is>
          <t>https://www.tcgplayer.com/product/544386</t>
        </is>
      </c>
    </row>
    <row r="2221">
      <c r="A2221" s="2" t="inlineStr">
        <is>
          <t>Twilight Masquerade Elite Trainer Box</t>
        </is>
      </c>
      <c r="B2221" s="3">
        <f>IF(I2221&lt;&gt;"",I2221,IF(J2221&lt;&gt;"",J2221,IF(K2221&lt;&gt;"",K2221,L2221)))</f>
        <v>102.98</v>
      </c>
      <c r="C2221" s="3">
        <f>MEDIAN(I2221:L2221)</f>
        <v>104.905</v>
      </c>
      <c r="D2221" s="3">
        <f>ROUND(C2221*(1-Settings!$B$2),2)</f>
        <v>73.43</v>
      </c>
      <c r="E2221" s="3">
        <f>ROUND(C2221*(1-Settings!$B$3),2)</f>
        <v>73.43</v>
      </c>
      <c r="F2221" s="2" t="inlineStr">
        <is>
          <t>Pokemon</t>
        </is>
      </c>
      <c r="G2221" s="2" t="inlineStr">
        <is>
          <t>Coffret</t>
        </is>
      </c>
      <c r="H2221" s="2" t="inlineStr">
        <is>
          <t>SV06: Twilight Masquerade</t>
        </is>
      </c>
      <c r="I2221" s="3" t="n">
        <v>102.98</v>
      </c>
      <c r="J2221" s="3" t="n">
        <v>106.83</v>
      </c>
      <c r="K2221" s="3" t="n">
        <v>120</v>
      </c>
      <c r="L2221" s="3" t="n">
        <v>99.98999999999999</v>
      </c>
      <c r="M2221" s="2" t="inlineStr">
        <is>
          <t>PriceCharting + TCGplayer</t>
        </is>
      </c>
      <c r="N2221" s="4" t="inlineStr">
        <is>
          <t>https://www.pricecharting.com/game/pokemon-twilight-masquerade/elite-trainer-box</t>
        </is>
      </c>
      <c r="O2221" s="4" t="inlineStr">
        <is>
          <t>https://www.tcgplayer.com/product/543845</t>
        </is>
      </c>
    </row>
    <row r="2222">
      <c r="A2222" s="2" t="inlineStr">
        <is>
          <t>Twilight Masquerade Pokemon Center Elite Trainer Box (Exclusive)</t>
        </is>
      </c>
      <c r="B2222" s="3">
        <f>IF(I2222&lt;&gt;"",I2222,IF(J2222&lt;&gt;"",J2222,IF(K2222&lt;&gt;"",K2222,L2222)))</f>
        <v>185.71</v>
      </c>
      <c r="C2222" s="3">
        <f>MEDIAN(I2222:L2222)</f>
        <v>185.71</v>
      </c>
      <c r="D2222" s="3">
        <f>ROUND(C2222*(1-Settings!$B$2),2)</f>
        <v>130.0</v>
      </c>
      <c r="E2222" s="3">
        <f>ROUND(C2222*(1-Settings!$B$3),2)</f>
        <v>130.0</v>
      </c>
      <c r="F2222" s="2" t="inlineStr">
        <is>
          <t>Pokemon</t>
        </is>
      </c>
      <c r="G2222" s="2" t="inlineStr">
        <is>
          <t>Coffret</t>
        </is>
      </c>
      <c r="H2222" s="2" t="inlineStr">
        <is>
          <t>SV06: Twilight Masquerade</t>
        </is>
      </c>
      <c r="I2222" s="3" t="n"/>
      <c r="J2222" s="3" t="n">
        <v>185.71</v>
      </c>
      <c r="K2222" s="3" t="n">
        <v>200</v>
      </c>
      <c r="L2222" s="3" t="n">
        <v>174.99</v>
      </c>
      <c r="M2222" s="2" t="inlineStr">
        <is>
          <t>TCGplayer</t>
        </is>
      </c>
      <c r="O2222" s="4" t="inlineStr">
        <is>
          <t>https://www.tcgplayer.com/product/543844</t>
        </is>
      </c>
    </row>
    <row r="2223">
      <c r="A2223" s="2" t="inlineStr">
        <is>
          <t>Twilight Masquerade Sleeved Booster Pack Art Bundle [Set of 4]</t>
        </is>
      </c>
      <c r="B2223" s="3">
        <f>IF(I2223&lt;&gt;"",I2223,IF(J2223&lt;&gt;"",J2223,IF(K2223&lt;&gt;"",K2223,L2223)))</f>
        <v>43.83</v>
      </c>
      <c r="C2223" s="3">
        <f>MEDIAN(I2223:L2223)</f>
        <v>43.83</v>
      </c>
      <c r="D2223" s="3">
        <f>ROUND(C2223*(1-Settings!$B$2),2)</f>
        <v>30.68</v>
      </c>
      <c r="E2223" s="3">
        <f>ROUND(C2223*(1-Settings!$B$3),2)</f>
        <v>30.68</v>
      </c>
      <c r="F2223" s="2" t="inlineStr">
        <is>
          <t>Pokemon</t>
        </is>
      </c>
      <c r="G2223" s="2" t="inlineStr">
        <is>
          <t>Coffret</t>
        </is>
      </c>
      <c r="H2223" s="2" t="inlineStr">
        <is>
          <t>SV06: Twilight Masquerade</t>
        </is>
      </c>
      <c r="I2223" s="3" t="n"/>
      <c r="J2223" s="3" t="n">
        <v>43.83</v>
      </c>
      <c r="K2223" s="3" t="n">
        <v>45.47</v>
      </c>
      <c r="L2223" s="3" t="n">
        <v>39.99</v>
      </c>
      <c r="M2223" s="2" t="inlineStr">
        <is>
          <t>TCGplayer</t>
        </is>
      </c>
      <c r="O2223" s="4" t="inlineStr">
        <is>
          <t>https://www.tcgplayer.com/product/549494</t>
        </is>
      </c>
    </row>
    <row r="2224">
      <c r="A2224" s="2" t="inlineStr">
        <is>
          <t>Stellar Crown Booster Bundle</t>
        </is>
      </c>
      <c r="B2224" s="3">
        <f>IF(I2224&lt;&gt;"",I2224,IF(J2224&lt;&gt;"",J2224,IF(K2224&lt;&gt;"",K2224,L2224)))</f>
        <v>71.07</v>
      </c>
      <c r="C2224" s="3">
        <f>MEDIAN(I2224:L2224)</f>
        <v>71.07</v>
      </c>
      <c r="D2224" s="3">
        <f>ROUND(C2224*(1-Settings!$B$2),2)</f>
        <v>49.75</v>
      </c>
      <c r="E2224" s="3">
        <f>ROUND(C2224*(1-Settings!$B$3),2)</f>
        <v>49.75</v>
      </c>
      <c r="F2224" s="2" t="inlineStr">
        <is>
          <t>Pokemon</t>
        </is>
      </c>
      <c r="G2224" s="2" t="inlineStr">
        <is>
          <t>Coffret</t>
        </is>
      </c>
      <c r="H2224" s="2" t="inlineStr">
        <is>
          <t>SV07: Stellar Crown</t>
        </is>
      </c>
      <c r="I2224" s="3" t="n"/>
      <c r="J2224" s="3" t="n">
        <v>71.06999999999999</v>
      </c>
      <c r="K2224" s="3" t="n">
        <v>84.90000000000001</v>
      </c>
      <c r="L2224" s="3" t="n">
        <v>63.19</v>
      </c>
      <c r="M2224" s="2" t="inlineStr">
        <is>
          <t>TCGplayer</t>
        </is>
      </c>
      <c r="O2224" s="4" t="inlineStr">
        <is>
          <t>https://www.tcgplayer.com/product/557345</t>
        </is>
      </c>
    </row>
    <row r="2225">
      <c r="A2225" s="2" t="inlineStr">
        <is>
          <t>Stellar Crown Booster Pack Art Bundle [Set of 4]</t>
        </is>
      </c>
      <c r="B2225" s="3">
        <f>IF(I2225&lt;&gt;"",I2225,IF(J2225&lt;&gt;"",J2225,IF(K2225&lt;&gt;"",K2225,L2225)))</f>
        <v>45.29</v>
      </c>
      <c r="C2225" s="3">
        <f>MEDIAN(I2225:L2225)</f>
        <v>45.29</v>
      </c>
      <c r="D2225" s="3">
        <f>ROUND(C2225*(1-Settings!$B$2),2)</f>
        <v>31.7</v>
      </c>
      <c r="E2225" s="3">
        <f>ROUND(C2225*(1-Settings!$B$3),2)</f>
        <v>31.7</v>
      </c>
      <c r="F2225" s="2" t="inlineStr">
        <is>
          <t>Pokemon</t>
        </is>
      </c>
      <c r="G2225" s="2" t="inlineStr">
        <is>
          <t>Coffret</t>
        </is>
      </c>
      <c r="H2225" s="2" t="inlineStr">
        <is>
          <t>SV07: Stellar Crown</t>
        </is>
      </c>
      <c r="I2225" s="3" t="n"/>
      <c r="J2225" s="3" t="n">
        <v>45.29</v>
      </c>
      <c r="K2225" s="3" t="n">
        <v>50.97</v>
      </c>
      <c r="L2225" s="3" t="n">
        <v>45.29</v>
      </c>
      <c r="M2225" s="2" t="inlineStr">
        <is>
          <t>TCGplayer</t>
        </is>
      </c>
      <c r="O2225" s="4" t="inlineStr">
        <is>
          <t>https://www.tcgplayer.com/product/557357</t>
        </is>
      </c>
    </row>
    <row r="2226">
      <c r="A2226" s="2" t="inlineStr">
        <is>
          <t>Stellar Crown Build &amp; Battle Box</t>
        </is>
      </c>
      <c r="B2226" s="3">
        <f>IF(I2226&lt;&gt;"",I2226,IF(J2226&lt;&gt;"",J2226,IF(K2226&lt;&gt;"",K2226,L2226)))</f>
        <v>49.78</v>
      </c>
      <c r="C2226" s="3">
        <f>MEDIAN(I2226:L2226)</f>
        <v>49.78</v>
      </c>
      <c r="D2226" s="3">
        <f>ROUND(C2226*(1-Settings!$B$2),2)</f>
        <v>34.85</v>
      </c>
      <c r="E2226" s="3">
        <f>ROUND(C2226*(1-Settings!$B$3),2)</f>
        <v>34.85</v>
      </c>
      <c r="F2226" s="2" t="inlineStr">
        <is>
          <t>Pokemon</t>
        </is>
      </c>
      <c r="G2226" s="2" t="inlineStr">
        <is>
          <t>Coffret</t>
        </is>
      </c>
      <c r="H2226" s="2" t="inlineStr">
        <is>
          <t>SV07: Stellar Crown</t>
        </is>
      </c>
      <c r="I2226" s="3" t="n"/>
      <c r="J2226" s="3" t="n">
        <v>49.78</v>
      </c>
      <c r="K2226" s="3" t="n">
        <v>55</v>
      </c>
      <c r="L2226" s="3" t="n">
        <v>49.45</v>
      </c>
      <c r="M2226" s="2" t="inlineStr">
        <is>
          <t>TCGplayer</t>
        </is>
      </c>
      <c r="O2226" s="4" t="inlineStr">
        <is>
          <t>https://www.tcgplayer.com/product/557330</t>
        </is>
      </c>
    </row>
    <row r="2227">
      <c r="A2227" s="2" t="inlineStr">
        <is>
          <t>Stellar Crown Elite Trainer Box</t>
        </is>
      </c>
      <c r="B2227" s="3">
        <f>IF(I2227&lt;&gt;"",I2227,IF(J2227&lt;&gt;"",J2227,IF(K2227&lt;&gt;"",K2227,L2227)))</f>
        <v>159.8</v>
      </c>
      <c r="C2227" s="3">
        <f>MEDIAN(I2227:L2227)</f>
        <v>159.8</v>
      </c>
      <c r="D2227" s="3">
        <f>ROUND(C2227*(1-Settings!$B$2),2)</f>
        <v>111.86</v>
      </c>
      <c r="E2227" s="3">
        <f>ROUND(C2227*(1-Settings!$B$3),2)</f>
        <v>111.86</v>
      </c>
      <c r="F2227" s="2" t="inlineStr">
        <is>
          <t>Pokemon</t>
        </is>
      </c>
      <c r="G2227" s="2" t="inlineStr">
        <is>
          <t>Coffret</t>
        </is>
      </c>
      <c r="H2227" s="2" t="inlineStr">
        <is>
          <t>SV07: Stellar Crown</t>
        </is>
      </c>
      <c r="I2227" s="3" t="n"/>
      <c r="J2227" s="3" t="n">
        <v>159.8</v>
      </c>
      <c r="K2227" s="3" t="n">
        <v>169.97</v>
      </c>
      <c r="L2227" s="3" t="n">
        <v>149.99</v>
      </c>
      <c r="M2227" s="2" t="inlineStr">
        <is>
          <t>TCGplayer</t>
        </is>
      </c>
      <c r="O2227" s="4" t="inlineStr">
        <is>
          <t>https://www.tcgplayer.com/product/557350</t>
        </is>
      </c>
    </row>
    <row r="2228">
      <c r="A2228" s="2" t="inlineStr">
        <is>
          <t>Stellar Crown Pokemon Center Elite Trainer Box (Exclusive)</t>
        </is>
      </c>
      <c r="B2228" s="3">
        <f>IF(I2228&lt;&gt;"",I2228,IF(J2228&lt;&gt;"",J2228,IF(K2228&lt;&gt;"",K2228,L2228)))</f>
        <v>170.81</v>
      </c>
      <c r="C2228" s="3">
        <f>MEDIAN(I2228:L2228)</f>
        <v>178.99</v>
      </c>
      <c r="D2228" s="3">
        <f>ROUND(C2228*(1-Settings!$B$2),2)</f>
        <v>125.29</v>
      </c>
      <c r="E2228" s="3">
        <f>ROUND(C2228*(1-Settings!$B$3),2)</f>
        <v>125.29</v>
      </c>
      <c r="F2228" s="2" t="inlineStr">
        <is>
          <t>Pokemon</t>
        </is>
      </c>
      <c r="G2228" s="2" t="inlineStr">
        <is>
          <t>Coffret</t>
        </is>
      </c>
      <c r="H2228" s="2" t="inlineStr">
        <is>
          <t>SV07: Stellar Crown</t>
        </is>
      </c>
      <c r="I2228" s="3" t="n"/>
      <c r="J2228" s="3" t="n">
        <v>170.81</v>
      </c>
      <c r="K2228" s="3" t="n">
        <v>215.5</v>
      </c>
      <c r="L2228" s="3" t="n">
        <v>178.99</v>
      </c>
      <c r="M2228" s="2" t="inlineStr">
        <is>
          <t>TCGplayer</t>
        </is>
      </c>
      <c r="O2228" s="4" t="inlineStr">
        <is>
          <t>https://www.tcgplayer.com/product/557340</t>
        </is>
      </c>
    </row>
    <row r="2229">
      <c r="A2229" s="2" t="inlineStr">
        <is>
          <t>Stellar Crown Sleeved Booster Pack Art Bundle [Set of 4]</t>
        </is>
      </c>
      <c r="B2229" s="3">
        <f>IF(I2229&lt;&gt;"",I2229,IF(J2229&lt;&gt;"",J2229,IF(K2229&lt;&gt;"",K2229,L2229)))</f>
        <v>42.44</v>
      </c>
      <c r="C2229" s="3">
        <f>MEDIAN(I2229:L2229)</f>
        <v>42.44</v>
      </c>
      <c r="D2229" s="3">
        <f>ROUND(C2229*(1-Settings!$B$2),2)</f>
        <v>29.71</v>
      </c>
      <c r="E2229" s="3">
        <f>ROUND(C2229*(1-Settings!$B$3),2)</f>
        <v>29.71</v>
      </c>
      <c r="F2229" s="2" t="inlineStr">
        <is>
          <t>Pokemon</t>
        </is>
      </c>
      <c r="G2229" s="2" t="inlineStr">
        <is>
          <t>Coffret</t>
        </is>
      </c>
      <c r="H2229" s="2" t="inlineStr">
        <is>
          <t>SV07: Stellar Crown</t>
        </is>
      </c>
      <c r="I2229" s="3" t="n"/>
      <c r="J2229" s="3" t="n">
        <v>42.44</v>
      </c>
      <c r="K2229" s="3" t="n">
        <v>43.51</v>
      </c>
      <c r="L2229" s="3" t="n">
        <v>39.99</v>
      </c>
      <c r="M2229" s="2" t="inlineStr">
        <is>
          <t>TCGplayer</t>
        </is>
      </c>
      <c r="O2229" s="4" t="inlineStr">
        <is>
          <t>https://www.tcgplayer.com/product/557361</t>
        </is>
      </c>
    </row>
    <row r="2230">
      <c r="A2230" s="2" t="inlineStr">
        <is>
          <t>Surging Sparks Booster Bundle (LGS)</t>
        </is>
      </c>
      <c r="B2230" s="3">
        <f>IF(I2230&lt;&gt;"",I2230,IF(J2230&lt;&gt;"",J2230,IF(K2230&lt;&gt;"",K2230,L2230)))</f>
        <v>65.07</v>
      </c>
      <c r="C2230" s="3">
        <f>MEDIAN(I2230:L2230)</f>
        <v>65.07</v>
      </c>
      <c r="D2230" s="3">
        <f>ROUND(C2230*(1-Settings!$B$2),2)</f>
        <v>45.55</v>
      </c>
      <c r="E2230" s="3">
        <f>ROUND(C2230*(1-Settings!$B$3),2)</f>
        <v>45.55</v>
      </c>
      <c r="F2230" s="2" t="inlineStr">
        <is>
          <t>Pokemon</t>
        </is>
      </c>
      <c r="G2230" s="2" t="inlineStr">
        <is>
          <t>Coffret</t>
        </is>
      </c>
      <c r="H2230" s="2" t="inlineStr">
        <is>
          <t>SV08: Surging Sparks</t>
        </is>
      </c>
      <c r="I2230" s="3" t="n"/>
      <c r="J2230" s="3" t="n">
        <v>65.06999999999999</v>
      </c>
      <c r="K2230" s="3" t="n">
        <v>82.5</v>
      </c>
      <c r="L2230" s="3" t="n">
        <v>64.84</v>
      </c>
      <c r="M2230" s="2" t="inlineStr">
        <is>
          <t>TCGplayer</t>
        </is>
      </c>
      <c r="O2230" s="4" t="inlineStr">
        <is>
          <t>https://www.tcgplayer.com/product/565629</t>
        </is>
      </c>
    </row>
    <row r="2231">
      <c r="A2231" s="2" t="inlineStr">
        <is>
          <t>Surging Sparks Booster Bundle (Retail)</t>
        </is>
      </c>
      <c r="B2231" s="3">
        <f>IF(I2231&lt;&gt;"",I2231,IF(J2231&lt;&gt;"",J2231,IF(K2231&lt;&gt;"",K2231,L2231)))</f>
        <v>55.67</v>
      </c>
      <c r="C2231" s="3">
        <f>MEDIAN(I2231:L2231)</f>
        <v>55.67</v>
      </c>
      <c r="D2231" s="3">
        <f>ROUND(C2231*(1-Settings!$B$2),2)</f>
        <v>38.97</v>
      </c>
      <c r="E2231" s="3">
        <f>ROUND(C2231*(1-Settings!$B$3),2)</f>
        <v>38.97</v>
      </c>
      <c r="F2231" s="2" t="inlineStr">
        <is>
          <t>Pokemon</t>
        </is>
      </c>
      <c r="G2231" s="2" t="inlineStr">
        <is>
          <t>Coffret</t>
        </is>
      </c>
      <c r="H2231" s="2" t="inlineStr">
        <is>
          <t>SV08: Surging Sparks</t>
        </is>
      </c>
      <c r="I2231" s="3" t="n"/>
      <c r="J2231" s="3" t="n">
        <v>55.67</v>
      </c>
      <c r="K2231" s="3" t="n">
        <v>67.89</v>
      </c>
      <c r="L2231" s="3" t="n">
        <v>54.94</v>
      </c>
      <c r="M2231" s="2" t="inlineStr">
        <is>
          <t>TCGplayer</t>
        </is>
      </c>
      <c r="O2231" s="4" t="inlineStr">
        <is>
          <t>https://www.tcgplayer.com/product/679564</t>
        </is>
      </c>
    </row>
    <row r="2232">
      <c r="A2232" s="2" t="inlineStr">
        <is>
          <t>Surging Sparks Booster Pack Art Bundle [Set of 4]</t>
        </is>
      </c>
      <c r="B2232" s="3">
        <f>IF(I2232&lt;&gt;"",I2232,IF(J2232&lt;&gt;"",J2232,IF(K2232&lt;&gt;"",K2232,L2232)))</f>
        <v>34.76</v>
      </c>
      <c r="C2232" s="3">
        <f>MEDIAN(I2232:L2232)</f>
        <v>34.76</v>
      </c>
      <c r="D2232" s="3">
        <f>ROUND(C2232*(1-Settings!$B$2),2)</f>
        <v>24.33</v>
      </c>
      <c r="E2232" s="3">
        <f>ROUND(C2232*(1-Settings!$B$3),2)</f>
        <v>24.33</v>
      </c>
      <c r="F2232" s="2" t="inlineStr">
        <is>
          <t>Pokemon</t>
        </is>
      </c>
      <c r="G2232" s="2" t="inlineStr">
        <is>
          <t>Coffret</t>
        </is>
      </c>
      <c r="H2232" s="2" t="inlineStr">
        <is>
          <t>SV08: Surging Sparks</t>
        </is>
      </c>
      <c r="I2232" s="3" t="n"/>
      <c r="J2232" s="3" t="n">
        <v>34.76</v>
      </c>
      <c r="K2232" s="3" t="n">
        <v>36.24</v>
      </c>
      <c r="L2232" s="3" t="n">
        <v>32</v>
      </c>
      <c r="M2232" s="2" t="inlineStr">
        <is>
          <t>TCGplayer</t>
        </is>
      </c>
      <c r="O2232" s="4" t="inlineStr">
        <is>
          <t>https://www.tcgplayer.com/product/565605</t>
        </is>
      </c>
    </row>
    <row r="2233">
      <c r="A2233" s="2" t="inlineStr">
        <is>
          <t>Surging Sparks Build &amp; Battle Box</t>
        </is>
      </c>
      <c r="B2233" s="3">
        <f>IF(I2233&lt;&gt;"",I2233,IF(J2233&lt;&gt;"",J2233,IF(K2233&lt;&gt;"",K2233,L2233)))</f>
        <v>58.16</v>
      </c>
      <c r="C2233" s="3">
        <f>MEDIAN(I2233:L2233)</f>
        <v>60.75</v>
      </c>
      <c r="D2233" s="3">
        <f>ROUND(C2233*(1-Settings!$B$2),2)</f>
        <v>42.53</v>
      </c>
      <c r="E2233" s="3">
        <f>ROUND(C2233*(1-Settings!$B$3),2)</f>
        <v>42.53</v>
      </c>
      <c r="F2233" s="2" t="inlineStr">
        <is>
          <t>Pokemon</t>
        </is>
      </c>
      <c r="G2233" s="2" t="inlineStr">
        <is>
          <t>Coffret</t>
        </is>
      </c>
      <c r="H2233" s="2" t="inlineStr">
        <is>
          <t>SV08: Surging Sparks</t>
        </is>
      </c>
      <c r="I2233" s="3" t="n">
        <v>58.16</v>
      </c>
      <c r="J2233" s="3" t="n">
        <v>63.34</v>
      </c>
      <c r="K2233" s="3" t="n">
        <v>76.98</v>
      </c>
      <c r="L2233" s="3" t="n">
        <v>20</v>
      </c>
      <c r="M2233" s="2" t="inlineStr">
        <is>
          <t>PriceCharting + TCGplayer</t>
        </is>
      </c>
      <c r="N2233" s="4" t="inlineStr">
        <is>
          <t>https://www.pricecharting.com/game/pokemon-surging-sparks/build-and-battle-box</t>
        </is>
      </c>
      <c r="O2233" s="4" t="inlineStr">
        <is>
          <t>https://www.tcgplayer.com/product/565599</t>
        </is>
      </c>
    </row>
    <row r="2234">
      <c r="A2234" s="2" t="inlineStr">
        <is>
          <t>Surging Sparks Elite Trainer Box</t>
        </is>
      </c>
      <c r="B2234" s="3">
        <f>IF(I2234&lt;&gt;"",I2234,IF(J2234&lt;&gt;"",J2234,IF(K2234&lt;&gt;"",K2234,L2234)))</f>
        <v>125.0</v>
      </c>
      <c r="C2234" s="3">
        <f>MEDIAN(I2234:L2234)</f>
        <v>123.09</v>
      </c>
      <c r="D2234" s="3">
        <f>ROUND(C2234*(1-Settings!$B$2),2)</f>
        <v>86.16</v>
      </c>
      <c r="E2234" s="3">
        <f>ROUND(C2234*(1-Settings!$B$3),2)</f>
        <v>86.16</v>
      </c>
      <c r="F2234" s="2" t="inlineStr">
        <is>
          <t>Pokemon</t>
        </is>
      </c>
      <c r="G2234" s="2" t="inlineStr">
        <is>
          <t>Coffret</t>
        </is>
      </c>
      <c r="H2234" s="2" t="inlineStr">
        <is>
          <t>SV08: Surging Sparks</t>
        </is>
      </c>
      <c r="I2234" s="3" t="n">
        <v>125</v>
      </c>
      <c r="J2234" s="3" t="n">
        <v>121.18</v>
      </c>
      <c r="K2234" s="3" t="n">
        <v>135.05</v>
      </c>
      <c r="L2234" s="3" t="n">
        <v>41.97</v>
      </c>
      <c r="M2234" s="2" t="inlineStr">
        <is>
          <t>PriceCharting + TCGplayer</t>
        </is>
      </c>
      <c r="N2234" s="4" t="inlineStr">
        <is>
          <t>https://www.pricecharting.com/game/pokemon-surging-sparks/elite-trainer-box</t>
        </is>
      </c>
      <c r="O2234" s="4" t="inlineStr">
        <is>
          <t>https://www.tcgplayer.com/product/565630</t>
        </is>
      </c>
    </row>
    <row r="2235">
      <c r="A2235" s="2" t="inlineStr">
        <is>
          <t>Surging Sparks Pokemon Center Elite Trainer Box (Exclusive)</t>
        </is>
      </c>
      <c r="B2235" s="3">
        <f>IF(I2235&lt;&gt;"",I2235,IF(J2235&lt;&gt;"",J2235,IF(K2235&lt;&gt;"",K2235,L2235)))</f>
        <v>267.88</v>
      </c>
      <c r="C2235" s="3">
        <f>MEDIAN(I2235:L2235)</f>
        <v>267.88</v>
      </c>
      <c r="D2235" s="3">
        <f>ROUND(C2235*(1-Settings!$B$2),2)</f>
        <v>187.52</v>
      </c>
      <c r="E2235" s="3">
        <f>ROUND(C2235*(1-Settings!$B$3),2)</f>
        <v>187.52</v>
      </c>
      <c r="F2235" s="2" t="inlineStr">
        <is>
          <t>Pokemon</t>
        </is>
      </c>
      <c r="G2235" s="2" t="inlineStr">
        <is>
          <t>Coffret</t>
        </is>
      </c>
      <c r="H2235" s="2" t="inlineStr">
        <is>
          <t>SV08: Surging Sparks</t>
        </is>
      </c>
      <c r="I2235" s="3" t="n"/>
      <c r="J2235" s="3" t="n">
        <v>267.88</v>
      </c>
      <c r="K2235" s="3" t="n">
        <v>300</v>
      </c>
      <c r="L2235" s="3" t="n">
        <v>234</v>
      </c>
      <c r="M2235" s="2" t="inlineStr">
        <is>
          <t>TCGplayer</t>
        </is>
      </c>
      <c r="O2235" s="4" t="inlineStr">
        <is>
          <t>https://www.tcgplayer.com/product/565632</t>
        </is>
      </c>
    </row>
    <row r="2236">
      <c r="A2236" s="2" t="inlineStr">
        <is>
          <t>Surging Sparks Sleeved Booster Pack Bundle [Set of 4]</t>
        </is>
      </c>
      <c r="B2236" s="3">
        <f>IF(I2236&lt;&gt;"",I2236,IF(J2236&lt;&gt;"",J2236,IF(K2236&lt;&gt;"",K2236,L2236)))</f>
        <v>43.62</v>
      </c>
      <c r="C2236" s="3">
        <f>MEDIAN(I2236:L2236)</f>
        <v>43.62</v>
      </c>
      <c r="D2236" s="3">
        <f>ROUND(C2236*(1-Settings!$B$2),2)</f>
        <v>30.53</v>
      </c>
      <c r="E2236" s="3">
        <f>ROUND(C2236*(1-Settings!$B$3),2)</f>
        <v>30.53</v>
      </c>
      <c r="F2236" s="2" t="inlineStr">
        <is>
          <t>Pokemon</t>
        </is>
      </c>
      <c r="G2236" s="2" t="inlineStr">
        <is>
          <t>Coffret</t>
        </is>
      </c>
      <c r="H2236" s="2" t="inlineStr">
        <is>
          <t>SV08: Surging Sparks</t>
        </is>
      </c>
      <c r="I2236" s="3" t="n"/>
      <c r="J2236" s="3" t="n">
        <v>43.62</v>
      </c>
      <c r="K2236" s="3" t="n">
        <v>49.81</v>
      </c>
      <c r="L2236" s="3" t="n">
        <v>42.5</v>
      </c>
      <c r="M2236" s="2" t="inlineStr">
        <is>
          <t>TCGplayer</t>
        </is>
      </c>
      <c r="O2236" s="4" t="inlineStr">
        <is>
          <t>https://www.tcgplayer.com/product/565603</t>
        </is>
      </c>
    </row>
    <row r="2237">
      <c r="A2237" s="2" t="inlineStr">
        <is>
          <t>Journey Together Booster Bundle</t>
        </is>
      </c>
      <c r="B2237" s="3">
        <f>IF(I2237&lt;&gt;"",I2237,IF(J2237&lt;&gt;"",J2237,IF(K2237&lt;&gt;"",K2237,L2237)))</f>
        <v>41.8</v>
      </c>
      <c r="C2237" s="3">
        <f>MEDIAN(I2237:L2237)</f>
        <v>42.265</v>
      </c>
      <c r="D2237" s="3">
        <f>ROUND(C2237*(1-Settings!$B$2),2)</f>
        <v>29.59</v>
      </c>
      <c r="E2237" s="3">
        <f>ROUND(C2237*(1-Settings!$B$3),2)</f>
        <v>29.59</v>
      </c>
      <c r="F2237" s="2" t="inlineStr">
        <is>
          <t>Pokemon</t>
        </is>
      </c>
      <c r="G2237" s="2" t="inlineStr">
        <is>
          <t>Coffret</t>
        </is>
      </c>
      <c r="H2237" s="2" t="inlineStr">
        <is>
          <t>SV09: Journey Together</t>
        </is>
      </c>
      <c r="I2237" s="3" t="n">
        <v>41.8</v>
      </c>
      <c r="J2237" s="3" t="n">
        <v>42.73</v>
      </c>
      <c r="K2237" s="3" t="n">
        <v>49.34</v>
      </c>
      <c r="L2237" s="3" t="n">
        <v>35.99</v>
      </c>
      <c r="M2237" s="2" t="inlineStr">
        <is>
          <t>PriceCharting + TCGplayer</t>
        </is>
      </c>
      <c r="N2237" s="4" t="inlineStr">
        <is>
          <t>https://www.pricecharting.com/game/pokemon-journey-together/booster-bundle</t>
        </is>
      </c>
      <c r="O2237" s="4" t="inlineStr">
        <is>
          <t>https://www.tcgplayer.com/product/610953</t>
        </is>
      </c>
    </row>
    <row r="2238">
      <c r="A2238" s="2" t="inlineStr">
        <is>
          <t>Journey Together Booster Pack Art Bundle [Set of 4]</t>
        </is>
      </c>
      <c r="B2238" s="3">
        <f>IF(I2238&lt;&gt;"",I2238,IF(J2238&lt;&gt;"",J2238,IF(K2238&lt;&gt;"",K2238,L2238)))</f>
        <v>25.35</v>
      </c>
      <c r="C2238" s="3">
        <f>MEDIAN(I2238:L2238)</f>
        <v>25.35</v>
      </c>
      <c r="D2238" s="3">
        <f>ROUND(C2238*(1-Settings!$B$2),2)</f>
        <v>17.75</v>
      </c>
      <c r="E2238" s="3">
        <f>ROUND(C2238*(1-Settings!$B$3),2)</f>
        <v>17.75</v>
      </c>
      <c r="F2238" s="2" t="inlineStr">
        <is>
          <t>Pokemon</t>
        </is>
      </c>
      <c r="G2238" s="2" t="inlineStr">
        <is>
          <t>Coffret</t>
        </is>
      </c>
      <c r="H2238" s="2" t="inlineStr">
        <is>
          <t>SV09: Journey Together</t>
        </is>
      </c>
      <c r="I2238" s="3" t="n"/>
      <c r="J2238" s="3" t="n">
        <v>25.35</v>
      </c>
      <c r="K2238" s="3" t="n">
        <v>28</v>
      </c>
      <c r="L2238" s="3" t="n">
        <v>21.7</v>
      </c>
      <c r="M2238" s="2" t="inlineStr">
        <is>
          <t>TCGplayer</t>
        </is>
      </c>
      <c r="O2238" s="4" t="inlineStr">
        <is>
          <t>https://www.tcgplayer.com/product/626660</t>
        </is>
      </c>
    </row>
    <row r="2239">
      <c r="A2239" s="2" t="inlineStr">
        <is>
          <t>Journey Together Build &amp; Battle Box</t>
        </is>
      </c>
      <c r="B2239" s="3">
        <f>IF(I2239&lt;&gt;"",I2239,IF(J2239&lt;&gt;"",J2239,IF(K2239&lt;&gt;"",K2239,L2239)))</f>
        <v>36.77</v>
      </c>
      <c r="C2239" s="3">
        <f>MEDIAN(I2239:L2239)</f>
        <v>37.290000000000006</v>
      </c>
      <c r="D2239" s="3">
        <f>ROUND(C2239*(1-Settings!$B$2),2)</f>
        <v>26.1</v>
      </c>
      <c r="E2239" s="3">
        <f>ROUND(C2239*(1-Settings!$B$3),2)</f>
        <v>26.1</v>
      </c>
      <c r="F2239" s="2" t="inlineStr">
        <is>
          <t>Pokemon</t>
        </is>
      </c>
      <c r="G2239" s="2" t="inlineStr">
        <is>
          <t>Coffret</t>
        </is>
      </c>
      <c r="H2239" s="2" t="inlineStr">
        <is>
          <t>SV09: Journey Together</t>
        </is>
      </c>
      <c r="I2239" s="3" t="n">
        <v>36.77</v>
      </c>
      <c r="J2239" s="3" t="n">
        <v>37.81</v>
      </c>
      <c r="K2239" s="3" t="n">
        <v>39.88</v>
      </c>
      <c r="L2239" s="3" t="n">
        <v>33.9</v>
      </c>
      <c r="M2239" s="2" t="inlineStr">
        <is>
          <t>PriceCharting + TCGplayer</t>
        </is>
      </c>
      <c r="N2239" s="4" t="inlineStr">
        <is>
          <t>https://www.pricecharting.com/game/pokemon-journey-together/build-&amp;-battle-box</t>
        </is>
      </c>
      <c r="O2239" s="4" t="inlineStr">
        <is>
          <t>https://www.tcgplayer.com/product/610954</t>
        </is>
      </c>
    </row>
    <row r="2240">
      <c r="A2240" s="2" t="inlineStr">
        <is>
          <t>Journey Together Elite Trainer Box</t>
        </is>
      </c>
      <c r="B2240" s="3">
        <f>IF(I2240&lt;&gt;"",I2240,IF(J2240&lt;&gt;"",J2240,IF(K2240&lt;&gt;"",K2240,L2240)))</f>
        <v>133.14</v>
      </c>
      <c r="C2240" s="3">
        <f>MEDIAN(I2240:L2240)</f>
        <v>133.605</v>
      </c>
      <c r="D2240" s="3">
        <f>ROUND(C2240*(1-Settings!$B$2),2)</f>
        <v>93.52</v>
      </c>
      <c r="E2240" s="3">
        <f>ROUND(C2240*(1-Settings!$B$3),2)</f>
        <v>93.52</v>
      </c>
      <c r="F2240" s="2" t="inlineStr">
        <is>
          <t>Pokemon</t>
        </is>
      </c>
      <c r="G2240" s="2" t="inlineStr">
        <is>
          <t>Coffret</t>
        </is>
      </c>
      <c r="H2240" s="2" t="inlineStr">
        <is>
          <t>SV09: Journey Together</t>
        </is>
      </c>
      <c r="I2240" s="3" t="n">
        <v>133.14</v>
      </c>
      <c r="J2240" s="3" t="n">
        <v>134.07</v>
      </c>
      <c r="K2240" s="3" t="n">
        <v>149.97</v>
      </c>
      <c r="L2240" s="3" t="n">
        <v>1.99</v>
      </c>
      <c r="M2240" s="2" t="inlineStr">
        <is>
          <t>PriceCharting + TCGplayer</t>
        </is>
      </c>
      <c r="N2240" s="4" t="inlineStr">
        <is>
          <t>https://www.pricecharting.com/game/pokemon-journey-together/elite-trainer-box</t>
        </is>
      </c>
      <c r="O2240" s="4" t="inlineStr">
        <is>
          <t>https://www.tcgplayer.com/product/610930</t>
        </is>
      </c>
    </row>
    <row r="2241">
      <c r="A2241" s="2" t="inlineStr">
        <is>
          <t>Journey Together Pokemon Center Elite Trainer Box (Exclusive)</t>
        </is>
      </c>
      <c r="B2241" s="3">
        <f>IF(I2241&lt;&gt;"",I2241,IF(J2241&lt;&gt;"",J2241,IF(K2241&lt;&gt;"",K2241,L2241)))</f>
        <v>193.85</v>
      </c>
      <c r="C2241" s="3">
        <f>MEDIAN(I2241:L2241)</f>
        <v>193.85</v>
      </c>
      <c r="D2241" s="3">
        <f>ROUND(C2241*(1-Settings!$B$2),2)</f>
        <v>135.7</v>
      </c>
      <c r="E2241" s="3">
        <f>ROUND(C2241*(1-Settings!$B$3),2)</f>
        <v>135.7</v>
      </c>
      <c r="F2241" s="2" t="inlineStr">
        <is>
          <t>Pokemon</t>
        </is>
      </c>
      <c r="G2241" s="2" t="inlineStr">
        <is>
          <t>Coffret</t>
        </is>
      </c>
      <c r="H2241" s="2" t="inlineStr">
        <is>
          <t>SV09: Journey Together</t>
        </is>
      </c>
      <c r="I2241" s="3" t="n"/>
      <c r="J2241" s="3" t="n">
        <v>193.85</v>
      </c>
      <c r="K2241" s="3" t="n">
        <v>229.99</v>
      </c>
      <c r="L2241" s="3" t="n">
        <v>179.99</v>
      </c>
      <c r="M2241" s="2" t="inlineStr">
        <is>
          <t>TCGplayer</t>
        </is>
      </c>
      <c r="O2241" s="4" t="inlineStr">
        <is>
          <t>https://www.tcgplayer.com/product/610929</t>
        </is>
      </c>
    </row>
    <row r="2242">
      <c r="A2242" s="2" t="inlineStr">
        <is>
          <t>Journey Together Sleeved Booster Pack Art Bundle [Set of 4]</t>
        </is>
      </c>
      <c r="B2242" s="3">
        <f>IF(I2242&lt;&gt;"",I2242,IF(J2242&lt;&gt;"",J2242,IF(K2242&lt;&gt;"",K2242,L2242)))</f>
        <v>30.47</v>
      </c>
      <c r="C2242" s="3">
        <f>MEDIAN(I2242:L2242)</f>
        <v>30.47</v>
      </c>
      <c r="D2242" s="3">
        <f>ROUND(C2242*(1-Settings!$B$2),2)</f>
        <v>21.33</v>
      </c>
      <c r="E2242" s="3">
        <f>ROUND(C2242*(1-Settings!$B$3),2)</f>
        <v>21.33</v>
      </c>
      <c r="F2242" s="2" t="inlineStr">
        <is>
          <t>Pokemon</t>
        </is>
      </c>
      <c r="G2242" s="2" t="inlineStr">
        <is>
          <t>Coffret</t>
        </is>
      </c>
      <c r="H2242" s="2" t="inlineStr">
        <is>
          <t>SV09: Journey Together</t>
        </is>
      </c>
      <c r="I2242" s="3" t="n"/>
      <c r="J2242" s="3" t="n">
        <v>30.47</v>
      </c>
      <c r="K2242" s="3" t="n">
        <v>32.49</v>
      </c>
      <c r="L2242" s="3" t="n">
        <v>26.88</v>
      </c>
      <c r="M2242" s="2" t="inlineStr">
        <is>
          <t>TCGplayer</t>
        </is>
      </c>
      <c r="O2242" s="4" t="inlineStr">
        <is>
          <t>https://www.tcgplayer.com/product/626659</t>
        </is>
      </c>
    </row>
    <row r="2243">
      <c r="A2243" s="2" t="inlineStr">
        <is>
          <t>Destined Rivals Booster Bundle</t>
        </is>
      </c>
      <c r="B2243" s="3">
        <f>IF(I2243&lt;&gt;"",I2243,IF(J2243&lt;&gt;"",J2243,IF(K2243&lt;&gt;"",K2243,L2243)))</f>
        <v>58.0</v>
      </c>
      <c r="C2243" s="3">
        <f>MEDIAN(I2243:L2243)</f>
        <v>59.225</v>
      </c>
      <c r="D2243" s="3">
        <f>ROUND(C2243*(1-Settings!$B$2),2)</f>
        <v>41.46</v>
      </c>
      <c r="E2243" s="3">
        <f>ROUND(C2243*(1-Settings!$B$3),2)</f>
        <v>41.46</v>
      </c>
      <c r="F2243" s="2" t="inlineStr">
        <is>
          <t>Pokemon</t>
        </is>
      </c>
      <c r="G2243" s="2" t="inlineStr">
        <is>
          <t>Coffret</t>
        </is>
      </c>
      <c r="H2243" s="2" t="inlineStr">
        <is>
          <t>SV10: Destined Rivals</t>
        </is>
      </c>
      <c r="I2243" s="3" t="n">
        <v>58</v>
      </c>
      <c r="J2243" s="3" t="n">
        <v>60.45</v>
      </c>
      <c r="K2243" s="3" t="n">
        <v>75</v>
      </c>
      <c r="L2243" s="3" t="n">
        <v>50</v>
      </c>
      <c r="M2243" s="2" t="inlineStr">
        <is>
          <t>PriceCharting + TCGplayer</t>
        </is>
      </c>
      <c r="N2243" s="4" t="inlineStr">
        <is>
          <t>https://www.pricecharting.com/game/pokemon-destined-rivals/booster-bundle</t>
        </is>
      </c>
      <c r="O2243" s="4" t="inlineStr">
        <is>
          <t>https://www.tcgplayer.com/product/625670</t>
        </is>
      </c>
    </row>
    <row r="2244">
      <c r="A2244" s="2" t="inlineStr">
        <is>
          <t>Destined Rivals Booster Pack Art Bundle [Set of 4]</t>
        </is>
      </c>
      <c r="B2244" s="3">
        <f>IF(I2244&lt;&gt;"",I2244,IF(J2244&lt;&gt;"",J2244,IF(K2244&lt;&gt;"",K2244,L2244)))</f>
        <v>38.56</v>
      </c>
      <c r="C2244" s="3">
        <f>MEDIAN(I2244:L2244)</f>
        <v>38.56</v>
      </c>
      <c r="D2244" s="3">
        <f>ROUND(C2244*(1-Settings!$B$2),2)</f>
        <v>26.99</v>
      </c>
      <c r="E2244" s="3">
        <f>ROUND(C2244*(1-Settings!$B$3),2)</f>
        <v>26.99</v>
      </c>
      <c r="F2244" s="2" t="inlineStr">
        <is>
          <t>Pokemon</t>
        </is>
      </c>
      <c r="G2244" s="2" t="inlineStr">
        <is>
          <t>Coffret</t>
        </is>
      </c>
      <c r="H2244" s="2" t="inlineStr">
        <is>
          <t>SV10: Destined Rivals</t>
        </is>
      </c>
      <c r="I2244" s="3" t="n"/>
      <c r="J2244" s="3" t="n">
        <v>38.56</v>
      </c>
      <c r="K2244" s="3" t="n">
        <v>43</v>
      </c>
      <c r="L2244" s="3" t="n">
        <v>36.9</v>
      </c>
      <c r="M2244" s="2" t="inlineStr">
        <is>
          <t>TCGplayer</t>
        </is>
      </c>
      <c r="O2244" s="4" t="inlineStr">
        <is>
          <t>https://www.tcgplayer.com/product/649711</t>
        </is>
      </c>
    </row>
    <row r="2245">
      <c r="A2245" s="2" t="inlineStr">
        <is>
          <t>Destined Rivals Build &amp; Battle Box</t>
        </is>
      </c>
      <c r="B2245" s="3">
        <f>IF(I2245&lt;&gt;"",I2245,IF(J2245&lt;&gt;"",J2245,IF(K2245&lt;&gt;"",K2245,L2245)))</f>
        <v>69.0</v>
      </c>
      <c r="C2245" s="3">
        <f>MEDIAN(I2245:L2245)</f>
        <v>69.34</v>
      </c>
      <c r="D2245" s="3">
        <f>ROUND(C2245*(1-Settings!$B$2),2)</f>
        <v>48.54</v>
      </c>
      <c r="E2245" s="3">
        <f>ROUND(C2245*(1-Settings!$B$3),2)</f>
        <v>48.54</v>
      </c>
      <c r="F2245" s="2" t="inlineStr">
        <is>
          <t>Pokemon</t>
        </is>
      </c>
      <c r="G2245" s="2" t="inlineStr">
        <is>
          <t>Coffret</t>
        </is>
      </c>
      <c r="H2245" s="2" t="inlineStr">
        <is>
          <t>SV10: Destined Rivals</t>
        </is>
      </c>
      <c r="I2245" s="3" t="n">
        <v>69</v>
      </c>
      <c r="J2245" s="3" t="n">
        <v>69.68000000000001</v>
      </c>
      <c r="K2245" s="3" t="n">
        <v>75</v>
      </c>
      <c r="L2245" s="3" t="n">
        <v>68.98999999999999</v>
      </c>
      <c r="M2245" s="2" t="inlineStr">
        <is>
          <t>PriceCharting + TCGplayer</t>
        </is>
      </c>
      <c r="N2245" s="4" t="inlineStr">
        <is>
          <t>https://www.pricecharting.com/game/pokemon-destined-rivals/build-&amp;-battle-box</t>
        </is>
      </c>
      <c r="O2245" s="4" t="inlineStr">
        <is>
          <t>https://www.tcgplayer.com/product/625677</t>
        </is>
      </c>
    </row>
    <row r="2246">
      <c r="A2246" s="2" t="inlineStr">
        <is>
          <t>Destined Rivals Elite Trainer Box</t>
        </is>
      </c>
      <c r="B2246" s="3">
        <f>IF(I2246&lt;&gt;"",I2246,IF(J2246&lt;&gt;"",J2246,IF(K2246&lt;&gt;"",K2246,L2246)))</f>
        <v>116.0</v>
      </c>
      <c r="C2246" s="3">
        <f>MEDIAN(I2246:L2246)</f>
        <v>114.625</v>
      </c>
      <c r="D2246" s="3">
        <f>ROUND(C2246*(1-Settings!$B$2),2)</f>
        <v>80.24</v>
      </c>
      <c r="E2246" s="3">
        <f>ROUND(C2246*(1-Settings!$B$3),2)</f>
        <v>80.24</v>
      </c>
      <c r="F2246" s="2" t="inlineStr">
        <is>
          <t>Pokemon</t>
        </is>
      </c>
      <c r="G2246" s="2" t="inlineStr">
        <is>
          <t>Coffret</t>
        </is>
      </c>
      <c r="H2246" s="2" t="inlineStr">
        <is>
          <t>SV10: Destined Rivals</t>
        </is>
      </c>
      <c r="I2246" s="3" t="n">
        <v>116</v>
      </c>
      <c r="J2246" s="3" t="n">
        <v>113.25</v>
      </c>
      <c r="K2246" s="3" t="n">
        <v>139</v>
      </c>
      <c r="L2246" s="3" t="n">
        <v>104.99</v>
      </c>
      <c r="M2246" s="2" t="inlineStr">
        <is>
          <t>PriceCharting + TCGplayer</t>
        </is>
      </c>
      <c r="N2246" s="4" t="inlineStr">
        <is>
          <t>https://www.pricecharting.com/game/pokemon-destined-rivals/elite-trainer-box</t>
        </is>
      </c>
      <c r="O2246" s="4" t="inlineStr">
        <is>
          <t>https://www.tcgplayer.com/product/624676</t>
        </is>
      </c>
    </row>
    <row r="2247">
      <c r="A2247" s="2" t="inlineStr">
        <is>
          <t>Destined Rivals Pokemon Center Elite Trainer Box (Exclusive)</t>
        </is>
      </c>
      <c r="B2247" s="3">
        <f>IF(I2247&lt;&gt;"",I2247,IF(J2247&lt;&gt;"",J2247,IF(K2247&lt;&gt;"",K2247,L2247)))</f>
        <v>424.96</v>
      </c>
      <c r="C2247" s="3">
        <f>MEDIAN(I2247:L2247)</f>
        <v>424.96</v>
      </c>
      <c r="D2247" s="3">
        <f>ROUND(C2247*(1-Settings!$B$2),2)</f>
        <v>297.47</v>
      </c>
      <c r="E2247" s="3">
        <f>ROUND(C2247*(1-Settings!$B$3),2)</f>
        <v>297.47</v>
      </c>
      <c r="F2247" s="2" t="inlineStr">
        <is>
          <t>Pokemon</t>
        </is>
      </c>
      <c r="G2247" s="2" t="inlineStr">
        <is>
          <t>Coffret</t>
        </is>
      </c>
      <c r="H2247" s="2" t="inlineStr">
        <is>
          <t>SV10: Destined Rivals</t>
        </is>
      </c>
      <c r="I2247" s="3" t="n"/>
      <c r="J2247" s="3" t="n">
        <v>424.96</v>
      </c>
      <c r="K2247" s="3" t="n">
        <v>561.47</v>
      </c>
      <c r="L2247" s="3" t="n">
        <v>370</v>
      </c>
      <c r="M2247" s="2" t="inlineStr">
        <is>
          <t>TCGplayer</t>
        </is>
      </c>
      <c r="O2247" s="4" t="inlineStr">
        <is>
          <t>https://www.tcgplayer.com/product/624675</t>
        </is>
      </c>
    </row>
    <row r="2248">
      <c r="A2248" s="2" t="inlineStr">
        <is>
          <t>Destined Rivals Premium Checklane Blister [Gastrodon]</t>
        </is>
      </c>
      <c r="B2248" s="3">
        <f>IF(I2248&lt;&gt;"",I2248,IF(J2248&lt;&gt;"",J2248,IF(K2248&lt;&gt;"",K2248,L2248)))</f>
        <v>18.37</v>
      </c>
      <c r="C2248" s="3">
        <f>MEDIAN(I2248:L2248)</f>
        <v>18.37</v>
      </c>
      <c r="D2248" s="3">
        <f>ROUND(C2248*(1-Settings!$B$2),2)</f>
        <v>12.86</v>
      </c>
      <c r="E2248" s="3">
        <f>ROUND(C2248*(1-Settings!$B$3),2)</f>
        <v>12.86</v>
      </c>
      <c r="F2248" s="2" t="inlineStr">
        <is>
          <t>Pokemon</t>
        </is>
      </c>
      <c r="G2248" s="2" t="inlineStr">
        <is>
          <t>Coffret</t>
        </is>
      </c>
      <c r="H2248" s="2" t="inlineStr">
        <is>
          <t>SV10: Destined Rivals</t>
        </is>
      </c>
      <c r="I2248" s="3" t="n"/>
      <c r="J2248" s="3" t="n">
        <v>18.37</v>
      </c>
      <c r="K2248" s="3" t="n">
        <v>19.18</v>
      </c>
      <c r="L2248" s="3" t="n">
        <v>17.99</v>
      </c>
      <c r="M2248" s="2" t="inlineStr">
        <is>
          <t>TCGplayer</t>
        </is>
      </c>
      <c r="O2248" s="4" t="inlineStr">
        <is>
          <t>https://www.tcgplayer.com/product/628395</t>
        </is>
      </c>
    </row>
    <row r="2249">
      <c r="A2249" s="2" t="inlineStr">
        <is>
          <t>Destined Rivals Premium Checklane Blister [Rabsca]</t>
        </is>
      </c>
      <c r="B2249" s="3">
        <f>IF(I2249&lt;&gt;"",I2249,IF(J2249&lt;&gt;"",J2249,IF(K2249&lt;&gt;"",K2249,L2249)))</f>
        <v>17.06</v>
      </c>
      <c r="C2249" s="3">
        <f>MEDIAN(I2249:L2249)</f>
        <v>17.06</v>
      </c>
      <c r="D2249" s="3">
        <f>ROUND(C2249*(1-Settings!$B$2),2)</f>
        <v>11.94</v>
      </c>
      <c r="E2249" s="3">
        <f>ROUND(C2249*(1-Settings!$B$3),2)</f>
        <v>11.94</v>
      </c>
      <c r="F2249" s="2" t="inlineStr">
        <is>
          <t>Pokemon</t>
        </is>
      </c>
      <c r="G2249" s="2" t="inlineStr">
        <is>
          <t>Coffret</t>
        </is>
      </c>
      <c r="H2249" s="2" t="inlineStr">
        <is>
          <t>SV10: Destined Rivals</t>
        </is>
      </c>
      <c r="I2249" s="3" t="n"/>
      <c r="J2249" s="3" t="n">
        <v>17.06</v>
      </c>
      <c r="K2249" s="3" t="n">
        <v>18.99</v>
      </c>
      <c r="L2249" s="3" t="n">
        <v>16.99</v>
      </c>
      <c r="M2249" s="2" t="inlineStr">
        <is>
          <t>TCGplayer</t>
        </is>
      </c>
      <c r="O2249" s="4" t="inlineStr">
        <is>
          <t>https://www.tcgplayer.com/product/628396</t>
        </is>
      </c>
    </row>
    <row r="2250">
      <c r="A2250" s="2" t="inlineStr">
        <is>
          <t>Destined Rivals Sleeved Booster Pack Art Bundle [Set of 4]</t>
        </is>
      </c>
      <c r="B2250" s="3">
        <f>IF(I2250&lt;&gt;"",I2250,IF(J2250&lt;&gt;"",J2250,IF(K2250&lt;&gt;"",K2250,L2250)))</f>
        <v>40.05</v>
      </c>
      <c r="C2250" s="3">
        <f>MEDIAN(I2250:L2250)</f>
        <v>40.05</v>
      </c>
      <c r="D2250" s="3">
        <f>ROUND(C2250*(1-Settings!$B$2),2)</f>
        <v>28.04</v>
      </c>
      <c r="E2250" s="3">
        <f>ROUND(C2250*(1-Settings!$B$3),2)</f>
        <v>28.04</v>
      </c>
      <c r="F2250" s="2" t="inlineStr">
        <is>
          <t>Pokemon</t>
        </is>
      </c>
      <c r="G2250" s="2" t="inlineStr">
        <is>
          <t>Coffret</t>
        </is>
      </c>
      <c r="H2250" s="2" t="inlineStr">
        <is>
          <t>SV10: Destined Rivals</t>
        </is>
      </c>
      <c r="I2250" s="3" t="n"/>
      <c r="J2250" s="3" t="n">
        <v>40.05</v>
      </c>
      <c r="K2250" s="3" t="n">
        <v>49.99</v>
      </c>
      <c r="L2250" s="3" t="n">
        <v>34</v>
      </c>
      <c r="M2250" s="2" t="inlineStr">
        <is>
          <t>TCGplayer</t>
        </is>
      </c>
      <c r="O2250" s="4" t="inlineStr">
        <is>
          <t>https://www.tcgplayer.com/product/635053</t>
        </is>
      </c>
    </row>
    <row r="2251">
      <c r="A2251" s="2" t="inlineStr">
        <is>
          <t>Black Bolt &amp; White Flare Card File Set</t>
        </is>
      </c>
      <c r="B2251" s="3">
        <f>IF(I2251&lt;&gt;"",I2251,IF(J2251&lt;&gt;"",J2251,IF(K2251&lt;&gt;"",K2251,L2251)))</f>
        <v>90.49</v>
      </c>
      <c r="C2251" s="3">
        <f>MEDIAN(I2251:L2251)</f>
        <v>89.86</v>
      </c>
      <c r="D2251" s="3">
        <f>ROUND(C2251*(1-Settings!$B$2),2)</f>
        <v>62.9</v>
      </c>
      <c r="E2251" s="3">
        <f>ROUND(C2251*(1-Settings!$B$3),2)</f>
        <v>62.9</v>
      </c>
      <c r="F2251" s="2" t="inlineStr">
        <is>
          <t>Pokemon</t>
        </is>
      </c>
      <c r="G2251" s="2" t="inlineStr">
        <is>
          <t>Coffret</t>
        </is>
      </c>
      <c r="H2251" s="2" t="inlineStr">
        <is>
          <t>SV11B: Black Bolt</t>
        </is>
      </c>
      <c r="I2251" s="3" t="n"/>
      <c r="J2251" s="3" t="n">
        <v>90.48999999999999</v>
      </c>
      <c r="K2251" s="3" t="n"/>
      <c r="L2251" s="3" t="n">
        <v>89.23</v>
      </c>
      <c r="M2251" s="2" t="inlineStr">
        <is>
          <t>TCGplayer</t>
        </is>
      </c>
      <c r="O2251" s="4" t="inlineStr">
        <is>
          <t>https://www.tcgplayer.com/product/637445</t>
        </is>
      </c>
    </row>
    <row r="2252">
      <c r="A2252" s="2" t="inlineStr">
        <is>
          <t>Pokemon Card 151 Card File Set - Poke Ball</t>
        </is>
      </c>
      <c r="B2252" s="3">
        <f>IF(I2252&lt;&gt;"",I2252,IF(J2252&lt;&gt;"",J2252,IF(K2252&lt;&gt;"",K2252,L2252)))</f>
        <v>191.28</v>
      </c>
      <c r="C2252" s="3">
        <f>MEDIAN(I2252:L2252)</f>
        <v>185.635</v>
      </c>
      <c r="D2252" s="3">
        <f>ROUND(C2252*(1-Settings!$B$2),2)</f>
        <v>129.94</v>
      </c>
      <c r="E2252" s="3">
        <f>ROUND(C2252*(1-Settings!$B$3),2)</f>
        <v>129.94</v>
      </c>
      <c r="F2252" s="2" t="inlineStr">
        <is>
          <t>Pokemon</t>
        </is>
      </c>
      <c r="G2252" s="2" t="inlineStr">
        <is>
          <t>Coffret</t>
        </is>
      </c>
      <c r="H2252" s="2" t="inlineStr">
        <is>
          <t>SV2a: Pokemon Card 151</t>
        </is>
      </c>
      <c r="I2252" s="3" t="n"/>
      <c r="J2252" s="3" t="n">
        <v>191.28</v>
      </c>
      <c r="K2252" s="3" t="n"/>
      <c r="L2252" s="3" t="n">
        <v>179.99</v>
      </c>
      <c r="M2252" s="2" t="inlineStr">
        <is>
          <t>TCGplayer</t>
        </is>
      </c>
      <c r="O2252" s="4" t="inlineStr">
        <is>
          <t>https://www.tcgplayer.com/product/618706</t>
        </is>
      </c>
    </row>
    <row r="2253">
      <c r="A2253" s="2" t="inlineStr">
        <is>
          <t>Pokemon Card 151 Card File Set - Venusaur, Charizard, Blastoise</t>
        </is>
      </c>
      <c r="B2253" s="3">
        <f>IF(I2253&lt;&gt;"",I2253,IF(J2253&lt;&gt;"",J2253,IF(K2253&lt;&gt;"",K2253,L2253)))</f>
        <v>193.1</v>
      </c>
      <c r="C2253" s="3">
        <f>MEDIAN(I2253:L2253)</f>
        <v>190.55</v>
      </c>
      <c r="D2253" s="3">
        <f>ROUND(C2253*(1-Settings!$B$2),2)</f>
        <v>133.39</v>
      </c>
      <c r="E2253" s="3">
        <f>ROUND(C2253*(1-Settings!$B$3),2)</f>
        <v>133.39</v>
      </c>
      <c r="F2253" s="2" t="inlineStr">
        <is>
          <t>Pokemon</t>
        </is>
      </c>
      <c r="G2253" s="2" t="inlineStr">
        <is>
          <t>Coffret</t>
        </is>
      </c>
      <c r="H2253" s="2" t="inlineStr">
        <is>
          <t>SV2a: Pokemon Card 151</t>
        </is>
      </c>
      <c r="I2253" s="3" t="n"/>
      <c r="J2253" s="3" t="n">
        <v>193.1</v>
      </c>
      <c r="K2253" s="3" t="n"/>
      <c r="L2253" s="3" t="n">
        <v>188</v>
      </c>
      <c r="M2253" s="2" t="inlineStr">
        <is>
          <t>TCGplayer</t>
        </is>
      </c>
      <c r="O2253" s="4" t="inlineStr">
        <is>
          <t>https://www.tcgplayer.com/product/618704</t>
        </is>
      </c>
    </row>
    <row r="2254">
      <c r="A2254" s="2" t="inlineStr">
        <is>
          <t>Collection File Set Lillie</t>
        </is>
      </c>
      <c r="B2254" s="3">
        <f>IF(I2254&lt;&gt;"",I2254,IF(J2254&lt;&gt;"",J2254,IF(K2254&lt;&gt;"",K2254,L2254)))</f>
        <v>52.17</v>
      </c>
      <c r="C2254" s="3">
        <f>MEDIAN(I2254:L2254)</f>
        <v>51.085</v>
      </c>
      <c r="D2254" s="3">
        <f>ROUND(C2254*(1-Settings!$B$2),2)</f>
        <v>35.76</v>
      </c>
      <c r="E2254" s="3">
        <f>ROUND(C2254*(1-Settings!$B$3),2)</f>
        <v>35.76</v>
      </c>
      <c r="F2254" s="2" t="inlineStr">
        <is>
          <t>Pokemon</t>
        </is>
      </c>
      <c r="G2254" s="2" t="inlineStr">
        <is>
          <t>Coffret</t>
        </is>
      </c>
      <c r="H2254" s="2" t="inlineStr">
        <is>
          <t>SV9: Battle Partners</t>
        </is>
      </c>
      <c r="I2254" s="3" t="n"/>
      <c r="J2254" s="3" t="n">
        <v>52.17</v>
      </c>
      <c r="K2254" s="3" t="n"/>
      <c r="L2254" s="3" t="n">
        <v>50</v>
      </c>
      <c r="M2254" s="2" t="inlineStr">
        <is>
          <t>TCGplayer</t>
        </is>
      </c>
      <c r="O2254" s="4" t="inlineStr">
        <is>
          <t>https://www.tcgplayer.com/product/614706</t>
        </is>
      </c>
    </row>
    <row r="2255">
      <c r="A2255" s="2" t="inlineStr">
        <is>
          <t>Collection File Set N</t>
        </is>
      </c>
      <c r="B2255" s="3">
        <f>IF(I2255&lt;&gt;"",I2255,IF(J2255&lt;&gt;"",J2255,IF(K2255&lt;&gt;"",K2255,L2255)))</f>
        <v>86.49</v>
      </c>
      <c r="C2255" s="3">
        <f>MEDIAN(I2255:L2255)</f>
        <v>83.24</v>
      </c>
      <c r="D2255" s="3">
        <f>ROUND(C2255*(1-Settings!$B$2),2)</f>
        <v>58.27</v>
      </c>
      <c r="E2255" s="3">
        <f>ROUND(C2255*(1-Settings!$B$3),2)</f>
        <v>58.27</v>
      </c>
      <c r="F2255" s="2" t="inlineStr">
        <is>
          <t>Pokemon</t>
        </is>
      </c>
      <c r="G2255" s="2" t="inlineStr">
        <is>
          <t>Coffret</t>
        </is>
      </c>
      <c r="H2255" s="2" t="inlineStr">
        <is>
          <t>SV9: Battle Partners</t>
        </is>
      </c>
      <c r="I2255" s="3" t="n"/>
      <c r="J2255" s="3" t="n">
        <v>86.48999999999999</v>
      </c>
      <c r="K2255" s="3" t="n"/>
      <c r="L2255" s="3" t="n">
        <v>79.98999999999999</v>
      </c>
      <c r="M2255" s="2" t="inlineStr">
        <is>
          <t>TCGplayer</t>
        </is>
      </c>
      <c r="O2255" s="4" t="inlineStr">
        <is>
          <t>https://www.tcgplayer.com/product/614705</t>
        </is>
      </c>
    </row>
    <row r="2256">
      <c r="A2256" s="2" t="inlineStr">
        <is>
          <t>Black Bolt Binder &amp; Unova Poster Collection (Sam's Club)</t>
        </is>
      </c>
      <c r="B2256" s="3">
        <f>IF(I2256&lt;&gt;"",I2256,IF(J2256&lt;&gt;"",J2256,IF(K2256&lt;&gt;"",K2256,L2256)))</f>
        <v>126.91</v>
      </c>
      <c r="C2256" s="3">
        <f>MEDIAN(I2256:L2256)</f>
        <v>126.91</v>
      </c>
      <c r="D2256" s="3">
        <f>ROUND(C2256*(1-Settings!$B$2),2)</f>
        <v>88.84</v>
      </c>
      <c r="E2256" s="3">
        <f>ROUND(C2256*(1-Settings!$B$3),2)</f>
        <v>88.84</v>
      </c>
      <c r="F2256" s="2" t="inlineStr">
        <is>
          <t>Pokemon</t>
        </is>
      </c>
      <c r="G2256" s="2" t="inlineStr">
        <is>
          <t>Coffret</t>
        </is>
      </c>
      <c r="H2256" s="2" t="inlineStr">
        <is>
          <t>SV: Black Bolt</t>
        </is>
      </c>
      <c r="I2256" s="3" t="n"/>
      <c r="J2256" s="3" t="n">
        <v>126.91</v>
      </c>
      <c r="K2256" s="3" t="n">
        <v>140</v>
      </c>
      <c r="L2256" s="3" t="n">
        <v>126.91</v>
      </c>
      <c r="M2256" s="2" t="inlineStr">
        <is>
          <t>TCGplayer</t>
        </is>
      </c>
      <c r="O2256" s="4" t="inlineStr">
        <is>
          <t>https://www.tcgplayer.com/product/685926</t>
        </is>
      </c>
    </row>
    <row r="2257">
      <c r="A2257" s="2" t="inlineStr">
        <is>
          <t>Black Bolt Binder Collection</t>
        </is>
      </c>
      <c r="B2257" s="3">
        <f>IF(I2257&lt;&gt;"",I2257,IF(J2257&lt;&gt;"",J2257,IF(K2257&lt;&gt;"",K2257,L2257)))</f>
        <v>80.6</v>
      </c>
      <c r="C2257" s="3">
        <f>MEDIAN(I2257:L2257)</f>
        <v>80.19999999999999</v>
      </c>
      <c r="D2257" s="3">
        <f>ROUND(C2257*(1-Settings!$B$2),2)</f>
        <v>56.14</v>
      </c>
      <c r="E2257" s="3">
        <f>ROUND(C2257*(1-Settings!$B$3),2)</f>
        <v>56.14</v>
      </c>
      <c r="F2257" s="2" t="inlineStr">
        <is>
          <t>Pokemon</t>
        </is>
      </c>
      <c r="G2257" s="2" t="inlineStr">
        <is>
          <t>Coffret</t>
        </is>
      </c>
      <c r="H2257" s="2" t="inlineStr">
        <is>
          <t>SV: Black Bolt</t>
        </is>
      </c>
      <c r="I2257" s="3" t="n">
        <v>80.59999999999999</v>
      </c>
      <c r="J2257" s="3" t="n">
        <v>79.8</v>
      </c>
      <c r="K2257" s="3" t="n">
        <v>84.98999999999999</v>
      </c>
      <c r="L2257" s="3" t="n">
        <v>9.99</v>
      </c>
      <c r="M2257" s="2" t="inlineStr">
        <is>
          <t>PriceCharting + TCGplayer</t>
        </is>
      </c>
      <c r="N2257" s="4" t="inlineStr">
        <is>
          <t>https://www.pricecharting.com/game/pokemon-black-bolt/binder-collection</t>
        </is>
      </c>
      <c r="O2257" s="4" t="inlineStr">
        <is>
          <t>https://www.tcgplayer.com/product/630430</t>
        </is>
      </c>
    </row>
    <row r="2258">
      <c r="A2258" s="2" t="inlineStr">
        <is>
          <t>Black Bolt Booster Bundle</t>
        </is>
      </c>
      <c r="B2258" s="3">
        <f>IF(I2258&lt;&gt;"",I2258,IF(J2258&lt;&gt;"",J2258,IF(K2258&lt;&gt;"",K2258,L2258)))</f>
        <v>89.99</v>
      </c>
      <c r="C2258" s="3">
        <f>MEDIAN(I2258:L2258)</f>
        <v>92.935</v>
      </c>
      <c r="D2258" s="3">
        <f>ROUND(C2258*(1-Settings!$B$2),2)</f>
        <v>65.05</v>
      </c>
      <c r="E2258" s="3">
        <f>ROUND(C2258*(1-Settings!$B$3),2)</f>
        <v>65.05</v>
      </c>
      <c r="F2258" s="2" t="inlineStr">
        <is>
          <t>Pokemon</t>
        </is>
      </c>
      <c r="G2258" s="2" t="inlineStr">
        <is>
          <t>Coffret</t>
        </is>
      </c>
      <c r="H2258" s="2" t="inlineStr">
        <is>
          <t>SV: Black Bolt</t>
        </is>
      </c>
      <c r="I2258" s="3" t="n">
        <v>89.98999999999999</v>
      </c>
      <c r="J2258" s="3" t="n">
        <v>95.88</v>
      </c>
      <c r="K2258" s="3" t="n">
        <v>100</v>
      </c>
      <c r="L2258" s="3" t="n">
        <v>71.59999999999999</v>
      </c>
      <c r="M2258" s="2" t="inlineStr">
        <is>
          <t>PriceCharting + TCGplayer</t>
        </is>
      </c>
      <c r="N2258" s="4" t="inlineStr">
        <is>
          <t>https://www.pricecharting.com/game/pokemon-black-bolt/booster-bundle</t>
        </is>
      </c>
      <c r="O2258" s="4" t="inlineStr">
        <is>
          <t>https://www.tcgplayer.com/product/630431</t>
        </is>
      </c>
    </row>
    <row r="2259">
      <c r="A2259" s="2" t="inlineStr">
        <is>
          <t>Black Bolt Elite Trainer Box</t>
        </is>
      </c>
      <c r="B2259" s="3">
        <f>IF(I2259&lt;&gt;"",I2259,IF(J2259&lt;&gt;"",J2259,IF(K2259&lt;&gt;"",K2259,L2259)))</f>
        <v>154.16</v>
      </c>
      <c r="C2259" s="3">
        <f>MEDIAN(I2259:L2259)</f>
        <v>159.68</v>
      </c>
      <c r="D2259" s="3">
        <f>ROUND(C2259*(1-Settings!$B$2),2)</f>
        <v>111.78</v>
      </c>
      <c r="E2259" s="3">
        <f>ROUND(C2259*(1-Settings!$B$3),2)</f>
        <v>111.78</v>
      </c>
      <c r="F2259" s="2" t="inlineStr">
        <is>
          <t>Pokemon</t>
        </is>
      </c>
      <c r="G2259" s="2" t="inlineStr">
        <is>
          <t>Coffret</t>
        </is>
      </c>
      <c r="H2259" s="2" t="inlineStr">
        <is>
          <t>SV: Black Bolt</t>
        </is>
      </c>
      <c r="I2259" s="3" t="n">
        <v>154.16</v>
      </c>
      <c r="J2259" s="3" t="n">
        <v>165.2</v>
      </c>
      <c r="K2259" s="3" t="n">
        <v>171.49</v>
      </c>
      <c r="L2259" s="3" t="n">
        <v>28.99</v>
      </c>
      <c r="M2259" s="2" t="inlineStr">
        <is>
          <t>PriceCharting + TCGplayer</t>
        </is>
      </c>
      <c r="N2259" s="4" t="inlineStr">
        <is>
          <t>https://www.pricecharting.com/game/pokemon-black-bolt/elite-trainer-box</t>
        </is>
      </c>
      <c r="O2259" s="4" t="inlineStr">
        <is>
          <t>https://www.tcgplayer.com/product/630686</t>
        </is>
      </c>
    </row>
    <row r="2260">
      <c r="A2260" s="2" t="inlineStr">
        <is>
          <t>Black Bolt Pokemon Center Elite Trainer Box (Exclusive)</t>
        </is>
      </c>
      <c r="B2260" s="3">
        <f>IF(I2260&lt;&gt;"",I2260,IF(J2260&lt;&gt;"",J2260,IF(K2260&lt;&gt;"",K2260,L2260)))</f>
        <v>264.34</v>
      </c>
      <c r="C2260" s="3">
        <f>MEDIAN(I2260:L2260)</f>
        <v>264.34</v>
      </c>
      <c r="D2260" s="3">
        <f>ROUND(C2260*(1-Settings!$B$2),2)</f>
        <v>185.04</v>
      </c>
      <c r="E2260" s="3">
        <f>ROUND(C2260*(1-Settings!$B$3),2)</f>
        <v>185.04</v>
      </c>
      <c r="F2260" s="2" t="inlineStr">
        <is>
          <t>Pokemon</t>
        </is>
      </c>
      <c r="G2260" s="2" t="inlineStr">
        <is>
          <t>Coffret</t>
        </is>
      </c>
      <c r="H2260" s="2" t="inlineStr">
        <is>
          <t>SV: Black Bolt</t>
        </is>
      </c>
      <c r="I2260" s="3" t="n"/>
      <c r="J2260" s="3" t="n">
        <v>264.34</v>
      </c>
      <c r="K2260" s="3" t="n">
        <v>300</v>
      </c>
      <c r="L2260" s="3" t="n">
        <v>253.01</v>
      </c>
      <c r="M2260" s="2" t="inlineStr">
        <is>
          <t>TCGplayer</t>
        </is>
      </c>
      <c r="O2260" s="4" t="inlineStr">
        <is>
          <t>https://www.tcgplayer.com/product/630687</t>
        </is>
      </c>
    </row>
    <row r="2261">
      <c r="A2261" s="2" t="inlineStr">
        <is>
          <t>Black Bolt Tech Sticker Collection</t>
        </is>
      </c>
      <c r="B2261" s="3">
        <f>IF(I2261&lt;&gt;"",I2261,IF(J2261&lt;&gt;"",J2261,IF(K2261&lt;&gt;"",K2261,L2261)))</f>
        <v>43.0</v>
      </c>
      <c r="C2261" s="3">
        <f>MEDIAN(I2261:L2261)</f>
        <v>48.379999999999995</v>
      </c>
      <c r="D2261" s="3">
        <f>ROUND(C2261*(1-Settings!$B$2),2)</f>
        <v>33.87</v>
      </c>
      <c r="E2261" s="3">
        <f>ROUND(C2261*(1-Settings!$B$3),2)</f>
        <v>33.87</v>
      </c>
      <c r="F2261" s="2" t="inlineStr">
        <is>
          <t>Pokemon</t>
        </is>
      </c>
      <c r="G2261" s="2" t="inlineStr">
        <is>
          <t>Coffret</t>
        </is>
      </c>
      <c r="H2261" s="2" t="inlineStr">
        <is>
          <t>SV: Black Bolt</t>
        </is>
      </c>
      <c r="I2261" s="3" t="n">
        <v>43</v>
      </c>
      <c r="J2261" s="3" t="n">
        <v>51.76</v>
      </c>
      <c r="K2261" s="3" t="n">
        <v>54.99</v>
      </c>
      <c r="L2261" s="3" t="n">
        <v>45</v>
      </c>
      <c r="M2261" s="2" t="inlineStr">
        <is>
          <t>PriceCharting + TCGplayer</t>
        </is>
      </c>
      <c r="N2261" s="4" t="inlineStr">
        <is>
          <t>https://www.pricecharting.com/game/pokemon-black-bolt/tech-sticker-collection</t>
        </is>
      </c>
      <c r="O2261" s="4" t="inlineStr">
        <is>
          <t>https://www.tcgplayer.com/product/630614</t>
        </is>
      </c>
    </row>
    <row r="2262">
      <c r="A2262" s="2" t="inlineStr">
        <is>
          <t>Unova Heavy Hitters Premium Collection</t>
        </is>
      </c>
      <c r="B2262" s="3">
        <f>IF(I2262&lt;&gt;"",I2262,IF(J2262&lt;&gt;"",J2262,IF(K2262&lt;&gt;"",K2262,L2262)))</f>
        <v>166.11</v>
      </c>
      <c r="C2262" s="3">
        <f>MEDIAN(I2262:L2262)</f>
        <v>166.11</v>
      </c>
      <c r="D2262" s="3">
        <f>ROUND(C2262*(1-Settings!$B$2),2)</f>
        <v>116.28</v>
      </c>
      <c r="E2262" s="3">
        <f>ROUND(C2262*(1-Settings!$B$3),2)</f>
        <v>116.28</v>
      </c>
      <c r="F2262" s="2" t="inlineStr">
        <is>
          <t>Pokemon</t>
        </is>
      </c>
      <c r="G2262" s="2" t="inlineStr">
        <is>
          <t>Coffret</t>
        </is>
      </c>
      <c r="H2262" s="2" t="inlineStr">
        <is>
          <t>SV: Black Bolt</t>
        </is>
      </c>
      <c r="I2262" s="3" t="n"/>
      <c r="J2262" s="3" t="n">
        <v>166.11</v>
      </c>
      <c r="K2262" s="3" t="n">
        <v>190</v>
      </c>
      <c r="L2262" s="3" t="n">
        <v>145</v>
      </c>
      <c r="M2262" s="2" t="inlineStr">
        <is>
          <t>TCGplayer</t>
        </is>
      </c>
      <c r="O2262" s="4" t="inlineStr">
        <is>
          <t>https://www.tcgplayer.com/product/668632</t>
        </is>
      </c>
    </row>
    <row r="2263">
      <c r="A2263" s="2" t="inlineStr">
        <is>
          <t>Unova Mini Tin [Alomomola &amp; Axew]</t>
        </is>
      </c>
      <c r="B2263" s="3">
        <f>IF(I2263&lt;&gt;"",I2263,IF(J2263&lt;&gt;"",J2263,IF(K2263&lt;&gt;"",K2263,L2263)))</f>
        <v>31.74</v>
      </c>
      <c r="C2263" s="3">
        <f>MEDIAN(I2263:L2263)</f>
        <v>30.884999999999998</v>
      </c>
      <c r="D2263" s="3">
        <f>ROUND(C2263*(1-Settings!$B$2),2)</f>
        <v>21.62</v>
      </c>
      <c r="E2263" s="3">
        <f>ROUND(C2263*(1-Settings!$B$3),2)</f>
        <v>21.62</v>
      </c>
      <c r="F2263" s="2" t="inlineStr">
        <is>
          <t>Pokemon</t>
        </is>
      </c>
      <c r="G2263" s="2" t="inlineStr">
        <is>
          <t>Coffret</t>
        </is>
      </c>
      <c r="H2263" s="2" t="inlineStr">
        <is>
          <t>SV: Black Bolt</t>
        </is>
      </c>
      <c r="I2263" s="3" t="n">
        <v>31.74</v>
      </c>
      <c r="J2263" s="3" t="n">
        <v>27.3</v>
      </c>
      <c r="K2263" s="3" t="n">
        <v>40</v>
      </c>
      <c r="L2263" s="3" t="n">
        <v>30.03</v>
      </c>
      <c r="M2263" s="2" t="inlineStr">
        <is>
          <t>PriceCharting + TCGplayer</t>
        </is>
      </c>
      <c r="N2263" s="4" t="inlineStr">
        <is>
          <t>https://www.pricecharting.com/game/pokemon-black-bolt/unova-mini-tin-alomomola-&amp;-axew</t>
        </is>
      </c>
      <c r="O2263" s="4" t="inlineStr">
        <is>
          <t>https://www.tcgplayer.com/product/630444</t>
        </is>
      </c>
    </row>
    <row r="2264">
      <c r="A2264" s="2" t="inlineStr">
        <is>
          <t>Unova Mini Tin [Chandelure &amp; Zorua]</t>
        </is>
      </c>
      <c r="B2264" s="3">
        <f>IF(I2264&lt;&gt;"",I2264,IF(J2264&lt;&gt;"",J2264,IF(K2264&lt;&gt;"",K2264,L2264)))</f>
        <v>32.85</v>
      </c>
      <c r="C2264" s="3">
        <f>MEDIAN(I2264:L2264)</f>
        <v>39.275000000000006</v>
      </c>
      <c r="D2264" s="3">
        <f>ROUND(C2264*(1-Settings!$B$2),2)</f>
        <v>27.49</v>
      </c>
      <c r="E2264" s="3">
        <f>ROUND(C2264*(1-Settings!$B$3),2)</f>
        <v>27.49</v>
      </c>
      <c r="F2264" s="2" t="inlineStr">
        <is>
          <t>Pokemon</t>
        </is>
      </c>
      <c r="G2264" s="2" t="inlineStr">
        <is>
          <t>Coffret</t>
        </is>
      </c>
      <c r="H2264" s="2" t="inlineStr">
        <is>
          <t>SV: Black Bolt</t>
        </is>
      </c>
      <c r="I2264" s="3" t="n">
        <v>32.85</v>
      </c>
      <c r="J2264" s="3" t="n">
        <v>33.6</v>
      </c>
      <c r="K2264" s="3" t="n">
        <v>49.94</v>
      </c>
      <c r="L2264" s="3" t="n">
        <v>44.95</v>
      </c>
      <c r="M2264" s="2" t="inlineStr">
        <is>
          <t>PriceCharting + TCGplayer</t>
        </is>
      </c>
      <c r="N2264" s="4" t="inlineStr">
        <is>
          <t>https://www.pricecharting.com/game/pokemon-black-bolt/unova-mini-tin-chandelure-&amp;-zorua</t>
        </is>
      </c>
      <c r="O2264" s="4" t="inlineStr">
        <is>
          <t>https://www.tcgplayer.com/product/630439</t>
        </is>
      </c>
    </row>
    <row r="2265">
      <c r="A2265" s="2" t="inlineStr">
        <is>
          <t>Unova Mini Tin [Elektross &amp; Galvantula]</t>
        </is>
      </c>
      <c r="B2265" s="3">
        <f>IF(I2265&lt;&gt;"",I2265,IF(J2265&lt;&gt;"",J2265,IF(K2265&lt;&gt;"",K2265,L2265)))</f>
        <v>21.89</v>
      </c>
      <c r="C2265" s="3">
        <f>MEDIAN(I2265:L2265)</f>
        <v>23.805</v>
      </c>
      <c r="D2265" s="3">
        <f>ROUND(C2265*(1-Settings!$B$2),2)</f>
        <v>16.66</v>
      </c>
      <c r="E2265" s="3">
        <f>ROUND(C2265*(1-Settings!$B$3),2)</f>
        <v>16.66</v>
      </c>
      <c r="F2265" s="2" t="inlineStr">
        <is>
          <t>Pokemon</t>
        </is>
      </c>
      <c r="G2265" s="2" t="inlineStr">
        <is>
          <t>Coffret</t>
        </is>
      </c>
      <c r="H2265" s="2" t="inlineStr">
        <is>
          <t>SV: Black Bolt</t>
        </is>
      </c>
      <c r="I2265" s="3" t="n">
        <v>21.89</v>
      </c>
      <c r="J2265" s="3" t="n">
        <v>25.72</v>
      </c>
      <c r="K2265" s="3" t="n">
        <v>40.23</v>
      </c>
      <c r="L2265" s="3" t="n">
        <v>11</v>
      </c>
      <c r="M2265" s="2" t="inlineStr">
        <is>
          <t>PriceCharting + TCGplayer</t>
        </is>
      </c>
      <c r="N2265" s="4" t="inlineStr">
        <is>
          <t>https://www.pricecharting.com/game/pokemon-black-bolt/unova-mini-tin-elektross-&amp;-galvantula</t>
        </is>
      </c>
      <c r="O2265" s="4" t="inlineStr">
        <is>
          <t>https://www.tcgplayer.com/product/630445</t>
        </is>
      </c>
    </row>
    <row r="2266">
      <c r="A2266" s="2" t="inlineStr">
        <is>
          <t>Unova Mini Tin [Garbodor &amp; Amoonguss]</t>
        </is>
      </c>
      <c r="B2266" s="3">
        <f>IF(I2266&lt;&gt;"",I2266,IF(J2266&lt;&gt;"",J2266,IF(K2266&lt;&gt;"",K2266,L2266)))</f>
        <v>27.5</v>
      </c>
      <c r="C2266" s="3">
        <f>MEDIAN(I2266:L2266)</f>
        <v>28.67</v>
      </c>
      <c r="D2266" s="3">
        <f>ROUND(C2266*(1-Settings!$B$2),2)</f>
        <v>20.07</v>
      </c>
      <c r="E2266" s="3">
        <f>ROUND(C2266*(1-Settings!$B$3),2)</f>
        <v>20.07</v>
      </c>
      <c r="F2266" s="2" t="inlineStr">
        <is>
          <t>Pokemon</t>
        </is>
      </c>
      <c r="G2266" s="2" t="inlineStr">
        <is>
          <t>Coffret</t>
        </is>
      </c>
      <c r="H2266" s="2" t="inlineStr">
        <is>
          <t>SV: Black Bolt</t>
        </is>
      </c>
      <c r="I2266" s="3" t="n">
        <v>27.5</v>
      </c>
      <c r="J2266" s="3" t="n">
        <v>27.13</v>
      </c>
      <c r="K2266" s="3" t="n">
        <v>39.99</v>
      </c>
      <c r="L2266" s="3" t="n">
        <v>29.84</v>
      </c>
      <c r="M2266" s="2" t="inlineStr">
        <is>
          <t>PriceCharting + TCGplayer</t>
        </is>
      </c>
      <c r="N2266" s="4" t="inlineStr">
        <is>
          <t>https://www.pricecharting.com/game/pokemon-black-bolt/unova-mini-tin-garbodor-&amp;-amoonguss</t>
        </is>
      </c>
      <c r="O2266" s="4" t="inlineStr">
        <is>
          <t>https://www.tcgplayer.com/product/630438</t>
        </is>
      </c>
    </row>
    <row r="2267">
      <c r="A2267" s="2" t="inlineStr">
        <is>
          <t>Unova Mini Tin [Krookodile &amp; Excadrill]</t>
        </is>
      </c>
      <c r="B2267" s="3">
        <f>IF(I2267&lt;&gt;"",I2267,IF(J2267&lt;&gt;"",J2267,IF(K2267&lt;&gt;"",K2267,L2267)))</f>
        <v>33.42</v>
      </c>
      <c r="C2267" s="3">
        <f>MEDIAN(I2267:L2267)</f>
        <v>39.21</v>
      </c>
      <c r="D2267" s="3">
        <f>ROUND(C2267*(1-Settings!$B$2),2)</f>
        <v>27.45</v>
      </c>
      <c r="E2267" s="3">
        <f>ROUND(C2267*(1-Settings!$B$3),2)</f>
        <v>27.45</v>
      </c>
      <c r="F2267" s="2" t="inlineStr">
        <is>
          <t>Pokemon</t>
        </is>
      </c>
      <c r="G2267" s="2" t="inlineStr">
        <is>
          <t>Coffret</t>
        </is>
      </c>
      <c r="H2267" s="2" t="inlineStr">
        <is>
          <t>SV: Black Bolt</t>
        </is>
      </c>
      <c r="I2267" s="3" t="n">
        <v>33.42</v>
      </c>
      <c r="J2267" s="3" t="n">
        <v>31.34</v>
      </c>
      <c r="K2267" s="3" t="n">
        <v>45</v>
      </c>
      <c r="L2267" s="3" t="n">
        <v>45</v>
      </c>
      <c r="M2267" s="2" t="inlineStr">
        <is>
          <t>PriceCharting + TCGplayer</t>
        </is>
      </c>
      <c r="N2267" s="4" t="inlineStr">
        <is>
          <t>https://www.pricecharting.com/game/pokemon-black-bolt/unova-mini-tin-krookodile-&amp;-excadrill</t>
        </is>
      </c>
      <c r="O2267" s="4" t="inlineStr">
        <is>
          <t>https://www.tcgplayer.com/product/630440</t>
        </is>
      </c>
    </row>
    <row r="2268">
      <c r="A2268" s="2" t="inlineStr">
        <is>
          <t>Unova Mini Tin [Lilligant &amp; Whimsicot]</t>
        </is>
      </c>
      <c r="B2268" s="3">
        <f>IF(I2268&lt;&gt;"",I2268,IF(J2268&lt;&gt;"",J2268,IF(K2268&lt;&gt;"",K2268,L2268)))</f>
        <v>29.47</v>
      </c>
      <c r="C2268" s="3">
        <f>MEDIAN(I2268:L2268)</f>
        <v>31.735</v>
      </c>
      <c r="D2268" s="3">
        <f>ROUND(C2268*(1-Settings!$B$2),2)</f>
        <v>22.21</v>
      </c>
      <c r="E2268" s="3">
        <f>ROUND(C2268*(1-Settings!$B$3),2)</f>
        <v>22.21</v>
      </c>
      <c r="F2268" s="2" t="inlineStr">
        <is>
          <t>Pokemon</t>
        </is>
      </c>
      <c r="G2268" s="2" t="inlineStr">
        <is>
          <t>Coffret</t>
        </is>
      </c>
      <c r="H2268" s="2" t="inlineStr">
        <is>
          <t>SV: Black Bolt</t>
        </is>
      </c>
      <c r="I2268" s="3" t="n">
        <v>29.47</v>
      </c>
      <c r="J2268" s="3" t="n">
        <v>27.25</v>
      </c>
      <c r="K2268" s="3" t="n">
        <v>69.98999999999999</v>
      </c>
      <c r="L2268" s="3" t="n">
        <v>34</v>
      </c>
      <c r="M2268" s="2" t="inlineStr">
        <is>
          <t>PriceCharting + TCGplayer</t>
        </is>
      </c>
      <c r="N2268" s="4" t="inlineStr">
        <is>
          <t>https://www.pricecharting.com/game/pokemon-black-bolt/unova-mini-tin-lilligant-&amp;-whimsicot</t>
        </is>
      </c>
      <c r="O2268" s="4" t="inlineStr">
        <is>
          <t>https://www.tcgplayer.com/product/630442</t>
        </is>
      </c>
    </row>
    <row r="2269">
      <c r="A2269" s="2" t="inlineStr">
        <is>
          <t>Unova Mini Tin [Mienshao &amp; Klinklang]</t>
        </is>
      </c>
      <c r="B2269" s="3">
        <f>IF(I2269&lt;&gt;"",I2269,IF(J2269&lt;&gt;"",J2269,IF(K2269&lt;&gt;"",K2269,L2269)))</f>
        <v>31.06</v>
      </c>
      <c r="C2269" s="3">
        <f>MEDIAN(I2269:L2269)</f>
        <v>31.509999999999998</v>
      </c>
      <c r="D2269" s="3">
        <f>ROUND(C2269*(1-Settings!$B$2),2)</f>
        <v>22.06</v>
      </c>
      <c r="E2269" s="3">
        <f>ROUND(C2269*(1-Settings!$B$3),2)</f>
        <v>22.06</v>
      </c>
      <c r="F2269" s="2" t="inlineStr">
        <is>
          <t>Pokemon</t>
        </is>
      </c>
      <c r="G2269" s="2" t="inlineStr">
        <is>
          <t>Coffret</t>
        </is>
      </c>
      <c r="H2269" s="2" t="inlineStr">
        <is>
          <t>SV: Black Bolt</t>
        </is>
      </c>
      <c r="I2269" s="3" t="n">
        <v>31.06</v>
      </c>
      <c r="J2269" s="3" t="n">
        <v>26.72</v>
      </c>
      <c r="K2269" s="3" t="n">
        <v>39.86</v>
      </c>
      <c r="L2269" s="3" t="n">
        <v>31.96</v>
      </c>
      <c r="M2269" s="2" t="inlineStr">
        <is>
          <t>PriceCharting + TCGplayer</t>
        </is>
      </c>
      <c r="N2269" s="4" t="inlineStr">
        <is>
          <t>https://www.pricecharting.com/game/pokemon-black-bolt/unova-mini-tin-mienshao-&amp;-klinklang</t>
        </is>
      </c>
      <c r="O2269" s="4" t="inlineStr">
        <is>
          <t>https://www.tcgplayer.com/product/630443</t>
        </is>
      </c>
    </row>
    <row r="2270">
      <c r="A2270" s="2" t="inlineStr">
        <is>
          <t>Unova Mini Tin [Volcarona &amp; Emolga]</t>
        </is>
      </c>
      <c r="B2270" s="3">
        <f>IF(I2270&lt;&gt;"",I2270,IF(J2270&lt;&gt;"",J2270,IF(K2270&lt;&gt;"",K2270,L2270)))</f>
        <v>31.64</v>
      </c>
      <c r="C2270" s="3">
        <f>MEDIAN(I2270:L2270)</f>
        <v>40.81</v>
      </c>
      <c r="D2270" s="3">
        <f>ROUND(C2270*(1-Settings!$B$2),2)</f>
        <v>28.57</v>
      </c>
      <c r="E2270" s="3">
        <f>ROUND(C2270*(1-Settings!$B$3),2)</f>
        <v>28.57</v>
      </c>
      <c r="F2270" s="2" t="inlineStr">
        <is>
          <t>Pokemon</t>
        </is>
      </c>
      <c r="G2270" s="2" t="inlineStr">
        <is>
          <t>Coffret</t>
        </is>
      </c>
      <c r="H2270" s="2" t="inlineStr">
        <is>
          <t>SV: Black Bolt</t>
        </is>
      </c>
      <c r="I2270" s="3" t="n">
        <v>31.64</v>
      </c>
      <c r="J2270" s="3" t="n">
        <v>27.1</v>
      </c>
      <c r="K2270" s="3" t="n">
        <v>64.98999999999999</v>
      </c>
      <c r="L2270" s="3" t="n">
        <v>49.98</v>
      </c>
      <c r="M2270" s="2" t="inlineStr">
        <is>
          <t>PriceCharting + TCGplayer</t>
        </is>
      </c>
      <c r="N2270" s="4" t="inlineStr">
        <is>
          <t>https://www.pricecharting.com/game/pokemon-black-bolt/unova-mini-tin-volcarona-&amp;-emolga</t>
        </is>
      </c>
      <c r="O2270" s="4" t="inlineStr">
        <is>
          <t>https://www.tcgplayer.com/product/630441</t>
        </is>
      </c>
    </row>
    <row r="2271">
      <c r="A2271" s="2" t="inlineStr">
        <is>
          <t>Unova Poster Collection</t>
        </is>
      </c>
      <c r="B2271" s="3">
        <f>IF(I2271&lt;&gt;"",I2271,IF(J2271&lt;&gt;"",J2271,IF(K2271&lt;&gt;"",K2271,L2271)))</f>
        <v>46.96</v>
      </c>
      <c r="C2271" s="3">
        <f>MEDIAN(I2271:L2271)</f>
        <v>46.42</v>
      </c>
      <c r="D2271" s="3">
        <f>ROUND(C2271*(1-Settings!$B$2),2)</f>
        <v>32.49</v>
      </c>
      <c r="E2271" s="3">
        <f>ROUND(C2271*(1-Settings!$B$3),2)</f>
        <v>32.49</v>
      </c>
      <c r="F2271" s="2" t="inlineStr">
        <is>
          <t>Pokemon</t>
        </is>
      </c>
      <c r="G2271" s="2" t="inlineStr">
        <is>
          <t>Coffret</t>
        </is>
      </c>
      <c r="H2271" s="2" t="inlineStr">
        <is>
          <t>SV: Black Bolt</t>
        </is>
      </c>
      <c r="I2271" s="3" t="n">
        <v>46.96</v>
      </c>
      <c r="J2271" s="3" t="n">
        <v>45.88</v>
      </c>
      <c r="K2271" s="3" t="n">
        <v>50</v>
      </c>
      <c r="L2271" s="3" t="n">
        <v>1.98</v>
      </c>
      <c r="M2271" s="2" t="inlineStr">
        <is>
          <t>PriceCharting + TCGplayer</t>
        </is>
      </c>
      <c r="N2271" s="4" t="inlineStr">
        <is>
          <t>https://www.pricecharting.com/game/pokemon-black-bolt/unova-poster-collection</t>
        </is>
      </c>
      <c r="O2271" s="4" t="inlineStr">
        <is>
          <t>https://www.tcgplayer.com/product/630612</t>
        </is>
      </c>
    </row>
    <row r="2272">
      <c r="A2272" s="2" t="inlineStr">
        <is>
          <t>Unova Victini Illustration Collection</t>
        </is>
      </c>
      <c r="B2272" s="3">
        <f>IF(I2272&lt;&gt;"",I2272,IF(J2272&lt;&gt;"",J2272,IF(K2272&lt;&gt;"",K2272,L2272)))</f>
        <v>71.24</v>
      </c>
      <c r="C2272" s="3">
        <f>MEDIAN(I2272:L2272)</f>
        <v>71.465</v>
      </c>
      <c r="D2272" s="3">
        <f>ROUND(C2272*(1-Settings!$B$2),2)</f>
        <v>50.03</v>
      </c>
      <c r="E2272" s="3">
        <f>ROUND(C2272*(1-Settings!$B$3),2)</f>
        <v>50.03</v>
      </c>
      <c r="F2272" s="2" t="inlineStr">
        <is>
          <t>Pokemon</t>
        </is>
      </c>
      <c r="G2272" s="2" t="inlineStr">
        <is>
          <t>Coffret</t>
        </is>
      </c>
      <c r="H2272" s="2" t="inlineStr">
        <is>
          <t>SV: Black Bolt</t>
        </is>
      </c>
      <c r="I2272" s="3" t="n">
        <v>71.23999999999999</v>
      </c>
      <c r="J2272" s="3" t="n">
        <v>71.69</v>
      </c>
      <c r="K2272" s="3" t="n">
        <v>72.5</v>
      </c>
      <c r="L2272" s="3" t="n">
        <v>60</v>
      </c>
      <c r="M2272" s="2" t="inlineStr">
        <is>
          <t>PriceCharting + TCGplayer</t>
        </is>
      </c>
      <c r="N2272" s="4" t="inlineStr">
        <is>
          <t>https://www.pricecharting.com/game/pokemon-black-bolt/unova-victini-illustration-collection</t>
        </is>
      </c>
      <c r="O2272" s="4" t="inlineStr">
        <is>
          <t>https://www.tcgplayer.com/product/630615</t>
        </is>
      </c>
    </row>
    <row r="2273">
      <c r="A2273" s="2" t="inlineStr">
        <is>
          <t>ex Special Set</t>
        </is>
      </c>
      <c r="B2273" s="3">
        <f>IF(I2273&lt;&gt;"",I2273,IF(J2273&lt;&gt;"",J2273,IF(K2273&lt;&gt;"",K2273,L2273)))</f>
        <v>71.99</v>
      </c>
      <c r="C2273" s="3">
        <f>MEDIAN(I2273:L2273)</f>
        <v>75.995</v>
      </c>
      <c r="D2273" s="3">
        <f>ROUND(C2273*(1-Settings!$B$2),2)</f>
        <v>53.2</v>
      </c>
      <c r="E2273" s="3">
        <f>ROUND(C2273*(1-Settings!$B$3),2)</f>
        <v>53.2</v>
      </c>
      <c r="F2273" s="2" t="inlineStr">
        <is>
          <t>Pokemon</t>
        </is>
      </c>
      <c r="G2273" s="2" t="inlineStr">
        <is>
          <t>Coffret</t>
        </is>
      </c>
      <c r="H2273" s="2" t="inlineStr">
        <is>
          <t>SV: ex Special Set</t>
        </is>
      </c>
      <c r="I2273" s="3" t="n"/>
      <c r="J2273" s="3" t="n">
        <v>71.98999999999999</v>
      </c>
      <c r="K2273" s="3" t="n"/>
      <c r="L2273" s="3" t="n">
        <v>80</v>
      </c>
      <c r="M2273" s="2" t="inlineStr">
        <is>
          <t>TCGplayer</t>
        </is>
      </c>
      <c r="O2273" s="4" t="inlineStr">
        <is>
          <t>https://www.tcgplayer.com/product/594104</t>
        </is>
      </c>
    </row>
    <row r="2274">
      <c r="A2274" s="2" t="inlineStr">
        <is>
          <t>Paldean Fates Booster Bundle</t>
        </is>
      </c>
      <c r="B2274" s="3">
        <f>IF(I2274&lt;&gt;"",I2274,IF(J2274&lt;&gt;"",J2274,IF(K2274&lt;&gt;"",K2274,L2274)))</f>
        <v>174.75</v>
      </c>
      <c r="C2274" s="3">
        <f>MEDIAN(I2274:L2274)</f>
        <v>177.25</v>
      </c>
      <c r="D2274" s="3">
        <f>ROUND(C2274*(1-Settings!$B$2),2)</f>
        <v>124.08</v>
      </c>
      <c r="E2274" s="3">
        <f>ROUND(C2274*(1-Settings!$B$3),2)</f>
        <v>124.08</v>
      </c>
      <c r="F2274" s="2" t="inlineStr">
        <is>
          <t>Pokemon</t>
        </is>
      </c>
      <c r="G2274" s="2" t="inlineStr">
        <is>
          <t>Coffret</t>
        </is>
      </c>
      <c r="H2274" s="2" t="inlineStr">
        <is>
          <t>SV: Paldean Fates</t>
        </is>
      </c>
      <c r="I2274" s="3" t="n">
        <v>174.75</v>
      </c>
      <c r="J2274" s="3" t="n">
        <v>179.75</v>
      </c>
      <c r="K2274" s="3" t="n">
        <v>189.43</v>
      </c>
      <c r="L2274" s="3" t="n">
        <v>25</v>
      </c>
      <c r="M2274" s="2" t="inlineStr">
        <is>
          <t>PriceCharting + TCGplayer</t>
        </is>
      </c>
      <c r="N2274" s="4" t="inlineStr">
        <is>
          <t>https://www.pricecharting.com/game/pokemon-paldean-fates/booster-bundle</t>
        </is>
      </c>
      <c r="O2274" s="4" t="inlineStr">
        <is>
          <t>https://www.tcgplayer.com/product/528771</t>
        </is>
      </c>
    </row>
    <row r="2275">
      <c r="A2275" s="2" t="inlineStr">
        <is>
          <t>Paldean Fates Booster Pack Art Bundle [Set of 4]</t>
        </is>
      </c>
      <c r="B2275" s="3">
        <f>IF(I2275&lt;&gt;"",I2275,IF(J2275&lt;&gt;"",J2275,IF(K2275&lt;&gt;"",K2275,L2275)))</f>
        <v>96.73</v>
      </c>
      <c r="C2275" s="3">
        <f>MEDIAN(I2275:L2275)</f>
        <v>96.73</v>
      </c>
      <c r="D2275" s="3">
        <f>ROUND(C2275*(1-Settings!$B$2),2)</f>
        <v>67.71</v>
      </c>
      <c r="E2275" s="3">
        <f>ROUND(C2275*(1-Settings!$B$3),2)</f>
        <v>67.71</v>
      </c>
      <c r="F2275" s="2" t="inlineStr">
        <is>
          <t>Pokemon</t>
        </is>
      </c>
      <c r="G2275" s="2" t="inlineStr">
        <is>
          <t>Coffret</t>
        </is>
      </c>
      <c r="H2275" s="2" t="inlineStr">
        <is>
          <t>SV: Paldean Fates</t>
        </is>
      </c>
      <c r="I2275" s="3" t="n"/>
      <c r="J2275" s="3" t="n">
        <v>96.73</v>
      </c>
      <c r="K2275" s="3" t="n">
        <v>98.98</v>
      </c>
      <c r="L2275" s="3" t="n">
        <v>94.98999999999999</v>
      </c>
      <c r="M2275" s="2" t="inlineStr">
        <is>
          <t>TCGplayer</t>
        </is>
      </c>
      <c r="O2275" s="4" t="inlineStr">
        <is>
          <t>https://www.tcgplayer.com/product/668624</t>
        </is>
      </c>
    </row>
    <row r="2276">
      <c r="A2276" s="2" t="inlineStr">
        <is>
          <t>Paldean Fates Elite Trainer Box</t>
        </is>
      </c>
      <c r="B2276" s="3">
        <f>IF(I2276&lt;&gt;"",I2276,IF(J2276&lt;&gt;"",J2276,IF(K2276&lt;&gt;"",K2276,L2276)))</f>
        <v>436.8</v>
      </c>
      <c r="C2276" s="3">
        <f>MEDIAN(I2276:L2276)</f>
        <v>433.71000000000004</v>
      </c>
      <c r="D2276" s="3">
        <f>ROUND(C2276*(1-Settings!$B$2),2)</f>
        <v>303.6</v>
      </c>
      <c r="E2276" s="3">
        <f>ROUND(C2276*(1-Settings!$B$3),2)</f>
        <v>303.6</v>
      </c>
      <c r="F2276" s="2" t="inlineStr">
        <is>
          <t>Pokemon</t>
        </is>
      </c>
      <c r="G2276" s="2" t="inlineStr">
        <is>
          <t>Coffret</t>
        </is>
      </c>
      <c r="H2276" s="2" t="inlineStr">
        <is>
          <t>SV: Paldean Fates</t>
        </is>
      </c>
      <c r="I2276" s="3" t="n">
        <v>436.8</v>
      </c>
      <c r="J2276" s="3" t="n">
        <v>430.62</v>
      </c>
      <c r="K2276" s="3" t="n">
        <v>504.5</v>
      </c>
      <c r="L2276" s="3" t="n">
        <v>59.99</v>
      </c>
      <c r="M2276" s="2" t="inlineStr">
        <is>
          <t>PriceCharting + TCGplayer</t>
        </is>
      </c>
      <c r="N2276" s="4" t="inlineStr">
        <is>
          <t>https://www.pricecharting.com/game/pokemon-paldean-fates/elite-trainer-box</t>
        </is>
      </c>
      <c r="O2276" s="4" t="inlineStr">
        <is>
          <t>https://www.tcgplayer.com/product/528040</t>
        </is>
      </c>
    </row>
    <row r="2277">
      <c r="A2277" s="2" t="inlineStr">
        <is>
          <t>Paldean Fates Great Tusk ex &amp; Iron Treads ex Premium Collection</t>
        </is>
      </c>
      <c r="B2277" s="3">
        <f>IF(I2277&lt;&gt;"",I2277,IF(J2277&lt;&gt;"",J2277,IF(K2277&lt;&gt;"",K2277,L2277)))</f>
        <v>244.35</v>
      </c>
      <c r="C2277" s="3">
        <f>MEDIAN(I2277:L2277)</f>
        <v>245.70999999999998</v>
      </c>
      <c r="D2277" s="3">
        <f>ROUND(C2277*(1-Settings!$B$2),2)</f>
        <v>172.0</v>
      </c>
      <c r="E2277" s="3">
        <f>ROUND(C2277*(1-Settings!$B$3),2)</f>
        <v>172.0</v>
      </c>
      <c r="F2277" s="2" t="inlineStr">
        <is>
          <t>Pokemon</t>
        </is>
      </c>
      <c r="G2277" s="2" t="inlineStr">
        <is>
          <t>Coffret</t>
        </is>
      </c>
      <c r="H2277" s="2" t="inlineStr">
        <is>
          <t>SV: Paldean Fates</t>
        </is>
      </c>
      <c r="I2277" s="3" t="n">
        <v>244.35</v>
      </c>
      <c r="J2277" s="3" t="n">
        <v>247.07</v>
      </c>
      <c r="K2277" s="3" t="n">
        <v>274.94</v>
      </c>
      <c r="L2277" s="3" t="n">
        <v>12.99</v>
      </c>
      <c r="M2277" s="2" t="inlineStr">
        <is>
          <t>PriceCharting + TCGplayer</t>
        </is>
      </c>
      <c r="N2277" s="4" t="inlineStr">
        <is>
          <t>https://www.pricecharting.com/game/pokemon-paldean-fates/great-tusk-ex-&amp;-iron-treads-ex-premium-collection</t>
        </is>
      </c>
      <c r="O2277" s="4" t="inlineStr">
        <is>
          <t>https://www.tcgplayer.com/product/665113</t>
        </is>
      </c>
    </row>
    <row r="2278">
      <c r="A2278" s="2" t="inlineStr">
        <is>
          <t>Paldean Fates International Tin [Charizard ex]</t>
        </is>
      </c>
      <c r="B2278" s="3">
        <f>IF(I2278&lt;&gt;"",I2278,IF(J2278&lt;&gt;"",J2278,IF(K2278&lt;&gt;"",K2278,L2278)))</f>
        <v>149.99</v>
      </c>
      <c r="C2278" s="3">
        <f>MEDIAN(I2278:L2278)</f>
        <v>158.435</v>
      </c>
      <c r="D2278" s="3">
        <f>ROUND(C2278*(1-Settings!$B$2),2)</f>
        <v>110.9</v>
      </c>
      <c r="E2278" s="3">
        <f>ROUND(C2278*(1-Settings!$B$3),2)</f>
        <v>110.9</v>
      </c>
      <c r="F2278" s="2" t="inlineStr">
        <is>
          <t>Pokemon</t>
        </is>
      </c>
      <c r="G2278" s="2" t="inlineStr">
        <is>
          <t>Coffret</t>
        </is>
      </c>
      <c r="H2278" s="2" t="inlineStr">
        <is>
          <t>SV: Paldean Fates</t>
        </is>
      </c>
      <c r="I2278" s="3" t="n">
        <v>149.99</v>
      </c>
      <c r="J2278" s="3" t="n">
        <v>152.88</v>
      </c>
      <c r="K2278" s="3" t="n">
        <v>187</v>
      </c>
      <c r="L2278" s="3" t="n">
        <v>163.99</v>
      </c>
      <c r="M2278" s="2" t="inlineStr">
        <is>
          <t>PriceCharting + TCGplayer</t>
        </is>
      </c>
      <c r="N2278" s="4" t="inlineStr">
        <is>
          <t>https://www.pricecharting.com/game/pokemon-paldean-fates/international-tin-charizard-ex</t>
        </is>
      </c>
      <c r="O2278" s="4" t="inlineStr">
        <is>
          <t>https://www.tcgplayer.com/product/528063</t>
        </is>
      </c>
    </row>
    <row r="2279">
      <c r="A2279" s="2" t="inlineStr">
        <is>
          <t>Paldean Fates International Tin [Great Tusk ex]</t>
        </is>
      </c>
      <c r="B2279" s="3">
        <f>IF(I2279&lt;&gt;"",I2279,IF(J2279&lt;&gt;"",J2279,IF(K2279&lt;&gt;"",K2279,L2279)))</f>
        <v>111.89</v>
      </c>
      <c r="C2279" s="3">
        <f>MEDIAN(I2279:L2279)</f>
        <v>113.52</v>
      </c>
      <c r="D2279" s="3">
        <f>ROUND(C2279*(1-Settings!$B$2),2)</f>
        <v>79.46</v>
      </c>
      <c r="E2279" s="3">
        <f>ROUND(C2279*(1-Settings!$B$3),2)</f>
        <v>79.46</v>
      </c>
      <c r="F2279" s="2" t="inlineStr">
        <is>
          <t>Pokemon</t>
        </is>
      </c>
      <c r="G2279" s="2" t="inlineStr">
        <is>
          <t>Coffret</t>
        </is>
      </c>
      <c r="H2279" s="2" t="inlineStr">
        <is>
          <t>SV: Paldean Fates</t>
        </is>
      </c>
      <c r="I2279" s="3" t="n">
        <v>111.89</v>
      </c>
      <c r="J2279" s="3" t="n">
        <v>112.05</v>
      </c>
      <c r="K2279" s="3" t="n">
        <v>133.47</v>
      </c>
      <c r="L2279" s="3" t="n">
        <v>114.99</v>
      </c>
      <c r="M2279" s="2" t="inlineStr">
        <is>
          <t>PriceCharting + TCGplayer</t>
        </is>
      </c>
      <c r="N2279" s="4" t="inlineStr">
        <is>
          <t>https://www.pricecharting.com/game/pokemon-paldean-fates/international-tin-great-tusk-ex</t>
        </is>
      </c>
      <c r="O2279" s="4" t="inlineStr">
        <is>
          <t>https://www.tcgplayer.com/product/528060</t>
        </is>
      </c>
    </row>
    <row r="2280">
      <c r="A2280" s="2" t="inlineStr">
        <is>
          <t>Paldean Fates International Tin [Iron Treads ex]</t>
        </is>
      </c>
      <c r="B2280" s="3">
        <f>IF(I2280&lt;&gt;"",I2280,IF(J2280&lt;&gt;"",J2280,IF(K2280&lt;&gt;"",K2280,L2280)))</f>
        <v>136.1</v>
      </c>
      <c r="C2280" s="3">
        <f>MEDIAN(I2280:L2280)</f>
        <v>123.05</v>
      </c>
      <c r="D2280" s="3">
        <f>ROUND(C2280*(1-Settings!$B$2),2)</f>
        <v>86.14</v>
      </c>
      <c r="E2280" s="3">
        <f>ROUND(C2280*(1-Settings!$B$3),2)</f>
        <v>86.14</v>
      </c>
      <c r="F2280" s="2" t="inlineStr">
        <is>
          <t>Pokemon</t>
        </is>
      </c>
      <c r="G2280" s="2" t="inlineStr">
        <is>
          <t>Coffret</t>
        </is>
      </c>
      <c r="H2280" s="2" t="inlineStr">
        <is>
          <t>SV: Paldean Fates</t>
        </is>
      </c>
      <c r="I2280" s="3" t="n">
        <v>136.1</v>
      </c>
      <c r="J2280" s="3" t="n">
        <v>139.95</v>
      </c>
      <c r="K2280" s="3" t="n">
        <v>110</v>
      </c>
      <c r="L2280" s="3" t="n">
        <v>109</v>
      </c>
      <c r="M2280" s="2" t="inlineStr">
        <is>
          <t>PriceCharting + TCGplayer</t>
        </is>
      </c>
      <c r="N2280" s="4" t="inlineStr">
        <is>
          <t>https://www.pricecharting.com/game/pokemon-paldean-fates/international-tin-iron-treads-ex</t>
        </is>
      </c>
      <c r="O2280" s="4" t="inlineStr">
        <is>
          <t>https://www.tcgplayer.com/product/528059</t>
        </is>
      </c>
    </row>
    <row r="2281">
      <c r="A2281" s="2" t="inlineStr">
        <is>
          <t>Paldean Fates International Tins [Set of 3]</t>
        </is>
      </c>
      <c r="B2281" s="3">
        <f>IF(I2281&lt;&gt;"",I2281,IF(J2281&lt;&gt;"",J2281,IF(K2281&lt;&gt;"",K2281,L2281)))</f>
        <v>462.5</v>
      </c>
      <c r="C2281" s="3">
        <f>MEDIAN(I2281:L2281)</f>
        <v>462.5</v>
      </c>
      <c r="D2281" s="3">
        <f>ROUND(C2281*(1-Settings!$B$2),2)</f>
        <v>323.75</v>
      </c>
      <c r="E2281" s="3">
        <f>ROUND(C2281*(1-Settings!$B$3),2)</f>
        <v>323.75</v>
      </c>
      <c r="F2281" s="2" t="inlineStr">
        <is>
          <t>Pokemon</t>
        </is>
      </c>
      <c r="G2281" s="2" t="inlineStr">
        <is>
          <t>Coffret</t>
        </is>
      </c>
      <c r="H2281" s="2" t="inlineStr">
        <is>
          <t>SV: Paldean Fates</t>
        </is>
      </c>
      <c r="I2281" s="3" t="n"/>
      <c r="J2281" s="3" t="n">
        <v>462.5</v>
      </c>
      <c r="K2281" s="3" t="n">
        <v>485</v>
      </c>
      <c r="L2281" s="3" t="n">
        <v>269.69</v>
      </c>
      <c r="M2281" s="2" t="inlineStr">
        <is>
          <t>TCGplayer</t>
        </is>
      </c>
      <c r="O2281" s="4" t="inlineStr">
        <is>
          <t>https://www.tcgplayer.com/product/528227</t>
        </is>
      </c>
    </row>
    <row r="2282">
      <c r="A2282" s="2" t="inlineStr">
        <is>
          <t>Paldean Fates Mini Tin [Finizen]</t>
        </is>
      </c>
      <c r="B2282" s="3">
        <f>IF(I2282&lt;&gt;"",I2282,IF(J2282&lt;&gt;"",J2282,IF(K2282&lt;&gt;"",K2282,L2282)))</f>
        <v>51.0</v>
      </c>
      <c r="C2282" s="3">
        <f>MEDIAN(I2282:L2282)</f>
        <v>51.495000000000005</v>
      </c>
      <c r="D2282" s="3">
        <f>ROUND(C2282*(1-Settings!$B$2),2)</f>
        <v>36.05</v>
      </c>
      <c r="E2282" s="3">
        <f>ROUND(C2282*(1-Settings!$B$3),2)</f>
        <v>36.05</v>
      </c>
      <c r="F2282" s="2" t="inlineStr">
        <is>
          <t>Pokemon</t>
        </is>
      </c>
      <c r="G2282" s="2" t="inlineStr">
        <is>
          <t>Coffret</t>
        </is>
      </c>
      <c r="H2282" s="2" t="inlineStr">
        <is>
          <t>SV: Paldean Fates</t>
        </is>
      </c>
      <c r="I2282" s="3" t="n">
        <v>51</v>
      </c>
      <c r="J2282" s="3" t="n">
        <v>50.89</v>
      </c>
      <c r="K2282" s="3" t="n">
        <v>58.99</v>
      </c>
      <c r="L2282" s="3" t="n">
        <v>51.99</v>
      </c>
      <c r="M2282" s="2" t="inlineStr">
        <is>
          <t>PriceCharting + TCGplayer</t>
        </is>
      </c>
      <c r="N2282" s="4" t="inlineStr">
        <is>
          <t>https://www.pricecharting.com/game/pokemon-paldean-fates/mini-tin-finizen</t>
        </is>
      </c>
      <c r="O2282" s="4" t="inlineStr">
        <is>
          <t>https://www.tcgplayer.com/product/528055</t>
        </is>
      </c>
    </row>
    <row r="2283">
      <c r="A2283" s="2" t="inlineStr">
        <is>
          <t>Paldean Fates Mini Tin [Flamigo]</t>
        </is>
      </c>
      <c r="B2283" s="3">
        <f>IF(I2283&lt;&gt;"",I2283,IF(J2283&lt;&gt;"",J2283,IF(K2283&lt;&gt;"",K2283,L2283)))</f>
        <v>47.0</v>
      </c>
      <c r="C2283" s="3">
        <f>MEDIAN(I2283:L2283)</f>
        <v>48.44</v>
      </c>
      <c r="D2283" s="3">
        <f>ROUND(C2283*(1-Settings!$B$2),2)</f>
        <v>33.91</v>
      </c>
      <c r="E2283" s="3">
        <f>ROUND(C2283*(1-Settings!$B$3),2)</f>
        <v>33.91</v>
      </c>
      <c r="F2283" s="2" t="inlineStr">
        <is>
          <t>Pokemon</t>
        </is>
      </c>
      <c r="G2283" s="2" t="inlineStr">
        <is>
          <t>Coffret</t>
        </is>
      </c>
      <c r="H2283" s="2" t="inlineStr">
        <is>
          <t>SV: Paldean Fates</t>
        </is>
      </c>
      <c r="I2283" s="3" t="n">
        <v>47</v>
      </c>
      <c r="J2283" s="3" t="n">
        <v>49.88</v>
      </c>
      <c r="K2283" s="3" t="n">
        <v>67.98999999999999</v>
      </c>
      <c r="L2283" s="3" t="n">
        <v>10.99</v>
      </c>
      <c r="M2283" s="2" t="inlineStr">
        <is>
          <t>PriceCharting + TCGplayer</t>
        </is>
      </c>
      <c r="N2283" s="4" t="inlineStr">
        <is>
          <t>https://www.pricecharting.com/game/pokemon-paldean-fates/mini-tin-flamigo</t>
        </is>
      </c>
      <c r="O2283" s="4" t="inlineStr">
        <is>
          <t>https://www.tcgplayer.com/product/528050</t>
        </is>
      </c>
    </row>
    <row r="2284">
      <c r="A2284" s="2" t="inlineStr">
        <is>
          <t>Paldean Fates Mini Tin [Maushold]</t>
        </is>
      </c>
      <c r="B2284" s="3">
        <f>IF(I2284&lt;&gt;"",I2284,IF(J2284&lt;&gt;"",J2284,IF(K2284&lt;&gt;"",K2284,L2284)))</f>
        <v>89.0</v>
      </c>
      <c r="C2284" s="3">
        <f>MEDIAN(I2284:L2284)</f>
        <v>88.89</v>
      </c>
      <c r="D2284" s="3">
        <f>ROUND(C2284*(1-Settings!$B$2),2)</f>
        <v>62.22</v>
      </c>
      <c r="E2284" s="3">
        <f>ROUND(C2284*(1-Settings!$B$3),2)</f>
        <v>62.22</v>
      </c>
      <c r="F2284" s="2" t="inlineStr">
        <is>
          <t>Pokemon</t>
        </is>
      </c>
      <c r="G2284" s="2" t="inlineStr">
        <is>
          <t>Coffret</t>
        </is>
      </c>
      <c r="H2284" s="2" t="inlineStr">
        <is>
          <t>SV: Paldean Fates</t>
        </is>
      </c>
      <c r="I2284" s="3" t="n">
        <v>89</v>
      </c>
      <c r="J2284" s="3" t="n">
        <v>88.79000000000001</v>
      </c>
      <c r="K2284" s="3" t="n">
        <v>88.98999999999999</v>
      </c>
      <c r="L2284" s="3" t="n">
        <v>81.31</v>
      </c>
      <c r="M2284" s="2" t="inlineStr">
        <is>
          <t>PriceCharting + TCGplayer</t>
        </is>
      </c>
      <c r="N2284" s="4" t="inlineStr">
        <is>
          <t>https://www.pricecharting.com/game/pokemon-paldean-fates/mini-tin-maushold</t>
        </is>
      </c>
      <c r="O2284" s="4" t="inlineStr">
        <is>
          <t>https://www.tcgplayer.com/product/528051</t>
        </is>
      </c>
    </row>
    <row r="2285">
      <c r="A2285" s="2" t="inlineStr">
        <is>
          <t>Paldean Fates Mini Tin [Smoliv]</t>
        </is>
      </c>
      <c r="B2285" s="3">
        <f>IF(I2285&lt;&gt;"",I2285,IF(J2285&lt;&gt;"",J2285,IF(K2285&lt;&gt;"",K2285,L2285)))</f>
        <v>66.95</v>
      </c>
      <c r="C2285" s="3">
        <f>MEDIAN(I2285:L2285)</f>
        <v>67.97</v>
      </c>
      <c r="D2285" s="3">
        <f>ROUND(C2285*(1-Settings!$B$2),2)</f>
        <v>47.58</v>
      </c>
      <c r="E2285" s="3">
        <f>ROUND(C2285*(1-Settings!$B$3),2)</f>
        <v>47.58</v>
      </c>
      <c r="F2285" s="2" t="inlineStr">
        <is>
          <t>Pokemon</t>
        </is>
      </c>
      <c r="G2285" s="2" t="inlineStr">
        <is>
          <t>Coffret</t>
        </is>
      </c>
      <c r="H2285" s="2" t="inlineStr">
        <is>
          <t>SV: Paldean Fates</t>
        </is>
      </c>
      <c r="I2285" s="3" t="n">
        <v>66.95</v>
      </c>
      <c r="J2285" s="3" t="n">
        <v>61.11</v>
      </c>
      <c r="K2285" s="3" t="n">
        <v>74</v>
      </c>
      <c r="L2285" s="3" t="n">
        <v>68.98999999999999</v>
      </c>
      <c r="M2285" s="2" t="inlineStr">
        <is>
          <t>PriceCharting + TCGplayer</t>
        </is>
      </c>
      <c r="N2285" s="4" t="inlineStr">
        <is>
          <t>https://www.pricecharting.com/game/pokemon-paldean-fates/mini-tin-smoliv</t>
        </is>
      </c>
      <c r="O2285" s="4" t="inlineStr">
        <is>
          <t>https://www.tcgplayer.com/product/528049</t>
        </is>
      </c>
    </row>
    <row r="2286">
      <c r="A2286" s="2" t="inlineStr">
        <is>
          <t>Paldean Fates Mini Tin [Tinkatink]</t>
        </is>
      </c>
      <c r="B2286" s="3">
        <f>IF(I2286&lt;&gt;"",I2286,IF(J2286&lt;&gt;"",J2286,IF(K2286&lt;&gt;"",K2286,L2286)))</f>
        <v>53.0</v>
      </c>
      <c r="C2286" s="3">
        <f>MEDIAN(I2286:L2286)</f>
        <v>60.975</v>
      </c>
      <c r="D2286" s="3">
        <f>ROUND(C2286*(1-Settings!$B$2),2)</f>
        <v>42.68</v>
      </c>
      <c r="E2286" s="3">
        <f>ROUND(C2286*(1-Settings!$B$3),2)</f>
        <v>42.68</v>
      </c>
      <c r="F2286" s="2" t="inlineStr">
        <is>
          <t>Pokemon</t>
        </is>
      </c>
      <c r="G2286" s="2" t="inlineStr">
        <is>
          <t>Coffret</t>
        </is>
      </c>
      <c r="H2286" s="2" t="inlineStr">
        <is>
          <t>SV: Paldean Fates</t>
        </is>
      </c>
      <c r="I2286" s="3" t="n">
        <v>53</v>
      </c>
      <c r="J2286" s="3" t="n">
        <v>50.63</v>
      </c>
      <c r="K2286" s="3" t="n">
        <v>93.47</v>
      </c>
      <c r="L2286" s="3" t="n">
        <v>68.95</v>
      </c>
      <c r="M2286" s="2" t="inlineStr">
        <is>
          <t>PriceCharting + TCGplayer</t>
        </is>
      </c>
      <c r="N2286" s="4" t="inlineStr">
        <is>
          <t>https://www.pricecharting.com/game/pokemon-paldean-fates/mini-tin-tinkatink</t>
        </is>
      </c>
      <c r="O2286" s="4" t="inlineStr">
        <is>
          <t>https://www.tcgplayer.com/product/528052</t>
        </is>
      </c>
    </row>
    <row r="2287">
      <c r="A2287" s="2" t="inlineStr">
        <is>
          <t>Paldean Fates Pokemon Center Elite Trainer Box (Exclusive)</t>
        </is>
      </c>
      <c r="B2287" s="3">
        <f>IF(I2287&lt;&gt;"",I2287,IF(J2287&lt;&gt;"",J2287,IF(K2287&lt;&gt;"",K2287,L2287)))</f>
        <v>548.48</v>
      </c>
      <c r="C2287" s="3">
        <f>MEDIAN(I2287:L2287)</f>
        <v>548.48</v>
      </c>
      <c r="D2287" s="3">
        <f>ROUND(C2287*(1-Settings!$B$2),2)</f>
        <v>383.94</v>
      </c>
      <c r="E2287" s="3">
        <f>ROUND(C2287*(1-Settings!$B$3),2)</f>
        <v>383.94</v>
      </c>
      <c r="F2287" s="2" t="inlineStr">
        <is>
          <t>Pokemon</t>
        </is>
      </c>
      <c r="G2287" s="2" t="inlineStr">
        <is>
          <t>Coffret</t>
        </is>
      </c>
      <c r="H2287" s="2" t="inlineStr">
        <is>
          <t>SV: Paldean Fates</t>
        </is>
      </c>
      <c r="I2287" s="3" t="n"/>
      <c r="J2287" s="3" t="n">
        <v>548.48</v>
      </c>
      <c r="K2287" s="3" t="n">
        <v>649.99</v>
      </c>
      <c r="L2287" s="3" t="n">
        <v>544.99</v>
      </c>
      <c r="M2287" s="2" t="inlineStr">
        <is>
          <t>TCGplayer</t>
        </is>
      </c>
      <c r="O2287" s="4" t="inlineStr">
        <is>
          <t>https://www.tcgplayer.com/product/528039</t>
        </is>
      </c>
    </row>
    <row r="2288">
      <c r="A2288" s="2" t="inlineStr">
        <is>
          <t>Paldean Fates Premium Collection [Meowscarada ex]</t>
        </is>
      </c>
      <c r="B2288" s="3">
        <f>IF(I2288&lt;&gt;"",I2288,IF(J2288&lt;&gt;"",J2288,IF(K2288&lt;&gt;"",K2288,L2288)))</f>
        <v>230.93</v>
      </c>
      <c r="C2288" s="3">
        <f>MEDIAN(I2288:L2288)</f>
        <v>277.0</v>
      </c>
      <c r="D2288" s="3">
        <f>ROUND(C2288*(1-Settings!$B$2),2)</f>
        <v>193.9</v>
      </c>
      <c r="E2288" s="3">
        <f>ROUND(C2288*(1-Settings!$B$3),2)</f>
        <v>193.9</v>
      </c>
      <c r="F2288" s="2" t="inlineStr">
        <is>
          <t>Pokemon</t>
        </is>
      </c>
      <c r="G2288" s="2" t="inlineStr">
        <is>
          <t>Coffret</t>
        </is>
      </c>
      <c r="H2288" s="2" t="inlineStr">
        <is>
          <t>SV: Paldean Fates</t>
        </is>
      </c>
      <c r="I2288" s="3" t="n"/>
      <c r="J2288" s="3" t="n">
        <v>230.93</v>
      </c>
      <c r="K2288" s="3" t="n">
        <v>339.95</v>
      </c>
      <c r="L2288" s="3" t="n">
        <v>277</v>
      </c>
      <c r="M2288" s="2" t="inlineStr">
        <is>
          <t>TCGplayer</t>
        </is>
      </c>
      <c r="O2288" s="4" t="inlineStr">
        <is>
          <t>https://www.tcgplayer.com/product/528079</t>
        </is>
      </c>
    </row>
    <row r="2289">
      <c r="A2289" s="2" t="inlineStr">
        <is>
          <t>Paldean Fates Premium Collection [Quaquaval ex]</t>
        </is>
      </c>
      <c r="B2289" s="3">
        <f>IF(I2289&lt;&gt;"",I2289,IF(J2289&lt;&gt;"",J2289,IF(K2289&lt;&gt;"",K2289,L2289)))</f>
        <v>223.36</v>
      </c>
      <c r="C2289" s="3">
        <f>MEDIAN(I2289:L2289)</f>
        <v>223.36</v>
      </c>
      <c r="D2289" s="3">
        <f>ROUND(C2289*(1-Settings!$B$2),2)</f>
        <v>156.35</v>
      </c>
      <c r="E2289" s="3">
        <f>ROUND(C2289*(1-Settings!$B$3),2)</f>
        <v>156.35</v>
      </c>
      <c r="F2289" s="2" t="inlineStr">
        <is>
          <t>Pokemon</t>
        </is>
      </c>
      <c r="G2289" s="2" t="inlineStr">
        <is>
          <t>Coffret</t>
        </is>
      </c>
      <c r="H2289" s="2" t="inlineStr">
        <is>
          <t>SV: Paldean Fates</t>
        </is>
      </c>
      <c r="I2289" s="3" t="n"/>
      <c r="J2289" s="3" t="n">
        <v>223.36</v>
      </c>
      <c r="K2289" s="3" t="n">
        <v>250</v>
      </c>
      <c r="L2289" s="3" t="n">
        <v>223.36</v>
      </c>
      <c r="M2289" s="2" t="inlineStr">
        <is>
          <t>TCGplayer</t>
        </is>
      </c>
      <c r="O2289" s="4" t="inlineStr">
        <is>
          <t>https://www.tcgplayer.com/product/528082</t>
        </is>
      </c>
    </row>
    <row r="2290">
      <c r="A2290" s="2" t="inlineStr">
        <is>
          <t>Paldean Fates Premium Collection [Set of 3]</t>
        </is>
      </c>
      <c r="B2290" s="3">
        <f>IF(I2290&lt;&gt;"",I2290,IF(J2290&lt;&gt;"",J2290,IF(K2290&lt;&gt;"",K2290,L2290)))</f>
        <v>790.82</v>
      </c>
      <c r="C2290" s="3">
        <f>MEDIAN(I2290:L2290)</f>
        <v>798.0</v>
      </c>
      <c r="D2290" s="3">
        <f>ROUND(C2290*(1-Settings!$B$2),2)</f>
        <v>558.6</v>
      </c>
      <c r="E2290" s="3">
        <f>ROUND(C2290*(1-Settings!$B$3),2)</f>
        <v>558.6</v>
      </c>
      <c r="F2290" s="2" t="inlineStr">
        <is>
          <t>Pokemon</t>
        </is>
      </c>
      <c r="G2290" s="2" t="inlineStr">
        <is>
          <t>Coffret</t>
        </is>
      </c>
      <c r="H2290" s="2" t="inlineStr">
        <is>
          <t>SV: Paldean Fates</t>
        </is>
      </c>
      <c r="I2290" s="3" t="n"/>
      <c r="J2290" s="3" t="n">
        <v>790.8200000000001</v>
      </c>
      <c r="K2290" s="3" t="n">
        <v>830</v>
      </c>
      <c r="L2290" s="3" t="n">
        <v>798</v>
      </c>
      <c r="M2290" s="2" t="inlineStr">
        <is>
          <t>TCGplayer</t>
        </is>
      </c>
      <c r="O2290" s="4" t="inlineStr">
        <is>
          <t>https://www.tcgplayer.com/product/528324</t>
        </is>
      </c>
    </row>
    <row r="2291">
      <c r="A2291" s="2" t="inlineStr">
        <is>
          <t>Paldean Fates Premium Collection [Skeledirge ex]</t>
        </is>
      </c>
      <c r="B2291" s="3">
        <f>IF(I2291&lt;&gt;"",I2291,IF(J2291&lt;&gt;"",J2291,IF(K2291&lt;&gt;"",K2291,L2291)))</f>
        <v>238.42</v>
      </c>
      <c r="C2291" s="3">
        <f>MEDIAN(I2291:L2291)</f>
        <v>284.0</v>
      </c>
      <c r="D2291" s="3">
        <f>ROUND(C2291*(1-Settings!$B$2),2)</f>
        <v>198.8</v>
      </c>
      <c r="E2291" s="3">
        <f>ROUND(C2291*(1-Settings!$B$3),2)</f>
        <v>198.8</v>
      </c>
      <c r="F2291" s="2" t="inlineStr">
        <is>
          <t>Pokemon</t>
        </is>
      </c>
      <c r="G2291" s="2" t="inlineStr">
        <is>
          <t>Coffret</t>
        </is>
      </c>
      <c r="H2291" s="2" t="inlineStr">
        <is>
          <t>SV: Paldean Fates</t>
        </is>
      </c>
      <c r="I2291" s="3" t="n"/>
      <c r="J2291" s="3" t="n">
        <v>238.42</v>
      </c>
      <c r="K2291" s="3" t="n">
        <v>299.49</v>
      </c>
      <c r="L2291" s="3" t="n">
        <v>284</v>
      </c>
      <c r="M2291" s="2" t="inlineStr">
        <is>
          <t>TCGplayer</t>
        </is>
      </c>
      <c r="O2291" s="4" t="inlineStr">
        <is>
          <t>https://www.tcgplayer.com/product/528080</t>
        </is>
      </c>
    </row>
    <row r="2292">
      <c r="A2292" s="2" t="inlineStr">
        <is>
          <t>Paldean Fates Tech Sticker Collection [Fidough]</t>
        </is>
      </c>
      <c r="B2292" s="3">
        <f>IF(I2292&lt;&gt;"",I2292,IF(J2292&lt;&gt;"",J2292,IF(K2292&lt;&gt;"",K2292,L2292)))</f>
        <v>70.99</v>
      </c>
      <c r="C2292" s="3">
        <f>MEDIAN(I2292:L2292)</f>
        <v>72.28</v>
      </c>
      <c r="D2292" s="3">
        <f>ROUND(C2292*(1-Settings!$B$2),2)</f>
        <v>50.6</v>
      </c>
      <c r="E2292" s="3">
        <f>ROUND(C2292*(1-Settings!$B$3),2)</f>
        <v>50.6</v>
      </c>
      <c r="F2292" s="2" t="inlineStr">
        <is>
          <t>Pokemon</t>
        </is>
      </c>
      <c r="G2292" s="2" t="inlineStr">
        <is>
          <t>Coffret</t>
        </is>
      </c>
      <c r="H2292" s="2" t="inlineStr">
        <is>
          <t>SV: Paldean Fates</t>
        </is>
      </c>
      <c r="I2292" s="3" t="n">
        <v>70.98999999999999</v>
      </c>
      <c r="J2292" s="3" t="n">
        <v>73.56999999999999</v>
      </c>
      <c r="K2292" s="3" t="n">
        <v>75.77</v>
      </c>
      <c r="L2292" s="3" t="n">
        <v>64.98999999999999</v>
      </c>
      <c r="M2292" s="2" t="inlineStr">
        <is>
          <t>PriceCharting + TCGplayer</t>
        </is>
      </c>
      <c r="N2292" s="4" t="inlineStr">
        <is>
          <t>https://www.pricecharting.com/game/pokemon-paldean-fates/tech-sticker-collection-fidough</t>
        </is>
      </c>
      <c r="O2292" s="4" t="inlineStr">
        <is>
          <t>https://www.tcgplayer.com/product/528043</t>
        </is>
      </c>
    </row>
    <row r="2293">
      <c r="A2293" s="2" t="inlineStr">
        <is>
          <t>Paldean Fates Tech Sticker Collection [Greavard]</t>
        </is>
      </c>
      <c r="B2293" s="3">
        <f>IF(I2293&lt;&gt;"",I2293,IF(J2293&lt;&gt;"",J2293,IF(K2293&lt;&gt;"",K2293,L2293)))</f>
        <v>74.5</v>
      </c>
      <c r="C2293" s="3">
        <f>MEDIAN(I2293:L2293)</f>
        <v>73.33500000000001</v>
      </c>
      <c r="D2293" s="3">
        <f>ROUND(C2293*(1-Settings!$B$2),2)</f>
        <v>51.33</v>
      </c>
      <c r="E2293" s="3">
        <f>ROUND(C2293*(1-Settings!$B$3),2)</f>
        <v>51.33</v>
      </c>
      <c r="F2293" s="2" t="inlineStr">
        <is>
          <t>Pokemon</t>
        </is>
      </c>
      <c r="G2293" s="2" t="inlineStr">
        <is>
          <t>Coffret</t>
        </is>
      </c>
      <c r="H2293" s="2" t="inlineStr">
        <is>
          <t>SV: Paldean Fates</t>
        </is>
      </c>
      <c r="I2293" s="3" t="n">
        <v>74.5</v>
      </c>
      <c r="J2293" s="3" t="n">
        <v>72.17</v>
      </c>
      <c r="K2293" s="3" t="n">
        <v>79.98</v>
      </c>
      <c r="L2293" s="3" t="n">
        <v>71.52</v>
      </c>
      <c r="M2293" s="2" t="inlineStr">
        <is>
          <t>PriceCharting + TCGplayer</t>
        </is>
      </c>
      <c r="N2293" s="4" t="inlineStr">
        <is>
          <t>https://www.pricecharting.com/game/pokemon-paldean-fates/tech-sticker-collection-greavard</t>
        </is>
      </c>
      <c r="O2293" s="4" t="inlineStr">
        <is>
          <t>https://www.tcgplayer.com/product/528045</t>
        </is>
      </c>
    </row>
    <row r="2294">
      <c r="A2294" s="2" t="inlineStr">
        <is>
          <t>Paldean Fates Tech Sticker Collection [Maschiff]</t>
        </is>
      </c>
      <c r="B2294" s="3">
        <f>IF(I2294&lt;&gt;"",I2294,IF(J2294&lt;&gt;"",J2294,IF(K2294&lt;&gt;"",K2294,L2294)))</f>
        <v>69.99</v>
      </c>
      <c r="C2294" s="3">
        <f>MEDIAN(I2294:L2294)</f>
        <v>70.735</v>
      </c>
      <c r="D2294" s="3">
        <f>ROUND(C2294*(1-Settings!$B$2),2)</f>
        <v>49.51</v>
      </c>
      <c r="E2294" s="3">
        <f>ROUND(C2294*(1-Settings!$B$3),2)</f>
        <v>49.51</v>
      </c>
      <c r="F2294" s="2" t="inlineStr">
        <is>
          <t>Pokemon</t>
        </is>
      </c>
      <c r="G2294" s="2" t="inlineStr">
        <is>
          <t>Coffret</t>
        </is>
      </c>
      <c r="H2294" s="2" t="inlineStr">
        <is>
          <t>SV: Paldean Fates</t>
        </is>
      </c>
      <c r="I2294" s="3" t="n">
        <v>69.98999999999999</v>
      </c>
      <c r="J2294" s="3" t="n">
        <v>71.48</v>
      </c>
      <c r="K2294" s="3" t="n">
        <v>74.98999999999999</v>
      </c>
      <c r="L2294" s="3" t="n">
        <v>4</v>
      </c>
      <c r="M2294" s="2" t="inlineStr">
        <is>
          <t>PriceCharting + TCGplayer</t>
        </is>
      </c>
      <c r="N2294" s="4" t="inlineStr">
        <is>
          <t>https://www.pricecharting.com/game/pokemon-paldean-fates/tech-sticker-collection-maschiff</t>
        </is>
      </c>
      <c r="O2294" s="4" t="inlineStr">
        <is>
          <t>https://www.tcgplayer.com/product/528044</t>
        </is>
      </c>
    </row>
    <row r="2295">
      <c r="A2295" s="2" t="inlineStr">
        <is>
          <t>Paldean Fates Tin [Charizard ex]</t>
        </is>
      </c>
      <c r="B2295" s="3">
        <f>IF(I2295&lt;&gt;"",I2295,IF(J2295&lt;&gt;"",J2295,IF(K2295&lt;&gt;"",K2295,L2295)))</f>
        <v>199.92</v>
      </c>
      <c r="C2295" s="3">
        <f>MEDIAN(I2295:L2295)</f>
        <v>199.92</v>
      </c>
      <c r="D2295" s="3">
        <f>ROUND(C2295*(1-Settings!$B$2),2)</f>
        <v>139.94</v>
      </c>
      <c r="E2295" s="3">
        <f>ROUND(C2295*(1-Settings!$B$3),2)</f>
        <v>139.94</v>
      </c>
      <c r="F2295" s="2" t="inlineStr">
        <is>
          <t>Pokemon</t>
        </is>
      </c>
      <c r="G2295" s="2" t="inlineStr">
        <is>
          <t>Coffret</t>
        </is>
      </c>
      <c r="H2295" s="2" t="inlineStr">
        <is>
          <t>SV: Paldean Fates</t>
        </is>
      </c>
      <c r="I2295" s="3" t="n"/>
      <c r="J2295" s="3" t="n">
        <v>199.92</v>
      </c>
      <c r="K2295" s="3" t="n">
        <v>210.99</v>
      </c>
      <c r="L2295" s="3" t="n">
        <v>5.99</v>
      </c>
      <c r="M2295" s="2" t="inlineStr">
        <is>
          <t>TCGplayer</t>
        </is>
      </c>
      <c r="O2295" s="4" t="inlineStr">
        <is>
          <t>https://www.tcgplayer.com/product/528056</t>
        </is>
      </c>
    </row>
    <row r="2296">
      <c r="A2296" s="2" t="inlineStr">
        <is>
          <t>Paldean Fates Tin [Great Tusk ex]</t>
        </is>
      </c>
      <c r="B2296" s="3">
        <f>IF(I2296&lt;&gt;"",I2296,IF(J2296&lt;&gt;"",J2296,IF(K2296&lt;&gt;"",K2296,L2296)))</f>
        <v>138.81</v>
      </c>
      <c r="C2296" s="3">
        <f>MEDIAN(I2296:L2296)</f>
        <v>138.97</v>
      </c>
      <c r="D2296" s="3">
        <f>ROUND(C2296*(1-Settings!$B$2),2)</f>
        <v>97.28</v>
      </c>
      <c r="E2296" s="3">
        <f>ROUND(C2296*(1-Settings!$B$3),2)</f>
        <v>97.28</v>
      </c>
      <c r="F2296" s="2" t="inlineStr">
        <is>
          <t>Pokemon</t>
        </is>
      </c>
      <c r="G2296" s="2" t="inlineStr">
        <is>
          <t>Coffret</t>
        </is>
      </c>
      <c r="H2296" s="2" t="inlineStr">
        <is>
          <t>SV: Paldean Fates</t>
        </is>
      </c>
      <c r="I2296" s="3" t="n"/>
      <c r="J2296" s="3" t="n">
        <v>138.81</v>
      </c>
      <c r="K2296" s="3" t="n">
        <v>145.96</v>
      </c>
      <c r="L2296" s="3" t="n">
        <v>138.97</v>
      </c>
      <c r="M2296" s="2" t="inlineStr">
        <is>
          <t>TCGplayer</t>
        </is>
      </c>
      <c r="O2296" s="4" t="inlineStr">
        <is>
          <t>https://www.tcgplayer.com/product/528057</t>
        </is>
      </c>
    </row>
    <row r="2297">
      <c r="A2297" s="2" t="inlineStr">
        <is>
          <t>Paldean Fates Tin [Iron Treads ex]</t>
        </is>
      </c>
      <c r="B2297" s="3">
        <f>IF(I2297&lt;&gt;"",I2297,IF(J2297&lt;&gt;"",J2297,IF(K2297&lt;&gt;"",K2297,L2297)))</f>
        <v>125.75</v>
      </c>
      <c r="C2297" s="3">
        <f>MEDIAN(I2297:L2297)</f>
        <v>134.99</v>
      </c>
      <c r="D2297" s="3">
        <f>ROUND(C2297*(1-Settings!$B$2),2)</f>
        <v>94.49</v>
      </c>
      <c r="E2297" s="3">
        <f>ROUND(C2297*(1-Settings!$B$3),2)</f>
        <v>94.49</v>
      </c>
      <c r="F2297" s="2" t="inlineStr">
        <is>
          <t>Pokemon</t>
        </is>
      </c>
      <c r="G2297" s="2" t="inlineStr">
        <is>
          <t>Coffret</t>
        </is>
      </c>
      <c r="H2297" s="2" t="inlineStr">
        <is>
          <t>SV: Paldean Fates</t>
        </is>
      </c>
      <c r="I2297" s="3" t="n"/>
      <c r="J2297" s="3" t="n">
        <v>125.75</v>
      </c>
      <c r="K2297" s="3" t="n">
        <v>143.99</v>
      </c>
      <c r="L2297" s="3" t="n">
        <v>134.99</v>
      </c>
      <c r="M2297" s="2" t="inlineStr">
        <is>
          <t>TCGplayer</t>
        </is>
      </c>
      <c r="O2297" s="4" t="inlineStr">
        <is>
          <t>https://www.tcgplayer.com/product/528058</t>
        </is>
      </c>
    </row>
    <row r="2298">
      <c r="A2298" s="2" t="inlineStr">
        <is>
          <t>Premium Trainer Box ex</t>
        </is>
      </c>
      <c r="B2298" s="3">
        <f>IF(I2298&lt;&gt;"",I2298,IF(J2298&lt;&gt;"",J2298,IF(K2298&lt;&gt;"",K2298,L2298)))</f>
        <v>95.57</v>
      </c>
      <c r="C2298" s="3">
        <f>MEDIAN(I2298:L2298)</f>
        <v>107.78</v>
      </c>
      <c r="D2298" s="3">
        <f>ROUND(C2298*(1-Settings!$B$2),2)</f>
        <v>75.45</v>
      </c>
      <c r="E2298" s="3">
        <f>ROUND(C2298*(1-Settings!$B$3),2)</f>
        <v>75.45</v>
      </c>
      <c r="F2298" s="2" t="inlineStr">
        <is>
          <t>Pokemon</t>
        </is>
      </c>
      <c r="G2298" s="2" t="inlineStr">
        <is>
          <t>Coffret</t>
        </is>
      </c>
      <c r="H2298" s="2" t="inlineStr">
        <is>
          <t>SV: Premium Trainer Box ex</t>
        </is>
      </c>
      <c r="I2298" s="3" t="n"/>
      <c r="J2298" s="3" t="n">
        <v>95.56999999999999</v>
      </c>
      <c r="K2298" s="3" t="n"/>
      <c r="L2298" s="3" t="n">
        <v>119.99</v>
      </c>
      <c r="M2298" s="2" t="inlineStr">
        <is>
          <t>TCGplayer</t>
        </is>
      </c>
      <c r="O2298" s="4" t="inlineStr">
        <is>
          <t>https://www.tcgplayer.com/product/594110</t>
        </is>
      </c>
    </row>
    <row r="2299">
      <c r="A2299" s="2" t="inlineStr">
        <is>
          <t>Prismatic Evolutions 2-Pack Blister [Eevee]</t>
        </is>
      </c>
      <c r="B2299" s="3">
        <f>IF(I2299&lt;&gt;"",I2299,IF(J2299&lt;&gt;"",J2299,IF(K2299&lt;&gt;"",K2299,L2299)))</f>
        <v>37.17</v>
      </c>
      <c r="C2299" s="3">
        <f>MEDIAN(I2299:L2299)</f>
        <v>37.17</v>
      </c>
      <c r="D2299" s="3">
        <f>ROUND(C2299*(1-Settings!$B$2),2)</f>
        <v>26.02</v>
      </c>
      <c r="E2299" s="3">
        <f>ROUND(C2299*(1-Settings!$B$3),2)</f>
        <v>26.02</v>
      </c>
      <c r="F2299" s="2" t="inlineStr">
        <is>
          <t>Pokemon</t>
        </is>
      </c>
      <c r="G2299" s="2" t="inlineStr">
        <is>
          <t>Coffret</t>
        </is>
      </c>
      <c r="H2299" s="2" t="inlineStr">
        <is>
          <t>SV: Prismatic Evolutions</t>
        </is>
      </c>
      <c r="I2299" s="3" t="n"/>
      <c r="J2299" s="3" t="n">
        <v>37.17</v>
      </c>
      <c r="K2299" s="3" t="n">
        <v>43.17</v>
      </c>
      <c r="L2299" s="3" t="n">
        <v>1.5</v>
      </c>
      <c r="M2299" s="2" t="inlineStr">
        <is>
          <t>TCGplayer</t>
        </is>
      </c>
      <c r="O2299" s="4" t="inlineStr">
        <is>
          <t>https://www.tcgplayer.com/product/609716</t>
        </is>
      </c>
    </row>
    <row r="2300">
      <c r="A2300" s="2" t="inlineStr">
        <is>
          <t>Prismatic Evolutions Accessory Pouch Special Collection</t>
        </is>
      </c>
      <c r="B2300" s="3">
        <f>IF(I2300&lt;&gt;"",I2300,IF(J2300&lt;&gt;"",J2300,IF(K2300&lt;&gt;"",K2300,L2300)))</f>
        <v>78.07</v>
      </c>
      <c r="C2300" s="3">
        <f>MEDIAN(I2300:L2300)</f>
        <v>78.18</v>
      </c>
      <c r="D2300" s="3">
        <f>ROUND(C2300*(1-Settings!$B$2),2)</f>
        <v>54.73</v>
      </c>
      <c r="E2300" s="3">
        <f>ROUND(C2300*(1-Settings!$B$3),2)</f>
        <v>54.73</v>
      </c>
      <c r="F2300" s="2" t="inlineStr">
        <is>
          <t>Pokemon</t>
        </is>
      </c>
      <c r="G2300" s="2" t="inlineStr">
        <is>
          <t>Coffret</t>
        </is>
      </c>
      <c r="H2300" s="2" t="inlineStr">
        <is>
          <t>SV: Prismatic Evolutions</t>
        </is>
      </c>
      <c r="I2300" s="3" t="n">
        <v>78.06999999999999</v>
      </c>
      <c r="J2300" s="3" t="n">
        <v>78.29000000000001</v>
      </c>
      <c r="K2300" s="3" t="n">
        <v>85</v>
      </c>
      <c r="L2300" s="3" t="n">
        <v>22.49</v>
      </c>
      <c r="M2300" s="2" t="inlineStr">
        <is>
          <t>PriceCharting + TCGplayer</t>
        </is>
      </c>
      <c r="N2300" s="4" t="inlineStr">
        <is>
          <t>https://www.pricecharting.com/game/pokemon-prismatic-evolutions/accessory-pouch-special-collection</t>
        </is>
      </c>
      <c r="O2300" s="4" t="inlineStr">
        <is>
          <t>https://www.tcgplayer.com/product/606881</t>
        </is>
      </c>
    </row>
    <row r="2301">
      <c r="A2301" s="2" t="inlineStr">
        <is>
          <t>Prismatic Evolutions Binder Collection</t>
        </is>
      </c>
      <c r="B2301" s="3">
        <f>IF(I2301&lt;&gt;"",I2301,IF(J2301&lt;&gt;"",J2301,IF(K2301&lt;&gt;"",K2301,L2301)))</f>
        <v>107.08</v>
      </c>
      <c r="C2301" s="3">
        <f>MEDIAN(I2301:L2301)</f>
        <v>107.74000000000001</v>
      </c>
      <c r="D2301" s="3">
        <f>ROUND(C2301*(1-Settings!$B$2),2)</f>
        <v>75.42</v>
      </c>
      <c r="E2301" s="3">
        <f>ROUND(C2301*(1-Settings!$B$3),2)</f>
        <v>75.42</v>
      </c>
      <c r="F2301" s="2" t="inlineStr">
        <is>
          <t>Pokemon</t>
        </is>
      </c>
      <c r="G2301" s="2" t="inlineStr">
        <is>
          <t>Coffret</t>
        </is>
      </c>
      <c r="H2301" s="2" t="inlineStr">
        <is>
          <t>SV: Prismatic Evolutions</t>
        </is>
      </c>
      <c r="I2301" s="3" t="n">
        <v>107.08</v>
      </c>
      <c r="J2301" s="3" t="n">
        <v>108.4</v>
      </c>
      <c r="K2301" s="3" t="n">
        <v>118.4</v>
      </c>
      <c r="L2301" s="3" t="n">
        <v>19.99</v>
      </c>
      <c r="M2301" s="2" t="inlineStr">
        <is>
          <t>PriceCharting + TCGplayer</t>
        </is>
      </c>
      <c r="N2301" s="4" t="inlineStr">
        <is>
          <t>https://www.pricecharting.com/game/pokemon-prismatic-evolutions/binder-collection</t>
        </is>
      </c>
      <c r="O2301" s="4" t="inlineStr">
        <is>
          <t>https://www.tcgplayer.com/product/593356</t>
        </is>
      </c>
    </row>
    <row r="2302">
      <c r="A2302" s="2" t="inlineStr">
        <is>
          <t>Prismatic Evolutions Booster Bundle</t>
        </is>
      </c>
      <c r="B2302" s="3">
        <f>IF(I2302&lt;&gt;"",I2302,IF(J2302&lt;&gt;"",J2302,IF(K2302&lt;&gt;"",K2302,L2302)))</f>
        <v>86.83</v>
      </c>
      <c r="C2302" s="3">
        <f>MEDIAN(I2302:L2302)</f>
        <v>83.625</v>
      </c>
      <c r="D2302" s="3">
        <f>ROUND(C2302*(1-Settings!$B$2),2)</f>
        <v>58.54</v>
      </c>
      <c r="E2302" s="3">
        <f>ROUND(C2302*(1-Settings!$B$3),2)</f>
        <v>58.54</v>
      </c>
      <c r="F2302" s="2" t="inlineStr">
        <is>
          <t>Pokemon</t>
        </is>
      </c>
      <c r="G2302" s="2" t="inlineStr">
        <is>
          <t>Coffret</t>
        </is>
      </c>
      <c r="H2302" s="2" t="inlineStr">
        <is>
          <t>SV: Prismatic Evolutions</t>
        </is>
      </c>
      <c r="I2302" s="3" t="n">
        <v>86.83</v>
      </c>
      <c r="J2302" s="3" t="n">
        <v>80.42</v>
      </c>
      <c r="K2302" s="3" t="n">
        <v>96.78</v>
      </c>
      <c r="L2302" s="3" t="n">
        <v>5</v>
      </c>
      <c r="M2302" s="2" t="inlineStr">
        <is>
          <t>PriceCharting + TCGplayer</t>
        </is>
      </c>
      <c r="N2302" s="4" t="inlineStr">
        <is>
          <t>https://www.pricecharting.com/game/pokemon-prismatic-evolutions/booster-bundle</t>
        </is>
      </c>
      <c r="O2302" s="4" t="inlineStr">
        <is>
          <t>https://www.tcgplayer.com/product/600518</t>
        </is>
      </c>
    </row>
    <row r="2303">
      <c r="A2303" s="2" t="inlineStr">
        <is>
          <t>Prismatic Evolutions Booster Bundle + Surprise Box Bundle (Sam's Club)</t>
        </is>
      </c>
      <c r="B2303" s="3">
        <f>IF(I2303&lt;&gt;"",I2303,IF(J2303&lt;&gt;"",J2303,IF(K2303&lt;&gt;"",K2303,L2303)))</f>
        <v>150.18</v>
      </c>
      <c r="C2303" s="3">
        <f>MEDIAN(I2303:L2303)</f>
        <v>150.18</v>
      </c>
      <c r="D2303" s="3">
        <f>ROUND(C2303*(1-Settings!$B$2),2)</f>
        <v>105.13</v>
      </c>
      <c r="E2303" s="3">
        <f>ROUND(C2303*(1-Settings!$B$3),2)</f>
        <v>105.13</v>
      </c>
      <c r="F2303" s="2" t="inlineStr">
        <is>
          <t>Pokemon</t>
        </is>
      </c>
      <c r="G2303" s="2" t="inlineStr">
        <is>
          <t>Coffret</t>
        </is>
      </c>
      <c r="H2303" s="2" t="inlineStr">
        <is>
          <t>SV: Prismatic Evolutions</t>
        </is>
      </c>
      <c r="I2303" s="3" t="n"/>
      <c r="J2303" s="3" t="n">
        <v>150.18</v>
      </c>
      <c r="K2303" s="3" t="n">
        <v>158.5</v>
      </c>
      <c r="L2303" s="3" t="n">
        <v>139.5</v>
      </c>
      <c r="M2303" s="2" t="inlineStr">
        <is>
          <t>TCGplayer</t>
        </is>
      </c>
      <c r="O2303" s="4" t="inlineStr">
        <is>
          <t>https://www.tcgplayer.com/product/678555</t>
        </is>
      </c>
    </row>
    <row r="2304">
      <c r="A2304" s="2" t="inlineStr">
        <is>
          <t>Prismatic Evolutions Booster Pack Art Bundle [Set of 4]</t>
        </is>
      </c>
      <c r="B2304" s="3">
        <f>IF(I2304&lt;&gt;"",I2304,IF(J2304&lt;&gt;"",J2304,IF(K2304&lt;&gt;"",K2304,L2304)))</f>
        <v>59.32</v>
      </c>
      <c r="C2304" s="3">
        <f>MEDIAN(I2304:L2304)</f>
        <v>59.0</v>
      </c>
      <c r="D2304" s="3">
        <f>ROUND(C2304*(1-Settings!$B$2),2)</f>
        <v>41.3</v>
      </c>
      <c r="E2304" s="3">
        <f>ROUND(C2304*(1-Settings!$B$3),2)</f>
        <v>41.3</v>
      </c>
      <c r="F2304" s="2" t="inlineStr">
        <is>
          <t>Pokemon</t>
        </is>
      </c>
      <c r="G2304" s="2" t="inlineStr">
        <is>
          <t>Coffret</t>
        </is>
      </c>
      <c r="H2304" s="2" t="inlineStr">
        <is>
          <t>SV: Prismatic Evolutions</t>
        </is>
      </c>
      <c r="I2304" s="3" t="n"/>
      <c r="J2304" s="3" t="n">
        <v>59.32</v>
      </c>
      <c r="K2304" s="3" t="n">
        <v>59</v>
      </c>
      <c r="L2304" s="3" t="n">
        <v>58.83</v>
      </c>
      <c r="M2304" s="2" t="inlineStr">
        <is>
          <t>TCGplayer</t>
        </is>
      </c>
      <c r="O2304" s="4" t="inlineStr">
        <is>
          <t>https://www.tcgplayer.com/product/617823</t>
        </is>
      </c>
    </row>
    <row r="2305">
      <c r="A2305" s="2" t="inlineStr">
        <is>
          <t>Prismatic Evolutions Elite Trainer Box</t>
        </is>
      </c>
      <c r="B2305" s="3">
        <f>IF(I2305&lt;&gt;"",I2305,IF(J2305&lt;&gt;"",J2305,IF(K2305&lt;&gt;"",K2305,L2305)))</f>
        <v>136.99</v>
      </c>
      <c r="C2305" s="3">
        <f>MEDIAN(I2305:L2305)</f>
        <v>130.18</v>
      </c>
      <c r="D2305" s="3">
        <f>ROUND(C2305*(1-Settings!$B$2),2)</f>
        <v>91.13</v>
      </c>
      <c r="E2305" s="3">
        <f>ROUND(C2305*(1-Settings!$B$3),2)</f>
        <v>91.13</v>
      </c>
      <c r="F2305" s="2" t="inlineStr">
        <is>
          <t>Pokemon</t>
        </is>
      </c>
      <c r="G2305" s="2" t="inlineStr">
        <is>
          <t>Coffret</t>
        </is>
      </c>
      <c r="H2305" s="2" t="inlineStr">
        <is>
          <t>SV: Prismatic Evolutions</t>
        </is>
      </c>
      <c r="I2305" s="3" t="n">
        <v>136.99</v>
      </c>
      <c r="J2305" s="3" t="n">
        <v>123.37</v>
      </c>
      <c r="K2305" s="3" t="n">
        <v>175</v>
      </c>
      <c r="L2305" s="3" t="n">
        <v>1.99</v>
      </c>
      <c r="M2305" s="2" t="inlineStr">
        <is>
          <t>PriceCharting + TCGplayer</t>
        </is>
      </c>
      <c r="N2305" s="4" t="inlineStr">
        <is>
          <t>https://www.pricecharting.com/game/pokemon-prismatic-evolutions/elite-trainer-box</t>
        </is>
      </c>
      <c r="O2305" s="4" t="inlineStr">
        <is>
          <t>https://www.tcgplayer.com/product/593355</t>
        </is>
      </c>
    </row>
    <row r="2306">
      <c r="A2306" s="2" t="inlineStr">
        <is>
          <t>Prismatic Evolutions Elite Trainer Box (Dollar General Exclusive)</t>
        </is>
      </c>
      <c r="B2306" s="3">
        <f>IF(I2306&lt;&gt;"",I2306,IF(J2306&lt;&gt;"",J2306,IF(K2306&lt;&gt;"",K2306,L2306)))</f>
        <v>198.83</v>
      </c>
      <c r="C2306" s="3">
        <f>MEDIAN(I2306:L2306)</f>
        <v>184.97</v>
      </c>
      <c r="D2306" s="3">
        <f>ROUND(C2306*(1-Settings!$B$2),2)</f>
        <v>129.48</v>
      </c>
      <c r="E2306" s="3">
        <f>ROUND(C2306*(1-Settings!$B$3),2)</f>
        <v>129.48</v>
      </c>
      <c r="F2306" s="2" t="inlineStr">
        <is>
          <t>Pokemon</t>
        </is>
      </c>
      <c r="G2306" s="2" t="inlineStr">
        <is>
          <t>Coffret</t>
        </is>
      </c>
      <c r="H2306" s="2" t="inlineStr">
        <is>
          <t>SV: Prismatic Evolutions</t>
        </is>
      </c>
      <c r="I2306" s="3" t="n"/>
      <c r="J2306" s="3" t="n">
        <v>198.83</v>
      </c>
      <c r="K2306" s="3" t="n">
        <v>184.97</v>
      </c>
      <c r="L2306" s="3" t="n">
        <v>160</v>
      </c>
      <c r="M2306" s="2" t="inlineStr">
        <is>
          <t>TCGplayer</t>
        </is>
      </c>
      <c r="O2306" s="4" t="inlineStr">
        <is>
          <t>https://www.tcgplayer.com/product/670607</t>
        </is>
      </c>
    </row>
    <row r="2307">
      <c r="A2307" s="2" t="inlineStr">
        <is>
          <t>Prismatic Evolutions Mini Tin [Espeon]</t>
        </is>
      </c>
      <c r="B2307" s="3">
        <f>IF(I2307&lt;&gt;"",I2307,IF(J2307&lt;&gt;"",J2307,IF(K2307&lt;&gt;"",K2307,L2307)))</f>
        <v>37.49</v>
      </c>
      <c r="C2307" s="3">
        <f>MEDIAN(I2307:L2307)</f>
        <v>37.93</v>
      </c>
      <c r="D2307" s="3">
        <f>ROUND(C2307*(1-Settings!$B$2),2)</f>
        <v>26.55</v>
      </c>
      <c r="E2307" s="3">
        <f>ROUND(C2307*(1-Settings!$B$3),2)</f>
        <v>26.55</v>
      </c>
      <c r="F2307" s="2" t="inlineStr">
        <is>
          <t>Pokemon</t>
        </is>
      </c>
      <c r="G2307" s="2" t="inlineStr">
        <is>
          <t>Coffret</t>
        </is>
      </c>
      <c r="H2307" s="2" t="inlineStr">
        <is>
          <t>SV: Prismatic Evolutions</t>
        </is>
      </c>
      <c r="I2307" s="3" t="n">
        <v>37.49</v>
      </c>
      <c r="J2307" s="3" t="n">
        <v>38.37</v>
      </c>
      <c r="K2307" s="3" t="n">
        <v>38.91</v>
      </c>
      <c r="L2307" s="3" t="n">
        <v>21</v>
      </c>
      <c r="M2307" s="2" t="inlineStr">
        <is>
          <t>PriceCharting + TCGplayer</t>
        </is>
      </c>
      <c r="N2307" s="4" t="inlineStr">
        <is>
          <t>https://www.pricecharting.com/game/pokemon-prismatic-evolutions/mini-tin-espeon</t>
        </is>
      </c>
      <c r="O2307" s="4" t="inlineStr">
        <is>
          <t>https://www.tcgplayer.com/product/593458</t>
        </is>
      </c>
    </row>
    <row r="2308">
      <c r="A2308" s="2" t="inlineStr">
        <is>
          <t>Prismatic Evolutions Mini Tin [Flareon]</t>
        </is>
      </c>
      <c r="B2308" s="3">
        <f>IF(I2308&lt;&gt;"",I2308,IF(J2308&lt;&gt;"",J2308,IF(K2308&lt;&gt;"",K2308,L2308)))</f>
        <v>35.99</v>
      </c>
      <c r="C2308" s="3">
        <f>MEDIAN(I2308:L2308)</f>
        <v>34.975</v>
      </c>
      <c r="D2308" s="3">
        <f>ROUND(C2308*(1-Settings!$B$2),2)</f>
        <v>24.48</v>
      </c>
      <c r="E2308" s="3">
        <f>ROUND(C2308*(1-Settings!$B$3),2)</f>
        <v>24.48</v>
      </c>
      <c r="F2308" s="2" t="inlineStr">
        <is>
          <t>Pokemon</t>
        </is>
      </c>
      <c r="G2308" s="2" t="inlineStr">
        <is>
          <t>Coffret</t>
        </is>
      </c>
      <c r="H2308" s="2" t="inlineStr">
        <is>
          <t>SV: Prismatic Evolutions</t>
        </is>
      </c>
      <c r="I2308" s="3" t="n">
        <v>35.99</v>
      </c>
      <c r="J2308" s="3" t="n">
        <v>33.96</v>
      </c>
      <c r="K2308" s="3" t="n">
        <v>36.49</v>
      </c>
      <c r="L2308" s="3" t="n">
        <v>9.99</v>
      </c>
      <c r="M2308" s="2" t="inlineStr">
        <is>
          <t>PriceCharting + TCGplayer</t>
        </is>
      </c>
      <c r="N2308" s="4" t="inlineStr">
        <is>
          <t>https://www.pricecharting.com/game/pokemon-prismatic-evolutions/mini-tin-flareon</t>
        </is>
      </c>
      <c r="O2308" s="4" t="inlineStr">
        <is>
          <t>https://www.tcgplayer.com/product/593457</t>
        </is>
      </c>
    </row>
    <row r="2309">
      <c r="A2309" s="2" t="inlineStr">
        <is>
          <t>Prismatic Evolutions Mini Tin [Glaceon]</t>
        </is>
      </c>
      <c r="B2309" s="3">
        <f>IF(I2309&lt;&gt;"",I2309,IF(J2309&lt;&gt;"",J2309,IF(K2309&lt;&gt;"",K2309,L2309)))</f>
        <v>36.99</v>
      </c>
      <c r="C2309" s="3">
        <f>MEDIAN(I2309:L2309)</f>
        <v>37.5</v>
      </c>
      <c r="D2309" s="3">
        <f>ROUND(C2309*(1-Settings!$B$2),2)</f>
        <v>26.25</v>
      </c>
      <c r="E2309" s="3">
        <f>ROUND(C2309*(1-Settings!$B$3),2)</f>
        <v>26.25</v>
      </c>
      <c r="F2309" s="2" t="inlineStr">
        <is>
          <t>Pokemon</t>
        </is>
      </c>
      <c r="G2309" s="2" t="inlineStr">
        <is>
          <t>Coffret</t>
        </is>
      </c>
      <c r="H2309" s="2" t="inlineStr">
        <is>
          <t>SV: Prismatic Evolutions</t>
        </is>
      </c>
      <c r="I2309" s="3" t="n">
        <v>36.99</v>
      </c>
      <c r="J2309" s="3" t="n">
        <v>38.01</v>
      </c>
      <c r="K2309" s="3" t="n">
        <v>42</v>
      </c>
      <c r="L2309" s="3" t="n">
        <v>10.99</v>
      </c>
      <c r="M2309" s="2" t="inlineStr">
        <is>
          <t>PriceCharting + TCGplayer</t>
        </is>
      </c>
      <c r="N2309" s="4" t="inlineStr">
        <is>
          <t>https://www.pricecharting.com/game/pokemon-prismatic-evolutions/mini-tin-glaceon</t>
        </is>
      </c>
      <c r="O2309" s="4" t="inlineStr">
        <is>
          <t>https://www.tcgplayer.com/product/593461</t>
        </is>
      </c>
    </row>
    <row r="2310">
      <c r="A2310" s="2" t="inlineStr">
        <is>
          <t>Prismatic Evolutions Mini Tin [Jolteon]</t>
        </is>
      </c>
      <c r="B2310" s="3">
        <f>IF(I2310&lt;&gt;"",I2310,IF(J2310&lt;&gt;"",J2310,IF(K2310&lt;&gt;"",K2310,L2310)))</f>
        <v>33.9</v>
      </c>
      <c r="C2310" s="3">
        <f>MEDIAN(I2310:L2310)</f>
        <v>34.055</v>
      </c>
      <c r="D2310" s="3">
        <f>ROUND(C2310*(1-Settings!$B$2),2)</f>
        <v>23.84</v>
      </c>
      <c r="E2310" s="3">
        <f>ROUND(C2310*(1-Settings!$B$3),2)</f>
        <v>23.84</v>
      </c>
      <c r="F2310" s="2" t="inlineStr">
        <is>
          <t>Pokemon</t>
        </is>
      </c>
      <c r="G2310" s="2" t="inlineStr">
        <is>
          <t>Coffret</t>
        </is>
      </c>
      <c r="H2310" s="2" t="inlineStr">
        <is>
          <t>SV: Prismatic Evolutions</t>
        </is>
      </c>
      <c r="I2310" s="3" t="n">
        <v>33.9</v>
      </c>
      <c r="J2310" s="3" t="n">
        <v>34.21</v>
      </c>
      <c r="K2310" s="3" t="n">
        <v>35.92</v>
      </c>
      <c r="L2310" s="3" t="n">
        <v>10.99</v>
      </c>
      <c r="M2310" s="2" t="inlineStr">
        <is>
          <t>PriceCharting + TCGplayer</t>
        </is>
      </c>
      <c r="N2310" s="4" t="inlineStr">
        <is>
          <t>https://www.pricecharting.com/game/pokemon-prismatic-evolutions/mini-tin-jolteon</t>
        </is>
      </c>
      <c r="O2310" s="4" t="inlineStr">
        <is>
          <t>https://www.tcgplayer.com/product/593456</t>
        </is>
      </c>
    </row>
    <row r="2311">
      <c r="A2311" s="2" t="inlineStr">
        <is>
          <t>Prismatic Evolutions Mini Tin [Leafeon]</t>
        </is>
      </c>
      <c r="B2311" s="3">
        <f>IF(I2311&lt;&gt;"",I2311,IF(J2311&lt;&gt;"",J2311,IF(K2311&lt;&gt;"",K2311,L2311)))</f>
        <v>34.68</v>
      </c>
      <c r="C2311" s="3">
        <f>MEDIAN(I2311:L2311)</f>
        <v>36.35</v>
      </c>
      <c r="D2311" s="3">
        <f>ROUND(C2311*(1-Settings!$B$2),2)</f>
        <v>25.45</v>
      </c>
      <c r="E2311" s="3">
        <f>ROUND(C2311*(1-Settings!$B$3),2)</f>
        <v>25.45</v>
      </c>
      <c r="F2311" s="2" t="inlineStr">
        <is>
          <t>Pokemon</t>
        </is>
      </c>
      <c r="G2311" s="2" t="inlineStr">
        <is>
          <t>Coffret</t>
        </is>
      </c>
      <c r="H2311" s="2" t="inlineStr">
        <is>
          <t>SV: Prismatic Evolutions</t>
        </is>
      </c>
      <c r="I2311" s="3" t="n">
        <v>34.68</v>
      </c>
      <c r="J2311" s="3" t="n">
        <v>38</v>
      </c>
      <c r="K2311" s="3" t="n">
        <v>39.99</v>
      </c>
      <c r="L2311" s="3" t="n">
        <v>34.7</v>
      </c>
      <c r="M2311" s="2" t="inlineStr">
        <is>
          <t>PriceCharting + TCGplayer</t>
        </is>
      </c>
      <c r="N2311" s="4" t="inlineStr">
        <is>
          <t>https://www.pricecharting.com/game/pokemon-prismatic-evolutions/mini-tin-leafeon</t>
        </is>
      </c>
      <c r="O2311" s="4" t="inlineStr">
        <is>
          <t>https://www.tcgplayer.com/product/593460</t>
        </is>
      </c>
    </row>
    <row r="2312">
      <c r="A2312" s="2" t="inlineStr">
        <is>
          <t>Prismatic Evolutions Mini Tin [Sylveon]</t>
        </is>
      </c>
      <c r="B2312" s="3">
        <f>IF(I2312&lt;&gt;"",I2312,IF(J2312&lt;&gt;"",J2312,IF(K2312&lt;&gt;"",K2312,L2312)))</f>
        <v>42.0</v>
      </c>
      <c r="C2312" s="3">
        <f>MEDIAN(I2312:L2312)</f>
        <v>42.695</v>
      </c>
      <c r="D2312" s="3">
        <f>ROUND(C2312*(1-Settings!$B$2),2)</f>
        <v>29.89</v>
      </c>
      <c r="E2312" s="3">
        <f>ROUND(C2312*(1-Settings!$B$3),2)</f>
        <v>29.89</v>
      </c>
      <c r="F2312" s="2" t="inlineStr">
        <is>
          <t>Pokemon</t>
        </is>
      </c>
      <c r="G2312" s="2" t="inlineStr">
        <is>
          <t>Coffret</t>
        </is>
      </c>
      <c r="H2312" s="2" t="inlineStr">
        <is>
          <t>SV: Prismatic Evolutions</t>
        </is>
      </c>
      <c r="I2312" s="3" t="n">
        <v>42</v>
      </c>
      <c r="J2312" s="3" t="n">
        <v>43.39</v>
      </c>
      <c r="K2312" s="3" t="n">
        <v>43.99</v>
      </c>
      <c r="L2312" s="3" t="n">
        <v>24.98</v>
      </c>
      <c r="M2312" s="2" t="inlineStr">
        <is>
          <t>PriceCharting + TCGplayer</t>
        </is>
      </c>
      <c r="N2312" s="4" t="inlineStr">
        <is>
          <t>https://www.pricecharting.com/game/pokemon-prismatic-evolutions/mini-tin-sylveon</t>
        </is>
      </c>
      <c r="O2312" s="4" t="inlineStr">
        <is>
          <t>https://www.tcgplayer.com/product/593462</t>
        </is>
      </c>
    </row>
    <row r="2313">
      <c r="A2313" s="2" t="inlineStr">
        <is>
          <t>Prismatic Evolutions Mini Tin [Umbreon]</t>
        </is>
      </c>
      <c r="B2313" s="3">
        <f>IF(I2313&lt;&gt;"",I2313,IF(J2313&lt;&gt;"",J2313,IF(K2313&lt;&gt;"",K2313,L2313)))</f>
        <v>37.32</v>
      </c>
      <c r="C2313" s="3">
        <f>MEDIAN(I2313:L2313)</f>
        <v>39.36</v>
      </c>
      <c r="D2313" s="3">
        <f>ROUND(C2313*(1-Settings!$B$2),2)</f>
        <v>27.55</v>
      </c>
      <c r="E2313" s="3">
        <f>ROUND(C2313*(1-Settings!$B$3),2)</f>
        <v>27.55</v>
      </c>
      <c r="F2313" s="2" t="inlineStr">
        <is>
          <t>Pokemon</t>
        </is>
      </c>
      <c r="G2313" s="2" t="inlineStr">
        <is>
          <t>Coffret</t>
        </is>
      </c>
      <c r="H2313" s="2" t="inlineStr">
        <is>
          <t>SV: Prismatic Evolutions</t>
        </is>
      </c>
      <c r="I2313" s="3" t="n">
        <v>37.32</v>
      </c>
      <c r="J2313" s="3" t="n">
        <v>41.4</v>
      </c>
      <c r="K2313" s="3" t="n">
        <v>42.37</v>
      </c>
      <c r="L2313" s="3" t="n">
        <v>29.48</v>
      </c>
      <c r="M2313" s="2" t="inlineStr">
        <is>
          <t>PriceCharting + TCGplayer</t>
        </is>
      </c>
      <c r="N2313" s="4" t="inlineStr">
        <is>
          <t>https://www.pricecharting.com/game/pokemon-prismatic-evolutions/mini-tin-umbreon</t>
        </is>
      </c>
      <c r="O2313" s="4" t="inlineStr">
        <is>
          <t>https://www.tcgplayer.com/product/593459</t>
        </is>
      </c>
    </row>
    <row r="2314">
      <c r="A2314" s="2" t="inlineStr">
        <is>
          <t>Prismatic Evolutions Mini Tin [Vaporeon]</t>
        </is>
      </c>
      <c r="B2314" s="3">
        <f>IF(I2314&lt;&gt;"",I2314,IF(J2314&lt;&gt;"",J2314,IF(K2314&lt;&gt;"",K2314,L2314)))</f>
        <v>36.67</v>
      </c>
      <c r="C2314" s="3">
        <f>MEDIAN(I2314:L2314)</f>
        <v>38.165</v>
      </c>
      <c r="D2314" s="3">
        <f>ROUND(C2314*(1-Settings!$B$2),2)</f>
        <v>26.72</v>
      </c>
      <c r="E2314" s="3">
        <f>ROUND(C2314*(1-Settings!$B$3),2)</f>
        <v>26.72</v>
      </c>
      <c r="F2314" s="2" t="inlineStr">
        <is>
          <t>Pokemon</t>
        </is>
      </c>
      <c r="G2314" s="2" t="inlineStr">
        <is>
          <t>Coffret</t>
        </is>
      </c>
      <c r="H2314" s="2" t="inlineStr">
        <is>
          <t>SV: Prismatic Evolutions</t>
        </is>
      </c>
      <c r="I2314" s="3" t="n">
        <v>36.67</v>
      </c>
      <c r="J2314" s="3" t="n">
        <v>39.66</v>
      </c>
      <c r="K2314" s="3" t="n">
        <v>39.98</v>
      </c>
      <c r="L2314" s="3" t="n">
        <v>33.99</v>
      </c>
      <c r="M2314" s="2" t="inlineStr">
        <is>
          <t>PriceCharting + TCGplayer</t>
        </is>
      </c>
      <c r="N2314" s="4" t="inlineStr">
        <is>
          <t>https://www.pricecharting.com/game/pokemon-prismatic-evolutions/mini-tin-vaporeon</t>
        </is>
      </c>
      <c r="O2314" s="4" t="inlineStr">
        <is>
          <t>https://www.tcgplayer.com/product/593455</t>
        </is>
      </c>
    </row>
    <row r="2315">
      <c r="A2315" s="2" t="inlineStr">
        <is>
          <t>Prismatic Evolutions Pokemon Center Elite Trainer Box (Exclusive)</t>
        </is>
      </c>
      <c r="B2315" s="3">
        <f>IF(I2315&lt;&gt;"",I2315,IF(J2315&lt;&gt;"",J2315,IF(K2315&lt;&gt;"",K2315,L2315)))</f>
        <v>404.91</v>
      </c>
      <c r="C2315" s="3">
        <f>MEDIAN(I2315:L2315)</f>
        <v>404.91</v>
      </c>
      <c r="D2315" s="3">
        <f>ROUND(C2315*(1-Settings!$B$2),2)</f>
        <v>283.44</v>
      </c>
      <c r="E2315" s="3">
        <f>ROUND(C2315*(1-Settings!$B$3),2)</f>
        <v>283.44</v>
      </c>
      <c r="F2315" s="2" t="inlineStr">
        <is>
          <t>Pokemon</t>
        </is>
      </c>
      <c r="G2315" s="2" t="inlineStr">
        <is>
          <t>Coffret</t>
        </is>
      </c>
      <c r="H2315" s="2" t="inlineStr">
        <is>
          <t>SV: Prismatic Evolutions</t>
        </is>
      </c>
      <c r="I2315" s="3" t="n"/>
      <c r="J2315" s="3" t="n">
        <v>404.91</v>
      </c>
      <c r="K2315" s="3" t="n">
        <v>549.99</v>
      </c>
      <c r="L2315" s="3" t="n">
        <v>315.01</v>
      </c>
      <c r="M2315" s="2" t="inlineStr">
        <is>
          <t>TCGplayer</t>
        </is>
      </c>
      <c r="O2315" s="4" t="inlineStr">
        <is>
          <t>https://www.tcgplayer.com/product/593324</t>
        </is>
      </c>
    </row>
    <row r="2316">
      <c r="A2316" s="2" t="inlineStr">
        <is>
          <t>Prismatic Evolutions Poster Collection</t>
        </is>
      </c>
      <c r="B2316" s="3">
        <f>IF(I2316&lt;&gt;"",I2316,IF(J2316&lt;&gt;"",J2316,IF(K2316&lt;&gt;"",K2316,L2316)))</f>
        <v>40.25</v>
      </c>
      <c r="C2316" s="3">
        <f>MEDIAN(I2316:L2316)</f>
        <v>40.25</v>
      </c>
      <c r="D2316" s="3">
        <f>ROUND(C2316*(1-Settings!$B$2),2)</f>
        <v>28.18</v>
      </c>
      <c r="E2316" s="3">
        <f>ROUND(C2316*(1-Settings!$B$3),2)</f>
        <v>28.18</v>
      </c>
      <c r="F2316" s="2" t="inlineStr">
        <is>
          <t>Pokemon</t>
        </is>
      </c>
      <c r="G2316" s="2" t="inlineStr">
        <is>
          <t>Coffret</t>
        </is>
      </c>
      <c r="H2316" s="2" t="inlineStr">
        <is>
          <t>SV: Prismatic Evolutions</t>
        </is>
      </c>
      <c r="I2316" s="3" t="n"/>
      <c r="J2316" s="3" t="n">
        <v>40.25</v>
      </c>
      <c r="K2316" s="3" t="n">
        <v>44.99</v>
      </c>
      <c r="L2316" s="3" t="n">
        <v>0.12</v>
      </c>
      <c r="M2316" s="2" t="inlineStr">
        <is>
          <t>TCGplayer</t>
        </is>
      </c>
      <c r="O2316" s="4" t="inlineStr">
        <is>
          <t>https://www.tcgplayer.com/product/593359</t>
        </is>
      </c>
    </row>
    <row r="2317">
      <c r="A2317" s="2" t="inlineStr">
        <is>
          <t>Prismatic Evolutions Premium Figure Collection</t>
        </is>
      </c>
      <c r="B2317" s="3">
        <f>IF(I2317&lt;&gt;"",I2317,IF(J2317&lt;&gt;"",J2317,IF(K2317&lt;&gt;"",K2317,L2317)))</f>
        <v>199.13</v>
      </c>
      <c r="C2317" s="3">
        <f>MEDIAN(I2317:L2317)</f>
        <v>208.175</v>
      </c>
      <c r="D2317" s="3">
        <f>ROUND(C2317*(1-Settings!$B$2),2)</f>
        <v>145.72</v>
      </c>
      <c r="E2317" s="3">
        <f>ROUND(C2317*(1-Settings!$B$3),2)</f>
        <v>145.72</v>
      </c>
      <c r="F2317" s="2" t="inlineStr">
        <is>
          <t>Pokemon</t>
        </is>
      </c>
      <c r="G2317" s="2" t="inlineStr">
        <is>
          <t>Coffret</t>
        </is>
      </c>
      <c r="H2317" s="2" t="inlineStr">
        <is>
          <t>SV: Prismatic Evolutions</t>
        </is>
      </c>
      <c r="I2317" s="3" t="n">
        <v>199.13</v>
      </c>
      <c r="J2317" s="3" t="n">
        <v>217.22</v>
      </c>
      <c r="K2317" s="3" t="n">
        <v>259.99</v>
      </c>
      <c r="L2317" s="3" t="n">
        <v>23.94</v>
      </c>
      <c r="M2317" s="2" t="inlineStr">
        <is>
          <t>PriceCharting + TCGplayer</t>
        </is>
      </c>
      <c r="N2317" s="4" t="inlineStr">
        <is>
          <t>https://www.pricecharting.com/game/pokemon-prismatic-evolutions/premium-figure-collection</t>
        </is>
      </c>
      <c r="O2317" s="4" t="inlineStr">
        <is>
          <t>https://www.tcgplayer.com/product/650799</t>
        </is>
      </c>
    </row>
    <row r="2318">
      <c r="A2318" s="2" t="inlineStr">
        <is>
          <t>Prismatic Evolutions Sleeved Booster Pack Art Bundle [Set of 4]</t>
        </is>
      </c>
      <c r="B2318" s="3">
        <f>IF(I2318&lt;&gt;"",I2318,IF(J2318&lt;&gt;"",J2318,IF(K2318&lt;&gt;"",K2318,L2318)))</f>
        <v>69.99</v>
      </c>
      <c r="C2318" s="3">
        <f>MEDIAN(I2318:L2318)</f>
        <v>69.99</v>
      </c>
      <c r="D2318" s="3">
        <f>ROUND(C2318*(1-Settings!$B$2),2)</f>
        <v>48.99</v>
      </c>
      <c r="E2318" s="3">
        <f>ROUND(C2318*(1-Settings!$B$3),2)</f>
        <v>48.99</v>
      </c>
      <c r="F2318" s="2" t="inlineStr">
        <is>
          <t>Pokemon</t>
        </is>
      </c>
      <c r="G2318" s="2" t="inlineStr">
        <is>
          <t>Coffret</t>
        </is>
      </c>
      <c r="H2318" s="2" t="inlineStr">
        <is>
          <t>SV: Prismatic Evolutions</t>
        </is>
      </c>
      <c r="I2318" s="3" t="n"/>
      <c r="J2318" s="3" t="n"/>
      <c r="K2318" s="3" t="n">
        <v>69.98999999999999</v>
      </c>
      <c r="L2318" s="3" t="n">
        <v>69.98999999999999</v>
      </c>
      <c r="M2318" s="2" t="inlineStr">
        <is>
          <t>TCGplayer</t>
        </is>
      </c>
      <c r="O2318" s="4" t="inlineStr">
        <is>
          <t>https://www.tcgplayer.com/product/617807</t>
        </is>
      </c>
    </row>
    <row r="2319">
      <c r="A2319" s="2" t="inlineStr">
        <is>
          <t>Prismatic Evolutions Super-Premium Collection</t>
        </is>
      </c>
      <c r="B2319" s="3">
        <f>IF(I2319&lt;&gt;"",I2319,IF(J2319&lt;&gt;"",J2319,IF(K2319&lt;&gt;"",K2319,L2319)))</f>
        <v>262.12</v>
      </c>
      <c r="C2319" s="3">
        <f>MEDIAN(I2319:L2319)</f>
        <v>262.12</v>
      </c>
      <c r="D2319" s="3">
        <f>ROUND(C2319*(1-Settings!$B$2),2)</f>
        <v>183.48</v>
      </c>
      <c r="E2319" s="3">
        <f>ROUND(C2319*(1-Settings!$B$3),2)</f>
        <v>183.48</v>
      </c>
      <c r="F2319" s="2" t="inlineStr">
        <is>
          <t>Pokemon</t>
        </is>
      </c>
      <c r="G2319" s="2" t="inlineStr">
        <is>
          <t>Coffret</t>
        </is>
      </c>
      <c r="H2319" s="2" t="inlineStr">
        <is>
          <t>SV: Prismatic Evolutions</t>
        </is>
      </c>
      <c r="I2319" s="3" t="n"/>
      <c r="J2319" s="3" t="n">
        <v>262.12</v>
      </c>
      <c r="K2319" s="3" t="n">
        <v>323.37</v>
      </c>
      <c r="L2319" s="3" t="n">
        <v>25</v>
      </c>
      <c r="M2319" s="2" t="inlineStr">
        <is>
          <t>TCGplayer</t>
        </is>
      </c>
      <c r="O2319" s="4" t="inlineStr">
        <is>
          <t>https://www.tcgplayer.com/product/622770</t>
        </is>
      </c>
    </row>
    <row r="2320">
      <c r="A2320" s="2" t="inlineStr">
        <is>
          <t>Prismatic Evolutions Surprise Box</t>
        </is>
      </c>
      <c r="B2320" s="3">
        <f>IF(I2320&lt;&gt;"",I2320,IF(J2320&lt;&gt;"",J2320,IF(K2320&lt;&gt;"",K2320,L2320)))</f>
        <v>67.33</v>
      </c>
      <c r="C2320" s="3">
        <f>MEDIAN(I2320:L2320)</f>
        <v>67.35499999999999</v>
      </c>
      <c r="D2320" s="3">
        <f>ROUND(C2320*(1-Settings!$B$2),2)</f>
        <v>47.15</v>
      </c>
      <c r="E2320" s="3">
        <f>ROUND(C2320*(1-Settings!$B$3),2)</f>
        <v>47.15</v>
      </c>
      <c r="F2320" s="2" t="inlineStr">
        <is>
          <t>Pokemon</t>
        </is>
      </c>
      <c r="G2320" s="2" t="inlineStr">
        <is>
          <t>Coffret</t>
        </is>
      </c>
      <c r="H2320" s="2" t="inlineStr">
        <is>
          <t>SV: Prismatic Evolutions</t>
        </is>
      </c>
      <c r="I2320" s="3" t="n">
        <v>67.33</v>
      </c>
      <c r="J2320" s="3" t="n">
        <v>67.38</v>
      </c>
      <c r="K2320" s="3" t="n">
        <v>74.98</v>
      </c>
      <c r="L2320" s="3" t="n">
        <v>5</v>
      </c>
      <c r="M2320" s="2" t="inlineStr">
        <is>
          <t>PriceCharting + TCGplayer</t>
        </is>
      </c>
      <c r="N2320" s="4" t="inlineStr">
        <is>
          <t>https://www.pricecharting.com/game/pokemon-prismatic-evolutions/surprise-box</t>
        </is>
      </c>
      <c r="O2320" s="4" t="inlineStr">
        <is>
          <t>https://www.tcgplayer.com/product/593466</t>
        </is>
      </c>
    </row>
    <row r="2321">
      <c r="A2321" s="2" t="inlineStr">
        <is>
          <t>Prismatic Evolutions Tech Sticker Collection [Glaceon]</t>
        </is>
      </c>
      <c r="B2321" s="3">
        <f>IF(I2321&lt;&gt;"",I2321,IF(J2321&lt;&gt;"",J2321,IF(K2321&lt;&gt;"",K2321,L2321)))</f>
        <v>43.13</v>
      </c>
      <c r="C2321" s="3">
        <f>MEDIAN(I2321:L2321)</f>
        <v>42.980000000000004</v>
      </c>
      <c r="D2321" s="3">
        <f>ROUND(C2321*(1-Settings!$B$2),2)</f>
        <v>30.09</v>
      </c>
      <c r="E2321" s="3">
        <f>ROUND(C2321*(1-Settings!$B$3),2)</f>
        <v>30.09</v>
      </c>
      <c r="F2321" s="2" t="inlineStr">
        <is>
          <t>Pokemon</t>
        </is>
      </c>
      <c r="G2321" s="2" t="inlineStr">
        <is>
          <t>Coffret</t>
        </is>
      </c>
      <c r="H2321" s="2" t="inlineStr">
        <is>
          <t>SV: Prismatic Evolutions</t>
        </is>
      </c>
      <c r="I2321" s="3" t="n">
        <v>43.13</v>
      </c>
      <c r="J2321" s="3" t="n">
        <v>42.83</v>
      </c>
      <c r="K2321" s="3" t="n">
        <v>45</v>
      </c>
      <c r="L2321" s="3" t="n">
        <v>4.95</v>
      </c>
      <c r="M2321" s="2" t="inlineStr">
        <is>
          <t>PriceCharting + TCGplayer</t>
        </is>
      </c>
      <c r="N2321" s="4" t="inlineStr">
        <is>
          <t>https://www.pricecharting.com/game/pokemon-prismatic-evolutions/tech-sticker-collection-glaceon</t>
        </is>
      </c>
      <c r="O2321" s="4" t="inlineStr">
        <is>
          <t>https://www.tcgplayer.com/product/593451</t>
        </is>
      </c>
    </row>
    <row r="2322">
      <c r="A2322" s="2" t="inlineStr">
        <is>
          <t>Prismatic Evolutions Tech Sticker Collection [Leafeon]</t>
        </is>
      </c>
      <c r="B2322" s="3">
        <f>IF(I2322&lt;&gt;"",I2322,IF(J2322&lt;&gt;"",J2322,IF(K2322&lt;&gt;"",K2322,L2322)))</f>
        <v>42.21</v>
      </c>
      <c r="C2322" s="3">
        <f>MEDIAN(I2322:L2322)</f>
        <v>41.985</v>
      </c>
      <c r="D2322" s="3">
        <f>ROUND(C2322*(1-Settings!$B$2),2)</f>
        <v>29.39</v>
      </c>
      <c r="E2322" s="3">
        <f>ROUND(C2322*(1-Settings!$B$3),2)</f>
        <v>29.39</v>
      </c>
      <c r="F2322" s="2" t="inlineStr">
        <is>
          <t>Pokemon</t>
        </is>
      </c>
      <c r="G2322" s="2" t="inlineStr">
        <is>
          <t>Coffret</t>
        </is>
      </c>
      <c r="H2322" s="2" t="inlineStr">
        <is>
          <t>SV: Prismatic Evolutions</t>
        </is>
      </c>
      <c r="I2322" s="3" t="n">
        <v>42.21</v>
      </c>
      <c r="J2322" s="3" t="n">
        <v>41.76</v>
      </c>
      <c r="K2322" s="3" t="n">
        <v>45.35</v>
      </c>
      <c r="L2322" s="3" t="n">
        <v>34.49</v>
      </c>
      <c r="M2322" s="2" t="inlineStr">
        <is>
          <t>PriceCharting + TCGplayer</t>
        </is>
      </c>
      <c r="N2322" s="4" t="inlineStr">
        <is>
          <t>https://www.pricecharting.com/game/pokemon-prismatic-evolutions/tech-sticker-collection-leafeon</t>
        </is>
      </c>
      <c r="O2322" s="4" t="inlineStr">
        <is>
          <t>https://www.tcgplayer.com/product/593453</t>
        </is>
      </c>
    </row>
    <row r="2323">
      <c r="A2323" s="2" t="inlineStr">
        <is>
          <t>Prismatic Evolutions Tech Sticker Collection [Set of 3]</t>
        </is>
      </c>
      <c r="B2323" s="3">
        <f>IF(I2323&lt;&gt;"",I2323,IF(J2323&lt;&gt;"",J2323,IF(K2323&lt;&gt;"",K2323,L2323)))</f>
        <v>128.17</v>
      </c>
      <c r="C2323" s="3">
        <f>MEDIAN(I2323:L2323)</f>
        <v>128.17</v>
      </c>
      <c r="D2323" s="3">
        <f>ROUND(C2323*(1-Settings!$B$2),2)</f>
        <v>89.72</v>
      </c>
      <c r="E2323" s="3">
        <f>ROUND(C2323*(1-Settings!$B$3),2)</f>
        <v>89.72</v>
      </c>
      <c r="F2323" s="2" t="inlineStr">
        <is>
          <t>Pokemon</t>
        </is>
      </c>
      <c r="G2323" s="2" t="inlineStr">
        <is>
          <t>Coffret</t>
        </is>
      </c>
      <c r="H2323" s="2" t="inlineStr">
        <is>
          <t>SV: Prismatic Evolutions</t>
        </is>
      </c>
      <c r="I2323" s="3" t="n"/>
      <c r="J2323" s="3" t="n">
        <v>128.17</v>
      </c>
      <c r="K2323" s="3" t="n">
        <v>139.99</v>
      </c>
      <c r="L2323" s="3" t="n">
        <v>120</v>
      </c>
      <c r="M2323" s="2" t="inlineStr">
        <is>
          <t>TCGplayer</t>
        </is>
      </c>
      <c r="O2323" s="4" t="inlineStr">
        <is>
          <t>https://www.tcgplayer.com/product/598490</t>
        </is>
      </c>
    </row>
    <row r="2324">
      <c r="A2324" s="2" t="inlineStr">
        <is>
          <t>Prismatic Evolutions Tech Sticker Collection [Sylveon]</t>
        </is>
      </c>
      <c r="B2324" s="3">
        <f>IF(I2324&lt;&gt;"",I2324,IF(J2324&lt;&gt;"",J2324,IF(K2324&lt;&gt;"",K2324,L2324)))</f>
        <v>45.14</v>
      </c>
      <c r="C2324" s="3">
        <f>MEDIAN(I2324:L2324)</f>
        <v>45.879999999999995</v>
      </c>
      <c r="D2324" s="3">
        <f>ROUND(C2324*(1-Settings!$B$2),2)</f>
        <v>32.12</v>
      </c>
      <c r="E2324" s="3">
        <f>ROUND(C2324*(1-Settings!$B$3),2)</f>
        <v>32.12</v>
      </c>
      <c r="F2324" s="2" t="inlineStr">
        <is>
          <t>Pokemon</t>
        </is>
      </c>
      <c r="G2324" s="2" t="inlineStr">
        <is>
          <t>Coffret</t>
        </is>
      </c>
      <c r="H2324" s="2" t="inlineStr">
        <is>
          <t>SV: Prismatic Evolutions</t>
        </is>
      </c>
      <c r="I2324" s="3" t="n">
        <v>45.14</v>
      </c>
      <c r="J2324" s="3" t="n">
        <v>46.62</v>
      </c>
      <c r="K2324" s="3" t="n">
        <v>49.19</v>
      </c>
      <c r="L2324" s="3" t="n">
        <v>4.99</v>
      </c>
      <c r="M2324" s="2" t="inlineStr">
        <is>
          <t>PriceCharting + TCGplayer</t>
        </is>
      </c>
      <c r="N2324" s="4" t="inlineStr">
        <is>
          <t>https://www.pricecharting.com/game/pokemon-prismatic-evolutions/tech-sticker-collection-sylveon</t>
        </is>
      </c>
      <c r="O2324" s="4" t="inlineStr">
        <is>
          <t>https://www.tcgplayer.com/product/593450</t>
        </is>
      </c>
    </row>
    <row r="2325">
      <c r="A2325" s="2" t="inlineStr">
        <is>
          <t>151 Binder Collection</t>
        </is>
      </c>
      <c r="B2325" s="3">
        <f>IF(I2325&lt;&gt;"",I2325,IF(J2325&lt;&gt;"",J2325,IF(K2325&lt;&gt;"",K2325,L2325)))</f>
        <v>217.74</v>
      </c>
      <c r="C2325" s="3">
        <f>MEDIAN(I2325:L2325)</f>
        <v>217.74</v>
      </c>
      <c r="D2325" s="3">
        <f>ROUND(C2325*(1-Settings!$B$2),2)</f>
        <v>152.42</v>
      </c>
      <c r="E2325" s="3">
        <f>ROUND(C2325*(1-Settings!$B$3),2)</f>
        <v>152.42</v>
      </c>
      <c r="F2325" s="2" t="inlineStr">
        <is>
          <t>Pokemon</t>
        </is>
      </c>
      <c r="G2325" s="2" t="inlineStr">
        <is>
          <t>Coffret</t>
        </is>
      </c>
      <c r="H2325" s="2" t="inlineStr">
        <is>
          <t>SV: Scarlet &amp; Violet 151</t>
        </is>
      </c>
      <c r="I2325" s="3" t="n"/>
      <c r="J2325" s="3" t="n">
        <v>217.74</v>
      </c>
      <c r="K2325" s="3" t="n">
        <v>240.28</v>
      </c>
      <c r="L2325" s="3" t="n">
        <v>60</v>
      </c>
      <c r="M2325" s="2" t="inlineStr">
        <is>
          <t>TCGplayer</t>
        </is>
      </c>
      <c r="O2325" s="4" t="inlineStr">
        <is>
          <t>https://www.tcgplayer.com/product/502004</t>
        </is>
      </c>
    </row>
    <row r="2326">
      <c r="A2326" s="2" t="inlineStr">
        <is>
          <t>151 Booster Bundle</t>
        </is>
      </c>
      <c r="B2326" s="3">
        <f>IF(I2326&lt;&gt;"",I2326,IF(J2326&lt;&gt;"",J2326,IF(K2326&lt;&gt;"",K2326,L2326)))</f>
        <v>167.47</v>
      </c>
      <c r="C2326" s="3">
        <f>MEDIAN(I2326:L2326)</f>
        <v>167.47</v>
      </c>
      <c r="D2326" s="3">
        <f>ROUND(C2326*(1-Settings!$B$2),2)</f>
        <v>117.23</v>
      </c>
      <c r="E2326" s="3">
        <f>ROUND(C2326*(1-Settings!$B$3),2)</f>
        <v>117.23</v>
      </c>
      <c r="F2326" s="2" t="inlineStr">
        <is>
          <t>Pokemon</t>
        </is>
      </c>
      <c r="G2326" s="2" t="inlineStr">
        <is>
          <t>Coffret</t>
        </is>
      </c>
      <c r="H2326" s="2" t="inlineStr">
        <is>
          <t>SV: Scarlet &amp; Violet 151</t>
        </is>
      </c>
      <c r="I2326" s="3" t="n"/>
      <c r="J2326" s="3" t="n">
        <v>167.47</v>
      </c>
      <c r="K2326" s="3" t="n">
        <v>209.98</v>
      </c>
      <c r="L2326" s="3" t="n">
        <v>25</v>
      </c>
      <c r="M2326" s="2" t="inlineStr">
        <is>
          <t>TCGplayer</t>
        </is>
      </c>
      <c r="O2326" s="4" t="inlineStr">
        <is>
          <t>https://www.tcgplayer.com/product/502000</t>
        </is>
      </c>
    </row>
    <row r="2327">
      <c r="A2327" s="2" t="inlineStr">
        <is>
          <t>151 Elite Trainer Box</t>
        </is>
      </c>
      <c r="B2327" s="3">
        <f>IF(I2327&lt;&gt;"",I2327,IF(J2327&lt;&gt;"",J2327,IF(K2327&lt;&gt;"",K2327,L2327)))</f>
        <v>503.53</v>
      </c>
      <c r="C2327" s="3">
        <f>MEDIAN(I2327:L2327)</f>
        <v>503.53</v>
      </c>
      <c r="D2327" s="3">
        <f>ROUND(C2327*(1-Settings!$B$2),2)</f>
        <v>352.47</v>
      </c>
      <c r="E2327" s="3">
        <f>ROUND(C2327*(1-Settings!$B$3),2)</f>
        <v>352.47</v>
      </c>
      <c r="F2327" s="2" t="inlineStr">
        <is>
          <t>Pokemon</t>
        </is>
      </c>
      <c r="G2327" s="2" t="inlineStr">
        <is>
          <t>Coffret</t>
        </is>
      </c>
      <c r="H2327" s="2" t="inlineStr">
        <is>
          <t>SV: Scarlet &amp; Violet 151</t>
        </is>
      </c>
      <c r="I2327" s="3" t="n"/>
      <c r="J2327" s="3" t="n">
        <v>503.53</v>
      </c>
      <c r="K2327" s="3" t="n">
        <v>599.97</v>
      </c>
      <c r="L2327" s="3" t="n">
        <v>485</v>
      </c>
      <c r="M2327" s="2" t="inlineStr">
        <is>
          <t>TCGplayer</t>
        </is>
      </c>
      <c r="O2327" s="4" t="inlineStr">
        <is>
          <t>https://www.tcgplayer.com/product/503313</t>
        </is>
      </c>
    </row>
    <row r="2328">
      <c r="A2328" s="2" t="inlineStr">
        <is>
          <t>151 Mini Tin [Arcanine &amp; Omanyte]</t>
        </is>
      </c>
      <c r="B2328" s="3">
        <f>IF(I2328&lt;&gt;"",I2328,IF(J2328&lt;&gt;"",J2328,IF(K2328&lt;&gt;"",K2328,L2328)))</f>
        <v>55.57</v>
      </c>
      <c r="C2328" s="3">
        <f>MEDIAN(I2328:L2328)</f>
        <v>55.57</v>
      </c>
      <c r="D2328" s="3">
        <f>ROUND(C2328*(1-Settings!$B$2),2)</f>
        <v>38.9</v>
      </c>
      <c r="E2328" s="3">
        <f>ROUND(C2328*(1-Settings!$B$3),2)</f>
        <v>38.9</v>
      </c>
      <c r="F2328" s="2" t="inlineStr">
        <is>
          <t>Pokemon</t>
        </is>
      </c>
      <c r="G2328" s="2" t="inlineStr">
        <is>
          <t>Coffret</t>
        </is>
      </c>
      <c r="H2328" s="2" t="inlineStr">
        <is>
          <t>SV: Scarlet &amp; Violet 151</t>
        </is>
      </c>
      <c r="I2328" s="3" t="n"/>
      <c r="J2328" s="3" t="n">
        <v>55.57</v>
      </c>
      <c r="K2328" s="3" t="n">
        <v>58</v>
      </c>
      <c r="L2328" s="3" t="n">
        <v>5.98</v>
      </c>
      <c r="M2328" s="2" t="inlineStr">
        <is>
          <t>TCGplayer</t>
        </is>
      </c>
      <c r="O2328" s="4" t="inlineStr">
        <is>
          <t>https://www.tcgplayer.com/product/522699</t>
        </is>
      </c>
    </row>
    <row r="2329">
      <c r="A2329" s="2" t="inlineStr">
        <is>
          <t>151 Mini Tin [Dragonite &amp; Vileplume]</t>
        </is>
      </c>
      <c r="B2329" s="3">
        <f>IF(I2329&lt;&gt;"",I2329,IF(J2329&lt;&gt;"",J2329,IF(K2329&lt;&gt;"",K2329,L2329)))</f>
        <v>56.77</v>
      </c>
      <c r="C2329" s="3">
        <f>MEDIAN(I2329:L2329)</f>
        <v>56.77</v>
      </c>
      <c r="D2329" s="3">
        <f>ROUND(C2329*(1-Settings!$B$2),2)</f>
        <v>39.74</v>
      </c>
      <c r="E2329" s="3">
        <f>ROUND(C2329*(1-Settings!$B$3),2)</f>
        <v>39.74</v>
      </c>
      <c r="F2329" s="2" t="inlineStr">
        <is>
          <t>Pokemon</t>
        </is>
      </c>
      <c r="G2329" s="2" t="inlineStr">
        <is>
          <t>Coffret</t>
        </is>
      </c>
      <c r="H2329" s="2" t="inlineStr">
        <is>
          <t>SV: Scarlet &amp; Violet 151</t>
        </is>
      </c>
      <c r="I2329" s="3" t="n"/>
      <c r="J2329" s="3" t="n">
        <v>56.77</v>
      </c>
      <c r="K2329" s="3" t="n">
        <v>58.48</v>
      </c>
      <c r="L2329" s="3" t="n">
        <v>5.98</v>
      </c>
      <c r="M2329" s="2" t="inlineStr">
        <is>
          <t>TCGplayer</t>
        </is>
      </c>
      <c r="O2329" s="4" t="inlineStr">
        <is>
          <t>https://www.tcgplayer.com/product/522700</t>
        </is>
      </c>
    </row>
    <row r="2330">
      <c r="A2330" s="2" t="inlineStr">
        <is>
          <t>151 Mini Tin [Electabuzz &amp; Magnemites]</t>
        </is>
      </c>
      <c r="B2330" s="3">
        <f>IF(I2330&lt;&gt;"",I2330,IF(J2330&lt;&gt;"",J2330,IF(K2330&lt;&gt;"",K2330,L2330)))</f>
        <v>51.64</v>
      </c>
      <c r="C2330" s="3">
        <f>MEDIAN(I2330:L2330)</f>
        <v>51.64</v>
      </c>
      <c r="D2330" s="3">
        <f>ROUND(C2330*(1-Settings!$B$2),2)</f>
        <v>36.15</v>
      </c>
      <c r="E2330" s="3">
        <f>ROUND(C2330*(1-Settings!$B$3),2)</f>
        <v>36.15</v>
      </c>
      <c r="F2330" s="2" t="inlineStr">
        <is>
          <t>Pokemon</t>
        </is>
      </c>
      <c r="G2330" s="2" t="inlineStr">
        <is>
          <t>Coffret</t>
        </is>
      </c>
      <c r="H2330" s="2" t="inlineStr">
        <is>
          <t>SV: Scarlet &amp; Violet 151</t>
        </is>
      </c>
      <c r="I2330" s="3" t="n"/>
      <c r="J2330" s="3" t="n">
        <v>51.64</v>
      </c>
      <c r="K2330" s="3" t="n">
        <v>53.58</v>
      </c>
      <c r="L2330" s="3" t="n">
        <v>3.98</v>
      </c>
      <c r="M2330" s="2" t="inlineStr">
        <is>
          <t>TCGplayer</t>
        </is>
      </c>
      <c r="O2330" s="4" t="inlineStr">
        <is>
          <t>https://www.tcgplayer.com/product/522701</t>
        </is>
      </c>
    </row>
    <row r="2331">
      <c r="A2331" s="2" t="inlineStr">
        <is>
          <t>151 Mini Tin [Gengar &amp; Poliwag]</t>
        </is>
      </c>
      <c r="B2331" s="3">
        <f>IF(I2331&lt;&gt;"",I2331,IF(J2331&lt;&gt;"",J2331,IF(K2331&lt;&gt;"",K2331,L2331)))</f>
        <v>57.25</v>
      </c>
      <c r="C2331" s="3">
        <f>MEDIAN(I2331:L2331)</f>
        <v>57.25</v>
      </c>
      <c r="D2331" s="3">
        <f>ROUND(C2331*(1-Settings!$B$2),2)</f>
        <v>40.08</v>
      </c>
      <c r="E2331" s="3">
        <f>ROUND(C2331*(1-Settings!$B$3),2)</f>
        <v>40.08</v>
      </c>
      <c r="F2331" s="2" t="inlineStr">
        <is>
          <t>Pokemon</t>
        </is>
      </c>
      <c r="G2331" s="2" t="inlineStr">
        <is>
          <t>Coffret</t>
        </is>
      </c>
      <c r="H2331" s="2" t="inlineStr">
        <is>
          <t>SV: Scarlet &amp; Violet 151</t>
        </is>
      </c>
      <c r="I2331" s="3" t="n"/>
      <c r="J2331" s="3" t="n">
        <v>57.25</v>
      </c>
      <c r="K2331" s="3" t="n">
        <v>60.55</v>
      </c>
      <c r="L2331" s="3" t="n">
        <v>5.98</v>
      </c>
      <c r="M2331" s="2" t="inlineStr">
        <is>
          <t>TCGplayer</t>
        </is>
      </c>
      <c r="O2331" s="4" t="inlineStr">
        <is>
          <t>https://www.tcgplayer.com/product/522702</t>
        </is>
      </c>
    </row>
    <row r="2332">
      <c r="A2332" s="2" t="inlineStr">
        <is>
          <t>151 Mini Tin [Hitmonchan &amp; Meowth]</t>
        </is>
      </c>
      <c r="B2332" s="3">
        <f>IF(I2332&lt;&gt;"",I2332,IF(J2332&lt;&gt;"",J2332,IF(K2332&lt;&gt;"",K2332,L2332)))</f>
        <v>52.03</v>
      </c>
      <c r="C2332" s="3">
        <f>MEDIAN(I2332:L2332)</f>
        <v>52.03</v>
      </c>
      <c r="D2332" s="3">
        <f>ROUND(C2332*(1-Settings!$B$2),2)</f>
        <v>36.42</v>
      </c>
      <c r="E2332" s="3">
        <f>ROUND(C2332*(1-Settings!$B$3),2)</f>
        <v>36.42</v>
      </c>
      <c r="F2332" s="2" t="inlineStr">
        <is>
          <t>Pokemon</t>
        </is>
      </c>
      <c r="G2332" s="2" t="inlineStr">
        <is>
          <t>Coffret</t>
        </is>
      </c>
      <c r="H2332" s="2" t="inlineStr">
        <is>
          <t>SV: Scarlet &amp; Violet 151</t>
        </is>
      </c>
      <c r="I2332" s="3" t="n"/>
      <c r="J2332" s="3" t="n">
        <v>52.03</v>
      </c>
      <c r="K2332" s="3" t="n">
        <v>52.61</v>
      </c>
      <c r="L2332" s="3" t="n">
        <v>4.99</v>
      </c>
      <c r="M2332" s="2" t="inlineStr">
        <is>
          <t>TCGplayer</t>
        </is>
      </c>
      <c r="O2332" s="4" t="inlineStr">
        <is>
          <t>https://www.tcgplayer.com/product/522706</t>
        </is>
      </c>
    </row>
    <row r="2333">
      <c r="A2333" s="2" t="inlineStr">
        <is>
          <t>151 Mini Tin [Hitmonlee &amp; Kadabra]</t>
        </is>
      </c>
      <c r="B2333" s="3">
        <f>IF(I2333&lt;&gt;"",I2333,IF(J2333&lt;&gt;"",J2333,IF(K2333&lt;&gt;"",K2333,L2333)))</f>
        <v>52.2</v>
      </c>
      <c r="C2333" s="3">
        <f>MEDIAN(I2333:L2333)</f>
        <v>52.2</v>
      </c>
      <c r="D2333" s="3">
        <f>ROUND(C2333*(1-Settings!$B$2),2)</f>
        <v>36.54</v>
      </c>
      <c r="E2333" s="3">
        <f>ROUND(C2333*(1-Settings!$B$3),2)</f>
        <v>36.54</v>
      </c>
      <c r="F2333" s="2" t="inlineStr">
        <is>
          <t>Pokemon</t>
        </is>
      </c>
      <c r="G2333" s="2" t="inlineStr">
        <is>
          <t>Coffret</t>
        </is>
      </c>
      <c r="H2333" s="2" t="inlineStr">
        <is>
          <t>SV: Scarlet &amp; Violet 151</t>
        </is>
      </c>
      <c r="I2333" s="3" t="n"/>
      <c r="J2333" s="3" t="n">
        <v>52.2</v>
      </c>
      <c r="K2333" s="3" t="n">
        <v>53.1</v>
      </c>
      <c r="L2333" s="3" t="n">
        <v>3.98</v>
      </c>
      <c r="M2333" s="2" t="inlineStr">
        <is>
          <t>TCGplayer</t>
        </is>
      </c>
      <c r="O2333" s="4" t="inlineStr">
        <is>
          <t>https://www.tcgplayer.com/product/522703</t>
        </is>
      </c>
    </row>
    <row r="2334">
      <c r="A2334" s="2" t="inlineStr">
        <is>
          <t>151 Mini Tin [Machamp &amp; Cubone]</t>
        </is>
      </c>
      <c r="B2334" s="3">
        <f>IF(I2334&lt;&gt;"",I2334,IF(J2334&lt;&gt;"",J2334,IF(K2334&lt;&gt;"",K2334,L2334)))</f>
        <v>53.07</v>
      </c>
      <c r="C2334" s="3">
        <f>MEDIAN(I2334:L2334)</f>
        <v>53.07</v>
      </c>
      <c r="D2334" s="3">
        <f>ROUND(C2334*(1-Settings!$B$2),2)</f>
        <v>37.15</v>
      </c>
      <c r="E2334" s="3">
        <f>ROUND(C2334*(1-Settings!$B$3),2)</f>
        <v>37.15</v>
      </c>
      <c r="F2334" s="2" t="inlineStr">
        <is>
          <t>Pokemon</t>
        </is>
      </c>
      <c r="G2334" s="2" t="inlineStr">
        <is>
          <t>Coffret</t>
        </is>
      </c>
      <c r="H2334" s="2" t="inlineStr">
        <is>
          <t>SV: Scarlet &amp; Violet 151</t>
        </is>
      </c>
      <c r="I2334" s="3" t="n"/>
      <c r="J2334" s="3" t="n">
        <v>53.07</v>
      </c>
      <c r="K2334" s="3" t="n">
        <v>54.99</v>
      </c>
      <c r="L2334" s="3" t="n">
        <v>5.99</v>
      </c>
      <c r="M2334" s="2" t="inlineStr">
        <is>
          <t>TCGplayer</t>
        </is>
      </c>
      <c r="O2334" s="4" t="inlineStr">
        <is>
          <t>https://www.tcgplayer.com/product/522704</t>
        </is>
      </c>
    </row>
    <row r="2335">
      <c r="A2335" s="2" t="inlineStr">
        <is>
          <t>151 Mini Tin [Magneton &amp; Ekans]</t>
        </is>
      </c>
      <c r="B2335" s="3">
        <f>IF(I2335&lt;&gt;"",I2335,IF(J2335&lt;&gt;"",J2335,IF(K2335&lt;&gt;"",K2335,L2335)))</f>
        <v>50.41</v>
      </c>
      <c r="C2335" s="3">
        <f>MEDIAN(I2335:L2335)</f>
        <v>50.41</v>
      </c>
      <c r="D2335" s="3">
        <f>ROUND(C2335*(1-Settings!$B$2),2)</f>
        <v>35.29</v>
      </c>
      <c r="E2335" s="3">
        <f>ROUND(C2335*(1-Settings!$B$3),2)</f>
        <v>35.29</v>
      </c>
      <c r="F2335" s="2" t="inlineStr">
        <is>
          <t>Pokemon</t>
        </is>
      </c>
      <c r="G2335" s="2" t="inlineStr">
        <is>
          <t>Coffret</t>
        </is>
      </c>
      <c r="H2335" s="2" t="inlineStr">
        <is>
          <t>SV: Scarlet &amp; Violet 151</t>
        </is>
      </c>
      <c r="I2335" s="3" t="n"/>
      <c r="J2335" s="3" t="n">
        <v>50.41</v>
      </c>
      <c r="K2335" s="3" t="n">
        <v>50.53</v>
      </c>
      <c r="L2335" s="3" t="n">
        <v>3.99</v>
      </c>
      <c r="M2335" s="2" t="inlineStr">
        <is>
          <t>TCGplayer</t>
        </is>
      </c>
      <c r="O2335" s="4" t="inlineStr">
        <is>
          <t>https://www.tcgplayer.com/product/522705</t>
        </is>
      </c>
    </row>
    <row r="2336">
      <c r="A2336" s="2" t="inlineStr">
        <is>
          <t>151 Mini Tin [Slowpoke &amp; Sandshrew]</t>
        </is>
      </c>
      <c r="B2336" s="3">
        <f>IF(I2336&lt;&gt;"",I2336,IF(J2336&lt;&gt;"",J2336,IF(K2336&lt;&gt;"",K2336,L2336)))</f>
        <v>51.82</v>
      </c>
      <c r="C2336" s="3">
        <f>MEDIAN(I2336:L2336)</f>
        <v>51.82</v>
      </c>
      <c r="D2336" s="3">
        <f>ROUND(C2336*(1-Settings!$B$2),2)</f>
        <v>36.27</v>
      </c>
      <c r="E2336" s="3">
        <f>ROUND(C2336*(1-Settings!$B$3),2)</f>
        <v>36.27</v>
      </c>
      <c r="F2336" s="2" t="inlineStr">
        <is>
          <t>Pokemon</t>
        </is>
      </c>
      <c r="G2336" s="2" t="inlineStr">
        <is>
          <t>Coffret</t>
        </is>
      </c>
      <c r="H2336" s="2" t="inlineStr">
        <is>
          <t>SV: Scarlet &amp; Violet 151</t>
        </is>
      </c>
      <c r="I2336" s="3" t="n"/>
      <c r="J2336" s="3" t="n">
        <v>51.82</v>
      </c>
      <c r="K2336" s="3" t="n">
        <v>55</v>
      </c>
      <c r="L2336" s="3" t="n">
        <v>5.99</v>
      </c>
      <c r="M2336" s="2" t="inlineStr">
        <is>
          <t>TCGplayer</t>
        </is>
      </c>
      <c r="O2336" s="4" t="inlineStr">
        <is>
          <t>https://www.tcgplayer.com/product/522708</t>
        </is>
      </c>
    </row>
    <row r="2337">
      <c r="A2337" s="2" t="inlineStr">
        <is>
          <t>151 Mini Tin [Weezing &amp; Scyther]</t>
        </is>
      </c>
      <c r="B2337" s="3">
        <f>IF(I2337&lt;&gt;"",I2337,IF(J2337&lt;&gt;"",J2337,IF(K2337&lt;&gt;"",K2337,L2337)))</f>
        <v>52.14</v>
      </c>
      <c r="C2337" s="3">
        <f>MEDIAN(I2337:L2337)</f>
        <v>52.14</v>
      </c>
      <c r="D2337" s="3">
        <f>ROUND(C2337*(1-Settings!$B$2),2)</f>
        <v>36.5</v>
      </c>
      <c r="E2337" s="3">
        <f>ROUND(C2337*(1-Settings!$B$3),2)</f>
        <v>36.5</v>
      </c>
      <c r="F2337" s="2" t="inlineStr">
        <is>
          <t>Pokemon</t>
        </is>
      </c>
      <c r="G2337" s="2" t="inlineStr">
        <is>
          <t>Coffret</t>
        </is>
      </c>
      <c r="H2337" s="2" t="inlineStr">
        <is>
          <t>SV: Scarlet &amp; Violet 151</t>
        </is>
      </c>
      <c r="I2337" s="3" t="n"/>
      <c r="J2337" s="3" t="n">
        <v>52.14</v>
      </c>
      <c r="K2337" s="3" t="n">
        <v>55</v>
      </c>
      <c r="L2337" s="3" t="n">
        <v>5.98</v>
      </c>
      <c r="M2337" s="2" t="inlineStr">
        <is>
          <t>TCGplayer</t>
        </is>
      </c>
      <c r="O2337" s="4" t="inlineStr">
        <is>
          <t>https://www.tcgplayer.com/product/522707</t>
        </is>
      </c>
    </row>
    <row r="2338">
      <c r="A2338" s="2" t="inlineStr">
        <is>
          <t>151 Pokemon Center Elite Trainer Box (Exclusive)</t>
        </is>
      </c>
      <c r="B2338" s="3">
        <f>IF(I2338&lt;&gt;"",I2338,IF(J2338&lt;&gt;"",J2338,IF(K2338&lt;&gt;"",K2338,L2338)))</f>
        <v>1218.66</v>
      </c>
      <c r="C2338" s="3">
        <f>MEDIAN(I2338:L2338)</f>
        <v>1218.66</v>
      </c>
      <c r="D2338" s="3">
        <f>ROUND(C2338*(1-Settings!$B$2),2)</f>
        <v>853.06</v>
      </c>
      <c r="E2338" s="3">
        <f>ROUND(C2338*(1-Settings!$B$3),2)</f>
        <v>853.06</v>
      </c>
      <c r="F2338" s="2" t="inlineStr">
        <is>
          <t>Pokemon</t>
        </is>
      </c>
      <c r="G2338" s="2" t="inlineStr">
        <is>
          <t>Coffret</t>
        </is>
      </c>
      <c r="H2338" s="2" t="inlineStr">
        <is>
          <t>SV: Scarlet &amp; Violet 151</t>
        </is>
      </c>
      <c r="I2338" s="3" t="n"/>
      <c r="J2338" s="3" t="n">
        <v>1218.66</v>
      </c>
      <c r="K2338" s="3" t="n">
        <v>1349.99</v>
      </c>
      <c r="L2338" s="3" t="n">
        <v>950</v>
      </c>
      <c r="M2338" s="2" t="inlineStr">
        <is>
          <t>TCGplayer</t>
        </is>
      </c>
      <c r="O2338" s="4" t="inlineStr">
        <is>
          <t>https://www.tcgplayer.com/product/501999</t>
        </is>
      </c>
    </row>
    <row r="2339">
      <c r="A2339" s="2" t="inlineStr">
        <is>
          <t>151 Poster Collection</t>
        </is>
      </c>
      <c r="B2339" s="3">
        <f>IF(I2339&lt;&gt;"",I2339,IF(J2339&lt;&gt;"",J2339,IF(K2339&lt;&gt;"",K2339,L2339)))</f>
        <v>85.2</v>
      </c>
      <c r="C2339" s="3">
        <f>MEDIAN(I2339:L2339)</f>
        <v>85.2</v>
      </c>
      <c r="D2339" s="3">
        <f>ROUND(C2339*(1-Settings!$B$2),2)</f>
        <v>59.64</v>
      </c>
      <c r="E2339" s="3">
        <f>ROUND(C2339*(1-Settings!$B$3),2)</f>
        <v>59.64</v>
      </c>
      <c r="F2339" s="2" t="inlineStr">
        <is>
          <t>Pokemon</t>
        </is>
      </c>
      <c r="G2339" s="2" t="inlineStr">
        <is>
          <t>Coffret</t>
        </is>
      </c>
      <c r="H2339" s="2" t="inlineStr">
        <is>
          <t>SV: Scarlet &amp; Violet 151</t>
        </is>
      </c>
      <c r="I2339" s="3" t="n"/>
      <c r="J2339" s="3" t="n">
        <v>85.2</v>
      </c>
      <c r="K2339" s="3" t="n">
        <v>89.29000000000001</v>
      </c>
      <c r="L2339" s="3" t="n">
        <v>0.99</v>
      </c>
      <c r="M2339" s="2" t="inlineStr">
        <is>
          <t>TCGplayer</t>
        </is>
      </c>
      <c r="O2339" s="4" t="inlineStr">
        <is>
          <t>https://www.tcgplayer.com/product/502001</t>
        </is>
      </c>
    </row>
    <row r="2340">
      <c r="A2340" s="2" t="inlineStr">
        <is>
          <t>151 Ultra-Premium Collection</t>
        </is>
      </c>
      <c r="B2340" s="3">
        <f>IF(I2340&lt;&gt;"",I2340,IF(J2340&lt;&gt;"",J2340,IF(K2340&lt;&gt;"",K2340,L2340)))</f>
        <v>862.33</v>
      </c>
      <c r="C2340" s="3">
        <f>MEDIAN(I2340:L2340)</f>
        <v>862.33</v>
      </c>
      <c r="D2340" s="3">
        <f>ROUND(C2340*(1-Settings!$B$2),2)</f>
        <v>603.63</v>
      </c>
      <c r="E2340" s="3">
        <f>ROUND(C2340*(1-Settings!$B$3),2)</f>
        <v>603.63</v>
      </c>
      <c r="F2340" s="2" t="inlineStr">
        <is>
          <t>Pokemon</t>
        </is>
      </c>
      <c r="G2340" s="2" t="inlineStr">
        <is>
          <t>Coffret</t>
        </is>
      </c>
      <c r="H2340" s="2" t="inlineStr">
        <is>
          <t>SV: Scarlet &amp; Violet 151</t>
        </is>
      </c>
      <c r="I2340" s="3" t="n"/>
      <c r="J2340" s="3" t="n">
        <v>862.33</v>
      </c>
      <c r="K2340" s="3" t="n">
        <v>1079.99</v>
      </c>
      <c r="L2340" s="3" t="n">
        <v>839</v>
      </c>
      <c r="M2340" s="2" t="inlineStr">
        <is>
          <t>TCGplayer</t>
        </is>
      </c>
      <c r="O2340" s="4" t="inlineStr">
        <is>
          <t>https://www.tcgplayer.com/product/502005</t>
        </is>
      </c>
    </row>
    <row r="2341">
      <c r="A2341" s="2" t="inlineStr">
        <is>
          <t>151: Alakazam ex Collection</t>
        </is>
      </c>
      <c r="B2341" s="3">
        <f>IF(I2341&lt;&gt;"",I2341,IF(J2341&lt;&gt;"",J2341,IF(K2341&lt;&gt;"",K2341,L2341)))</f>
        <v>116.25</v>
      </c>
      <c r="C2341" s="3">
        <f>MEDIAN(I2341:L2341)</f>
        <v>116.25</v>
      </c>
      <c r="D2341" s="3">
        <f>ROUND(C2341*(1-Settings!$B$2),2)</f>
        <v>81.38</v>
      </c>
      <c r="E2341" s="3">
        <f>ROUND(C2341*(1-Settings!$B$3),2)</f>
        <v>81.38</v>
      </c>
      <c r="F2341" s="2" t="inlineStr">
        <is>
          <t>Pokemon</t>
        </is>
      </c>
      <c r="G2341" s="2" t="inlineStr">
        <is>
          <t>Coffret</t>
        </is>
      </c>
      <c r="H2341" s="2" t="inlineStr">
        <is>
          <t>SV: Scarlet &amp; Violet 151</t>
        </is>
      </c>
      <c r="I2341" s="3" t="n"/>
      <c r="J2341" s="3" t="n">
        <v>116.25</v>
      </c>
      <c r="K2341" s="3" t="n">
        <v>119.99</v>
      </c>
      <c r="L2341" s="3" t="n">
        <v>103.95</v>
      </c>
      <c r="M2341" s="2" t="inlineStr">
        <is>
          <t>TCGplayer</t>
        </is>
      </c>
      <c r="O2341" s="4" t="inlineStr">
        <is>
          <t>https://www.tcgplayer.com/product/502006</t>
        </is>
      </c>
    </row>
    <row r="2342">
      <c r="A2342" s="2" t="inlineStr">
        <is>
          <t>151: Zapdos ex Collection</t>
        </is>
      </c>
      <c r="B2342" s="3">
        <f>IF(I2342&lt;&gt;"",I2342,IF(J2342&lt;&gt;"",J2342,IF(K2342&lt;&gt;"",K2342,L2342)))</f>
        <v>120.08</v>
      </c>
      <c r="C2342" s="3">
        <f>MEDIAN(I2342:L2342)</f>
        <v>120.08</v>
      </c>
      <c r="D2342" s="3">
        <f>ROUND(C2342*(1-Settings!$B$2),2)</f>
        <v>84.06</v>
      </c>
      <c r="E2342" s="3">
        <f>ROUND(C2342*(1-Settings!$B$3),2)</f>
        <v>84.06</v>
      </c>
      <c r="F2342" s="2" t="inlineStr">
        <is>
          <t>Pokemon</t>
        </is>
      </c>
      <c r="G2342" s="2" t="inlineStr">
        <is>
          <t>Coffret</t>
        </is>
      </c>
      <c r="H2342" s="2" t="inlineStr">
        <is>
          <t>SV: Scarlet &amp; Violet 151</t>
        </is>
      </c>
      <c r="I2342" s="3" t="n"/>
      <c r="J2342" s="3" t="n">
        <v>120.08</v>
      </c>
      <c r="K2342" s="3" t="n">
        <v>121.29</v>
      </c>
      <c r="L2342" s="3" t="n">
        <v>114.99</v>
      </c>
      <c r="M2342" s="2" t="inlineStr">
        <is>
          <t>TCGplayer</t>
        </is>
      </c>
      <c r="O2342" s="4" t="inlineStr">
        <is>
          <t>https://www.tcgplayer.com/product/502007</t>
        </is>
      </c>
    </row>
    <row r="2343">
      <c r="A2343" s="2" t="inlineStr">
        <is>
          <t>Blooming Waters Premium Collection</t>
        </is>
      </c>
      <c r="B2343" s="3">
        <f>IF(I2343&lt;&gt;"",I2343,IF(J2343&lt;&gt;"",J2343,IF(K2343&lt;&gt;"",K2343,L2343)))</f>
        <v>325.03</v>
      </c>
      <c r="C2343" s="3">
        <f>MEDIAN(I2343:L2343)</f>
        <v>325.03</v>
      </c>
      <c r="D2343" s="3">
        <f>ROUND(C2343*(1-Settings!$B$2),2)</f>
        <v>227.52</v>
      </c>
      <c r="E2343" s="3">
        <f>ROUND(C2343*(1-Settings!$B$3),2)</f>
        <v>227.52</v>
      </c>
      <c r="F2343" s="2" t="inlineStr">
        <is>
          <t>Pokemon</t>
        </is>
      </c>
      <c r="G2343" s="2" t="inlineStr">
        <is>
          <t>Coffret</t>
        </is>
      </c>
      <c r="H2343" s="2" t="inlineStr">
        <is>
          <t>SV: Scarlet &amp; Violet 151</t>
        </is>
      </c>
      <c r="I2343" s="3" t="n"/>
      <c r="J2343" s="3" t="n">
        <v>325.03</v>
      </c>
      <c r="K2343" s="3" t="n">
        <v>396.99</v>
      </c>
      <c r="L2343" s="3" t="n">
        <v>315</v>
      </c>
      <c r="M2343" s="2" t="inlineStr">
        <is>
          <t>TCGplayer</t>
        </is>
      </c>
      <c r="O2343" s="4" t="inlineStr">
        <is>
          <t>https://www.tcgplayer.com/product/609597</t>
        </is>
      </c>
    </row>
    <row r="2344">
      <c r="A2344" s="2" t="inlineStr">
        <is>
          <t>Costco Scarlet &amp; Violet 151 Zapdos ex &amp; Alakazam ex Bundle</t>
        </is>
      </c>
      <c r="B2344" s="3">
        <f>IF(I2344&lt;&gt;"",I2344,IF(J2344&lt;&gt;"",J2344,IF(K2344&lt;&gt;"",K2344,L2344)))</f>
        <v>424.0</v>
      </c>
      <c r="C2344" s="3">
        <f>MEDIAN(I2344:L2344)</f>
        <v>386.5</v>
      </c>
      <c r="D2344" s="3">
        <f>ROUND(C2344*(1-Settings!$B$2),2)</f>
        <v>270.55</v>
      </c>
      <c r="E2344" s="3">
        <f>ROUND(C2344*(1-Settings!$B$3),2)</f>
        <v>270.55</v>
      </c>
      <c r="F2344" s="2" t="inlineStr">
        <is>
          <t>Pokemon</t>
        </is>
      </c>
      <c r="G2344" s="2" t="inlineStr">
        <is>
          <t>Coffret</t>
        </is>
      </c>
      <c r="H2344" s="2" t="inlineStr">
        <is>
          <t>SV: Scarlet &amp; Violet 151</t>
        </is>
      </c>
      <c r="I2344" s="3" t="n"/>
      <c r="J2344" s="3" t="n"/>
      <c r="K2344" s="3" t="n">
        <v>424</v>
      </c>
      <c r="L2344" s="3" t="n">
        <v>349</v>
      </c>
      <c r="M2344" s="2" t="inlineStr">
        <is>
          <t>TCGplayer</t>
        </is>
      </c>
      <c r="O2344" s="4" t="inlineStr">
        <is>
          <t>https://www.tcgplayer.com/product/692583</t>
        </is>
      </c>
    </row>
    <row r="2345">
      <c r="A2345" s="2" t="inlineStr">
        <is>
          <t>Greninja ex Special Illustration Collection</t>
        </is>
      </c>
      <c r="B2345" s="3">
        <f>IF(I2345&lt;&gt;"",I2345,IF(J2345&lt;&gt;"",J2345,IF(K2345&lt;&gt;"",K2345,L2345)))</f>
        <v>129.23</v>
      </c>
      <c r="C2345" s="3">
        <f>MEDIAN(I2345:L2345)</f>
        <v>193.01999999999998</v>
      </c>
      <c r="D2345" s="3">
        <f>ROUND(C2345*(1-Settings!$B$2),2)</f>
        <v>135.11</v>
      </c>
      <c r="E2345" s="3">
        <f>ROUND(C2345*(1-Settings!$B$3),2)</f>
        <v>135.11</v>
      </c>
      <c r="F2345" s="2" t="inlineStr">
        <is>
          <t>Pokemon</t>
        </is>
      </c>
      <c r="G2345" s="2" t="inlineStr">
        <is>
          <t>Coffret</t>
        </is>
      </c>
      <c r="H2345" s="2" t="inlineStr">
        <is>
          <t>SV: Shrouded Fable</t>
        </is>
      </c>
      <c r="I2345" s="3" t="n">
        <v>129.23</v>
      </c>
      <c r="J2345" s="3" t="n">
        <v>211.54</v>
      </c>
      <c r="K2345" s="3" t="n">
        <v>219</v>
      </c>
      <c r="L2345" s="3" t="n">
        <v>174.5</v>
      </c>
      <c r="M2345" s="2" t="inlineStr">
        <is>
          <t>PriceCharting + TCGplayer</t>
        </is>
      </c>
      <c r="N2345" s="4" t="inlineStr">
        <is>
          <t>https://www.pricecharting.com/game/pokemon-shrouded-fable/greninja-ex-special-illustration-collection</t>
        </is>
      </c>
      <c r="O2345" s="4" t="inlineStr">
        <is>
          <t>https://www.tcgplayer.com/product/553002</t>
        </is>
      </c>
    </row>
    <row r="2346">
      <c r="A2346" s="2" t="inlineStr">
        <is>
          <t>Kingambit Illustration Collection</t>
        </is>
      </c>
      <c r="B2346" s="3">
        <f>IF(I2346&lt;&gt;"",I2346,IF(J2346&lt;&gt;"",J2346,IF(K2346&lt;&gt;"",K2346,L2346)))</f>
        <v>44.95</v>
      </c>
      <c r="C2346" s="3">
        <f>MEDIAN(I2346:L2346)</f>
        <v>50.51</v>
      </c>
      <c r="D2346" s="3">
        <f>ROUND(C2346*(1-Settings!$B$2),2)</f>
        <v>35.36</v>
      </c>
      <c r="E2346" s="3">
        <f>ROUND(C2346*(1-Settings!$B$3),2)</f>
        <v>35.36</v>
      </c>
      <c r="F2346" s="2" t="inlineStr">
        <is>
          <t>Pokemon</t>
        </is>
      </c>
      <c r="G2346" s="2" t="inlineStr">
        <is>
          <t>Coffret</t>
        </is>
      </c>
      <c r="H2346" s="2" t="inlineStr">
        <is>
          <t>SV: Shrouded Fable</t>
        </is>
      </c>
      <c r="I2346" s="3" t="n">
        <v>44.95</v>
      </c>
      <c r="J2346" s="3" t="n">
        <v>53.08</v>
      </c>
      <c r="K2346" s="3" t="n">
        <v>53.61</v>
      </c>
      <c r="L2346" s="3" t="n">
        <v>47.94</v>
      </c>
      <c r="M2346" s="2" t="inlineStr">
        <is>
          <t>PriceCharting + TCGplayer</t>
        </is>
      </c>
      <c r="N2346" s="4" t="inlineStr">
        <is>
          <t>https://www.pricecharting.com/game/pokemon-shrouded-fable/kingambit-illustration-collection</t>
        </is>
      </c>
      <c r="O2346" s="4" t="inlineStr">
        <is>
          <t>https://www.tcgplayer.com/product/553000</t>
        </is>
      </c>
    </row>
    <row r="2347">
      <c r="A2347" s="2" t="inlineStr">
        <is>
          <t>Kingdra ex Special Illustration Collection</t>
        </is>
      </c>
      <c r="B2347" s="3">
        <f>IF(I2347&lt;&gt;"",I2347,IF(J2347&lt;&gt;"",J2347,IF(K2347&lt;&gt;"",K2347,L2347)))</f>
        <v>182.0</v>
      </c>
      <c r="C2347" s="3">
        <f>MEDIAN(I2347:L2347)</f>
        <v>181.82</v>
      </c>
      <c r="D2347" s="3">
        <f>ROUND(C2347*(1-Settings!$B$2),2)</f>
        <v>127.27</v>
      </c>
      <c r="E2347" s="3">
        <f>ROUND(C2347*(1-Settings!$B$3),2)</f>
        <v>127.27</v>
      </c>
      <c r="F2347" s="2" t="inlineStr">
        <is>
          <t>Pokemon</t>
        </is>
      </c>
      <c r="G2347" s="2" t="inlineStr">
        <is>
          <t>Coffret</t>
        </is>
      </c>
      <c r="H2347" s="2" t="inlineStr">
        <is>
          <t>SV: Shrouded Fable</t>
        </is>
      </c>
      <c r="I2347" s="3" t="n">
        <v>182</v>
      </c>
      <c r="J2347" s="3" t="n">
        <v>181.64</v>
      </c>
      <c r="K2347" s="3" t="n">
        <v>200</v>
      </c>
      <c r="L2347" s="3" t="n">
        <v>166.64</v>
      </c>
      <c r="M2347" s="2" t="inlineStr">
        <is>
          <t>PriceCharting + TCGplayer</t>
        </is>
      </c>
      <c r="N2347" s="4" t="inlineStr">
        <is>
          <t>https://www.pricecharting.com/game/pokemon-shrouded-fable/kingdra-ex-special-illustration-collection</t>
        </is>
      </c>
      <c r="O2347" s="4" t="inlineStr">
        <is>
          <t>https://www.tcgplayer.com/product/553001</t>
        </is>
      </c>
    </row>
    <row r="2348">
      <c r="A2348" s="2" t="inlineStr">
        <is>
          <t>Shrouded Fable Booster Bundle</t>
        </is>
      </c>
      <c r="B2348" s="3">
        <f>IF(I2348&lt;&gt;"",I2348,IF(J2348&lt;&gt;"",J2348,IF(K2348&lt;&gt;"",K2348,L2348)))</f>
        <v>59.13</v>
      </c>
      <c r="C2348" s="3">
        <f>MEDIAN(I2348:L2348)</f>
        <v>58.620000000000005</v>
      </c>
      <c r="D2348" s="3">
        <f>ROUND(C2348*(1-Settings!$B$2),2)</f>
        <v>41.03</v>
      </c>
      <c r="E2348" s="3">
        <f>ROUND(C2348*(1-Settings!$B$3),2)</f>
        <v>41.03</v>
      </c>
      <c r="F2348" s="2" t="inlineStr">
        <is>
          <t>Pokemon</t>
        </is>
      </c>
      <c r="G2348" s="2" t="inlineStr">
        <is>
          <t>Coffret</t>
        </is>
      </c>
      <c r="H2348" s="2" t="inlineStr">
        <is>
          <t>SV: Shrouded Fable</t>
        </is>
      </c>
      <c r="I2348" s="3" t="n">
        <v>59.13</v>
      </c>
      <c r="J2348" s="3" t="n">
        <v>58.11</v>
      </c>
      <c r="K2348" s="3" t="n">
        <v>63.99</v>
      </c>
      <c r="L2348" s="3" t="n">
        <v>51.5</v>
      </c>
      <c r="M2348" s="2" t="inlineStr">
        <is>
          <t>PriceCharting + TCGplayer</t>
        </is>
      </c>
      <c r="N2348" s="4" t="inlineStr">
        <is>
          <t>https://www.pricecharting.com/game/pokemon-shrouded-fable/booster-bundle</t>
        </is>
      </c>
      <c r="O2348" s="4" t="inlineStr">
        <is>
          <t>https://www.tcgplayer.com/product/553031</t>
        </is>
      </c>
    </row>
    <row r="2349">
      <c r="A2349" s="2" t="inlineStr">
        <is>
          <t>Shrouded Fable Elite Trainer Box</t>
        </is>
      </c>
      <c r="B2349" s="3">
        <f>IF(I2349&lt;&gt;"",I2349,IF(J2349&lt;&gt;"",J2349,IF(K2349&lt;&gt;"",K2349,L2349)))</f>
        <v>110.71</v>
      </c>
      <c r="C2349" s="3">
        <f>MEDIAN(I2349:L2349)</f>
        <v>110.38499999999999</v>
      </c>
      <c r="D2349" s="3">
        <f>ROUND(C2349*(1-Settings!$B$2),2)</f>
        <v>77.27</v>
      </c>
      <c r="E2349" s="3">
        <f>ROUND(C2349*(1-Settings!$B$3),2)</f>
        <v>77.27</v>
      </c>
      <c r="F2349" s="2" t="inlineStr">
        <is>
          <t>Pokemon</t>
        </is>
      </c>
      <c r="G2349" s="2" t="inlineStr">
        <is>
          <t>Coffret</t>
        </is>
      </c>
      <c r="H2349" s="2" t="inlineStr">
        <is>
          <t>SV: Shrouded Fable</t>
        </is>
      </c>
      <c r="I2349" s="3" t="n">
        <v>110.71</v>
      </c>
      <c r="J2349" s="3" t="n">
        <v>110.06</v>
      </c>
      <c r="K2349" s="3" t="n">
        <v>126.99</v>
      </c>
      <c r="L2349" s="3" t="n">
        <v>105.75</v>
      </c>
      <c r="M2349" s="2" t="inlineStr">
        <is>
          <t>PriceCharting + TCGplayer</t>
        </is>
      </c>
      <c r="N2349" s="4" t="inlineStr">
        <is>
          <t>https://www.pricecharting.com/game/pokemon-shrouded-fable/elite-trainer-box</t>
        </is>
      </c>
      <c r="O2349" s="4" t="inlineStr">
        <is>
          <t>https://www.tcgplayer.com/product/552999</t>
        </is>
      </c>
    </row>
    <row r="2350">
      <c r="A2350" s="2" t="inlineStr">
        <is>
          <t>Shrouded Fable Mini Tin (Dusknoir)</t>
        </is>
      </c>
      <c r="B2350" s="3">
        <f>IF(I2350&lt;&gt;"",I2350,IF(J2350&lt;&gt;"",J2350,IF(K2350&lt;&gt;"",K2350,L2350)))</f>
        <v>25.75</v>
      </c>
      <c r="C2350" s="3">
        <f>MEDIAN(I2350:L2350)</f>
        <v>25.66</v>
      </c>
      <c r="D2350" s="3">
        <f>ROUND(C2350*(1-Settings!$B$2),2)</f>
        <v>17.96</v>
      </c>
      <c r="E2350" s="3">
        <f>ROUND(C2350*(1-Settings!$B$3),2)</f>
        <v>17.96</v>
      </c>
      <c r="F2350" s="2" t="inlineStr">
        <is>
          <t>Pokemon</t>
        </is>
      </c>
      <c r="G2350" s="2" t="inlineStr">
        <is>
          <t>Coffret</t>
        </is>
      </c>
      <c r="H2350" s="2" t="inlineStr">
        <is>
          <t>SV: Shrouded Fable</t>
        </is>
      </c>
      <c r="I2350" s="3" t="n">
        <v>25.75</v>
      </c>
      <c r="J2350" s="3" t="n">
        <v>25.57</v>
      </c>
      <c r="K2350" s="3" t="n"/>
      <c r="L2350" s="3" t="n"/>
      <c r="M2350" s="2" t="inlineStr">
        <is>
          <t>PriceCharting + TCGplayer</t>
        </is>
      </c>
      <c r="N2350" s="4" t="inlineStr">
        <is>
          <t>https://www.pricecharting.com/game/pokemon-shrouded-fable/mini-tin-dusknoir</t>
        </is>
      </c>
      <c r="O2350" s="4" t="inlineStr">
        <is>
          <t>https://www.tcgplayer.com/product/553023</t>
        </is>
      </c>
    </row>
    <row r="2351">
      <c r="A2351" s="2" t="inlineStr">
        <is>
          <t>Shrouded Fable Mini Tin (Fezandipiti)</t>
        </is>
      </c>
      <c r="B2351" s="3">
        <f>IF(I2351&lt;&gt;"",I2351,IF(J2351&lt;&gt;"",J2351,IF(K2351&lt;&gt;"",K2351,L2351)))</f>
        <v>21.99</v>
      </c>
      <c r="C2351" s="3">
        <f>MEDIAN(I2351:L2351)</f>
        <v>25.990000000000002</v>
      </c>
      <c r="D2351" s="3">
        <f>ROUND(C2351*(1-Settings!$B$2),2)</f>
        <v>18.19</v>
      </c>
      <c r="E2351" s="3">
        <f>ROUND(C2351*(1-Settings!$B$3),2)</f>
        <v>18.19</v>
      </c>
      <c r="F2351" s="2" t="inlineStr">
        <is>
          <t>Pokemon</t>
        </is>
      </c>
      <c r="G2351" s="2" t="inlineStr">
        <is>
          <t>Coffret</t>
        </is>
      </c>
      <c r="H2351" s="2" t="inlineStr">
        <is>
          <t>SV: Shrouded Fable</t>
        </is>
      </c>
      <c r="I2351" s="3" t="n">
        <v>21.99</v>
      </c>
      <c r="J2351" s="3" t="n">
        <v>23.98</v>
      </c>
      <c r="K2351" s="3" t="n">
        <v>28</v>
      </c>
      <c r="L2351" s="3" t="n">
        <v>28</v>
      </c>
      <c r="M2351" s="2" t="inlineStr">
        <is>
          <t>PriceCharting + TCGplayer</t>
        </is>
      </c>
      <c r="N2351" s="4" t="inlineStr">
        <is>
          <t>https://www.pricecharting.com/game/pokemon-shrouded-fable/mini-tin-fezandipiti</t>
        </is>
      </c>
      <c r="O2351" s="4" t="inlineStr">
        <is>
          <t>https://www.tcgplayer.com/product/553018</t>
        </is>
      </c>
    </row>
    <row r="2352">
      <c r="A2352" s="2" t="inlineStr">
        <is>
          <t>Shrouded Fable Mini Tin (Munkidori)</t>
        </is>
      </c>
      <c r="B2352" s="3">
        <f>IF(I2352&lt;&gt;"",I2352,IF(J2352&lt;&gt;"",J2352,IF(K2352&lt;&gt;"",K2352,L2352)))</f>
        <v>19.96</v>
      </c>
      <c r="C2352" s="3">
        <f>MEDIAN(I2352:L2352)</f>
        <v>19.865000000000002</v>
      </c>
      <c r="D2352" s="3">
        <f>ROUND(C2352*(1-Settings!$B$2),2)</f>
        <v>13.91</v>
      </c>
      <c r="E2352" s="3">
        <f>ROUND(C2352*(1-Settings!$B$3),2)</f>
        <v>13.91</v>
      </c>
      <c r="F2352" s="2" t="inlineStr">
        <is>
          <t>Pokemon</t>
        </is>
      </c>
      <c r="G2352" s="2" t="inlineStr">
        <is>
          <t>Coffret</t>
        </is>
      </c>
      <c r="H2352" s="2" t="inlineStr">
        <is>
          <t>SV: Shrouded Fable</t>
        </is>
      </c>
      <c r="I2352" s="3" t="n">
        <v>19.96</v>
      </c>
      <c r="J2352" s="3" t="n">
        <v>19.77</v>
      </c>
      <c r="K2352" s="3" t="n"/>
      <c r="L2352" s="3" t="n"/>
      <c r="M2352" s="2" t="inlineStr">
        <is>
          <t>PriceCharting + TCGplayer</t>
        </is>
      </c>
      <c r="N2352" s="4" t="inlineStr">
        <is>
          <t>https://www.pricecharting.com/game/pokemon-shrouded-fable/mini-tin-munkidori</t>
        </is>
      </c>
      <c r="O2352" s="4" t="inlineStr">
        <is>
          <t>https://www.tcgplayer.com/product/553011</t>
        </is>
      </c>
    </row>
    <row r="2353">
      <c r="A2353" s="2" t="inlineStr">
        <is>
          <t>Shrouded Fable Mini Tin (Okidogi)</t>
        </is>
      </c>
      <c r="B2353" s="3">
        <f>IF(I2353&lt;&gt;"",I2353,IF(J2353&lt;&gt;"",J2353,IF(K2353&lt;&gt;"",K2353,L2353)))</f>
        <v>23.74</v>
      </c>
      <c r="C2353" s="3">
        <f>MEDIAN(I2353:L2353)</f>
        <v>23.865</v>
      </c>
      <c r="D2353" s="3">
        <f>ROUND(C2353*(1-Settings!$B$2),2)</f>
        <v>16.71</v>
      </c>
      <c r="E2353" s="3">
        <f>ROUND(C2353*(1-Settings!$B$3),2)</f>
        <v>16.71</v>
      </c>
      <c r="F2353" s="2" t="inlineStr">
        <is>
          <t>Pokemon</t>
        </is>
      </c>
      <c r="G2353" s="2" t="inlineStr">
        <is>
          <t>Coffret</t>
        </is>
      </c>
      <c r="H2353" s="2" t="inlineStr">
        <is>
          <t>SV: Shrouded Fable</t>
        </is>
      </c>
      <c r="I2353" s="3" t="n">
        <v>23.74</v>
      </c>
      <c r="J2353" s="3" t="n">
        <v>23.99</v>
      </c>
      <c r="K2353" s="3" t="n"/>
      <c r="L2353" s="3" t="n"/>
      <c r="M2353" s="2" t="inlineStr">
        <is>
          <t>PriceCharting + TCGplayer</t>
        </is>
      </c>
      <c r="N2353" s="4" t="inlineStr">
        <is>
          <t>https://www.pricecharting.com/game/pokemon-shrouded-fable/mini-tin-okidogi</t>
        </is>
      </c>
      <c r="O2353" s="4" t="inlineStr">
        <is>
          <t>https://www.tcgplayer.com/product/553012</t>
        </is>
      </c>
    </row>
    <row r="2354">
      <c r="A2354" s="2" t="inlineStr">
        <is>
          <t>Shrouded Fable Pokemon Center Elite Trainer Box (Exclusive)</t>
        </is>
      </c>
      <c r="B2354" s="3">
        <f>IF(I2354&lt;&gt;"",I2354,IF(J2354&lt;&gt;"",J2354,IF(K2354&lt;&gt;"",K2354,L2354)))</f>
        <v>166.08</v>
      </c>
      <c r="C2354" s="3">
        <f>MEDIAN(I2354:L2354)</f>
        <v>166.08</v>
      </c>
      <c r="D2354" s="3">
        <f>ROUND(C2354*(1-Settings!$B$2),2)</f>
        <v>116.26</v>
      </c>
      <c r="E2354" s="3">
        <f>ROUND(C2354*(1-Settings!$B$3),2)</f>
        <v>116.26</v>
      </c>
      <c r="F2354" s="2" t="inlineStr">
        <is>
          <t>Pokemon</t>
        </is>
      </c>
      <c r="G2354" s="2" t="inlineStr">
        <is>
          <t>Coffret</t>
        </is>
      </c>
      <c r="H2354" s="2" t="inlineStr">
        <is>
          <t>SV: Shrouded Fable</t>
        </is>
      </c>
      <c r="I2354" s="3" t="n"/>
      <c r="J2354" s="3" t="n">
        <v>166.08</v>
      </c>
      <c r="K2354" s="3" t="n">
        <v>199</v>
      </c>
      <c r="L2354" s="3" t="n">
        <v>155.01</v>
      </c>
      <c r="M2354" s="2" t="inlineStr">
        <is>
          <t>TCGplayer</t>
        </is>
      </c>
      <c r="O2354" s="4" t="inlineStr">
        <is>
          <t>https://www.tcgplayer.com/product/552998</t>
        </is>
      </c>
    </row>
    <row r="2355">
      <c r="A2355" s="2" t="inlineStr">
        <is>
          <t>White Flare Binder &amp; Unova Poster Collection (Sam's Club)</t>
        </is>
      </c>
      <c r="B2355" s="3">
        <f>IF(I2355&lt;&gt;"",I2355,IF(J2355&lt;&gt;"",J2355,IF(K2355&lt;&gt;"",K2355,L2355)))</f>
        <v>122.95</v>
      </c>
      <c r="C2355" s="3">
        <f>MEDIAN(I2355:L2355)</f>
        <v>122.95</v>
      </c>
      <c r="D2355" s="3">
        <f>ROUND(C2355*(1-Settings!$B$2),2)</f>
        <v>86.07</v>
      </c>
      <c r="E2355" s="3">
        <f>ROUND(C2355*(1-Settings!$B$3),2)</f>
        <v>86.07</v>
      </c>
      <c r="F2355" s="2" t="inlineStr">
        <is>
          <t>Pokemon</t>
        </is>
      </c>
      <c r="G2355" s="2" t="inlineStr">
        <is>
          <t>Coffret</t>
        </is>
      </c>
      <c r="H2355" s="2" t="inlineStr">
        <is>
          <t>SV: White Flare</t>
        </is>
      </c>
      <c r="I2355" s="3" t="n"/>
      <c r="J2355" s="3" t="n">
        <v>122.95</v>
      </c>
      <c r="K2355" s="3" t="n">
        <v>126.99</v>
      </c>
      <c r="L2355" s="3" t="n">
        <v>118.01</v>
      </c>
      <c r="M2355" s="2" t="inlineStr">
        <is>
          <t>TCGplayer</t>
        </is>
      </c>
      <c r="O2355" s="4" t="inlineStr">
        <is>
          <t>https://www.tcgplayer.com/product/685927</t>
        </is>
      </c>
    </row>
    <row r="2356">
      <c r="A2356" s="2" t="inlineStr">
        <is>
          <t>White Flare Binder Collection</t>
        </is>
      </c>
      <c r="B2356" s="3">
        <f>IF(I2356&lt;&gt;"",I2356,IF(J2356&lt;&gt;"",J2356,IF(K2356&lt;&gt;"",K2356,L2356)))</f>
        <v>74.0</v>
      </c>
      <c r="C2356" s="3">
        <f>MEDIAN(I2356:L2356)</f>
        <v>75.315</v>
      </c>
      <c r="D2356" s="3">
        <f>ROUND(C2356*(1-Settings!$B$2),2)</f>
        <v>52.72</v>
      </c>
      <c r="E2356" s="3">
        <f>ROUND(C2356*(1-Settings!$B$3),2)</f>
        <v>52.72</v>
      </c>
      <c r="F2356" s="2" t="inlineStr">
        <is>
          <t>Pokemon</t>
        </is>
      </c>
      <c r="G2356" s="2" t="inlineStr">
        <is>
          <t>Coffret</t>
        </is>
      </c>
      <c r="H2356" s="2" t="inlineStr">
        <is>
          <t>SV: White Flare</t>
        </is>
      </c>
      <c r="I2356" s="3" t="n">
        <v>74</v>
      </c>
      <c r="J2356" s="3" t="n">
        <v>76.63</v>
      </c>
      <c r="K2356" s="3" t="n">
        <v>80.97</v>
      </c>
      <c r="L2356" s="3" t="n">
        <v>9.99</v>
      </c>
      <c r="M2356" s="2" t="inlineStr">
        <is>
          <t>PriceCharting + TCGplayer</t>
        </is>
      </c>
      <c r="N2356" s="4" t="inlineStr">
        <is>
          <t>https://www.pricecharting.com/game/pokemon-white-flare/binder-collection</t>
        </is>
      </c>
      <c r="O2356" s="4" t="inlineStr">
        <is>
          <t>https://www.tcgplayer.com/product/630695</t>
        </is>
      </c>
    </row>
    <row r="2357">
      <c r="A2357" s="2" t="inlineStr">
        <is>
          <t>White Flare Booster Bundle</t>
        </is>
      </c>
      <c r="B2357" s="3">
        <f>IF(I2357&lt;&gt;"",I2357,IF(J2357&lt;&gt;"",J2357,IF(K2357&lt;&gt;"",K2357,L2357)))</f>
        <v>89.19</v>
      </c>
      <c r="C2357" s="3">
        <f>MEDIAN(I2357:L2357)</f>
        <v>88.795</v>
      </c>
      <c r="D2357" s="3">
        <f>ROUND(C2357*(1-Settings!$B$2),2)</f>
        <v>62.16</v>
      </c>
      <c r="E2357" s="3">
        <f>ROUND(C2357*(1-Settings!$B$3),2)</f>
        <v>62.16</v>
      </c>
      <c r="F2357" s="2" t="inlineStr">
        <is>
          <t>Pokemon</t>
        </is>
      </c>
      <c r="G2357" s="2" t="inlineStr">
        <is>
          <t>Coffret</t>
        </is>
      </c>
      <c r="H2357" s="2" t="inlineStr">
        <is>
          <t>SV: White Flare</t>
        </is>
      </c>
      <c r="I2357" s="3" t="n">
        <v>89.19</v>
      </c>
      <c r="J2357" s="3" t="n">
        <v>88.40000000000001</v>
      </c>
      <c r="K2357" s="3" t="n">
        <v>91.98</v>
      </c>
      <c r="L2357" s="3" t="n">
        <v>69.97</v>
      </c>
      <c r="M2357" s="2" t="inlineStr">
        <is>
          <t>PriceCharting + TCGplayer</t>
        </is>
      </c>
      <c r="N2357" s="4" t="inlineStr">
        <is>
          <t>https://www.pricecharting.com/game/pokemon-white-flare/booster-bundle</t>
        </is>
      </c>
      <c r="O2357" s="4" t="inlineStr">
        <is>
          <t>https://www.tcgplayer.com/product/630696</t>
        </is>
      </c>
    </row>
    <row r="2358">
      <c r="A2358" s="2" t="inlineStr">
        <is>
          <t>White Flare Elite Trainer Box</t>
        </is>
      </c>
      <c r="B2358" s="3">
        <f>IF(I2358&lt;&gt;"",I2358,IF(J2358&lt;&gt;"",J2358,IF(K2358&lt;&gt;"",K2358,L2358)))</f>
        <v>145.39</v>
      </c>
      <c r="C2358" s="3">
        <f>MEDIAN(I2358:L2358)</f>
        <v>147.54</v>
      </c>
      <c r="D2358" s="3">
        <f>ROUND(C2358*(1-Settings!$B$2),2)</f>
        <v>103.28</v>
      </c>
      <c r="E2358" s="3">
        <f>ROUND(C2358*(1-Settings!$B$3),2)</f>
        <v>103.28</v>
      </c>
      <c r="F2358" s="2" t="inlineStr">
        <is>
          <t>Pokemon</t>
        </is>
      </c>
      <c r="G2358" s="2" t="inlineStr">
        <is>
          <t>Coffret</t>
        </is>
      </c>
      <c r="H2358" s="2" t="inlineStr">
        <is>
          <t>SV: White Flare</t>
        </is>
      </c>
      <c r="I2358" s="3" t="n">
        <v>145.39</v>
      </c>
      <c r="J2358" s="3" t="n">
        <v>149.69</v>
      </c>
      <c r="K2358" s="3" t="n">
        <v>160</v>
      </c>
      <c r="L2358" s="3" t="n">
        <v>20</v>
      </c>
      <c r="M2358" s="2" t="inlineStr">
        <is>
          <t>PriceCharting + TCGplayer</t>
        </is>
      </c>
      <c r="N2358" s="4" t="inlineStr">
        <is>
          <t>https://www.pricecharting.com/game/pokemon-white-flare/elite-trainer-box</t>
        </is>
      </c>
      <c r="O2358" s="4" t="inlineStr">
        <is>
          <t>https://www.tcgplayer.com/product/630689</t>
        </is>
      </c>
    </row>
    <row r="2359">
      <c r="A2359" s="2" t="inlineStr">
        <is>
          <t>White Flare Pokemon Center Elite Trainer Box (Exclusive)</t>
        </is>
      </c>
      <c r="B2359" s="3">
        <f>IF(I2359&lt;&gt;"",I2359,IF(J2359&lt;&gt;"",J2359,IF(K2359&lt;&gt;"",K2359,L2359)))</f>
        <v>233.57</v>
      </c>
      <c r="C2359" s="3">
        <f>MEDIAN(I2359:L2359)</f>
        <v>233.57</v>
      </c>
      <c r="D2359" s="3">
        <f>ROUND(C2359*(1-Settings!$B$2),2)</f>
        <v>163.5</v>
      </c>
      <c r="E2359" s="3">
        <f>ROUND(C2359*(1-Settings!$B$3),2)</f>
        <v>163.5</v>
      </c>
      <c r="F2359" s="2" t="inlineStr">
        <is>
          <t>Pokemon</t>
        </is>
      </c>
      <c r="G2359" s="2" t="inlineStr">
        <is>
          <t>Coffret</t>
        </is>
      </c>
      <c r="H2359" s="2" t="inlineStr">
        <is>
          <t>SV: White Flare</t>
        </is>
      </c>
      <c r="I2359" s="3" t="n"/>
      <c r="J2359" s="3" t="n">
        <v>233.57</v>
      </c>
      <c r="K2359" s="3" t="n">
        <v>280</v>
      </c>
      <c r="L2359" s="3" t="n">
        <v>227.72</v>
      </c>
      <c r="M2359" s="2" t="inlineStr">
        <is>
          <t>TCGplayer</t>
        </is>
      </c>
      <c r="O2359" s="4" t="inlineStr">
        <is>
          <t>https://www.tcgplayer.com/product/630688</t>
        </is>
      </c>
    </row>
    <row r="2360">
      <c r="A2360" s="2" t="inlineStr">
        <is>
          <t>White Flare Tech Sticker Collection</t>
        </is>
      </c>
      <c r="B2360" s="3">
        <f>IF(I2360&lt;&gt;"",I2360,IF(J2360&lt;&gt;"",J2360,IF(K2360&lt;&gt;"",K2360,L2360)))</f>
        <v>45.0</v>
      </c>
      <c r="C2360" s="3">
        <f>MEDIAN(I2360:L2360)</f>
        <v>46.95</v>
      </c>
      <c r="D2360" s="3">
        <f>ROUND(C2360*(1-Settings!$B$2),2)</f>
        <v>32.87</v>
      </c>
      <c r="E2360" s="3">
        <f>ROUND(C2360*(1-Settings!$B$3),2)</f>
        <v>32.87</v>
      </c>
      <c r="F2360" s="2" t="inlineStr">
        <is>
          <t>Pokemon</t>
        </is>
      </c>
      <c r="G2360" s="2" t="inlineStr">
        <is>
          <t>Coffret</t>
        </is>
      </c>
      <c r="H2360" s="2" t="inlineStr">
        <is>
          <t>SV: White Flare</t>
        </is>
      </c>
      <c r="I2360" s="3" t="n">
        <v>45</v>
      </c>
      <c r="J2360" s="3" t="n">
        <v>48.9</v>
      </c>
      <c r="K2360" s="3" t="n">
        <v>49.18</v>
      </c>
      <c r="L2360" s="3" t="n">
        <v>33.9</v>
      </c>
      <c r="M2360" s="2" t="inlineStr">
        <is>
          <t>PriceCharting + TCGplayer</t>
        </is>
      </c>
      <c r="N2360" s="4" t="inlineStr">
        <is>
          <t>https://www.pricecharting.com/game/pokemon-white-flare/tech-sticker-collection</t>
        </is>
      </c>
      <c r="O2360" s="4" t="inlineStr">
        <is>
          <t>https://www.tcgplayer.com/product/630700</t>
        </is>
      </c>
    </row>
    <row r="2361">
      <c r="A2361" s="2" t="inlineStr">
        <is>
          <t>Galar Partners Box [Cinderace V]</t>
        </is>
      </c>
      <c r="B2361" s="3">
        <f>IF(I2361&lt;&gt;"",I2361,IF(J2361&lt;&gt;"",J2361,IF(K2361&lt;&gt;"",K2361,L2361)))</f>
        <v>162.73</v>
      </c>
      <c r="C2361" s="3">
        <f>MEDIAN(I2361:L2361)</f>
        <v>199.0</v>
      </c>
      <c r="D2361" s="3">
        <f>ROUND(C2361*(1-Settings!$B$2),2)</f>
        <v>139.3</v>
      </c>
      <c r="E2361" s="3">
        <f>ROUND(C2361*(1-Settings!$B$3),2)</f>
        <v>139.3</v>
      </c>
      <c r="F2361" s="2" t="inlineStr">
        <is>
          <t>Pokemon</t>
        </is>
      </c>
      <c r="G2361" s="2" t="inlineStr">
        <is>
          <t>Coffret</t>
        </is>
      </c>
      <c r="H2361" s="2" t="inlineStr">
        <is>
          <t>SWSH01: Sword &amp; Shield Base Set</t>
        </is>
      </c>
      <c r="I2361" s="3" t="n"/>
      <c r="J2361" s="3" t="n">
        <v>162.73</v>
      </c>
      <c r="K2361" s="3" t="n">
        <v>199</v>
      </c>
      <c r="L2361" s="3" t="n">
        <v>199</v>
      </c>
      <c r="M2361" s="2" t="inlineStr">
        <is>
          <t>TCGplayer</t>
        </is>
      </c>
      <c r="O2361" s="4" t="inlineStr">
        <is>
          <t>https://www.tcgplayer.com/product/220750</t>
        </is>
      </c>
    </row>
    <row r="2362">
      <c r="A2362" s="2" t="inlineStr">
        <is>
          <t>Galar Partners Box [Inteleon V]</t>
        </is>
      </c>
      <c r="B2362" s="3">
        <f>IF(I2362&lt;&gt;"",I2362,IF(J2362&lt;&gt;"",J2362,IF(K2362&lt;&gt;"",K2362,L2362)))</f>
        <v>166.5</v>
      </c>
      <c r="C2362" s="3">
        <f>MEDIAN(I2362:L2362)</f>
        <v>172.0</v>
      </c>
      <c r="D2362" s="3">
        <f>ROUND(C2362*(1-Settings!$B$2),2)</f>
        <v>120.4</v>
      </c>
      <c r="E2362" s="3">
        <f>ROUND(C2362*(1-Settings!$B$3),2)</f>
        <v>120.4</v>
      </c>
      <c r="F2362" s="2" t="inlineStr">
        <is>
          <t>Pokemon</t>
        </is>
      </c>
      <c r="G2362" s="2" t="inlineStr">
        <is>
          <t>Coffret</t>
        </is>
      </c>
      <c r="H2362" s="2" t="inlineStr">
        <is>
          <t>SWSH01: Sword &amp; Shield Base Set</t>
        </is>
      </c>
      <c r="I2362" s="3" t="n"/>
      <c r="J2362" s="3" t="n">
        <v>166.5</v>
      </c>
      <c r="K2362" s="3" t="n">
        <v>185</v>
      </c>
      <c r="L2362" s="3" t="n">
        <v>172</v>
      </c>
      <c r="M2362" s="2" t="inlineStr">
        <is>
          <t>TCGplayer</t>
        </is>
      </c>
      <c r="O2362" s="4" t="inlineStr">
        <is>
          <t>https://www.tcgplayer.com/product/220752</t>
        </is>
      </c>
    </row>
    <row r="2363">
      <c r="A2363" s="2" t="inlineStr">
        <is>
          <t>Galar Partners Box [Rillaboom V]</t>
        </is>
      </c>
      <c r="B2363" s="3">
        <f>IF(I2363&lt;&gt;"",I2363,IF(J2363&lt;&gt;"",J2363,IF(K2363&lt;&gt;"",K2363,L2363)))</f>
        <v>193.99</v>
      </c>
      <c r="C2363" s="3">
        <f>MEDIAN(I2363:L2363)</f>
        <v>190.0</v>
      </c>
      <c r="D2363" s="3">
        <f>ROUND(C2363*(1-Settings!$B$2),2)</f>
        <v>133.0</v>
      </c>
      <c r="E2363" s="3">
        <f>ROUND(C2363*(1-Settings!$B$3),2)</f>
        <v>133.0</v>
      </c>
      <c r="F2363" s="2" t="inlineStr">
        <is>
          <t>Pokemon</t>
        </is>
      </c>
      <c r="G2363" s="2" t="inlineStr">
        <is>
          <t>Coffret</t>
        </is>
      </c>
      <c r="H2363" s="2" t="inlineStr">
        <is>
          <t>SWSH01: Sword &amp; Shield Base Set</t>
        </is>
      </c>
      <c r="I2363" s="3" t="n"/>
      <c r="J2363" s="3" t="n">
        <v>193.99</v>
      </c>
      <c r="K2363" s="3" t="n">
        <v>190</v>
      </c>
      <c r="L2363" s="3" t="n">
        <v>190</v>
      </c>
      <c r="M2363" s="2" t="inlineStr">
        <is>
          <t>TCGplayer</t>
        </is>
      </c>
      <c r="O2363" s="4" t="inlineStr">
        <is>
          <t>https://www.tcgplayer.com/product/220751</t>
        </is>
      </c>
    </row>
    <row r="2364">
      <c r="A2364" s="2" t="inlineStr">
        <is>
          <t>Galar Partners International Tin [Cinderace V]</t>
        </is>
      </c>
      <c r="B2364" s="3">
        <f>IF(I2364&lt;&gt;"",I2364,IF(J2364&lt;&gt;"",J2364,IF(K2364&lt;&gt;"",K2364,L2364)))</f>
        <v>105.0</v>
      </c>
      <c r="C2364" s="3">
        <f>MEDIAN(I2364:L2364)</f>
        <v>105.0</v>
      </c>
      <c r="D2364" s="3">
        <f>ROUND(C2364*(1-Settings!$B$2),2)</f>
        <v>73.5</v>
      </c>
      <c r="E2364" s="3">
        <f>ROUND(C2364*(1-Settings!$B$3),2)</f>
        <v>73.5</v>
      </c>
      <c r="F2364" s="2" t="inlineStr">
        <is>
          <t>Pokemon</t>
        </is>
      </c>
      <c r="G2364" s="2" t="inlineStr">
        <is>
          <t>Coffret</t>
        </is>
      </c>
      <c r="H2364" s="2" t="inlineStr">
        <is>
          <t>SWSH01: Sword &amp; Shield Base Set</t>
        </is>
      </c>
      <c r="I2364" s="3" t="n"/>
      <c r="J2364" s="3" t="n"/>
      <c r="K2364" s="3" t="n">
        <v>105</v>
      </c>
      <c r="L2364" s="3" t="n">
        <v>105</v>
      </c>
      <c r="M2364" s="2" t="inlineStr">
        <is>
          <t>TCGplayer</t>
        </is>
      </c>
      <c r="O2364" s="4" t="inlineStr">
        <is>
          <t>https://www.tcgplayer.com/product/282886</t>
        </is>
      </c>
    </row>
    <row r="2365">
      <c r="A2365" s="2" t="inlineStr">
        <is>
          <t>Galar Partners International Tin [Rillaboom V]</t>
        </is>
      </c>
      <c r="B2365" s="3">
        <f>IF(I2365&lt;&gt;"",I2365,IF(J2365&lt;&gt;"",J2365,IF(K2365&lt;&gt;"",K2365,L2365)))</f>
        <v>105.0</v>
      </c>
      <c r="C2365" s="3">
        <f>MEDIAN(I2365:L2365)</f>
        <v>105.0</v>
      </c>
      <c r="D2365" s="3">
        <f>ROUND(C2365*(1-Settings!$B$2),2)</f>
        <v>73.5</v>
      </c>
      <c r="E2365" s="3">
        <f>ROUND(C2365*(1-Settings!$B$3),2)</f>
        <v>73.5</v>
      </c>
      <c r="F2365" s="2" t="inlineStr">
        <is>
          <t>Pokemon</t>
        </is>
      </c>
      <c r="G2365" s="2" t="inlineStr">
        <is>
          <t>Coffret</t>
        </is>
      </c>
      <c r="H2365" s="2" t="inlineStr">
        <is>
          <t>SWSH01: Sword &amp; Shield Base Set</t>
        </is>
      </c>
      <c r="I2365" s="3" t="n"/>
      <c r="J2365" s="3" t="n"/>
      <c r="K2365" s="3" t="n">
        <v>105</v>
      </c>
      <c r="L2365" s="3" t="n">
        <v>105</v>
      </c>
      <c r="M2365" s="2" t="inlineStr">
        <is>
          <t>TCGplayer</t>
        </is>
      </c>
      <c r="O2365" s="4" t="inlineStr">
        <is>
          <t>https://www.tcgplayer.com/product/282887</t>
        </is>
      </c>
    </row>
    <row r="2366">
      <c r="A2366" s="2" t="inlineStr">
        <is>
          <t>Galar Partners Tin [Cinderace V]</t>
        </is>
      </c>
      <c r="B2366" s="3">
        <f>IF(I2366&lt;&gt;"",I2366,IF(J2366&lt;&gt;"",J2366,IF(K2366&lt;&gt;"",K2366,L2366)))</f>
        <v>300.0</v>
      </c>
      <c r="C2366" s="3">
        <f>MEDIAN(I2366:L2366)</f>
        <v>300.0</v>
      </c>
      <c r="D2366" s="3">
        <f>ROUND(C2366*(1-Settings!$B$2),2)</f>
        <v>210.0</v>
      </c>
      <c r="E2366" s="3">
        <f>ROUND(C2366*(1-Settings!$B$3),2)</f>
        <v>210.0</v>
      </c>
      <c r="F2366" s="2" t="inlineStr">
        <is>
          <t>Pokemon</t>
        </is>
      </c>
      <c r="G2366" s="2" t="inlineStr">
        <is>
          <t>Coffret</t>
        </is>
      </c>
      <c r="H2366" s="2" t="inlineStr">
        <is>
          <t>SWSH01: Sword &amp; Shield Base Set</t>
        </is>
      </c>
      <c r="I2366" s="3" t="n"/>
      <c r="J2366" s="3" t="n"/>
      <c r="K2366" s="3" t="n">
        <v>300</v>
      </c>
      <c r="L2366" s="3" t="n">
        <v>300</v>
      </c>
      <c r="M2366" s="2" t="inlineStr">
        <is>
          <t>TCGplayer</t>
        </is>
      </c>
      <c r="O2366" s="4" t="inlineStr">
        <is>
          <t>https://www.tcgplayer.com/product/206420</t>
        </is>
      </c>
    </row>
    <row r="2367">
      <c r="A2367" s="2" t="inlineStr">
        <is>
          <t>Galar Partners Tin [Inteleon V]</t>
        </is>
      </c>
      <c r="B2367" s="3">
        <f>IF(I2367&lt;&gt;"",I2367,IF(J2367&lt;&gt;"",J2367,IF(K2367&lt;&gt;"",K2367,L2367)))</f>
        <v>199.95</v>
      </c>
      <c r="C2367" s="3">
        <f>MEDIAN(I2367:L2367)</f>
        <v>187.22</v>
      </c>
      <c r="D2367" s="3">
        <f>ROUND(C2367*(1-Settings!$B$2),2)</f>
        <v>131.05</v>
      </c>
      <c r="E2367" s="3">
        <f>ROUND(C2367*(1-Settings!$B$3),2)</f>
        <v>131.05</v>
      </c>
      <c r="F2367" s="2" t="inlineStr">
        <is>
          <t>Pokemon</t>
        </is>
      </c>
      <c r="G2367" s="2" t="inlineStr">
        <is>
          <t>Coffret</t>
        </is>
      </c>
      <c r="H2367" s="2" t="inlineStr">
        <is>
          <t>SWSH01: Sword &amp; Shield Base Set</t>
        </is>
      </c>
      <c r="I2367" s="3" t="n"/>
      <c r="J2367" s="3" t="n"/>
      <c r="K2367" s="3" t="n">
        <v>199.95</v>
      </c>
      <c r="L2367" s="3" t="n">
        <v>174.49</v>
      </c>
      <c r="M2367" s="2" t="inlineStr">
        <is>
          <t>TCGplayer</t>
        </is>
      </c>
      <c r="O2367" s="4" t="inlineStr">
        <is>
          <t>https://www.tcgplayer.com/product/206417</t>
        </is>
      </c>
    </row>
    <row r="2368">
      <c r="A2368" s="2" t="inlineStr">
        <is>
          <t>Galar Partners Tin [Rillaboom V]</t>
        </is>
      </c>
      <c r="B2368" s="3">
        <f>IF(I2368&lt;&gt;"",I2368,IF(J2368&lt;&gt;"",J2368,IF(K2368&lt;&gt;"",K2368,L2368)))</f>
        <v>184.99</v>
      </c>
      <c r="C2368" s="3">
        <f>MEDIAN(I2368:L2368)</f>
        <v>177.49</v>
      </c>
      <c r="D2368" s="3">
        <f>ROUND(C2368*(1-Settings!$B$2),2)</f>
        <v>124.24</v>
      </c>
      <c r="E2368" s="3">
        <f>ROUND(C2368*(1-Settings!$B$3),2)</f>
        <v>124.24</v>
      </c>
      <c r="F2368" s="2" t="inlineStr">
        <is>
          <t>Pokemon</t>
        </is>
      </c>
      <c r="G2368" s="2" t="inlineStr">
        <is>
          <t>Coffret</t>
        </is>
      </c>
      <c r="H2368" s="2" t="inlineStr">
        <is>
          <t>SWSH01: Sword &amp; Shield Base Set</t>
        </is>
      </c>
      <c r="I2368" s="3" t="n"/>
      <c r="J2368" s="3" t="n"/>
      <c r="K2368" s="3" t="n">
        <v>184.99</v>
      </c>
      <c r="L2368" s="3" t="n">
        <v>169.99</v>
      </c>
      <c r="M2368" s="2" t="inlineStr">
        <is>
          <t>TCGplayer</t>
        </is>
      </c>
      <c r="O2368" s="4" t="inlineStr">
        <is>
          <t>https://www.tcgplayer.com/product/206422</t>
        </is>
      </c>
    </row>
    <row r="2369">
      <c r="A2369" s="2" t="inlineStr">
        <is>
          <t>Galar Partners Tin [Set of 3]</t>
        </is>
      </c>
      <c r="B2369" s="3">
        <f>IF(I2369&lt;&gt;"",I2369,IF(J2369&lt;&gt;"",J2369,IF(K2369&lt;&gt;"",K2369,L2369)))</f>
        <v>674.98</v>
      </c>
      <c r="C2369" s="3">
        <f>MEDIAN(I2369:L2369)</f>
        <v>637.49</v>
      </c>
      <c r="D2369" s="3">
        <f>ROUND(C2369*(1-Settings!$B$2),2)</f>
        <v>446.24</v>
      </c>
      <c r="E2369" s="3">
        <f>ROUND(C2369*(1-Settings!$B$3),2)</f>
        <v>446.24</v>
      </c>
      <c r="F2369" s="2" t="inlineStr">
        <is>
          <t>Pokemon</t>
        </is>
      </c>
      <c r="G2369" s="2" t="inlineStr">
        <is>
          <t>Coffret</t>
        </is>
      </c>
      <c r="H2369" s="2" t="inlineStr">
        <is>
          <t>SWSH01: Sword &amp; Shield Base Set</t>
        </is>
      </c>
      <c r="I2369" s="3" t="n"/>
      <c r="J2369" s="3" t="n"/>
      <c r="K2369" s="3" t="n">
        <v>674.98</v>
      </c>
      <c r="L2369" s="3" t="n">
        <v>600</v>
      </c>
      <c r="M2369" s="2" t="inlineStr">
        <is>
          <t>TCGplayer</t>
        </is>
      </c>
      <c r="O2369" s="4" t="inlineStr">
        <is>
          <t>https://www.tcgplayer.com/product/206423</t>
        </is>
      </c>
    </row>
    <row r="2370">
      <c r="A2370" s="2" t="inlineStr">
        <is>
          <t>Legends of Galar Tin + Galar Partners Tin 2-pack [Zacian V/Cinderace V] (Retail Exclusive)</t>
        </is>
      </c>
      <c r="B2370" s="3">
        <f>IF(I2370&lt;&gt;"",I2370,IF(J2370&lt;&gt;"",J2370,IF(K2370&lt;&gt;"",K2370,L2370)))</f>
        <v>149.99</v>
      </c>
      <c r="C2370" s="3">
        <f>MEDIAN(I2370:L2370)</f>
        <v>149.99</v>
      </c>
      <c r="D2370" s="3">
        <f>ROUND(C2370*(1-Settings!$B$2),2)</f>
        <v>104.99</v>
      </c>
      <c r="E2370" s="3">
        <f>ROUND(C2370*(1-Settings!$B$3),2)</f>
        <v>104.99</v>
      </c>
      <c r="F2370" s="2" t="inlineStr">
        <is>
          <t>Pokemon</t>
        </is>
      </c>
      <c r="G2370" s="2" t="inlineStr">
        <is>
          <t>Coffret</t>
        </is>
      </c>
      <c r="H2370" s="2" t="inlineStr">
        <is>
          <t>SWSH01: Sword &amp; Shield Base Set</t>
        </is>
      </c>
      <c r="I2370" s="3" t="n"/>
      <c r="J2370" s="3" t="n"/>
      <c r="K2370" s="3" t="n">
        <v>149.99</v>
      </c>
      <c r="L2370" s="3" t="n">
        <v>149.99</v>
      </c>
      <c r="M2370" s="2" t="inlineStr">
        <is>
          <t>TCGplayer</t>
        </is>
      </c>
      <c r="O2370" s="4" t="inlineStr">
        <is>
          <t>https://www.tcgplayer.com/product/287503</t>
        </is>
      </c>
    </row>
    <row r="2371">
      <c r="A2371" s="2" t="inlineStr">
        <is>
          <t>Legends of Galar Tin + Galar Partners Tin 2-pack [Zacian V/Inteleon V] (Retail Exclusive)</t>
        </is>
      </c>
      <c r="B2371" s="3">
        <f>IF(I2371&lt;&gt;"",I2371,IF(J2371&lt;&gt;"",J2371,IF(K2371&lt;&gt;"",K2371,L2371)))</f>
        <v>149.99</v>
      </c>
      <c r="C2371" s="3">
        <f>MEDIAN(I2371:L2371)</f>
        <v>149.99</v>
      </c>
      <c r="D2371" s="3">
        <f>ROUND(C2371*(1-Settings!$B$2),2)</f>
        <v>104.99</v>
      </c>
      <c r="E2371" s="3">
        <f>ROUND(C2371*(1-Settings!$B$3),2)</f>
        <v>104.99</v>
      </c>
      <c r="F2371" s="2" t="inlineStr">
        <is>
          <t>Pokemon</t>
        </is>
      </c>
      <c r="G2371" s="2" t="inlineStr">
        <is>
          <t>Coffret</t>
        </is>
      </c>
      <c r="H2371" s="2" t="inlineStr">
        <is>
          <t>SWSH01: Sword &amp; Shield Base Set</t>
        </is>
      </c>
      <c r="I2371" s="3" t="n"/>
      <c r="J2371" s="3" t="n"/>
      <c r="K2371" s="3" t="n">
        <v>149.99</v>
      </c>
      <c r="L2371" s="3" t="n">
        <v>149.99</v>
      </c>
      <c r="M2371" s="2" t="inlineStr">
        <is>
          <t>TCGplayer</t>
        </is>
      </c>
      <c r="O2371" s="4" t="inlineStr">
        <is>
          <t>https://www.tcgplayer.com/product/287502</t>
        </is>
      </c>
    </row>
    <row r="2372">
      <c r="A2372" s="2" t="inlineStr">
        <is>
          <t>Legends of Galar Tin + Galar Partners Tin 2-pack [Zacian V/Rillaboom V] (Retail Exclusive)</t>
        </is>
      </c>
      <c r="B2372" s="3">
        <f>IF(I2372&lt;&gt;"",I2372,IF(J2372&lt;&gt;"",J2372,IF(K2372&lt;&gt;"",K2372,L2372)))</f>
        <v>179.99</v>
      </c>
      <c r="C2372" s="3">
        <f>MEDIAN(I2372:L2372)</f>
        <v>250.0</v>
      </c>
      <c r="D2372" s="3">
        <f>ROUND(C2372*(1-Settings!$B$2),2)</f>
        <v>175.0</v>
      </c>
      <c r="E2372" s="3">
        <f>ROUND(C2372*(1-Settings!$B$3),2)</f>
        <v>175.0</v>
      </c>
      <c r="F2372" s="2" t="inlineStr">
        <is>
          <t>Pokemon</t>
        </is>
      </c>
      <c r="G2372" s="2" t="inlineStr">
        <is>
          <t>Coffret</t>
        </is>
      </c>
      <c r="H2372" s="2" t="inlineStr">
        <is>
          <t>SWSH01: Sword &amp; Shield Base Set</t>
        </is>
      </c>
      <c r="I2372" s="3" t="n"/>
      <c r="J2372" s="3" t="n">
        <v>179.99</v>
      </c>
      <c r="K2372" s="3" t="n">
        <v>300</v>
      </c>
      <c r="L2372" s="3" t="n">
        <v>250</v>
      </c>
      <c r="M2372" s="2" t="inlineStr">
        <is>
          <t>TCGplayer</t>
        </is>
      </c>
      <c r="O2372" s="4" t="inlineStr">
        <is>
          <t>https://www.tcgplayer.com/product/287500</t>
        </is>
      </c>
    </row>
    <row r="2373">
      <c r="A2373" s="2" t="inlineStr">
        <is>
          <t>Legends of Galar Tin + Galar Partners Tin 2-pack [Zamazenta V/Cinderace V] (Retail Exclusive)</t>
        </is>
      </c>
      <c r="B2373" s="3">
        <f>IF(I2373&lt;&gt;"",I2373,IF(J2373&lt;&gt;"",J2373,IF(K2373&lt;&gt;"",K2373,L2373)))</f>
        <v>300.0</v>
      </c>
      <c r="C2373" s="3">
        <f>MEDIAN(I2373:L2373)</f>
        <v>275.0</v>
      </c>
      <c r="D2373" s="3">
        <f>ROUND(C2373*(1-Settings!$B$2),2)</f>
        <v>192.5</v>
      </c>
      <c r="E2373" s="3">
        <f>ROUND(C2373*(1-Settings!$B$3),2)</f>
        <v>192.5</v>
      </c>
      <c r="F2373" s="2" t="inlineStr">
        <is>
          <t>Pokemon</t>
        </is>
      </c>
      <c r="G2373" s="2" t="inlineStr">
        <is>
          <t>Coffret</t>
        </is>
      </c>
      <c r="H2373" s="2" t="inlineStr">
        <is>
          <t>SWSH01: Sword &amp; Shield Base Set</t>
        </is>
      </c>
      <c r="I2373" s="3" t="n"/>
      <c r="J2373" s="3" t="n"/>
      <c r="K2373" s="3" t="n">
        <v>300</v>
      </c>
      <c r="L2373" s="3" t="n">
        <v>250</v>
      </c>
      <c r="M2373" s="2" t="inlineStr">
        <is>
          <t>TCGplayer</t>
        </is>
      </c>
      <c r="O2373" s="4" t="inlineStr">
        <is>
          <t>https://www.tcgplayer.com/product/287504</t>
        </is>
      </c>
    </row>
    <row r="2374">
      <c r="A2374" s="2" t="inlineStr">
        <is>
          <t>Legends of Galar Tin + Galar Partners Tin 2-pack [Zamazenta V/Inteleon V] (Retail Exclusive)</t>
        </is>
      </c>
      <c r="B2374" s="3">
        <f>IF(I2374&lt;&gt;"",I2374,IF(J2374&lt;&gt;"",J2374,IF(K2374&lt;&gt;"",K2374,L2374)))</f>
        <v>179.99</v>
      </c>
      <c r="C2374" s="3">
        <f>MEDIAN(I2374:L2374)</f>
        <v>349.99</v>
      </c>
      <c r="D2374" s="3">
        <f>ROUND(C2374*(1-Settings!$B$2),2)</f>
        <v>244.99</v>
      </c>
      <c r="E2374" s="3">
        <f>ROUND(C2374*(1-Settings!$B$3),2)</f>
        <v>244.99</v>
      </c>
      <c r="F2374" s="2" t="inlineStr">
        <is>
          <t>Pokemon</t>
        </is>
      </c>
      <c r="G2374" s="2" t="inlineStr">
        <is>
          <t>Coffret</t>
        </is>
      </c>
      <c r="H2374" s="2" t="inlineStr">
        <is>
          <t>SWSH01: Sword &amp; Shield Base Set</t>
        </is>
      </c>
      <c r="I2374" s="3" t="n"/>
      <c r="J2374" s="3" t="n">
        <v>179.99</v>
      </c>
      <c r="K2374" s="3" t="n">
        <v>349.99</v>
      </c>
      <c r="L2374" s="3" t="n">
        <v>349.99</v>
      </c>
      <c r="M2374" s="2" t="inlineStr">
        <is>
          <t>TCGplayer</t>
        </is>
      </c>
      <c r="O2374" s="4" t="inlineStr">
        <is>
          <t>https://www.tcgplayer.com/product/287505</t>
        </is>
      </c>
    </row>
    <row r="2375">
      <c r="A2375" s="2" t="inlineStr">
        <is>
          <t>Legends of Galar Tin + Galar Partners Tin 2-pack [Zamazenta V/Rillaboom V] (Retail Exclusive)</t>
        </is>
      </c>
      <c r="B2375" s="3">
        <f>IF(I2375&lt;&gt;"",I2375,IF(J2375&lt;&gt;"",J2375,IF(K2375&lt;&gt;"",K2375,L2375)))</f>
        <v>300.0</v>
      </c>
      <c r="C2375" s="3">
        <f>MEDIAN(I2375:L2375)</f>
        <v>275.0</v>
      </c>
      <c r="D2375" s="3">
        <f>ROUND(C2375*(1-Settings!$B$2),2)</f>
        <v>192.5</v>
      </c>
      <c r="E2375" s="3">
        <f>ROUND(C2375*(1-Settings!$B$3),2)</f>
        <v>192.5</v>
      </c>
      <c r="F2375" s="2" t="inlineStr">
        <is>
          <t>Pokemon</t>
        </is>
      </c>
      <c r="G2375" s="2" t="inlineStr">
        <is>
          <t>Coffret</t>
        </is>
      </c>
      <c r="H2375" s="2" t="inlineStr">
        <is>
          <t>SWSH01: Sword &amp; Shield Base Set</t>
        </is>
      </c>
      <c r="I2375" s="3" t="n"/>
      <c r="J2375" s="3" t="n"/>
      <c r="K2375" s="3" t="n">
        <v>300</v>
      </c>
      <c r="L2375" s="3" t="n">
        <v>250</v>
      </c>
      <c r="M2375" s="2" t="inlineStr">
        <is>
          <t>TCGplayer</t>
        </is>
      </c>
      <c r="O2375" s="4" t="inlineStr">
        <is>
          <t>https://www.tcgplayer.com/product/287507</t>
        </is>
      </c>
    </row>
    <row r="2376">
      <c r="A2376" s="2" t="inlineStr">
        <is>
          <t>Morpeko Pin Collection</t>
        </is>
      </c>
      <c r="B2376" s="3">
        <f>IF(I2376&lt;&gt;"",I2376,IF(J2376&lt;&gt;"",J2376,IF(K2376&lt;&gt;"",K2376,L2376)))</f>
        <v>69.0</v>
      </c>
      <c r="C2376" s="3">
        <f>MEDIAN(I2376:L2376)</f>
        <v>80.0</v>
      </c>
      <c r="D2376" s="3">
        <f>ROUND(C2376*(1-Settings!$B$2),2)</f>
        <v>56.0</v>
      </c>
      <c r="E2376" s="3">
        <f>ROUND(C2376*(1-Settings!$B$3),2)</f>
        <v>56.0</v>
      </c>
      <c r="F2376" s="2" t="inlineStr">
        <is>
          <t>Pokemon</t>
        </is>
      </c>
      <c r="G2376" s="2" t="inlineStr">
        <is>
          <t>Coffret</t>
        </is>
      </c>
      <c r="H2376" s="2" t="inlineStr">
        <is>
          <t>SWSH01: Sword &amp; Shield Base Set</t>
        </is>
      </c>
      <c r="I2376" s="3" t="n"/>
      <c r="J2376" s="3" t="n">
        <v>69</v>
      </c>
      <c r="K2376" s="3" t="n">
        <v>89.89</v>
      </c>
      <c r="L2376" s="3" t="n">
        <v>80</v>
      </c>
      <c r="M2376" s="2" t="inlineStr">
        <is>
          <t>TCGplayer</t>
        </is>
      </c>
      <c r="O2376" s="4" t="inlineStr">
        <is>
          <t>https://www.tcgplayer.com/product/210577</t>
        </is>
      </c>
    </row>
    <row r="2377">
      <c r="A2377" s="2" t="inlineStr">
        <is>
          <t>Snorlax Pin Collection</t>
        </is>
      </c>
      <c r="B2377" s="3">
        <f>IF(I2377&lt;&gt;"",I2377,IF(J2377&lt;&gt;"",J2377,IF(K2377&lt;&gt;"",K2377,L2377)))</f>
        <v>160.0</v>
      </c>
      <c r="C2377" s="3">
        <f>MEDIAN(I2377:L2377)</f>
        <v>319.95</v>
      </c>
      <c r="D2377" s="3">
        <f>ROUND(C2377*(1-Settings!$B$2),2)</f>
        <v>223.97</v>
      </c>
      <c r="E2377" s="3">
        <f>ROUND(C2377*(1-Settings!$B$3),2)</f>
        <v>223.97</v>
      </c>
      <c r="F2377" s="2" t="inlineStr">
        <is>
          <t>Pokemon</t>
        </is>
      </c>
      <c r="G2377" s="2" t="inlineStr">
        <is>
          <t>Coffret</t>
        </is>
      </c>
      <c r="H2377" s="2" t="inlineStr">
        <is>
          <t>SWSH01: Sword &amp; Shield Base Set</t>
        </is>
      </c>
      <c r="I2377" s="3" t="n"/>
      <c r="J2377" s="3" t="n">
        <v>160</v>
      </c>
      <c r="K2377" s="3" t="n">
        <v>319.95</v>
      </c>
      <c r="L2377" s="3" t="n">
        <v>319.95</v>
      </c>
      <c r="M2377" s="2" t="inlineStr">
        <is>
          <t>TCGplayer</t>
        </is>
      </c>
      <c r="O2377" s="4" t="inlineStr">
        <is>
          <t>https://www.tcgplayer.com/product/210576</t>
        </is>
      </c>
    </row>
    <row r="2378">
      <c r="A2378" s="2" t="inlineStr">
        <is>
          <t>Spring 2020 Collector's Chest Tin</t>
        </is>
      </c>
      <c r="B2378" s="3">
        <f>IF(I2378&lt;&gt;"",I2378,IF(J2378&lt;&gt;"",J2378,IF(K2378&lt;&gt;"",K2378,L2378)))</f>
        <v>177.47</v>
      </c>
      <c r="C2378" s="3">
        <f>MEDIAN(I2378:L2378)</f>
        <v>180.0</v>
      </c>
      <c r="D2378" s="3">
        <f>ROUND(C2378*(1-Settings!$B$2),2)</f>
        <v>126.0</v>
      </c>
      <c r="E2378" s="3">
        <f>ROUND(C2378*(1-Settings!$B$3),2)</f>
        <v>126.0</v>
      </c>
      <c r="F2378" s="2" t="inlineStr">
        <is>
          <t>Pokemon</t>
        </is>
      </c>
      <c r="G2378" s="2" t="inlineStr">
        <is>
          <t>Coffret</t>
        </is>
      </c>
      <c r="H2378" s="2" t="inlineStr">
        <is>
          <t>SWSH01: Sword &amp; Shield Base Set</t>
        </is>
      </c>
      <c r="I2378" s="3" t="n"/>
      <c r="J2378" s="3" t="n">
        <v>177.47</v>
      </c>
      <c r="K2378" s="3" t="n">
        <v>199.99</v>
      </c>
      <c r="L2378" s="3" t="n">
        <v>180</v>
      </c>
      <c r="M2378" s="2" t="inlineStr">
        <is>
          <t>TCGplayer</t>
        </is>
      </c>
      <c r="O2378" s="4" t="inlineStr">
        <is>
          <t>https://www.tcgplayer.com/product/209531</t>
        </is>
      </c>
    </row>
    <row r="2379">
      <c r="A2379" s="2" t="inlineStr">
        <is>
          <t>Sword &amp; Shield Build &amp; Battle Box</t>
        </is>
      </c>
      <c r="B2379" s="3">
        <f>IF(I2379&lt;&gt;"",I2379,IF(J2379&lt;&gt;"",J2379,IF(K2379&lt;&gt;"",K2379,L2379)))</f>
        <v>103.17</v>
      </c>
      <c r="C2379" s="3">
        <f>MEDIAN(I2379:L2379)</f>
        <v>105.88</v>
      </c>
      <c r="D2379" s="3">
        <f>ROUND(C2379*(1-Settings!$B$2),2)</f>
        <v>74.12</v>
      </c>
      <c r="E2379" s="3">
        <f>ROUND(C2379*(1-Settings!$B$3),2)</f>
        <v>74.12</v>
      </c>
      <c r="F2379" s="2" t="inlineStr">
        <is>
          <t>Pokemon</t>
        </is>
      </c>
      <c r="G2379" s="2" t="inlineStr">
        <is>
          <t>Coffret</t>
        </is>
      </c>
      <c r="H2379" s="2" t="inlineStr">
        <is>
          <t>SWSH01: Sword &amp; Shield Base Set</t>
        </is>
      </c>
      <c r="I2379" s="3" t="n"/>
      <c r="J2379" s="3" t="n">
        <v>103.17</v>
      </c>
      <c r="K2379" s="3" t="n">
        <v>115.44</v>
      </c>
      <c r="L2379" s="3" t="n">
        <v>105.88</v>
      </c>
      <c r="M2379" s="2" t="inlineStr">
        <is>
          <t>TCGplayer</t>
        </is>
      </c>
      <c r="O2379" s="4" t="inlineStr">
        <is>
          <t>https://www.tcgplayer.com/product/206040</t>
        </is>
      </c>
    </row>
    <row r="2380">
      <c r="A2380" s="2" t="inlineStr">
        <is>
          <t>Sword &amp; Shield Elite Trainer Box [Set of 2]</t>
        </is>
      </c>
      <c r="B2380" s="3">
        <f>IF(I2380&lt;&gt;"",I2380,IF(J2380&lt;&gt;"",J2380,IF(K2380&lt;&gt;"",K2380,L2380)))</f>
        <v>369.99</v>
      </c>
      <c r="C2380" s="3">
        <f>MEDIAN(I2380:L2380)</f>
        <v>369.99</v>
      </c>
      <c r="D2380" s="3">
        <f>ROUND(C2380*(1-Settings!$B$2),2)</f>
        <v>258.99</v>
      </c>
      <c r="E2380" s="3">
        <f>ROUND(C2380*(1-Settings!$B$3),2)</f>
        <v>258.99</v>
      </c>
      <c r="F2380" s="2" t="inlineStr">
        <is>
          <t>Pokemon</t>
        </is>
      </c>
      <c r="G2380" s="2" t="inlineStr">
        <is>
          <t>Coffret</t>
        </is>
      </c>
      <c r="H2380" s="2" t="inlineStr">
        <is>
          <t>SWSH01: Sword &amp; Shield Base Set</t>
        </is>
      </c>
      <c r="I2380" s="3" t="n"/>
      <c r="J2380" s="3" t="n">
        <v>369.99</v>
      </c>
      <c r="K2380" s="3" t="n">
        <v>438.98</v>
      </c>
      <c r="L2380" s="3" t="n">
        <v>314.99</v>
      </c>
      <c r="M2380" s="2" t="inlineStr">
        <is>
          <t>TCGplayer</t>
        </is>
      </c>
      <c r="O2380" s="4" t="inlineStr">
        <is>
          <t>https://www.tcgplayer.com/product/244411</t>
        </is>
      </c>
    </row>
    <row r="2381">
      <c r="A2381" s="2" t="inlineStr">
        <is>
          <t>Sword &amp; Shield Elite Trainer Box [Zacian]</t>
        </is>
      </c>
      <c r="B2381" s="3">
        <f>IF(I2381&lt;&gt;"",I2381,IF(J2381&lt;&gt;"",J2381,IF(K2381&lt;&gt;"",K2381,L2381)))</f>
        <v>174.89</v>
      </c>
      <c r="C2381" s="3">
        <f>MEDIAN(I2381:L2381)</f>
        <v>179.99</v>
      </c>
      <c r="D2381" s="3">
        <f>ROUND(C2381*(1-Settings!$B$2),2)</f>
        <v>125.99</v>
      </c>
      <c r="E2381" s="3">
        <f>ROUND(C2381*(1-Settings!$B$3),2)</f>
        <v>125.99</v>
      </c>
      <c r="F2381" s="2" t="inlineStr">
        <is>
          <t>Pokemon</t>
        </is>
      </c>
      <c r="G2381" s="2" t="inlineStr">
        <is>
          <t>Coffret</t>
        </is>
      </c>
      <c r="H2381" s="2" t="inlineStr">
        <is>
          <t>SWSH01: Sword &amp; Shield Base Set</t>
        </is>
      </c>
      <c r="I2381" s="3" t="n"/>
      <c r="J2381" s="3" t="n">
        <v>174.89</v>
      </c>
      <c r="K2381" s="3" t="n">
        <v>196.52</v>
      </c>
      <c r="L2381" s="3" t="n">
        <v>179.99</v>
      </c>
      <c r="M2381" s="2" t="inlineStr">
        <is>
          <t>TCGplayer</t>
        </is>
      </c>
      <c r="O2381" s="4" t="inlineStr">
        <is>
          <t>https://www.tcgplayer.com/product/206038</t>
        </is>
      </c>
    </row>
    <row r="2382">
      <c r="A2382" s="2" t="inlineStr">
        <is>
          <t>Sword &amp; Shield Elite Trainer Box [Zamazenta]</t>
        </is>
      </c>
      <c r="B2382" s="3">
        <f>IF(I2382&lt;&gt;"",I2382,IF(J2382&lt;&gt;"",J2382,IF(K2382&lt;&gt;"",K2382,L2382)))</f>
        <v>171.15</v>
      </c>
      <c r="C2382" s="3">
        <f>MEDIAN(I2382:L2382)</f>
        <v>171.15</v>
      </c>
      <c r="D2382" s="3">
        <f>ROUND(C2382*(1-Settings!$B$2),2)</f>
        <v>119.81</v>
      </c>
      <c r="E2382" s="3">
        <f>ROUND(C2382*(1-Settings!$B$3),2)</f>
        <v>119.81</v>
      </c>
      <c r="F2382" s="2" t="inlineStr">
        <is>
          <t>Pokemon</t>
        </is>
      </c>
      <c r="G2382" s="2" t="inlineStr">
        <is>
          <t>Coffret</t>
        </is>
      </c>
      <c r="H2382" s="2" t="inlineStr">
        <is>
          <t>SWSH01: Sword &amp; Shield Base Set</t>
        </is>
      </c>
      <c r="I2382" s="3" t="n"/>
      <c r="J2382" s="3" t="n">
        <v>171.15</v>
      </c>
      <c r="K2382" s="3" t="n">
        <v>186.94</v>
      </c>
      <c r="L2382" s="3" t="n">
        <v>140</v>
      </c>
      <c r="M2382" s="2" t="inlineStr">
        <is>
          <t>TCGplayer</t>
        </is>
      </c>
      <c r="O2382" s="4" t="inlineStr">
        <is>
          <t>https://www.tcgplayer.com/product/206039</t>
        </is>
      </c>
    </row>
    <row r="2383">
      <c r="A2383" s="2" t="inlineStr">
        <is>
          <t>Sword and Shield Base Set Booster Pack Art Bundle [Set of 4]</t>
        </is>
      </c>
      <c r="B2383" s="3">
        <f>IF(I2383&lt;&gt;"",I2383,IF(J2383&lt;&gt;"",J2383,IF(K2383&lt;&gt;"",K2383,L2383)))</f>
        <v>50.9</v>
      </c>
      <c r="C2383" s="3">
        <f>MEDIAN(I2383:L2383)</f>
        <v>50.9</v>
      </c>
      <c r="D2383" s="3">
        <f>ROUND(C2383*(1-Settings!$B$2),2)</f>
        <v>35.63</v>
      </c>
      <c r="E2383" s="3">
        <f>ROUND(C2383*(1-Settings!$B$3),2)</f>
        <v>35.63</v>
      </c>
      <c r="F2383" s="2" t="inlineStr">
        <is>
          <t>Pokemon</t>
        </is>
      </c>
      <c r="G2383" s="2" t="inlineStr">
        <is>
          <t>Coffret</t>
        </is>
      </c>
      <c r="H2383" s="2" t="inlineStr">
        <is>
          <t>SWSH01: Sword &amp; Shield Base Set</t>
        </is>
      </c>
      <c r="I2383" s="3" t="n"/>
      <c r="J2383" s="3" t="n">
        <v>50.9</v>
      </c>
      <c r="K2383" s="3" t="n">
        <v>53.98</v>
      </c>
      <c r="L2383" s="3" t="n">
        <v>48.95</v>
      </c>
      <c r="M2383" s="2" t="inlineStr">
        <is>
          <t>TCGplayer</t>
        </is>
      </c>
      <c r="O2383" s="4" t="inlineStr">
        <is>
          <t>https://www.tcgplayer.com/product/265314</t>
        </is>
      </c>
    </row>
    <row r="2384">
      <c r="A2384" s="2" t="inlineStr">
        <is>
          <t>Sword And Shield Base Set Sleeved Booster Pack Art Bundle [Set of 4]</t>
        </is>
      </c>
      <c r="B2384" s="3">
        <f>IF(I2384&lt;&gt;"",I2384,IF(J2384&lt;&gt;"",J2384,IF(K2384&lt;&gt;"",K2384,L2384)))</f>
        <v>55.0</v>
      </c>
      <c r="C2384" s="3">
        <f>MEDIAN(I2384:L2384)</f>
        <v>55.0</v>
      </c>
      <c r="D2384" s="3">
        <f>ROUND(C2384*(1-Settings!$B$2),2)</f>
        <v>38.5</v>
      </c>
      <c r="E2384" s="3">
        <f>ROUND(C2384*(1-Settings!$B$3),2)</f>
        <v>38.5</v>
      </c>
      <c r="F2384" s="2" t="inlineStr">
        <is>
          <t>Pokemon</t>
        </is>
      </c>
      <c r="G2384" s="2" t="inlineStr">
        <is>
          <t>Coffret</t>
        </is>
      </c>
      <c r="H2384" s="2" t="inlineStr">
        <is>
          <t>SWSH01: Sword &amp; Shield Base Set</t>
        </is>
      </c>
      <c r="I2384" s="3" t="n"/>
      <c r="J2384" s="3" t="n">
        <v>55</v>
      </c>
      <c r="K2384" s="3" t="n">
        <v>55.99</v>
      </c>
      <c r="L2384" s="3" t="n">
        <v>50</v>
      </c>
      <c r="M2384" s="2" t="inlineStr">
        <is>
          <t>TCGplayer</t>
        </is>
      </c>
      <c r="O2384" s="4" t="inlineStr">
        <is>
          <t>https://www.tcgplayer.com/product/487795</t>
        </is>
      </c>
    </row>
    <row r="2385">
      <c r="A2385" s="2" t="inlineStr">
        <is>
          <t>Toxtricity V Box</t>
        </is>
      </c>
      <c r="B2385" s="3">
        <f>IF(I2385&lt;&gt;"",I2385,IF(J2385&lt;&gt;"",J2385,IF(K2385&lt;&gt;"",K2385,L2385)))</f>
        <v>145.0</v>
      </c>
      <c r="C2385" s="3">
        <f>MEDIAN(I2385:L2385)</f>
        <v>145.0</v>
      </c>
      <c r="D2385" s="3">
        <f>ROUND(C2385*(1-Settings!$B$2),2)</f>
        <v>101.5</v>
      </c>
      <c r="E2385" s="3">
        <f>ROUND(C2385*(1-Settings!$B$3),2)</f>
        <v>101.5</v>
      </c>
      <c r="F2385" s="2" t="inlineStr">
        <is>
          <t>Pokemon</t>
        </is>
      </c>
      <c r="G2385" s="2" t="inlineStr">
        <is>
          <t>Coffret</t>
        </is>
      </c>
      <c r="H2385" s="2" t="inlineStr">
        <is>
          <t>SWSH01: Sword &amp; Shield Base Set</t>
        </is>
      </c>
      <c r="I2385" s="3" t="n"/>
      <c r="J2385" s="3" t="n">
        <v>145</v>
      </c>
      <c r="K2385" s="3" t="n"/>
      <c r="L2385" s="3" t="n"/>
      <c r="M2385" s="2" t="inlineStr">
        <is>
          <t>TCGplayer</t>
        </is>
      </c>
      <c r="O2385" s="4" t="inlineStr">
        <is>
          <t>https://www.tcgplayer.com/product/206424</t>
        </is>
      </c>
    </row>
    <row r="2386">
      <c r="A2386" s="2" t="inlineStr">
        <is>
          <t>Copperajah V Box</t>
        </is>
      </c>
      <c r="B2386" s="3">
        <f>IF(I2386&lt;&gt;"",I2386,IF(J2386&lt;&gt;"",J2386,IF(K2386&lt;&gt;"",K2386,L2386)))</f>
        <v>102.95</v>
      </c>
      <c r="C2386" s="3">
        <f>MEDIAN(I2386:L2386)</f>
        <v>199.99</v>
      </c>
      <c r="D2386" s="3">
        <f>ROUND(C2386*(1-Settings!$B$2),2)</f>
        <v>139.99</v>
      </c>
      <c r="E2386" s="3">
        <f>ROUND(C2386*(1-Settings!$B$3),2)</f>
        <v>139.99</v>
      </c>
      <c r="F2386" s="2" t="inlineStr">
        <is>
          <t>Pokemon</t>
        </is>
      </c>
      <c r="G2386" s="2" t="inlineStr">
        <is>
          <t>Coffret</t>
        </is>
      </c>
      <c r="H2386" s="2" t="inlineStr">
        <is>
          <t>SWSH02: Rebel Clash</t>
        </is>
      </c>
      <c r="I2386" s="3" t="n"/>
      <c r="J2386" s="3" t="n">
        <v>102.95</v>
      </c>
      <c r="K2386" s="3" t="n">
        <v>199.99</v>
      </c>
      <c r="L2386" s="3" t="n">
        <v>199.99</v>
      </c>
      <c r="M2386" s="2" t="inlineStr">
        <is>
          <t>TCGplayer</t>
        </is>
      </c>
      <c r="O2386" s="4" t="inlineStr">
        <is>
          <t>https://www.tcgplayer.com/product/214227</t>
        </is>
      </c>
    </row>
    <row r="2387">
      <c r="A2387" s="2" t="inlineStr">
        <is>
          <t>Legends of Galar Tin [Set of 2]</t>
        </is>
      </c>
      <c r="B2387" s="3">
        <f>IF(I2387&lt;&gt;"",I2387,IF(J2387&lt;&gt;"",J2387,IF(K2387&lt;&gt;"",K2387,L2387)))</f>
        <v>240.46</v>
      </c>
      <c r="C2387" s="3">
        <f>MEDIAN(I2387:L2387)</f>
        <v>210.71</v>
      </c>
      <c r="D2387" s="3">
        <f>ROUND(C2387*(1-Settings!$B$2),2)</f>
        <v>147.5</v>
      </c>
      <c r="E2387" s="3">
        <f>ROUND(C2387*(1-Settings!$B$3),2)</f>
        <v>147.5</v>
      </c>
      <c r="F2387" s="2" t="inlineStr">
        <is>
          <t>Pokemon</t>
        </is>
      </c>
      <c r="G2387" s="2" t="inlineStr">
        <is>
          <t>Coffret</t>
        </is>
      </c>
      <c r="H2387" s="2" t="inlineStr">
        <is>
          <t>SWSH02: Rebel Clash</t>
        </is>
      </c>
      <c r="I2387" s="3" t="n"/>
      <c r="J2387" s="3" t="n"/>
      <c r="K2387" s="3" t="n">
        <v>240.46</v>
      </c>
      <c r="L2387" s="3" t="n">
        <v>180.96</v>
      </c>
      <c r="M2387" s="2" t="inlineStr">
        <is>
          <t>TCGplayer</t>
        </is>
      </c>
      <c r="O2387" s="4" t="inlineStr">
        <is>
          <t>https://www.tcgplayer.com/product/214232</t>
        </is>
      </c>
    </row>
    <row r="2388">
      <c r="A2388" s="2" t="inlineStr">
        <is>
          <t>Legends of Galar Tin [Zacian V]</t>
        </is>
      </c>
      <c r="B2388" s="3">
        <f>IF(I2388&lt;&gt;"",I2388,IF(J2388&lt;&gt;"",J2388,IF(K2388&lt;&gt;"",K2388,L2388)))</f>
        <v>59.11</v>
      </c>
      <c r="C2388" s="3">
        <f>MEDIAN(I2388:L2388)</f>
        <v>130.815</v>
      </c>
      <c r="D2388" s="3">
        <f>ROUND(C2388*(1-Settings!$B$2),2)</f>
        <v>91.57</v>
      </c>
      <c r="E2388" s="3">
        <f>ROUND(C2388*(1-Settings!$B$3),2)</f>
        <v>91.57</v>
      </c>
      <c r="F2388" s="2" t="inlineStr">
        <is>
          <t>Pokemon</t>
        </is>
      </c>
      <c r="G2388" s="2" t="inlineStr">
        <is>
          <t>Coffret</t>
        </is>
      </c>
      <c r="H2388" s="2" t="inlineStr">
        <is>
          <t>SWSH02: Rebel Clash</t>
        </is>
      </c>
      <c r="I2388" s="3" t="n">
        <v>59.11</v>
      </c>
      <c r="J2388" s="3" t="n">
        <v>63.63</v>
      </c>
      <c r="K2388" s="3" t="n">
        <v>275</v>
      </c>
      <c r="L2388" s="3" t="n">
        <v>198</v>
      </c>
      <c r="M2388" s="2" t="inlineStr">
        <is>
          <t>PriceCharting + TCGplayer</t>
        </is>
      </c>
      <c r="N2388" s="4" t="inlineStr">
        <is>
          <t>https://www.pricecharting.com/game/pokemon-rebel-clash/legends-of-galar-tin-zacian-v</t>
        </is>
      </c>
      <c r="O2388" s="4" t="inlineStr">
        <is>
          <t>https://www.tcgplayer.com/product/214230</t>
        </is>
      </c>
    </row>
    <row r="2389">
      <c r="A2389" s="2" t="inlineStr">
        <is>
          <t>Legends of Galar Tin [Zacian V] (International Version)</t>
        </is>
      </c>
      <c r="B2389" s="3">
        <f>IF(I2389&lt;&gt;"",I2389,IF(J2389&lt;&gt;"",J2389,IF(K2389&lt;&gt;"",K2389,L2389)))</f>
        <v>89.98</v>
      </c>
      <c r="C2389" s="3">
        <f>MEDIAN(I2389:L2389)</f>
        <v>89.975</v>
      </c>
      <c r="D2389" s="3">
        <f>ROUND(C2389*(1-Settings!$B$2),2)</f>
        <v>62.98</v>
      </c>
      <c r="E2389" s="3">
        <f>ROUND(C2389*(1-Settings!$B$3),2)</f>
        <v>62.98</v>
      </c>
      <c r="F2389" s="2" t="inlineStr">
        <is>
          <t>Pokemon</t>
        </is>
      </c>
      <c r="G2389" s="2" t="inlineStr">
        <is>
          <t>Coffret</t>
        </is>
      </c>
      <c r="H2389" s="2" t="inlineStr">
        <is>
          <t>SWSH02: Rebel Clash</t>
        </is>
      </c>
      <c r="I2389" s="3" t="n"/>
      <c r="J2389" s="3" t="n"/>
      <c r="K2389" s="3" t="n">
        <v>89.98</v>
      </c>
      <c r="L2389" s="3" t="n">
        <v>89.97</v>
      </c>
      <c r="M2389" s="2" t="inlineStr">
        <is>
          <t>TCGplayer</t>
        </is>
      </c>
      <c r="O2389" s="4" t="inlineStr">
        <is>
          <t>https://www.tcgplayer.com/product/279257</t>
        </is>
      </c>
    </row>
    <row r="2390">
      <c r="A2390" s="2" t="inlineStr">
        <is>
          <t>Legends of Galar Tin [Zamazenta V]</t>
        </is>
      </c>
      <c r="B2390" s="3">
        <f>IF(I2390&lt;&gt;"",I2390,IF(J2390&lt;&gt;"",J2390,IF(K2390&lt;&gt;"",K2390,L2390)))</f>
        <v>68.72</v>
      </c>
      <c r="C2390" s="3">
        <f>MEDIAN(I2390:L2390)</f>
        <v>77.49</v>
      </c>
      <c r="D2390" s="3">
        <f>ROUND(C2390*(1-Settings!$B$2),2)</f>
        <v>54.24</v>
      </c>
      <c r="E2390" s="3">
        <f>ROUND(C2390*(1-Settings!$B$3),2)</f>
        <v>54.24</v>
      </c>
      <c r="F2390" s="2" t="inlineStr">
        <is>
          <t>Pokemon</t>
        </is>
      </c>
      <c r="G2390" s="2" t="inlineStr">
        <is>
          <t>Coffret</t>
        </is>
      </c>
      <c r="H2390" s="2" t="inlineStr">
        <is>
          <t>SWSH02: Rebel Clash</t>
        </is>
      </c>
      <c r="I2390" s="3" t="n"/>
      <c r="J2390" s="3" t="n">
        <v>68.72</v>
      </c>
      <c r="K2390" s="3" t="n">
        <v>90.47</v>
      </c>
      <c r="L2390" s="3" t="n">
        <v>77.48999999999999</v>
      </c>
      <c r="M2390" s="2" t="inlineStr">
        <is>
          <t>TCGplayer</t>
        </is>
      </c>
      <c r="O2390" s="4" t="inlineStr">
        <is>
          <t>https://www.tcgplayer.com/product/214231</t>
        </is>
      </c>
    </row>
    <row r="2391">
      <c r="A2391" s="2" t="inlineStr">
        <is>
          <t>Legends of Galar Tin [Zamazenta V] (International Version)</t>
        </is>
      </c>
      <c r="B2391" s="3">
        <f>IF(I2391&lt;&gt;"",I2391,IF(J2391&lt;&gt;"",J2391,IF(K2391&lt;&gt;"",K2391,L2391)))</f>
        <v>84.0</v>
      </c>
      <c r="C2391" s="3">
        <f>MEDIAN(I2391:L2391)</f>
        <v>84.0</v>
      </c>
      <c r="D2391" s="3">
        <f>ROUND(C2391*(1-Settings!$B$2),2)</f>
        <v>58.8</v>
      </c>
      <c r="E2391" s="3">
        <f>ROUND(C2391*(1-Settings!$B$3),2)</f>
        <v>58.8</v>
      </c>
      <c r="F2391" s="2" t="inlineStr">
        <is>
          <t>Pokemon</t>
        </is>
      </c>
      <c r="G2391" s="2" t="inlineStr">
        <is>
          <t>Coffret</t>
        </is>
      </c>
      <c r="H2391" s="2" t="inlineStr">
        <is>
          <t>SWSH02: Rebel Clash</t>
        </is>
      </c>
      <c r="I2391" s="3" t="n"/>
      <c r="J2391" s="3" t="n"/>
      <c r="K2391" s="3" t="n">
        <v>84</v>
      </c>
      <c r="L2391" s="3" t="n">
        <v>84</v>
      </c>
      <c r="M2391" s="2" t="inlineStr">
        <is>
          <t>TCGplayer</t>
        </is>
      </c>
      <c r="O2391" s="4" t="inlineStr">
        <is>
          <t>https://www.tcgplayer.com/product/279258</t>
        </is>
      </c>
    </row>
    <row r="2392">
      <c r="A2392" s="2" t="inlineStr">
        <is>
          <t>Polteageist V Box</t>
        </is>
      </c>
      <c r="B2392" s="3">
        <f>IF(I2392&lt;&gt;"",I2392,IF(J2392&lt;&gt;"",J2392,IF(K2392&lt;&gt;"",K2392,L2392)))</f>
        <v>116.32</v>
      </c>
      <c r="C2392" s="3">
        <f>MEDIAN(I2392:L2392)</f>
        <v>149.99</v>
      </c>
      <c r="D2392" s="3">
        <f>ROUND(C2392*(1-Settings!$B$2),2)</f>
        <v>104.99</v>
      </c>
      <c r="E2392" s="3">
        <f>ROUND(C2392*(1-Settings!$B$3),2)</f>
        <v>104.99</v>
      </c>
      <c r="F2392" s="2" t="inlineStr">
        <is>
          <t>Pokemon</t>
        </is>
      </c>
      <c r="G2392" s="2" t="inlineStr">
        <is>
          <t>Coffret</t>
        </is>
      </c>
      <c r="H2392" s="2" t="inlineStr">
        <is>
          <t>SWSH02: Rebel Clash</t>
        </is>
      </c>
      <c r="I2392" s="3" t="n"/>
      <c r="J2392" s="3" t="n">
        <v>116.32</v>
      </c>
      <c r="K2392" s="3" t="n">
        <v>149.99</v>
      </c>
      <c r="L2392" s="3" t="n">
        <v>149.99</v>
      </c>
      <c r="M2392" s="2" t="inlineStr">
        <is>
          <t>TCGplayer</t>
        </is>
      </c>
      <c r="O2392" s="4" t="inlineStr">
        <is>
          <t>https://www.tcgplayer.com/product/210563</t>
        </is>
      </c>
    </row>
    <row r="2393">
      <c r="A2393" s="2" t="inlineStr">
        <is>
          <t>Rebel Clash Booster Pack Art Bundle [Set of 4]</t>
        </is>
      </c>
      <c r="B2393" s="3">
        <f>IF(I2393&lt;&gt;"",I2393,IF(J2393&lt;&gt;"",J2393,IF(K2393&lt;&gt;"",K2393,L2393)))</f>
        <v>37.22</v>
      </c>
      <c r="C2393" s="3">
        <f>MEDIAN(I2393:L2393)</f>
        <v>59.94</v>
      </c>
      <c r="D2393" s="3">
        <f>ROUND(C2393*(1-Settings!$B$2),2)</f>
        <v>41.96</v>
      </c>
      <c r="E2393" s="3">
        <f>ROUND(C2393*(1-Settings!$B$3),2)</f>
        <v>41.96</v>
      </c>
      <c r="F2393" s="2" t="inlineStr">
        <is>
          <t>Pokemon</t>
        </is>
      </c>
      <c r="G2393" s="2" t="inlineStr">
        <is>
          <t>Coffret</t>
        </is>
      </c>
      <c r="H2393" s="2" t="inlineStr">
        <is>
          <t>SWSH02: Rebel Clash</t>
        </is>
      </c>
      <c r="I2393" s="3" t="n"/>
      <c r="J2393" s="3" t="n">
        <v>37.22</v>
      </c>
      <c r="K2393" s="3" t="n">
        <v>59.95</v>
      </c>
      <c r="L2393" s="3" t="n">
        <v>59.94</v>
      </c>
      <c r="M2393" s="2" t="inlineStr">
        <is>
          <t>TCGplayer</t>
        </is>
      </c>
      <c r="O2393" s="4" t="inlineStr">
        <is>
          <t>https://www.tcgplayer.com/product/265316</t>
        </is>
      </c>
    </row>
    <row r="2394">
      <c r="A2394" s="2" t="inlineStr">
        <is>
          <t>Rebel Clash Build &amp; Battle Box</t>
        </is>
      </c>
      <c r="B2394" s="3">
        <f>IF(I2394&lt;&gt;"",I2394,IF(J2394&lt;&gt;"",J2394,IF(K2394&lt;&gt;"",K2394,L2394)))</f>
        <v>70.94</v>
      </c>
      <c r="C2394" s="3">
        <f>MEDIAN(I2394:L2394)</f>
        <v>75.55000000000001</v>
      </c>
      <c r="D2394" s="3">
        <f>ROUND(C2394*(1-Settings!$B$2),2)</f>
        <v>52.89</v>
      </c>
      <c r="E2394" s="3">
        <f>ROUND(C2394*(1-Settings!$B$3),2)</f>
        <v>52.89</v>
      </c>
      <c r="F2394" s="2" t="inlineStr">
        <is>
          <t>Pokemon</t>
        </is>
      </c>
      <c r="G2394" s="2" t="inlineStr">
        <is>
          <t>Coffret</t>
        </is>
      </c>
      <c r="H2394" s="2" t="inlineStr">
        <is>
          <t>SWSH02: Rebel Clash</t>
        </is>
      </c>
      <c r="I2394" s="3" t="n">
        <v>70.94</v>
      </c>
      <c r="J2394" s="3" t="n">
        <v>76.12</v>
      </c>
      <c r="K2394" s="3" t="n">
        <v>80.38</v>
      </c>
      <c r="L2394" s="3" t="n">
        <v>74.98</v>
      </c>
      <c r="M2394" s="2" t="inlineStr">
        <is>
          <t>PriceCharting + TCGplayer</t>
        </is>
      </c>
      <c r="N2394" s="4" t="inlineStr">
        <is>
          <t>https://www.pricecharting.com/game/pokemon-rebel-clash/build-&amp;-battle-box</t>
        </is>
      </c>
      <c r="O2394" s="4" t="inlineStr">
        <is>
          <t>https://www.tcgplayer.com/product/212821</t>
        </is>
      </c>
    </row>
    <row r="2395">
      <c r="A2395" s="2" t="inlineStr">
        <is>
          <t>Rebel Clash Elite Trainer Box</t>
        </is>
      </c>
      <c r="B2395" s="3">
        <f>IF(I2395&lt;&gt;"",I2395,IF(J2395&lt;&gt;"",J2395,IF(K2395&lt;&gt;"",K2395,L2395)))</f>
        <v>295.19</v>
      </c>
      <c r="C2395" s="3">
        <f>MEDIAN(I2395:L2395)</f>
        <v>314.90999999999997</v>
      </c>
      <c r="D2395" s="3">
        <f>ROUND(C2395*(1-Settings!$B$2),2)</f>
        <v>220.44</v>
      </c>
      <c r="E2395" s="3">
        <f>ROUND(C2395*(1-Settings!$B$3),2)</f>
        <v>220.44</v>
      </c>
      <c r="F2395" s="2" t="inlineStr">
        <is>
          <t>Pokemon</t>
        </is>
      </c>
      <c r="G2395" s="2" t="inlineStr">
        <is>
          <t>Coffret</t>
        </is>
      </c>
      <c r="H2395" s="2" t="inlineStr">
        <is>
          <t>SWSH02: Rebel Clash</t>
        </is>
      </c>
      <c r="I2395" s="3" t="n">
        <v>295.19</v>
      </c>
      <c r="J2395" s="3" t="n">
        <v>327.82</v>
      </c>
      <c r="K2395" s="3" t="n">
        <v>353.96</v>
      </c>
      <c r="L2395" s="3" t="n">
        <v>302</v>
      </c>
      <c r="M2395" s="2" t="inlineStr">
        <is>
          <t>PriceCharting + TCGplayer</t>
        </is>
      </c>
      <c r="N2395" s="4" t="inlineStr">
        <is>
          <t>https://www.pricecharting.com/game/pokemon-rebel-clash/elite-trainer-box</t>
        </is>
      </c>
      <c r="O2395" s="4" t="inlineStr">
        <is>
          <t>https://www.tcgplayer.com/product/210572</t>
        </is>
      </c>
    </row>
    <row r="2396">
      <c r="A2396" s="2" t="inlineStr">
        <is>
          <t>Darkness Ablaze Booster Pack Art Bundle [Set of 4]</t>
        </is>
      </c>
      <c r="B2396" s="3">
        <f>IF(I2396&lt;&gt;"",I2396,IF(J2396&lt;&gt;"",J2396,IF(K2396&lt;&gt;"",K2396,L2396)))</f>
        <v>43.41</v>
      </c>
      <c r="C2396" s="3">
        <f>MEDIAN(I2396:L2396)</f>
        <v>43.41</v>
      </c>
      <c r="D2396" s="3">
        <f>ROUND(C2396*(1-Settings!$B$2),2)</f>
        <v>30.39</v>
      </c>
      <c r="E2396" s="3">
        <f>ROUND(C2396*(1-Settings!$B$3),2)</f>
        <v>30.39</v>
      </c>
      <c r="F2396" s="2" t="inlineStr">
        <is>
          <t>Pokemon</t>
        </is>
      </c>
      <c r="G2396" s="2" t="inlineStr">
        <is>
          <t>Coffret</t>
        </is>
      </c>
      <c r="H2396" s="2" t="inlineStr">
        <is>
          <t>SWSH03: Darkness Ablaze</t>
        </is>
      </c>
      <c r="I2396" s="3" t="n"/>
      <c r="J2396" s="3" t="n">
        <v>43.41</v>
      </c>
      <c r="K2396" s="3" t="n">
        <v>43.46</v>
      </c>
      <c r="L2396" s="3" t="n">
        <v>42</v>
      </c>
      <c r="M2396" s="2" t="inlineStr">
        <is>
          <t>TCGplayer</t>
        </is>
      </c>
      <c r="O2396" s="4" t="inlineStr">
        <is>
          <t>https://www.tcgplayer.com/product/265317</t>
        </is>
      </c>
    </row>
    <row r="2397">
      <c r="A2397" s="2" t="inlineStr">
        <is>
          <t>Darkness Ablaze Build &amp; Battle Box</t>
        </is>
      </c>
      <c r="B2397" s="3">
        <f>IF(I2397&lt;&gt;"",I2397,IF(J2397&lt;&gt;"",J2397,IF(K2397&lt;&gt;"",K2397,L2397)))</f>
        <v>57.0</v>
      </c>
      <c r="C2397" s="3">
        <f>MEDIAN(I2397:L2397)</f>
        <v>58.615</v>
      </c>
      <c r="D2397" s="3">
        <f>ROUND(C2397*(1-Settings!$B$2),2)</f>
        <v>41.03</v>
      </c>
      <c r="E2397" s="3">
        <f>ROUND(C2397*(1-Settings!$B$3),2)</f>
        <v>41.03</v>
      </c>
      <c r="F2397" s="2" t="inlineStr">
        <is>
          <t>Pokemon</t>
        </is>
      </c>
      <c r="G2397" s="2" t="inlineStr">
        <is>
          <t>Coffret</t>
        </is>
      </c>
      <c r="H2397" s="2" t="inlineStr">
        <is>
          <t>SWSH03: Darkness Ablaze</t>
        </is>
      </c>
      <c r="I2397" s="3" t="n">
        <v>57</v>
      </c>
      <c r="J2397" s="3" t="n">
        <v>58.28</v>
      </c>
      <c r="K2397" s="3" t="n">
        <v>74.48</v>
      </c>
      <c r="L2397" s="3" t="n">
        <v>58.95</v>
      </c>
      <c r="M2397" s="2" t="inlineStr">
        <is>
          <t>PriceCharting + TCGplayer</t>
        </is>
      </c>
      <c r="N2397" s="4" t="inlineStr">
        <is>
          <t>https://www.pricecharting.com/game/pokemon-darkness-ablaze/build-&amp;-battle-box</t>
        </is>
      </c>
      <c r="O2397" s="4" t="inlineStr">
        <is>
          <t>https://www.tcgplayer.com/product/216861</t>
        </is>
      </c>
    </row>
    <row r="2398">
      <c r="A2398" s="2" t="inlineStr">
        <is>
          <t>Darkness Ablaze Elite Trainer Box</t>
        </is>
      </c>
      <c r="B2398" s="3">
        <f>IF(I2398&lt;&gt;"",I2398,IF(J2398&lt;&gt;"",J2398,IF(K2398&lt;&gt;"",K2398,L2398)))</f>
        <v>118.75</v>
      </c>
      <c r="C2398" s="3">
        <f>MEDIAN(I2398:L2398)</f>
        <v>118.84</v>
      </c>
      <c r="D2398" s="3">
        <f>ROUND(C2398*(1-Settings!$B$2),2)</f>
        <v>83.19</v>
      </c>
      <c r="E2398" s="3">
        <f>ROUND(C2398*(1-Settings!$B$3),2)</f>
        <v>83.19</v>
      </c>
      <c r="F2398" s="2" t="inlineStr">
        <is>
          <t>Pokemon</t>
        </is>
      </c>
      <c r="G2398" s="2" t="inlineStr">
        <is>
          <t>Coffret</t>
        </is>
      </c>
      <c r="H2398" s="2" t="inlineStr">
        <is>
          <t>SWSH03: Darkness Ablaze</t>
        </is>
      </c>
      <c r="I2398" s="3" t="n">
        <v>118.75</v>
      </c>
      <c r="J2398" s="3" t="n">
        <v>118.84</v>
      </c>
      <c r="K2398" s="3" t="n">
        <v>162.5</v>
      </c>
      <c r="L2398" s="3" t="n">
        <v>118.84</v>
      </c>
      <c r="M2398" s="2" t="inlineStr">
        <is>
          <t>PriceCharting + TCGplayer</t>
        </is>
      </c>
      <c r="N2398" s="4" t="inlineStr">
        <is>
          <t>https://www.pricecharting.com/game/pokemon-darkness-ablaze/elite-trainer-box</t>
        </is>
      </c>
      <c r="O2398" s="4" t="inlineStr">
        <is>
          <t>https://www.tcgplayer.com/product/216856</t>
        </is>
      </c>
    </row>
    <row r="2399">
      <c r="A2399" s="2" t="inlineStr">
        <is>
          <t>Darkness Ablaze Sleeved Booster Pack Art Bundle [Set of 4]</t>
        </is>
      </c>
      <c r="B2399" s="3">
        <f>IF(I2399&lt;&gt;"",I2399,IF(J2399&lt;&gt;"",J2399,IF(K2399&lt;&gt;"",K2399,L2399)))</f>
        <v>45.45</v>
      </c>
      <c r="C2399" s="3">
        <f>MEDIAN(I2399:L2399)</f>
        <v>49.4</v>
      </c>
      <c r="D2399" s="3">
        <f>ROUND(C2399*(1-Settings!$B$2),2)</f>
        <v>34.58</v>
      </c>
      <c r="E2399" s="3">
        <f>ROUND(C2399*(1-Settings!$B$3),2)</f>
        <v>34.58</v>
      </c>
      <c r="F2399" s="2" t="inlineStr">
        <is>
          <t>Pokemon</t>
        </is>
      </c>
      <c r="G2399" s="2" t="inlineStr">
        <is>
          <t>Coffret</t>
        </is>
      </c>
      <c r="H2399" s="2" t="inlineStr">
        <is>
          <t>SWSH03: Darkness Ablaze</t>
        </is>
      </c>
      <c r="I2399" s="3" t="n"/>
      <c r="J2399" s="3" t="n">
        <v>45.45</v>
      </c>
      <c r="K2399" s="3" t="n">
        <v>50</v>
      </c>
      <c r="L2399" s="3" t="n">
        <v>49.4</v>
      </c>
      <c r="M2399" s="2" t="inlineStr">
        <is>
          <t>TCGplayer</t>
        </is>
      </c>
      <c r="O2399" s="4" t="inlineStr">
        <is>
          <t>https://www.tcgplayer.com/product/487797</t>
        </is>
      </c>
    </row>
    <row r="2400">
      <c r="A2400" s="2" t="inlineStr">
        <is>
          <t>Eternatus VMAX Premium Collection</t>
        </is>
      </c>
      <c r="B2400" s="3">
        <f>IF(I2400&lt;&gt;"",I2400,IF(J2400&lt;&gt;"",J2400,IF(K2400&lt;&gt;"",K2400,L2400)))</f>
        <v>205.2</v>
      </c>
      <c r="C2400" s="3">
        <f>MEDIAN(I2400:L2400)</f>
        <v>202.59</v>
      </c>
      <c r="D2400" s="3">
        <f>ROUND(C2400*(1-Settings!$B$2),2)</f>
        <v>141.81</v>
      </c>
      <c r="E2400" s="3">
        <f>ROUND(C2400*(1-Settings!$B$3),2)</f>
        <v>141.81</v>
      </c>
      <c r="F2400" s="2" t="inlineStr">
        <is>
          <t>Pokemon</t>
        </is>
      </c>
      <c r="G2400" s="2" t="inlineStr">
        <is>
          <t>Coffret</t>
        </is>
      </c>
      <c r="H2400" s="2" t="inlineStr">
        <is>
          <t>SWSH03: Darkness Ablaze</t>
        </is>
      </c>
      <c r="I2400" s="3" t="n"/>
      <c r="J2400" s="3" t="n">
        <v>205.2</v>
      </c>
      <c r="K2400" s="3" t="n">
        <v>202.59</v>
      </c>
      <c r="L2400" s="3" t="n">
        <v>179.99</v>
      </c>
      <c r="M2400" s="2" t="inlineStr">
        <is>
          <t>TCGplayer</t>
        </is>
      </c>
      <c r="O2400" s="4" t="inlineStr">
        <is>
          <t>https://www.tcgplayer.com/product/220277</t>
        </is>
      </c>
    </row>
    <row r="2401">
      <c r="A2401" s="2" t="inlineStr">
        <is>
          <t>Galarian Sirfetch'd V Box</t>
        </is>
      </c>
      <c r="B2401" s="3">
        <f>IF(I2401&lt;&gt;"",I2401,IF(J2401&lt;&gt;"",J2401,IF(K2401&lt;&gt;"",K2401,L2401)))</f>
        <v>90.46</v>
      </c>
      <c r="C2401" s="3">
        <f>MEDIAN(I2401:L2401)</f>
        <v>119.0</v>
      </c>
      <c r="D2401" s="3">
        <f>ROUND(C2401*(1-Settings!$B$2),2)</f>
        <v>83.3</v>
      </c>
      <c r="E2401" s="3">
        <f>ROUND(C2401*(1-Settings!$B$3),2)</f>
        <v>83.3</v>
      </c>
      <c r="F2401" s="2" t="inlineStr">
        <is>
          <t>Pokemon</t>
        </is>
      </c>
      <c r="G2401" s="2" t="inlineStr">
        <is>
          <t>Coffret</t>
        </is>
      </c>
      <c r="H2401" s="2" t="inlineStr">
        <is>
          <t>SWSH03: Darkness Ablaze</t>
        </is>
      </c>
      <c r="I2401" s="3" t="n"/>
      <c r="J2401" s="3" t="n">
        <v>90.45999999999999</v>
      </c>
      <c r="K2401" s="3" t="n">
        <v>127.09</v>
      </c>
      <c r="L2401" s="3" t="n">
        <v>119</v>
      </c>
      <c r="M2401" s="2" t="inlineStr">
        <is>
          <t>TCGplayer</t>
        </is>
      </c>
      <c r="O2401" s="4" t="inlineStr">
        <is>
          <t>https://www.tcgplayer.com/product/220272</t>
        </is>
      </c>
    </row>
    <row r="2402">
      <c r="A2402" s="2" t="inlineStr">
        <is>
          <t>True Steel Premium Collection [Zacian]</t>
        </is>
      </c>
      <c r="B2402" s="3">
        <f>IF(I2402&lt;&gt;"",I2402,IF(J2402&lt;&gt;"",J2402,IF(K2402&lt;&gt;"",K2402,L2402)))</f>
        <v>356.76</v>
      </c>
      <c r="C2402" s="3">
        <f>MEDIAN(I2402:L2402)</f>
        <v>373.99</v>
      </c>
      <c r="D2402" s="3">
        <f>ROUND(C2402*(1-Settings!$B$2),2)</f>
        <v>261.79</v>
      </c>
      <c r="E2402" s="3">
        <f>ROUND(C2402*(1-Settings!$B$3),2)</f>
        <v>261.79</v>
      </c>
      <c r="F2402" s="2" t="inlineStr">
        <is>
          <t>Pokemon</t>
        </is>
      </c>
      <c r="G2402" s="2" t="inlineStr">
        <is>
          <t>Coffret</t>
        </is>
      </c>
      <c r="H2402" s="2" t="inlineStr">
        <is>
          <t>SWSH03: Darkness Ablaze</t>
        </is>
      </c>
      <c r="I2402" s="3" t="n"/>
      <c r="J2402" s="3" t="n">
        <v>356.76</v>
      </c>
      <c r="K2402" s="3" t="n">
        <v>398.98</v>
      </c>
      <c r="L2402" s="3" t="n">
        <v>373.99</v>
      </c>
      <c r="M2402" s="2" t="inlineStr">
        <is>
          <t>TCGplayer</t>
        </is>
      </c>
      <c r="O2402" s="4" t="inlineStr">
        <is>
          <t>https://www.tcgplayer.com/product/218839</t>
        </is>
      </c>
    </row>
    <row r="2403">
      <c r="A2403" s="2" t="inlineStr">
        <is>
          <t>True Steel Premium Collection [Zamazenta]</t>
        </is>
      </c>
      <c r="B2403" s="3">
        <f>IF(I2403&lt;&gt;"",I2403,IF(J2403&lt;&gt;"",J2403,IF(K2403&lt;&gt;"",K2403,L2403)))</f>
        <v>425.0</v>
      </c>
      <c r="C2403" s="3">
        <f>MEDIAN(I2403:L2403)</f>
        <v>412.495</v>
      </c>
      <c r="D2403" s="3">
        <f>ROUND(C2403*(1-Settings!$B$2),2)</f>
        <v>288.75</v>
      </c>
      <c r="E2403" s="3">
        <f>ROUND(C2403*(1-Settings!$B$3),2)</f>
        <v>288.75</v>
      </c>
      <c r="F2403" s="2" t="inlineStr">
        <is>
          <t>Pokemon</t>
        </is>
      </c>
      <c r="G2403" s="2" t="inlineStr">
        <is>
          <t>Coffret</t>
        </is>
      </c>
      <c r="H2403" s="2" t="inlineStr">
        <is>
          <t>SWSH03: Darkness Ablaze</t>
        </is>
      </c>
      <c r="I2403" s="3" t="n"/>
      <c r="J2403" s="3" t="n"/>
      <c r="K2403" s="3" t="n">
        <v>425</v>
      </c>
      <c r="L2403" s="3" t="n">
        <v>399.99</v>
      </c>
      <c r="M2403" s="2" t="inlineStr">
        <is>
          <t>TCGplayer</t>
        </is>
      </c>
      <c r="O2403" s="4" t="inlineStr">
        <is>
          <t>https://www.tcgplayer.com/product/218840</t>
        </is>
      </c>
    </row>
    <row r="2404">
      <c r="A2404" s="2" t="inlineStr">
        <is>
          <t>Alakazam V Box</t>
        </is>
      </c>
      <c r="B2404" s="3">
        <f>IF(I2404&lt;&gt;"",I2404,IF(J2404&lt;&gt;"",J2404,IF(K2404&lt;&gt;"",K2404,L2404)))</f>
        <v>43.99</v>
      </c>
      <c r="C2404" s="3">
        <f>MEDIAN(I2404:L2404)</f>
        <v>66.855</v>
      </c>
      <c r="D2404" s="3">
        <f>ROUND(C2404*(1-Settings!$B$2),2)</f>
        <v>46.8</v>
      </c>
      <c r="E2404" s="3">
        <f>ROUND(C2404*(1-Settings!$B$3),2)</f>
        <v>46.8</v>
      </c>
      <c r="F2404" s="2" t="inlineStr">
        <is>
          <t>Pokemon</t>
        </is>
      </c>
      <c r="G2404" s="2" t="inlineStr">
        <is>
          <t>Coffret</t>
        </is>
      </c>
      <c r="H2404" s="2" t="inlineStr">
        <is>
          <t>SWSH04: Vivid Voltage</t>
        </is>
      </c>
      <c r="I2404" s="3" t="n">
        <v>43.99</v>
      </c>
      <c r="J2404" s="3" t="n">
        <v>61.71</v>
      </c>
      <c r="K2404" s="3" t="n">
        <v>99.94</v>
      </c>
      <c r="L2404" s="3" t="n">
        <v>72</v>
      </c>
      <c r="M2404" s="2" t="inlineStr">
        <is>
          <t>PriceCharting + TCGplayer</t>
        </is>
      </c>
      <c r="N2404" s="4" t="inlineStr">
        <is>
          <t>https://www.pricecharting.com/game/pokemon-vivid-voltage/alakazam-v-box</t>
        </is>
      </c>
      <c r="O2404" s="4" t="inlineStr">
        <is>
          <t>https://www.tcgplayer.com/product/228979</t>
        </is>
      </c>
    </row>
    <row r="2405">
      <c r="A2405" s="2" t="inlineStr">
        <is>
          <t>Fall 2020 Collector's Chest Tin</t>
        </is>
      </c>
      <c r="B2405" s="3">
        <f>IF(I2405&lt;&gt;"",I2405,IF(J2405&lt;&gt;"",J2405,IF(K2405&lt;&gt;"",K2405,L2405)))</f>
        <v>86.57</v>
      </c>
      <c r="C2405" s="3">
        <f>MEDIAN(I2405:L2405)</f>
        <v>104.99</v>
      </c>
      <c r="D2405" s="3">
        <f>ROUND(C2405*(1-Settings!$B$2),2)</f>
        <v>73.49</v>
      </c>
      <c r="E2405" s="3">
        <f>ROUND(C2405*(1-Settings!$B$3),2)</f>
        <v>73.49</v>
      </c>
      <c r="F2405" s="2" t="inlineStr">
        <is>
          <t>Pokemon</t>
        </is>
      </c>
      <c r="G2405" s="2" t="inlineStr">
        <is>
          <t>Coffret</t>
        </is>
      </c>
      <c r="H2405" s="2" t="inlineStr">
        <is>
          <t>SWSH04: Vivid Voltage</t>
        </is>
      </c>
      <c r="I2405" s="3" t="n"/>
      <c r="J2405" s="3" t="n">
        <v>86.56999999999999</v>
      </c>
      <c r="K2405" s="3" t="n">
        <v>115.93</v>
      </c>
      <c r="L2405" s="3" t="n">
        <v>104.99</v>
      </c>
      <c r="M2405" s="2" t="inlineStr">
        <is>
          <t>TCGplayer</t>
        </is>
      </c>
      <c r="O2405" s="4" t="inlineStr">
        <is>
          <t>https://www.tcgplayer.com/product/222985</t>
        </is>
      </c>
    </row>
    <row r="2406">
      <c r="A2406" s="2" t="inlineStr">
        <is>
          <t>Galar Sidekicks Premium Collection</t>
        </is>
      </c>
      <c r="B2406" s="3">
        <f>IF(I2406&lt;&gt;"",I2406,IF(J2406&lt;&gt;"",J2406,IF(K2406&lt;&gt;"",K2406,L2406)))</f>
        <v>264.0</v>
      </c>
      <c r="C2406" s="3">
        <f>MEDIAN(I2406:L2406)</f>
        <v>264.0</v>
      </c>
      <c r="D2406" s="3">
        <f>ROUND(C2406*(1-Settings!$B$2),2)</f>
        <v>184.8</v>
      </c>
      <c r="E2406" s="3">
        <f>ROUND(C2406*(1-Settings!$B$3),2)</f>
        <v>184.8</v>
      </c>
      <c r="F2406" s="2" t="inlineStr">
        <is>
          <t>Pokemon</t>
        </is>
      </c>
      <c r="G2406" s="2" t="inlineStr">
        <is>
          <t>Coffret</t>
        </is>
      </c>
      <c r="H2406" s="2" t="inlineStr">
        <is>
          <t>SWSH04: Vivid Voltage</t>
        </is>
      </c>
      <c r="I2406" s="3" t="n">
        <v>264</v>
      </c>
      <c r="J2406" s="3" t="n">
        <v>264</v>
      </c>
      <c r="K2406" s="3" t="n"/>
      <c r="L2406" s="3" t="n"/>
      <c r="M2406" s="2" t="inlineStr">
        <is>
          <t>PriceCharting + TCGplayer</t>
        </is>
      </c>
      <c r="N2406" s="4" t="inlineStr">
        <is>
          <t>https://www.pricecharting.com/game/pokemon-vivid-voltage/galar-sidekicks-premium-collection</t>
        </is>
      </c>
      <c r="O2406" s="4" t="inlineStr">
        <is>
          <t>https://www.tcgplayer.com/product/228978</t>
        </is>
      </c>
    </row>
    <row r="2407">
      <c r="A2407" s="2" t="inlineStr">
        <is>
          <t>Orbeetle V Box</t>
        </is>
      </c>
      <c r="B2407" s="3">
        <f>IF(I2407&lt;&gt;"",I2407,IF(J2407&lt;&gt;"",J2407,IF(K2407&lt;&gt;"",K2407,L2407)))</f>
        <v>70.88</v>
      </c>
      <c r="C2407" s="3">
        <f>MEDIAN(I2407:L2407)</f>
        <v>74.0</v>
      </c>
      <c r="D2407" s="3">
        <f>ROUND(C2407*(1-Settings!$B$2),2)</f>
        <v>51.8</v>
      </c>
      <c r="E2407" s="3">
        <f>ROUND(C2407*(1-Settings!$B$3),2)</f>
        <v>51.8</v>
      </c>
      <c r="F2407" s="2" t="inlineStr">
        <is>
          <t>Pokemon</t>
        </is>
      </c>
      <c r="G2407" s="2" t="inlineStr">
        <is>
          <t>Coffret</t>
        </is>
      </c>
      <c r="H2407" s="2" t="inlineStr">
        <is>
          <t>SWSH04: Vivid Voltage</t>
        </is>
      </c>
      <c r="I2407" s="3" t="n"/>
      <c r="J2407" s="3" t="n">
        <v>70.88</v>
      </c>
      <c r="K2407" s="3" t="n">
        <v>99.98999999999999</v>
      </c>
      <c r="L2407" s="3" t="n">
        <v>74</v>
      </c>
      <c r="M2407" s="2" t="inlineStr">
        <is>
          <t>TCGplayer</t>
        </is>
      </c>
      <c r="O2407" s="4" t="inlineStr">
        <is>
          <t>https://www.tcgplayer.com/product/226137</t>
        </is>
      </c>
    </row>
    <row r="2408">
      <c r="A2408" s="2" t="inlineStr">
        <is>
          <t>Sword &amp; Shield Elite Trainer Box Plus [Zacian]</t>
        </is>
      </c>
      <c r="B2408" s="3">
        <f>IF(I2408&lt;&gt;"",I2408,IF(J2408&lt;&gt;"",J2408,IF(K2408&lt;&gt;"",K2408,L2408)))</f>
        <v>236.51</v>
      </c>
      <c r="C2408" s="3">
        <f>MEDIAN(I2408:L2408)</f>
        <v>236.51</v>
      </c>
      <c r="D2408" s="3">
        <f>ROUND(C2408*(1-Settings!$B$2),2)</f>
        <v>165.56</v>
      </c>
      <c r="E2408" s="3">
        <f>ROUND(C2408*(1-Settings!$B$3),2)</f>
        <v>165.56</v>
      </c>
      <c r="F2408" s="2" t="inlineStr">
        <is>
          <t>Pokemon</t>
        </is>
      </c>
      <c r="G2408" s="2" t="inlineStr">
        <is>
          <t>Coffret</t>
        </is>
      </c>
      <c r="H2408" s="2" t="inlineStr">
        <is>
          <t>SWSH04: Vivid Voltage</t>
        </is>
      </c>
      <c r="I2408" s="3" t="n"/>
      <c r="J2408" s="3" t="n">
        <v>236.51</v>
      </c>
      <c r="K2408" s="3" t="n">
        <v>265</v>
      </c>
      <c r="L2408" s="3" t="n">
        <v>2.99</v>
      </c>
      <c r="M2408" s="2" t="inlineStr">
        <is>
          <t>TCGplayer</t>
        </is>
      </c>
      <c r="O2408" s="4" t="inlineStr">
        <is>
          <t>https://www.tcgplayer.com/product/222987</t>
        </is>
      </c>
    </row>
    <row r="2409">
      <c r="A2409" s="2" t="inlineStr">
        <is>
          <t>Sword &amp; Shield Elite Trainer Box Plus [Zamazenta]</t>
        </is>
      </c>
      <c r="B2409" s="3">
        <f>IF(I2409&lt;&gt;"",I2409,IF(J2409&lt;&gt;"",J2409,IF(K2409&lt;&gt;"",K2409,L2409)))</f>
        <v>238.97</v>
      </c>
      <c r="C2409" s="3">
        <f>MEDIAN(I2409:L2409)</f>
        <v>238.97</v>
      </c>
      <c r="D2409" s="3">
        <f>ROUND(C2409*(1-Settings!$B$2),2)</f>
        <v>167.28</v>
      </c>
      <c r="E2409" s="3">
        <f>ROUND(C2409*(1-Settings!$B$3),2)</f>
        <v>167.28</v>
      </c>
      <c r="F2409" s="2" t="inlineStr">
        <is>
          <t>Pokemon</t>
        </is>
      </c>
      <c r="G2409" s="2" t="inlineStr">
        <is>
          <t>Coffret</t>
        </is>
      </c>
      <c r="H2409" s="2" t="inlineStr">
        <is>
          <t>SWSH04: Vivid Voltage</t>
        </is>
      </c>
      <c r="I2409" s="3" t="n"/>
      <c r="J2409" s="3" t="n">
        <v>238.97</v>
      </c>
      <c r="K2409" s="3" t="n">
        <v>299.99</v>
      </c>
      <c r="L2409" s="3" t="n">
        <v>229.83</v>
      </c>
      <c r="M2409" s="2" t="inlineStr">
        <is>
          <t>TCGplayer</t>
        </is>
      </c>
      <c r="O2409" s="4" t="inlineStr">
        <is>
          <t>https://www.tcgplayer.com/product/222986</t>
        </is>
      </c>
    </row>
    <row r="2410">
      <c r="A2410" s="2" t="inlineStr">
        <is>
          <t>Vivid Voltage Booster Pack Art Bundle [Set of 4]</t>
        </is>
      </c>
      <c r="B2410" s="3">
        <f>IF(I2410&lt;&gt;"",I2410,IF(J2410&lt;&gt;"",J2410,IF(K2410&lt;&gt;"",K2410,L2410)))</f>
        <v>39.78</v>
      </c>
      <c r="C2410" s="3">
        <f>MEDIAN(I2410:L2410)</f>
        <v>40.0</v>
      </c>
      <c r="D2410" s="3">
        <f>ROUND(C2410*(1-Settings!$B$2),2)</f>
        <v>28.0</v>
      </c>
      <c r="E2410" s="3">
        <f>ROUND(C2410*(1-Settings!$B$3),2)</f>
        <v>28.0</v>
      </c>
      <c r="F2410" s="2" t="inlineStr">
        <is>
          <t>Pokemon</t>
        </is>
      </c>
      <c r="G2410" s="2" t="inlineStr">
        <is>
          <t>Coffret</t>
        </is>
      </c>
      <c r="H2410" s="2" t="inlineStr">
        <is>
          <t>SWSH04: Vivid Voltage</t>
        </is>
      </c>
      <c r="I2410" s="3" t="n"/>
      <c r="J2410" s="3" t="n">
        <v>39.78</v>
      </c>
      <c r="K2410" s="3" t="n">
        <v>49.99</v>
      </c>
      <c r="L2410" s="3" t="n">
        <v>40</v>
      </c>
      <c r="M2410" s="2" t="inlineStr">
        <is>
          <t>TCGplayer</t>
        </is>
      </c>
      <c r="O2410" s="4" t="inlineStr">
        <is>
          <t>https://www.tcgplayer.com/product/265319</t>
        </is>
      </c>
    </row>
    <row r="2411">
      <c r="A2411" s="2" t="inlineStr">
        <is>
          <t>Vivid Voltage Build &amp; Battle Box</t>
        </is>
      </c>
      <c r="B2411" s="3">
        <f>IF(I2411&lt;&gt;"",I2411,IF(J2411&lt;&gt;"",J2411,IF(K2411&lt;&gt;"",K2411,L2411)))</f>
        <v>66.33</v>
      </c>
      <c r="C2411" s="3">
        <f>MEDIAN(I2411:L2411)</f>
        <v>68.16</v>
      </c>
      <c r="D2411" s="3">
        <f>ROUND(C2411*(1-Settings!$B$2),2)</f>
        <v>47.71</v>
      </c>
      <c r="E2411" s="3">
        <f>ROUND(C2411*(1-Settings!$B$3),2)</f>
        <v>47.71</v>
      </c>
      <c r="F2411" s="2" t="inlineStr">
        <is>
          <t>Pokemon</t>
        </is>
      </c>
      <c r="G2411" s="2" t="inlineStr">
        <is>
          <t>Coffret</t>
        </is>
      </c>
      <c r="H2411" s="2" t="inlineStr">
        <is>
          <t>SWSH04: Vivid Voltage</t>
        </is>
      </c>
      <c r="I2411" s="3" t="n">
        <v>66.33</v>
      </c>
      <c r="J2411" s="3" t="n">
        <v>59.53</v>
      </c>
      <c r="K2411" s="3" t="n">
        <v>75.98999999999999</v>
      </c>
      <c r="L2411" s="3" t="n">
        <v>69.98999999999999</v>
      </c>
      <c r="M2411" s="2" t="inlineStr">
        <is>
          <t>PriceCharting + TCGplayer</t>
        </is>
      </c>
      <c r="N2411" s="4" t="inlineStr">
        <is>
          <t>https://www.pricecharting.com/game/pokemon-vivid-voltage/build-&amp;-battle-box</t>
        </is>
      </c>
      <c r="O2411" s="4" t="inlineStr">
        <is>
          <t>https://www.tcgplayer.com/product/221748</t>
        </is>
      </c>
    </row>
    <row r="2412">
      <c r="A2412" s="2" t="inlineStr">
        <is>
          <t>Vivid Voltage Elite Trainer Box</t>
        </is>
      </c>
      <c r="B2412" s="3">
        <f>IF(I2412&lt;&gt;"",I2412,IF(J2412&lt;&gt;"",J2412,IF(K2412&lt;&gt;"",K2412,L2412)))</f>
        <v>139.2</v>
      </c>
      <c r="C2412" s="3">
        <f>MEDIAN(I2412:L2412)</f>
        <v>137.12</v>
      </c>
      <c r="D2412" s="3">
        <f>ROUND(C2412*(1-Settings!$B$2),2)</f>
        <v>95.98</v>
      </c>
      <c r="E2412" s="3">
        <f>ROUND(C2412*(1-Settings!$B$3),2)</f>
        <v>95.98</v>
      </c>
      <c r="F2412" s="2" t="inlineStr">
        <is>
          <t>Pokemon</t>
        </is>
      </c>
      <c r="G2412" s="2" t="inlineStr">
        <is>
          <t>Coffret</t>
        </is>
      </c>
      <c r="H2412" s="2" t="inlineStr">
        <is>
          <t>SWSH04: Vivid Voltage</t>
        </is>
      </c>
      <c r="I2412" s="3" t="n">
        <v>139.2</v>
      </c>
      <c r="J2412" s="3" t="n">
        <v>135.04</v>
      </c>
      <c r="K2412" s="3" t="n">
        <v>179</v>
      </c>
      <c r="L2412" s="3" t="n">
        <v>133.99</v>
      </c>
      <c r="M2412" s="2" t="inlineStr">
        <is>
          <t>PriceCharting + TCGplayer</t>
        </is>
      </c>
      <c r="N2412" s="4" t="inlineStr">
        <is>
          <t>https://www.pricecharting.com/game/pokemon-vivid-voltage/elite-trainer-box</t>
        </is>
      </c>
      <c r="O2412" s="4" t="inlineStr">
        <is>
          <t>https://www.tcgplayer.com/product/221752</t>
        </is>
      </c>
    </row>
    <row r="2413">
      <c r="A2413" s="2" t="inlineStr">
        <is>
          <t>Vivid Voltage Sleeved Booster Pack Art Bundle [Set of 4]</t>
        </is>
      </c>
      <c r="B2413" s="3">
        <f>IF(I2413&lt;&gt;"",I2413,IF(J2413&lt;&gt;"",J2413,IF(K2413&lt;&gt;"",K2413,L2413)))</f>
        <v>41.46</v>
      </c>
      <c r="C2413" s="3">
        <f>MEDIAN(I2413:L2413)</f>
        <v>45.0</v>
      </c>
      <c r="D2413" s="3">
        <f>ROUND(C2413*(1-Settings!$B$2),2)</f>
        <v>31.5</v>
      </c>
      <c r="E2413" s="3">
        <f>ROUND(C2413*(1-Settings!$B$3),2)</f>
        <v>31.5</v>
      </c>
      <c r="F2413" s="2" t="inlineStr">
        <is>
          <t>Pokemon</t>
        </is>
      </c>
      <c r="G2413" s="2" t="inlineStr">
        <is>
          <t>Coffret</t>
        </is>
      </c>
      <c r="H2413" s="2" t="inlineStr">
        <is>
          <t>SWSH04: Vivid Voltage</t>
        </is>
      </c>
      <c r="I2413" s="3" t="n"/>
      <c r="J2413" s="3" t="n">
        <v>41.46</v>
      </c>
      <c r="K2413" s="3" t="n">
        <v>50</v>
      </c>
      <c r="L2413" s="3" t="n">
        <v>45</v>
      </c>
      <c r="M2413" s="2" t="inlineStr">
        <is>
          <t>TCGplayer</t>
        </is>
      </c>
      <c r="O2413" s="4" t="inlineStr">
        <is>
          <t>https://www.tcgplayer.com/product/487798</t>
        </is>
      </c>
    </row>
    <row r="2414">
      <c r="A2414" s="2" t="inlineStr">
        <is>
          <t>Battle Styles Booster Pack Art Bundle [Set of 4]</t>
        </is>
      </c>
      <c r="B2414" s="3">
        <f>IF(I2414&lt;&gt;"",I2414,IF(J2414&lt;&gt;"",J2414,IF(K2414&lt;&gt;"",K2414,L2414)))</f>
        <v>39.82</v>
      </c>
      <c r="C2414" s="3">
        <f>MEDIAN(I2414:L2414)</f>
        <v>45.0</v>
      </c>
      <c r="D2414" s="3">
        <f>ROUND(C2414*(1-Settings!$B$2),2)</f>
        <v>31.5</v>
      </c>
      <c r="E2414" s="3">
        <f>ROUND(C2414*(1-Settings!$B$3),2)</f>
        <v>31.5</v>
      </c>
      <c r="F2414" s="2" t="inlineStr">
        <is>
          <t>Pokemon</t>
        </is>
      </c>
      <c r="G2414" s="2" t="inlineStr">
        <is>
          <t>Coffret</t>
        </is>
      </c>
      <c r="H2414" s="2" t="inlineStr">
        <is>
          <t>SWSH05: Battle Styles</t>
        </is>
      </c>
      <c r="I2414" s="3" t="n"/>
      <c r="J2414" s="3" t="n">
        <v>39.82</v>
      </c>
      <c r="K2414" s="3" t="n">
        <v>47.16</v>
      </c>
      <c r="L2414" s="3" t="n">
        <v>45</v>
      </c>
      <c r="M2414" s="2" t="inlineStr">
        <is>
          <t>TCGplayer</t>
        </is>
      </c>
      <c r="O2414" s="4" t="inlineStr">
        <is>
          <t>https://www.tcgplayer.com/product/265321</t>
        </is>
      </c>
    </row>
    <row r="2415">
      <c r="A2415" s="2" t="inlineStr">
        <is>
          <t>Battle Styles Build &amp; Battle Box</t>
        </is>
      </c>
      <c r="B2415" s="3">
        <f>IF(I2415&lt;&gt;"",I2415,IF(J2415&lt;&gt;"",J2415,IF(K2415&lt;&gt;"",K2415,L2415)))</f>
        <v>49.0</v>
      </c>
      <c r="C2415" s="3">
        <f>MEDIAN(I2415:L2415)</f>
        <v>49.64</v>
      </c>
      <c r="D2415" s="3">
        <f>ROUND(C2415*(1-Settings!$B$2),2)</f>
        <v>34.75</v>
      </c>
      <c r="E2415" s="3">
        <f>ROUND(C2415*(1-Settings!$B$3),2)</f>
        <v>34.75</v>
      </c>
      <c r="F2415" s="2" t="inlineStr">
        <is>
          <t>Pokemon</t>
        </is>
      </c>
      <c r="G2415" s="2" t="inlineStr">
        <is>
          <t>Coffret</t>
        </is>
      </c>
      <c r="H2415" s="2" t="inlineStr">
        <is>
          <t>SWSH05: Battle Styles</t>
        </is>
      </c>
      <c r="I2415" s="3" t="n">
        <v>49</v>
      </c>
      <c r="J2415" s="3" t="n">
        <v>50.01</v>
      </c>
      <c r="K2415" s="3" t="n">
        <v>55</v>
      </c>
      <c r="L2415" s="3" t="n">
        <v>49.27</v>
      </c>
      <c r="M2415" s="2" t="inlineStr">
        <is>
          <t>PriceCharting + TCGplayer</t>
        </is>
      </c>
      <c r="N2415" s="4" t="inlineStr">
        <is>
          <t>https://www.pricecharting.com/game/pokemon-battle-styles/build-&amp;-battle-box</t>
        </is>
      </c>
      <c r="O2415" s="4" t="inlineStr">
        <is>
          <t>https://www.tcgplayer.com/product/229278</t>
        </is>
      </c>
    </row>
    <row r="2416">
      <c r="A2416" s="2" t="inlineStr">
        <is>
          <t>Battle Styles Elite Trainer Box [Rapid Strike Urshifu] (Blue)</t>
        </is>
      </c>
      <c r="B2416" s="3">
        <f>IF(I2416&lt;&gt;"",I2416,IF(J2416&lt;&gt;"",J2416,IF(K2416&lt;&gt;"",K2416,L2416)))</f>
        <v>133.94</v>
      </c>
      <c r="C2416" s="3">
        <f>MEDIAN(I2416:L2416)</f>
        <v>133.94</v>
      </c>
      <c r="D2416" s="3">
        <f>ROUND(C2416*(1-Settings!$B$2),2)</f>
        <v>93.76</v>
      </c>
      <c r="E2416" s="3">
        <f>ROUND(C2416*(1-Settings!$B$3),2)</f>
        <v>93.76</v>
      </c>
      <c r="F2416" s="2" t="inlineStr">
        <is>
          <t>Pokemon</t>
        </is>
      </c>
      <c r="G2416" s="2" t="inlineStr">
        <is>
          <t>Coffret</t>
        </is>
      </c>
      <c r="H2416" s="2" t="inlineStr">
        <is>
          <t>SWSH05: Battle Styles</t>
        </is>
      </c>
      <c r="I2416" s="3" t="n"/>
      <c r="J2416" s="3" t="n">
        <v>133.94</v>
      </c>
      <c r="K2416" s="3" t="n">
        <v>139.99</v>
      </c>
      <c r="L2416" s="3" t="n">
        <v>120</v>
      </c>
      <c r="M2416" s="2" t="inlineStr">
        <is>
          <t>TCGplayer</t>
        </is>
      </c>
      <c r="O2416" s="4" t="inlineStr">
        <is>
          <t>https://www.tcgplayer.com/product/229285</t>
        </is>
      </c>
    </row>
    <row r="2417">
      <c r="A2417" s="2" t="inlineStr">
        <is>
          <t>Battle Styles Elite Trainer Box [Set of 2]</t>
        </is>
      </c>
      <c r="B2417" s="3">
        <f>IF(I2417&lt;&gt;"",I2417,IF(J2417&lt;&gt;"",J2417,IF(K2417&lt;&gt;"",K2417,L2417)))</f>
        <v>249.96</v>
      </c>
      <c r="C2417" s="3">
        <f>MEDIAN(I2417:L2417)</f>
        <v>249.96</v>
      </c>
      <c r="D2417" s="3">
        <f>ROUND(C2417*(1-Settings!$B$2),2)</f>
        <v>174.97</v>
      </c>
      <c r="E2417" s="3">
        <f>ROUND(C2417*(1-Settings!$B$3),2)</f>
        <v>174.97</v>
      </c>
      <c r="F2417" s="2" t="inlineStr">
        <is>
          <t>Pokemon</t>
        </is>
      </c>
      <c r="G2417" s="2" t="inlineStr">
        <is>
          <t>Coffret</t>
        </is>
      </c>
      <c r="H2417" s="2" t="inlineStr">
        <is>
          <t>SWSH05: Battle Styles</t>
        </is>
      </c>
      <c r="I2417" s="3" t="n"/>
      <c r="J2417" s="3" t="n">
        <v>249.96</v>
      </c>
      <c r="K2417" s="3" t="n">
        <v>280</v>
      </c>
      <c r="L2417" s="3" t="n">
        <v>239</v>
      </c>
      <c r="M2417" s="2" t="inlineStr">
        <is>
          <t>TCGplayer</t>
        </is>
      </c>
      <c r="O2417" s="4" t="inlineStr">
        <is>
          <t>https://www.tcgplayer.com/product/244414</t>
        </is>
      </c>
    </row>
    <row r="2418">
      <c r="A2418" s="2" t="inlineStr">
        <is>
          <t>Battle Styles Elite Trainer Box [Single Strike Urshifu] (Red)</t>
        </is>
      </c>
      <c r="B2418" s="3">
        <f>IF(I2418&lt;&gt;"",I2418,IF(J2418&lt;&gt;"",J2418,IF(K2418&lt;&gt;"",K2418,L2418)))</f>
        <v>131.16</v>
      </c>
      <c r="C2418" s="3">
        <f>MEDIAN(I2418:L2418)</f>
        <v>131.16</v>
      </c>
      <c r="D2418" s="3">
        <f>ROUND(C2418*(1-Settings!$B$2),2)</f>
        <v>91.81</v>
      </c>
      <c r="E2418" s="3">
        <f>ROUND(C2418*(1-Settings!$B$3),2)</f>
        <v>91.81</v>
      </c>
      <c r="F2418" s="2" t="inlineStr">
        <is>
          <t>Pokemon</t>
        </is>
      </c>
      <c r="G2418" s="2" t="inlineStr">
        <is>
          <t>Coffret</t>
        </is>
      </c>
      <c r="H2418" s="2" t="inlineStr">
        <is>
          <t>SWSH05: Battle Styles</t>
        </is>
      </c>
      <c r="I2418" s="3" t="n"/>
      <c r="J2418" s="3" t="n">
        <v>131.16</v>
      </c>
      <c r="K2418" s="3" t="n">
        <v>147.99</v>
      </c>
      <c r="L2418" s="3" t="n">
        <v>111</v>
      </c>
      <c r="M2418" s="2" t="inlineStr">
        <is>
          <t>TCGplayer</t>
        </is>
      </c>
      <c r="O2418" s="4" t="inlineStr">
        <is>
          <t>https://www.tcgplayer.com/product/229284</t>
        </is>
      </c>
    </row>
    <row r="2419">
      <c r="A2419" s="2" t="inlineStr">
        <is>
          <t>Galarian Rapidash V Box</t>
        </is>
      </c>
      <c r="B2419" s="3">
        <f>IF(I2419&lt;&gt;"",I2419,IF(J2419&lt;&gt;"",J2419,IF(K2419&lt;&gt;"",K2419,L2419)))</f>
        <v>96.1</v>
      </c>
      <c r="C2419" s="3">
        <f>MEDIAN(I2419:L2419)</f>
        <v>125.0</v>
      </c>
      <c r="D2419" s="3">
        <f>ROUND(C2419*(1-Settings!$B$2),2)</f>
        <v>87.5</v>
      </c>
      <c r="E2419" s="3">
        <f>ROUND(C2419*(1-Settings!$B$3),2)</f>
        <v>87.5</v>
      </c>
      <c r="F2419" s="2" t="inlineStr">
        <is>
          <t>Pokemon</t>
        </is>
      </c>
      <c r="G2419" s="2" t="inlineStr">
        <is>
          <t>Coffret</t>
        </is>
      </c>
      <c r="H2419" s="2" t="inlineStr">
        <is>
          <t>SWSH05: Battle Styles</t>
        </is>
      </c>
      <c r="I2419" s="3" t="n"/>
      <c r="J2419" s="3" t="n">
        <v>96.09999999999999</v>
      </c>
      <c r="K2419" s="3" t="n">
        <v>132.1</v>
      </c>
      <c r="L2419" s="3" t="n">
        <v>125</v>
      </c>
      <c r="M2419" s="2" t="inlineStr">
        <is>
          <t>TCGplayer</t>
        </is>
      </c>
      <c r="O2419" s="4" t="inlineStr">
        <is>
          <t>https://www.tcgplayer.com/product/233359</t>
        </is>
      </c>
    </row>
    <row r="2420">
      <c r="A2420" s="2" t="inlineStr">
        <is>
          <t>Rapid Strike Urshifu V Box</t>
        </is>
      </c>
      <c r="B2420" s="3">
        <f>IF(I2420&lt;&gt;"",I2420,IF(J2420&lt;&gt;"",J2420,IF(K2420&lt;&gt;"",K2420,L2420)))</f>
        <v>44.85</v>
      </c>
      <c r="C2420" s="3">
        <f>MEDIAN(I2420:L2420)</f>
        <v>54.99</v>
      </c>
      <c r="D2420" s="3">
        <f>ROUND(C2420*(1-Settings!$B$2),2)</f>
        <v>38.49</v>
      </c>
      <c r="E2420" s="3">
        <f>ROUND(C2420*(1-Settings!$B$3),2)</f>
        <v>38.49</v>
      </c>
      <c r="F2420" s="2" t="inlineStr">
        <is>
          <t>Pokemon</t>
        </is>
      </c>
      <c r="G2420" s="2" t="inlineStr">
        <is>
          <t>Coffret</t>
        </is>
      </c>
      <c r="H2420" s="2" t="inlineStr">
        <is>
          <t>SWSH05: Battle Styles</t>
        </is>
      </c>
      <c r="I2420" s="3" t="n"/>
      <c r="J2420" s="3" t="n">
        <v>44.85</v>
      </c>
      <c r="K2420" s="3" t="n">
        <v>66.95999999999999</v>
      </c>
      <c r="L2420" s="3" t="n">
        <v>54.99</v>
      </c>
      <c r="M2420" s="2" t="inlineStr">
        <is>
          <t>TCGplayer</t>
        </is>
      </c>
      <c r="O2420" s="4" t="inlineStr">
        <is>
          <t>https://www.tcgplayer.com/product/231296</t>
        </is>
      </c>
    </row>
    <row r="2421">
      <c r="A2421" s="2" t="inlineStr">
        <is>
          <t>Single Strike Urshifu V Box</t>
        </is>
      </c>
      <c r="B2421" s="3">
        <f>IF(I2421&lt;&gt;"",I2421,IF(J2421&lt;&gt;"",J2421,IF(K2421&lt;&gt;"",K2421,L2421)))</f>
        <v>42.95</v>
      </c>
      <c r="C2421" s="3">
        <f>MEDIAN(I2421:L2421)</f>
        <v>59.99</v>
      </c>
      <c r="D2421" s="3">
        <f>ROUND(C2421*(1-Settings!$B$2),2)</f>
        <v>41.99</v>
      </c>
      <c r="E2421" s="3">
        <f>ROUND(C2421*(1-Settings!$B$3),2)</f>
        <v>41.99</v>
      </c>
      <c r="F2421" s="2" t="inlineStr">
        <is>
          <t>Pokemon</t>
        </is>
      </c>
      <c r="G2421" s="2" t="inlineStr">
        <is>
          <t>Coffret</t>
        </is>
      </c>
      <c r="H2421" s="2" t="inlineStr">
        <is>
          <t>SWSH05: Battle Styles</t>
        </is>
      </c>
      <c r="I2421" s="3" t="n"/>
      <c r="J2421" s="3" t="n">
        <v>42.95</v>
      </c>
      <c r="K2421" s="3" t="n">
        <v>61.89</v>
      </c>
      <c r="L2421" s="3" t="n">
        <v>59.99</v>
      </c>
      <c r="M2421" s="2" t="inlineStr">
        <is>
          <t>TCGplayer</t>
        </is>
      </c>
      <c r="O2421" s="4" t="inlineStr">
        <is>
          <t>https://www.tcgplayer.com/product/231297</t>
        </is>
      </c>
    </row>
    <row r="2422">
      <c r="A2422" s="2" t="inlineStr">
        <is>
          <t>V Strikers Tin [Empoleon V]</t>
        </is>
      </c>
      <c r="B2422" s="3">
        <f>IF(I2422&lt;&gt;"",I2422,IF(J2422&lt;&gt;"",J2422,IF(K2422&lt;&gt;"",K2422,L2422)))</f>
        <v>88.88</v>
      </c>
      <c r="C2422" s="3">
        <f>MEDIAN(I2422:L2422)</f>
        <v>88.88</v>
      </c>
      <c r="D2422" s="3">
        <f>ROUND(C2422*(1-Settings!$B$2),2)</f>
        <v>62.22</v>
      </c>
      <c r="E2422" s="3">
        <f>ROUND(C2422*(1-Settings!$B$3),2)</f>
        <v>62.22</v>
      </c>
      <c r="F2422" s="2" t="inlineStr">
        <is>
          <t>Pokemon</t>
        </is>
      </c>
      <c r="G2422" s="2" t="inlineStr">
        <is>
          <t>Coffret</t>
        </is>
      </c>
      <c r="H2422" s="2" t="inlineStr">
        <is>
          <t>SWSH05: Battle Styles</t>
        </is>
      </c>
      <c r="I2422" s="3" t="n"/>
      <c r="J2422" s="3" t="n">
        <v>88.88</v>
      </c>
      <c r="K2422" s="3" t="n">
        <v>105.2</v>
      </c>
      <c r="L2422" s="3" t="n">
        <v>7</v>
      </c>
      <c r="M2422" s="2" t="inlineStr">
        <is>
          <t>TCGplayer</t>
        </is>
      </c>
      <c r="O2422" s="4" t="inlineStr">
        <is>
          <t>https://www.tcgplayer.com/product/236378</t>
        </is>
      </c>
    </row>
    <row r="2423">
      <c r="A2423" s="2" t="inlineStr">
        <is>
          <t>V Strikers Tin [Tyranitar V]</t>
        </is>
      </c>
      <c r="B2423" s="3">
        <f>IF(I2423&lt;&gt;"",I2423,IF(J2423&lt;&gt;"",J2423,IF(K2423&lt;&gt;"",K2423,L2423)))</f>
        <v>102.52</v>
      </c>
      <c r="C2423" s="3">
        <f>MEDIAN(I2423:L2423)</f>
        <v>102.52</v>
      </c>
      <c r="D2423" s="3">
        <f>ROUND(C2423*(1-Settings!$B$2),2)</f>
        <v>71.76</v>
      </c>
      <c r="E2423" s="3">
        <f>ROUND(C2423*(1-Settings!$B$3),2)</f>
        <v>71.76</v>
      </c>
      <c r="F2423" s="2" t="inlineStr">
        <is>
          <t>Pokemon</t>
        </is>
      </c>
      <c r="G2423" s="2" t="inlineStr">
        <is>
          <t>Coffret</t>
        </is>
      </c>
      <c r="H2423" s="2" t="inlineStr">
        <is>
          <t>SWSH05: Battle Styles</t>
        </is>
      </c>
      <c r="I2423" s="3" t="n"/>
      <c r="J2423" s="3" t="n">
        <v>102.52</v>
      </c>
      <c r="K2423" s="3" t="n">
        <v>104.99</v>
      </c>
      <c r="L2423" s="3" t="n">
        <v>7</v>
      </c>
      <c r="M2423" s="2" t="inlineStr">
        <is>
          <t>TCGplayer</t>
        </is>
      </c>
      <c r="O2423" s="4" t="inlineStr">
        <is>
          <t>https://www.tcgplayer.com/product/236377</t>
        </is>
      </c>
    </row>
    <row r="2424">
      <c r="A2424" s="2" t="inlineStr">
        <is>
          <t>V Strikers Tin [Tyranitar V] (International Version)</t>
        </is>
      </c>
      <c r="B2424" s="3">
        <f>IF(I2424&lt;&gt;"",I2424,IF(J2424&lt;&gt;"",J2424,IF(K2424&lt;&gt;"",K2424,L2424)))</f>
        <v>52.0</v>
      </c>
      <c r="C2424" s="3">
        <f>MEDIAN(I2424:L2424)</f>
        <v>52.0</v>
      </c>
      <c r="D2424" s="3">
        <f>ROUND(C2424*(1-Settings!$B$2),2)</f>
        <v>36.4</v>
      </c>
      <c r="E2424" s="3">
        <f>ROUND(C2424*(1-Settings!$B$3),2)</f>
        <v>36.4</v>
      </c>
      <c r="F2424" s="2" t="inlineStr">
        <is>
          <t>Pokemon</t>
        </is>
      </c>
      <c r="G2424" s="2" t="inlineStr">
        <is>
          <t>Coffret</t>
        </is>
      </c>
      <c r="H2424" s="2" t="inlineStr">
        <is>
          <t>SWSH05: Battle Styles</t>
        </is>
      </c>
      <c r="I2424" s="3" t="n"/>
      <c r="J2424" s="3" t="n">
        <v>52</v>
      </c>
      <c r="K2424" s="3" t="n"/>
      <c r="L2424" s="3" t="n"/>
      <c r="M2424" s="2" t="inlineStr">
        <is>
          <t>TCGplayer</t>
        </is>
      </c>
      <c r="O2424" s="4" t="inlineStr">
        <is>
          <t>https://www.tcgplayer.com/product/238638</t>
        </is>
      </c>
    </row>
    <row r="2425">
      <c r="A2425" s="2" t="inlineStr">
        <is>
          <t>Chilling Reign Booster Pack Art Bundle [Set of 5]</t>
        </is>
      </c>
      <c r="B2425" s="3">
        <f>IF(I2425&lt;&gt;"",I2425,IF(J2425&lt;&gt;"",J2425,IF(K2425&lt;&gt;"",K2425,L2425)))</f>
        <v>63.14</v>
      </c>
      <c r="C2425" s="3">
        <f>MEDIAN(I2425:L2425)</f>
        <v>63.14</v>
      </c>
      <c r="D2425" s="3">
        <f>ROUND(C2425*(1-Settings!$B$2),2)</f>
        <v>44.2</v>
      </c>
      <c r="E2425" s="3">
        <f>ROUND(C2425*(1-Settings!$B$3),2)</f>
        <v>44.2</v>
      </c>
      <c r="F2425" s="2" t="inlineStr">
        <is>
          <t>Pokemon</t>
        </is>
      </c>
      <c r="G2425" s="2" t="inlineStr">
        <is>
          <t>Coffret</t>
        </is>
      </c>
      <c r="H2425" s="2" t="inlineStr">
        <is>
          <t>SWSH06: Chilling Reign</t>
        </is>
      </c>
      <c r="I2425" s="3" t="n"/>
      <c r="J2425" s="3" t="n">
        <v>63.14</v>
      </c>
      <c r="K2425" s="3" t="n">
        <v>69.90000000000001</v>
      </c>
      <c r="L2425" s="3" t="n">
        <v>63</v>
      </c>
      <c r="M2425" s="2" t="inlineStr">
        <is>
          <t>TCGplayer</t>
        </is>
      </c>
      <c r="O2425" s="4" t="inlineStr">
        <is>
          <t>https://www.tcgplayer.com/product/492290</t>
        </is>
      </c>
    </row>
    <row r="2426">
      <c r="A2426" s="2" t="inlineStr">
        <is>
          <t>Chilling Reign Build &amp; Battle Box</t>
        </is>
      </c>
      <c r="B2426" s="3">
        <f>IF(I2426&lt;&gt;"",I2426,IF(J2426&lt;&gt;"",J2426,IF(K2426&lt;&gt;"",K2426,L2426)))</f>
        <v>55.0</v>
      </c>
      <c r="C2426" s="3">
        <f>MEDIAN(I2426:L2426)</f>
        <v>58.295</v>
      </c>
      <c r="D2426" s="3">
        <f>ROUND(C2426*(1-Settings!$B$2),2)</f>
        <v>40.81</v>
      </c>
      <c r="E2426" s="3">
        <f>ROUND(C2426*(1-Settings!$B$3),2)</f>
        <v>40.81</v>
      </c>
      <c r="F2426" s="2" t="inlineStr">
        <is>
          <t>Pokemon</t>
        </is>
      </c>
      <c r="G2426" s="2" t="inlineStr">
        <is>
          <t>Coffret</t>
        </is>
      </c>
      <c r="H2426" s="2" t="inlineStr">
        <is>
          <t>SWSH06: Chilling Reign</t>
        </is>
      </c>
      <c r="I2426" s="3" t="n">
        <v>55</v>
      </c>
      <c r="J2426" s="3" t="n">
        <v>58.98</v>
      </c>
      <c r="K2426" s="3" t="n">
        <v>63</v>
      </c>
      <c r="L2426" s="3" t="n">
        <v>57.61</v>
      </c>
      <c r="M2426" s="2" t="inlineStr">
        <is>
          <t>PriceCharting + TCGplayer</t>
        </is>
      </c>
      <c r="N2426" s="4" t="inlineStr">
        <is>
          <t>https://www.pricecharting.com/game/pokemon-chilling-reign/build-and-battle-box</t>
        </is>
      </c>
      <c r="O2426" s="4" t="inlineStr">
        <is>
          <t>https://www.tcgplayer.com/product/236265</t>
        </is>
      </c>
    </row>
    <row r="2427">
      <c r="A2427" s="2" t="inlineStr">
        <is>
          <t>Chilling Reign Elite Trainer Box [Ice Rider Calyrex]</t>
        </is>
      </c>
      <c r="B2427" s="3">
        <f>IF(I2427&lt;&gt;"",I2427,IF(J2427&lt;&gt;"",J2427,IF(K2427&lt;&gt;"",K2427,L2427)))</f>
        <v>141.41</v>
      </c>
      <c r="C2427" s="3">
        <f>MEDIAN(I2427:L2427)</f>
        <v>141.41</v>
      </c>
      <c r="D2427" s="3">
        <f>ROUND(C2427*(1-Settings!$B$2),2)</f>
        <v>98.99</v>
      </c>
      <c r="E2427" s="3">
        <f>ROUND(C2427*(1-Settings!$B$3),2)</f>
        <v>98.99</v>
      </c>
      <c r="F2427" s="2" t="inlineStr">
        <is>
          <t>Pokemon</t>
        </is>
      </c>
      <c r="G2427" s="2" t="inlineStr">
        <is>
          <t>Coffret</t>
        </is>
      </c>
      <c r="H2427" s="2" t="inlineStr">
        <is>
          <t>SWSH06: Chilling Reign</t>
        </is>
      </c>
      <c r="I2427" s="3" t="n"/>
      <c r="J2427" s="3" t="n">
        <v>141.41</v>
      </c>
      <c r="K2427" s="3" t="n">
        <v>175</v>
      </c>
      <c r="L2427" s="3" t="n">
        <v>141.41</v>
      </c>
      <c r="M2427" s="2" t="inlineStr">
        <is>
          <t>TCGplayer</t>
        </is>
      </c>
      <c r="O2427" s="4" t="inlineStr">
        <is>
          <t>https://www.tcgplayer.com/product/236260</t>
        </is>
      </c>
    </row>
    <row r="2428">
      <c r="A2428" s="2" t="inlineStr">
        <is>
          <t>Chilling Reign Elite Trainer Box [Set of 2]</t>
        </is>
      </c>
      <c r="B2428" s="3">
        <f>IF(I2428&lt;&gt;"",I2428,IF(J2428&lt;&gt;"",J2428,IF(K2428&lt;&gt;"",K2428,L2428)))</f>
        <v>303.23</v>
      </c>
      <c r="C2428" s="3">
        <f>MEDIAN(I2428:L2428)</f>
        <v>325.0</v>
      </c>
      <c r="D2428" s="3">
        <f>ROUND(C2428*(1-Settings!$B$2),2)</f>
        <v>227.5</v>
      </c>
      <c r="E2428" s="3">
        <f>ROUND(C2428*(1-Settings!$B$3),2)</f>
        <v>227.5</v>
      </c>
      <c r="F2428" s="2" t="inlineStr">
        <is>
          <t>Pokemon</t>
        </is>
      </c>
      <c r="G2428" s="2" t="inlineStr">
        <is>
          <t>Coffret</t>
        </is>
      </c>
      <c r="H2428" s="2" t="inlineStr">
        <is>
          <t>SWSH06: Chilling Reign</t>
        </is>
      </c>
      <c r="I2428" s="3" t="n"/>
      <c r="J2428" s="3" t="n">
        <v>303.23</v>
      </c>
      <c r="K2428" s="3" t="n">
        <v>325</v>
      </c>
      <c r="L2428" s="3" t="n">
        <v>325</v>
      </c>
      <c r="M2428" s="2" t="inlineStr">
        <is>
          <t>TCGplayer</t>
        </is>
      </c>
      <c r="O2428" s="4" t="inlineStr">
        <is>
          <t>https://www.tcgplayer.com/product/244410</t>
        </is>
      </c>
    </row>
    <row r="2429">
      <c r="A2429" s="2" t="inlineStr">
        <is>
          <t>Chilling Reign Elite Trainer Box [Shadow Rider Calyrex]</t>
        </is>
      </c>
      <c r="B2429" s="3">
        <f>IF(I2429&lt;&gt;"",I2429,IF(J2429&lt;&gt;"",J2429,IF(K2429&lt;&gt;"",K2429,L2429)))</f>
        <v>152.04</v>
      </c>
      <c r="C2429" s="3">
        <f>MEDIAN(I2429:L2429)</f>
        <v>152.0</v>
      </c>
      <c r="D2429" s="3">
        <f>ROUND(C2429*(1-Settings!$B$2),2)</f>
        <v>106.4</v>
      </c>
      <c r="E2429" s="3">
        <f>ROUND(C2429*(1-Settings!$B$3),2)</f>
        <v>106.4</v>
      </c>
      <c r="F2429" s="2" t="inlineStr">
        <is>
          <t>Pokemon</t>
        </is>
      </c>
      <c r="G2429" s="2" t="inlineStr">
        <is>
          <t>Coffret</t>
        </is>
      </c>
      <c r="H2429" s="2" t="inlineStr">
        <is>
          <t>SWSH06: Chilling Reign</t>
        </is>
      </c>
      <c r="I2429" s="3" t="n"/>
      <c r="J2429" s="3" t="n">
        <v>152.04</v>
      </c>
      <c r="K2429" s="3" t="n">
        <v>152</v>
      </c>
      <c r="L2429" s="3" t="n">
        <v>136.99</v>
      </c>
      <c r="M2429" s="2" t="inlineStr">
        <is>
          <t>TCGplayer</t>
        </is>
      </c>
      <c r="O2429" s="4" t="inlineStr">
        <is>
          <t>https://www.tcgplayer.com/product/236261</t>
        </is>
      </c>
    </row>
    <row r="2430">
      <c r="A2430" s="2" t="inlineStr">
        <is>
          <t>Chilling Reign Pokemon Center Elite Trainer Box [Ice Rider Calyrex] (Exclusive)</t>
        </is>
      </c>
      <c r="B2430" s="3">
        <f>IF(I2430&lt;&gt;"",I2430,IF(J2430&lt;&gt;"",J2430,IF(K2430&lt;&gt;"",K2430,L2430)))</f>
        <v>205.87</v>
      </c>
      <c r="C2430" s="3">
        <f>MEDIAN(I2430:L2430)</f>
        <v>205.87</v>
      </c>
      <c r="D2430" s="3">
        <f>ROUND(C2430*(1-Settings!$B$2),2)</f>
        <v>144.11</v>
      </c>
      <c r="E2430" s="3">
        <f>ROUND(C2430*(1-Settings!$B$3),2)</f>
        <v>144.11</v>
      </c>
      <c r="F2430" s="2" t="inlineStr">
        <is>
          <t>Pokemon</t>
        </is>
      </c>
      <c r="G2430" s="2" t="inlineStr">
        <is>
          <t>Coffret</t>
        </is>
      </c>
      <c r="H2430" s="2" t="inlineStr">
        <is>
          <t>SWSH06: Chilling Reign</t>
        </is>
      </c>
      <c r="I2430" s="3" t="n"/>
      <c r="J2430" s="3" t="n">
        <v>205.87</v>
      </c>
      <c r="K2430" s="3" t="n">
        <v>247.75</v>
      </c>
      <c r="L2430" s="3" t="n">
        <v>201</v>
      </c>
      <c r="M2430" s="2" t="inlineStr">
        <is>
          <t>TCGplayer</t>
        </is>
      </c>
      <c r="O2430" s="4" t="inlineStr">
        <is>
          <t>https://www.tcgplayer.com/product/247281</t>
        </is>
      </c>
    </row>
    <row r="2431">
      <c r="A2431" s="2" t="inlineStr">
        <is>
          <t>Chilling Reign Pokemon Center Elite Trainer Box [Shadow Rider Calyrex] (Exclusive)</t>
        </is>
      </c>
      <c r="B2431" s="3">
        <f>IF(I2431&lt;&gt;"",I2431,IF(J2431&lt;&gt;"",J2431,IF(K2431&lt;&gt;"",K2431,L2431)))</f>
        <v>191.69</v>
      </c>
      <c r="C2431" s="3">
        <f>MEDIAN(I2431:L2431)</f>
        <v>191.69</v>
      </c>
      <c r="D2431" s="3">
        <f>ROUND(C2431*(1-Settings!$B$2),2)</f>
        <v>134.18</v>
      </c>
      <c r="E2431" s="3">
        <f>ROUND(C2431*(1-Settings!$B$3),2)</f>
        <v>134.18</v>
      </c>
      <c r="F2431" s="2" t="inlineStr">
        <is>
          <t>Pokemon</t>
        </is>
      </c>
      <c r="G2431" s="2" t="inlineStr">
        <is>
          <t>Coffret</t>
        </is>
      </c>
      <c r="H2431" s="2" t="inlineStr">
        <is>
          <t>SWSH06: Chilling Reign</t>
        </is>
      </c>
      <c r="I2431" s="3" t="n"/>
      <c r="J2431" s="3" t="n">
        <v>191.69</v>
      </c>
      <c r="K2431" s="3" t="n">
        <v>251.48</v>
      </c>
      <c r="L2431" s="3" t="n">
        <v>169.99</v>
      </c>
      <c r="M2431" s="2" t="inlineStr">
        <is>
          <t>TCGplayer</t>
        </is>
      </c>
      <c r="O2431" s="4" t="inlineStr">
        <is>
          <t>https://www.tcgplayer.com/product/247282</t>
        </is>
      </c>
    </row>
    <row r="2432">
      <c r="A2432" s="2" t="inlineStr">
        <is>
          <t>Chilling Reign Sleeved Booster Pack Art Bundle [Set of 5]</t>
        </is>
      </c>
      <c r="B2432" s="3">
        <f>IF(I2432&lt;&gt;"",I2432,IF(J2432&lt;&gt;"",J2432,IF(K2432&lt;&gt;"",K2432,L2432)))</f>
        <v>99.99</v>
      </c>
      <c r="C2432" s="3">
        <f>MEDIAN(I2432:L2432)</f>
        <v>99.99</v>
      </c>
      <c r="D2432" s="3">
        <f>ROUND(C2432*(1-Settings!$B$2),2)</f>
        <v>69.99</v>
      </c>
      <c r="E2432" s="3">
        <f>ROUND(C2432*(1-Settings!$B$3),2)</f>
        <v>69.99</v>
      </c>
      <c r="F2432" s="2" t="inlineStr">
        <is>
          <t>Pokemon</t>
        </is>
      </c>
      <c r="G2432" s="2" t="inlineStr">
        <is>
          <t>Coffret</t>
        </is>
      </c>
      <c r="H2432" s="2" t="inlineStr">
        <is>
          <t>SWSH06: Chilling Reign</t>
        </is>
      </c>
      <c r="I2432" s="3" t="n"/>
      <c r="J2432" s="3" t="n">
        <v>99.98999999999999</v>
      </c>
      <c r="K2432" s="3" t="n">
        <v>110</v>
      </c>
      <c r="L2432" s="3" t="n">
        <v>99</v>
      </c>
      <c r="M2432" s="2" t="inlineStr">
        <is>
          <t>TCGplayer</t>
        </is>
      </c>
      <c r="O2432" s="4" t="inlineStr">
        <is>
          <t>https://www.tcgplayer.com/product/256274</t>
        </is>
      </c>
    </row>
    <row r="2433">
      <c r="A2433" s="2" t="inlineStr">
        <is>
          <t>Chilling Reign Sleeved Booster Pack Bundle [Set of 10]</t>
        </is>
      </c>
      <c r="B2433" s="3">
        <f>IF(I2433&lt;&gt;"",I2433,IF(J2433&lt;&gt;"",J2433,IF(K2433&lt;&gt;"",K2433,L2433)))</f>
        <v>215.0</v>
      </c>
      <c r="C2433" s="3">
        <f>MEDIAN(I2433:L2433)</f>
        <v>215.0</v>
      </c>
      <c r="D2433" s="3">
        <f>ROUND(C2433*(1-Settings!$B$2),2)</f>
        <v>150.5</v>
      </c>
      <c r="E2433" s="3">
        <f>ROUND(C2433*(1-Settings!$B$3),2)</f>
        <v>150.5</v>
      </c>
      <c r="F2433" s="2" t="inlineStr">
        <is>
          <t>Pokemon</t>
        </is>
      </c>
      <c r="G2433" s="2" t="inlineStr">
        <is>
          <t>Coffret</t>
        </is>
      </c>
      <c r="H2433" s="2" t="inlineStr">
        <is>
          <t>SWSH06: Chilling Reign</t>
        </is>
      </c>
      <c r="I2433" s="3" t="n"/>
      <c r="J2433" s="3" t="n"/>
      <c r="K2433" s="3" t="n">
        <v>215</v>
      </c>
      <c r="L2433" s="3" t="n">
        <v>215</v>
      </c>
      <c r="M2433" s="2" t="inlineStr">
        <is>
          <t>TCGplayer</t>
        </is>
      </c>
      <c r="O2433" s="4" t="inlineStr">
        <is>
          <t>https://www.tcgplayer.com/product/256275</t>
        </is>
      </c>
    </row>
    <row r="2434">
      <c r="A2434" s="2" t="inlineStr">
        <is>
          <t>Ice Rider Calyrex V Box</t>
        </is>
      </c>
      <c r="B2434" s="3">
        <f>IF(I2434&lt;&gt;"",I2434,IF(J2434&lt;&gt;"",J2434,IF(K2434&lt;&gt;"",K2434,L2434)))</f>
        <v>52.14</v>
      </c>
      <c r="C2434" s="3">
        <f>MEDIAN(I2434:L2434)</f>
        <v>65.0</v>
      </c>
      <c r="D2434" s="3">
        <f>ROUND(C2434*(1-Settings!$B$2),2)</f>
        <v>45.5</v>
      </c>
      <c r="E2434" s="3">
        <f>ROUND(C2434*(1-Settings!$B$3),2)</f>
        <v>45.5</v>
      </c>
      <c r="F2434" s="2" t="inlineStr">
        <is>
          <t>Pokemon</t>
        </is>
      </c>
      <c r="G2434" s="2" t="inlineStr">
        <is>
          <t>Coffret</t>
        </is>
      </c>
      <c r="H2434" s="2" t="inlineStr">
        <is>
          <t>SWSH06: Chilling Reign</t>
        </is>
      </c>
      <c r="I2434" s="3" t="n"/>
      <c r="J2434" s="3" t="n">
        <v>52.14</v>
      </c>
      <c r="K2434" s="3" t="n">
        <v>80</v>
      </c>
      <c r="L2434" s="3" t="n">
        <v>65</v>
      </c>
      <c r="M2434" s="2" t="inlineStr">
        <is>
          <t>TCGplayer</t>
        </is>
      </c>
      <c r="O2434" s="4" t="inlineStr">
        <is>
          <t>https://www.tcgplayer.com/product/240975</t>
        </is>
      </c>
    </row>
    <row r="2435">
      <c r="A2435" s="2" t="inlineStr">
        <is>
          <t>Shadow Rider Calyrex V Box</t>
        </is>
      </c>
      <c r="B2435" s="3">
        <f>IF(I2435&lt;&gt;"",I2435,IF(J2435&lt;&gt;"",J2435,IF(K2435&lt;&gt;"",K2435,L2435)))</f>
        <v>51.13</v>
      </c>
      <c r="C2435" s="3">
        <f>MEDIAN(I2435:L2435)</f>
        <v>51.13</v>
      </c>
      <c r="D2435" s="3">
        <f>ROUND(C2435*(1-Settings!$B$2),2)</f>
        <v>35.79</v>
      </c>
      <c r="E2435" s="3">
        <f>ROUND(C2435*(1-Settings!$B$3),2)</f>
        <v>35.79</v>
      </c>
      <c r="F2435" s="2" t="inlineStr">
        <is>
          <t>Pokemon</t>
        </is>
      </c>
      <c r="G2435" s="2" t="inlineStr">
        <is>
          <t>Coffret</t>
        </is>
      </c>
      <c r="H2435" s="2" t="inlineStr">
        <is>
          <t>SWSH06: Chilling Reign</t>
        </is>
      </c>
      <c r="I2435" s="3" t="n"/>
      <c r="J2435" s="3" t="n">
        <v>51.13</v>
      </c>
      <c r="K2435" s="3" t="n">
        <v>73.48</v>
      </c>
      <c r="L2435" s="3" t="n">
        <v>46.99</v>
      </c>
      <c r="M2435" s="2" t="inlineStr">
        <is>
          <t>TCGplayer</t>
        </is>
      </c>
      <c r="O2435" s="4" t="inlineStr">
        <is>
          <t>https://www.tcgplayer.com/product/240977</t>
        </is>
      </c>
    </row>
    <row r="2436">
      <c r="A2436" s="2" t="inlineStr">
        <is>
          <t>Evolving Skies 3 Pack Hanger Box</t>
        </is>
      </c>
      <c r="B2436" s="3">
        <f>IF(I2436&lt;&gt;"",I2436,IF(J2436&lt;&gt;"",J2436,IF(K2436&lt;&gt;"",K2436,L2436)))</f>
        <v>178.73</v>
      </c>
      <c r="C2436" s="3">
        <f>MEDIAN(I2436:L2436)</f>
        <v>194.99</v>
      </c>
      <c r="D2436" s="3">
        <f>ROUND(C2436*(1-Settings!$B$2),2)</f>
        <v>136.49</v>
      </c>
      <c r="E2436" s="3">
        <f>ROUND(C2436*(1-Settings!$B$3),2)</f>
        <v>136.49</v>
      </c>
      <c r="F2436" s="2" t="inlineStr">
        <is>
          <t>Pokemon</t>
        </is>
      </c>
      <c r="G2436" s="2" t="inlineStr">
        <is>
          <t>Coffret</t>
        </is>
      </c>
      <c r="H2436" s="2" t="inlineStr">
        <is>
          <t>SWSH07: Evolving Skies</t>
        </is>
      </c>
      <c r="I2436" s="3" t="n"/>
      <c r="J2436" s="3" t="n">
        <v>178.73</v>
      </c>
      <c r="K2436" s="3" t="n">
        <v>199.99</v>
      </c>
      <c r="L2436" s="3" t="n">
        <v>194.99</v>
      </c>
      <c r="M2436" s="2" t="inlineStr">
        <is>
          <t>TCGplayer</t>
        </is>
      </c>
      <c r="O2436" s="4" t="inlineStr">
        <is>
          <t>https://www.tcgplayer.com/product/650863</t>
        </is>
      </c>
    </row>
    <row r="2437">
      <c r="A2437" s="2" t="inlineStr">
        <is>
          <t>Evolving Skies Booster Pack Art Bundle [Set of 4]</t>
        </is>
      </c>
      <c r="B2437" s="3">
        <f>IF(I2437&lt;&gt;"",I2437,IF(J2437&lt;&gt;"",J2437,IF(K2437&lt;&gt;"",K2437,L2437)))</f>
        <v>165.82</v>
      </c>
      <c r="C2437" s="3">
        <f>MEDIAN(I2437:L2437)</f>
        <v>170.44</v>
      </c>
      <c r="D2437" s="3">
        <f>ROUND(C2437*(1-Settings!$B$2),2)</f>
        <v>119.31</v>
      </c>
      <c r="E2437" s="3">
        <f>ROUND(C2437*(1-Settings!$B$3),2)</f>
        <v>119.31</v>
      </c>
      <c r="F2437" s="2" t="inlineStr">
        <is>
          <t>Pokemon</t>
        </is>
      </c>
      <c r="G2437" s="2" t="inlineStr">
        <is>
          <t>Coffret</t>
        </is>
      </c>
      <c r="H2437" s="2" t="inlineStr">
        <is>
          <t>SWSH07: Evolving Skies</t>
        </is>
      </c>
      <c r="I2437" s="3" t="n"/>
      <c r="J2437" s="3" t="n">
        <v>165.82</v>
      </c>
      <c r="K2437" s="3" t="n">
        <v>200</v>
      </c>
      <c r="L2437" s="3" t="n">
        <v>170.44</v>
      </c>
      <c r="M2437" s="2" t="inlineStr">
        <is>
          <t>TCGplayer</t>
        </is>
      </c>
      <c r="O2437" s="4" t="inlineStr">
        <is>
          <t>https://www.tcgplayer.com/product/247497</t>
        </is>
      </c>
    </row>
    <row r="2438">
      <c r="A2438" s="2" t="inlineStr">
        <is>
          <t>Evolving Skies Build &amp; Battle Box</t>
        </is>
      </c>
      <c r="B2438" s="3">
        <f>IF(I2438&lt;&gt;"",I2438,IF(J2438&lt;&gt;"",J2438,IF(K2438&lt;&gt;"",K2438,L2438)))</f>
        <v>287.28</v>
      </c>
      <c r="C2438" s="3">
        <f>MEDIAN(I2438:L2438)</f>
        <v>331.95500000000004</v>
      </c>
      <c r="D2438" s="3">
        <f>ROUND(C2438*(1-Settings!$B$2),2)</f>
        <v>232.37</v>
      </c>
      <c r="E2438" s="3">
        <f>ROUND(C2438*(1-Settings!$B$3),2)</f>
        <v>232.37</v>
      </c>
      <c r="F2438" s="2" t="inlineStr">
        <is>
          <t>Pokemon</t>
        </is>
      </c>
      <c r="G2438" s="2" t="inlineStr">
        <is>
          <t>Coffret</t>
        </is>
      </c>
      <c r="H2438" s="2" t="inlineStr">
        <is>
          <t>SWSH07: Evolving Skies</t>
        </is>
      </c>
      <c r="I2438" s="3" t="n">
        <v>287.28</v>
      </c>
      <c r="J2438" s="3" t="n">
        <v>329.91</v>
      </c>
      <c r="K2438" s="3" t="n">
        <v>378.81</v>
      </c>
      <c r="L2438" s="3" t="n">
        <v>334</v>
      </c>
      <c r="M2438" s="2" t="inlineStr">
        <is>
          <t>PriceCharting + TCGplayer</t>
        </is>
      </c>
      <c r="N2438" s="4" t="inlineStr">
        <is>
          <t>https://www.pricecharting.com/game/pokemon-evolving-skies/build-and-battle-box</t>
        </is>
      </c>
      <c r="O2438" s="4" t="inlineStr">
        <is>
          <t>https://www.tcgplayer.com/product/242449</t>
        </is>
      </c>
    </row>
    <row r="2439">
      <c r="A2439" s="2" t="inlineStr">
        <is>
          <t>Evolving Skies Build &amp; Battle Stadium</t>
        </is>
      </c>
      <c r="B2439" s="3">
        <f>IF(I2439&lt;&gt;"",I2439,IF(J2439&lt;&gt;"",J2439,IF(K2439&lt;&gt;"",K2439,L2439)))</f>
        <v>610.71</v>
      </c>
      <c r="C2439" s="3">
        <f>MEDIAN(I2439:L2439)</f>
        <v>651.425</v>
      </c>
      <c r="D2439" s="3">
        <f>ROUND(C2439*(1-Settings!$B$2),2)</f>
        <v>456.0</v>
      </c>
      <c r="E2439" s="3">
        <f>ROUND(C2439*(1-Settings!$B$3),2)</f>
        <v>456.0</v>
      </c>
      <c r="F2439" s="2" t="inlineStr">
        <is>
          <t>Pokemon</t>
        </is>
      </c>
      <c r="G2439" s="2" t="inlineStr">
        <is>
          <t>Coffret</t>
        </is>
      </c>
      <c r="H2439" s="2" t="inlineStr">
        <is>
          <t>SWSH07: Evolving Skies</t>
        </is>
      </c>
      <c r="I2439" s="3" t="n">
        <v>610.71</v>
      </c>
      <c r="J2439" s="3" t="n">
        <v>657.85</v>
      </c>
      <c r="K2439" s="3" t="n">
        <v>741.8200000000001</v>
      </c>
      <c r="L2439" s="3" t="n">
        <v>645</v>
      </c>
      <c r="M2439" s="2" t="inlineStr">
        <is>
          <t>PriceCharting + TCGplayer</t>
        </is>
      </c>
      <c r="N2439" s="4" t="inlineStr">
        <is>
          <t>https://www.pricecharting.com/game/pokemon-evolving-skies/build-&amp;-battle-stadium</t>
        </is>
      </c>
      <c r="O2439" s="4" t="inlineStr">
        <is>
          <t>https://www.tcgplayer.com/product/243425</t>
        </is>
      </c>
    </row>
    <row r="2440">
      <c r="A2440" s="2" t="inlineStr">
        <is>
          <t>Evolving Skies Elite Trainer Box [Flareon/Jolteon/Umbreon/Leafeon]</t>
        </is>
      </c>
      <c r="B2440" s="3">
        <f>IF(I2440&lt;&gt;"",I2440,IF(J2440&lt;&gt;"",J2440,IF(K2440&lt;&gt;"",K2440,L2440)))</f>
        <v>567.32</v>
      </c>
      <c r="C2440" s="3">
        <f>MEDIAN(I2440:L2440)</f>
        <v>567.32</v>
      </c>
      <c r="D2440" s="3">
        <f>ROUND(C2440*(1-Settings!$B$2),2)</f>
        <v>397.12</v>
      </c>
      <c r="E2440" s="3">
        <f>ROUND(C2440*(1-Settings!$B$3),2)</f>
        <v>397.12</v>
      </c>
      <c r="F2440" s="2" t="inlineStr">
        <is>
          <t>Pokemon</t>
        </is>
      </c>
      <c r="G2440" s="2" t="inlineStr">
        <is>
          <t>Coffret</t>
        </is>
      </c>
      <c r="H2440" s="2" t="inlineStr">
        <is>
          <t>SWSH07: Evolving Skies</t>
        </is>
      </c>
      <c r="I2440" s="3" t="n"/>
      <c r="J2440" s="3" t="n">
        <v>567.3200000000001</v>
      </c>
      <c r="K2440" s="3" t="n">
        <v>570.3200000000001</v>
      </c>
      <c r="L2440" s="3" t="n">
        <v>39.99</v>
      </c>
      <c r="M2440" s="2" t="inlineStr">
        <is>
          <t>TCGplayer</t>
        </is>
      </c>
      <c r="O2440" s="4" t="inlineStr">
        <is>
          <t>https://www.tcgplayer.com/product/242434</t>
        </is>
      </c>
    </row>
    <row r="2441">
      <c r="A2441" s="2" t="inlineStr">
        <is>
          <t>Evolving Skies Elite Trainer Box [Glaceon/Vaporeon/Sylveon/Espeon]</t>
        </is>
      </c>
      <c r="B2441" s="3">
        <f>IF(I2441&lt;&gt;"",I2441,IF(J2441&lt;&gt;"",J2441,IF(K2441&lt;&gt;"",K2441,L2441)))</f>
        <v>476.83</v>
      </c>
      <c r="C2441" s="3">
        <f>MEDIAN(I2441:L2441)</f>
        <v>476.83</v>
      </c>
      <c r="D2441" s="3">
        <f>ROUND(C2441*(1-Settings!$B$2),2)</f>
        <v>333.78</v>
      </c>
      <c r="E2441" s="3">
        <f>ROUND(C2441*(1-Settings!$B$3),2)</f>
        <v>333.78</v>
      </c>
      <c r="F2441" s="2" t="inlineStr">
        <is>
          <t>Pokemon</t>
        </is>
      </c>
      <c r="G2441" s="2" t="inlineStr">
        <is>
          <t>Coffret</t>
        </is>
      </c>
      <c r="H2441" s="2" t="inlineStr">
        <is>
          <t>SWSH07: Evolving Skies</t>
        </is>
      </c>
      <c r="I2441" s="3" t="n"/>
      <c r="J2441" s="3" t="n">
        <v>476.83</v>
      </c>
      <c r="K2441" s="3" t="n">
        <v>550</v>
      </c>
      <c r="L2441" s="3" t="n">
        <v>444</v>
      </c>
      <c r="M2441" s="2" t="inlineStr">
        <is>
          <t>TCGplayer</t>
        </is>
      </c>
      <c r="O2441" s="4" t="inlineStr">
        <is>
          <t>https://www.tcgplayer.com/product/242443</t>
        </is>
      </c>
    </row>
    <row r="2442">
      <c r="A2442" s="2" t="inlineStr">
        <is>
          <t>Evolving Skies Elite Trainer Box [Set of 2]</t>
        </is>
      </c>
      <c r="B2442" s="3">
        <f>IF(I2442&lt;&gt;"",I2442,IF(J2442&lt;&gt;"",J2442,IF(K2442&lt;&gt;"",K2442,L2442)))</f>
        <v>1089.62</v>
      </c>
      <c r="C2442" s="3">
        <f>MEDIAN(I2442:L2442)</f>
        <v>1089.62</v>
      </c>
      <c r="D2442" s="3">
        <f>ROUND(C2442*(1-Settings!$B$2),2)</f>
        <v>762.73</v>
      </c>
      <c r="E2442" s="3">
        <f>ROUND(C2442*(1-Settings!$B$3),2)</f>
        <v>762.73</v>
      </c>
      <c r="F2442" s="2" t="inlineStr">
        <is>
          <t>Pokemon</t>
        </is>
      </c>
      <c r="G2442" s="2" t="inlineStr">
        <is>
          <t>Coffret</t>
        </is>
      </c>
      <c r="H2442" s="2" t="inlineStr">
        <is>
          <t>SWSH07: Evolving Skies</t>
        </is>
      </c>
      <c r="I2442" s="3" t="n"/>
      <c r="J2442" s="3" t="n">
        <v>1089.62</v>
      </c>
      <c r="K2442" s="3" t="n">
        <v>1095</v>
      </c>
      <c r="L2442" s="3" t="n">
        <v>1000</v>
      </c>
      <c r="M2442" s="2" t="inlineStr">
        <is>
          <t>TCGplayer</t>
        </is>
      </c>
      <c r="O2442" s="4" t="inlineStr">
        <is>
          <t>https://www.tcgplayer.com/product/243721</t>
        </is>
      </c>
    </row>
    <row r="2443">
      <c r="A2443" s="2" t="inlineStr">
        <is>
          <t>Evolving Skies Pokemon Center Elite Trainer Box [Glaceon/Vaporeon/Sylveon/Espeon] (Exclusive)</t>
        </is>
      </c>
      <c r="B2443" s="3">
        <f>IF(I2443&lt;&gt;"",I2443,IF(J2443&lt;&gt;"",J2443,IF(K2443&lt;&gt;"",K2443,L2443)))</f>
        <v>1071.08</v>
      </c>
      <c r="C2443" s="3">
        <f>MEDIAN(I2443:L2443)</f>
        <v>1071.08</v>
      </c>
      <c r="D2443" s="3">
        <f>ROUND(C2443*(1-Settings!$B$2),2)</f>
        <v>749.76</v>
      </c>
      <c r="E2443" s="3">
        <f>ROUND(C2443*(1-Settings!$B$3),2)</f>
        <v>749.76</v>
      </c>
      <c r="F2443" s="2" t="inlineStr">
        <is>
          <t>Pokemon</t>
        </is>
      </c>
      <c r="G2443" s="2" t="inlineStr">
        <is>
          <t>Coffret</t>
        </is>
      </c>
      <c r="H2443" s="2" t="inlineStr">
        <is>
          <t>SWSH07: Evolving Skies</t>
        </is>
      </c>
      <c r="I2443" s="3" t="n"/>
      <c r="J2443" s="3" t="n">
        <v>1071.08</v>
      </c>
      <c r="K2443" s="3" t="n">
        <v>1499.99</v>
      </c>
      <c r="L2443" s="3" t="n">
        <v>950</v>
      </c>
      <c r="M2443" s="2" t="inlineStr">
        <is>
          <t>TCGplayer</t>
        </is>
      </c>
      <c r="O2443" s="4" t="inlineStr">
        <is>
          <t>https://www.tcgplayer.com/product/245352</t>
        </is>
      </c>
    </row>
    <row r="2444">
      <c r="A2444" s="2" t="inlineStr">
        <is>
          <t>Evolving Skies Pokemon Center Elite Trainer Box [Jolteon/Flareon/Umbreon/Leafeon] (Exclusive)</t>
        </is>
      </c>
      <c r="B2444" s="3">
        <f>IF(I2444&lt;&gt;"",I2444,IF(J2444&lt;&gt;"",J2444,IF(K2444&lt;&gt;"",K2444,L2444)))</f>
        <v>1075.42</v>
      </c>
      <c r="C2444" s="3">
        <f>MEDIAN(I2444:L2444)</f>
        <v>1075.42</v>
      </c>
      <c r="D2444" s="3">
        <f>ROUND(C2444*(1-Settings!$B$2),2)</f>
        <v>752.79</v>
      </c>
      <c r="E2444" s="3">
        <f>ROUND(C2444*(1-Settings!$B$3),2)</f>
        <v>752.79</v>
      </c>
      <c r="F2444" s="2" t="inlineStr">
        <is>
          <t>Pokemon</t>
        </is>
      </c>
      <c r="G2444" s="2" t="inlineStr">
        <is>
          <t>Coffret</t>
        </is>
      </c>
      <c r="H2444" s="2" t="inlineStr">
        <is>
          <t>SWSH07: Evolving Skies</t>
        </is>
      </c>
      <c r="I2444" s="3" t="n"/>
      <c r="J2444" s="3" t="n">
        <v>1075.42</v>
      </c>
      <c r="K2444" s="3" t="n">
        <v>1474.99</v>
      </c>
      <c r="L2444" s="3" t="n">
        <v>899.99</v>
      </c>
      <c r="M2444" s="2" t="inlineStr">
        <is>
          <t>TCGplayer</t>
        </is>
      </c>
      <c r="O2444" s="4" t="inlineStr">
        <is>
          <t>https://www.tcgplayer.com/product/245376</t>
        </is>
      </c>
    </row>
    <row r="2445">
      <c r="A2445" s="2" t="inlineStr">
        <is>
          <t>Evolving Skies Pokemon Center Elite Trainer Box [Set of 2] (Exclusive)</t>
        </is>
      </c>
      <c r="B2445" s="3">
        <f>IF(I2445&lt;&gt;"",I2445,IF(J2445&lt;&gt;"",J2445,IF(K2445&lt;&gt;"",K2445,L2445)))</f>
        <v>2270.5</v>
      </c>
      <c r="C2445" s="3">
        <f>MEDIAN(I2445:L2445)</f>
        <v>2400.0</v>
      </c>
      <c r="D2445" s="3">
        <f>ROUND(C2445*(1-Settings!$B$2),2)</f>
        <v>1680.0</v>
      </c>
      <c r="E2445" s="3">
        <f>ROUND(C2445*(1-Settings!$B$3),2)</f>
        <v>1680.0</v>
      </c>
      <c r="F2445" s="2" t="inlineStr">
        <is>
          <t>Pokemon</t>
        </is>
      </c>
      <c r="G2445" s="2" t="inlineStr">
        <is>
          <t>Coffret</t>
        </is>
      </c>
      <c r="H2445" s="2" t="inlineStr">
        <is>
          <t>SWSH07: Evolving Skies</t>
        </is>
      </c>
      <c r="I2445" s="3" t="n"/>
      <c r="J2445" s="3" t="n">
        <v>2270.5</v>
      </c>
      <c r="K2445" s="3" t="n">
        <v>3000</v>
      </c>
      <c r="L2445" s="3" t="n">
        <v>2400</v>
      </c>
      <c r="M2445" s="2" t="inlineStr">
        <is>
          <t>TCGplayer</t>
        </is>
      </c>
      <c r="O2445" s="4" t="inlineStr">
        <is>
          <t>https://www.tcgplayer.com/product/245855</t>
        </is>
      </c>
    </row>
    <row r="2446">
      <c r="A2446" s="2" t="inlineStr">
        <is>
          <t>Evolving Skies Sleeved Booster Pack Art Bundle [Set of 4]</t>
        </is>
      </c>
      <c r="B2446" s="3">
        <f>IF(I2446&lt;&gt;"",I2446,IF(J2446&lt;&gt;"",J2446,IF(K2446&lt;&gt;"",K2446,L2446)))</f>
        <v>248.22</v>
      </c>
      <c r="C2446" s="3">
        <f>MEDIAN(I2446:L2446)</f>
        <v>248.22</v>
      </c>
      <c r="D2446" s="3">
        <f>ROUND(C2446*(1-Settings!$B$2),2)</f>
        <v>173.75</v>
      </c>
      <c r="E2446" s="3">
        <f>ROUND(C2446*(1-Settings!$B$3),2)</f>
        <v>173.75</v>
      </c>
      <c r="F2446" s="2" t="inlineStr">
        <is>
          <t>Pokemon</t>
        </is>
      </c>
      <c r="G2446" s="2" t="inlineStr">
        <is>
          <t>Coffret</t>
        </is>
      </c>
      <c r="H2446" s="2" t="inlineStr">
        <is>
          <t>SWSH07: Evolving Skies</t>
        </is>
      </c>
      <c r="I2446" s="3" t="n"/>
      <c r="J2446" s="3" t="n">
        <v>248.22</v>
      </c>
      <c r="K2446" s="3" t="n">
        <v>268.88</v>
      </c>
      <c r="L2446" s="3" t="n">
        <v>239.99</v>
      </c>
      <c r="M2446" s="2" t="inlineStr">
        <is>
          <t>TCGplayer</t>
        </is>
      </c>
      <c r="O2446" s="4" t="inlineStr">
        <is>
          <t>https://www.tcgplayer.com/product/247498</t>
        </is>
      </c>
    </row>
    <row r="2447">
      <c r="A2447" s="2" t="inlineStr">
        <is>
          <t>Evolving Skies Sleeved Booster Pack Bundle [Set of 8]</t>
        </is>
      </c>
      <c r="B2447" s="3">
        <f>IF(I2447&lt;&gt;"",I2447,IF(J2447&lt;&gt;"",J2447,IF(K2447&lt;&gt;"",K2447,L2447)))</f>
        <v>551.92</v>
      </c>
      <c r="C2447" s="3">
        <f>MEDIAN(I2447:L2447)</f>
        <v>537.12</v>
      </c>
      <c r="D2447" s="3">
        <f>ROUND(C2447*(1-Settings!$B$2),2)</f>
        <v>375.98</v>
      </c>
      <c r="E2447" s="3">
        <f>ROUND(C2447*(1-Settings!$B$3),2)</f>
        <v>375.98</v>
      </c>
      <c r="F2447" s="2" t="inlineStr">
        <is>
          <t>Pokemon</t>
        </is>
      </c>
      <c r="G2447" s="2" t="inlineStr">
        <is>
          <t>Coffret</t>
        </is>
      </c>
      <c r="H2447" s="2" t="inlineStr">
        <is>
          <t>SWSH07: Evolving Skies</t>
        </is>
      </c>
      <c r="I2447" s="3" t="n"/>
      <c r="J2447" s="3" t="n">
        <v>551.92</v>
      </c>
      <c r="K2447" s="3" t="n">
        <v>537.12</v>
      </c>
      <c r="L2447" s="3" t="n">
        <v>500</v>
      </c>
      <c r="M2447" s="2" t="inlineStr">
        <is>
          <t>TCGplayer</t>
        </is>
      </c>
      <c r="O2447" s="4" t="inlineStr">
        <is>
          <t>https://www.tcgplayer.com/product/246274</t>
        </is>
      </c>
    </row>
    <row r="2448">
      <c r="A2448" s="2" t="inlineStr">
        <is>
          <t>Greninja V-UNION Special Collection</t>
        </is>
      </c>
      <c r="B2448" s="3">
        <f>IF(I2448&lt;&gt;"",I2448,IF(J2448&lt;&gt;"",J2448,IF(K2448&lt;&gt;"",K2448,L2448)))</f>
        <v>138.16</v>
      </c>
      <c r="C2448" s="3">
        <f>MEDIAN(I2448:L2448)</f>
        <v>148.99</v>
      </c>
      <c r="D2448" s="3">
        <f>ROUND(C2448*(1-Settings!$B$2),2)</f>
        <v>104.29</v>
      </c>
      <c r="E2448" s="3">
        <f>ROUND(C2448*(1-Settings!$B$3),2)</f>
        <v>104.29</v>
      </c>
      <c r="F2448" s="2" t="inlineStr">
        <is>
          <t>Pokemon</t>
        </is>
      </c>
      <c r="G2448" s="2" t="inlineStr">
        <is>
          <t>Coffret</t>
        </is>
      </c>
      <c r="H2448" s="2" t="inlineStr">
        <is>
          <t>SWSH07: Evolving Skies</t>
        </is>
      </c>
      <c r="I2448" s="3" t="n"/>
      <c r="J2448" s="3" t="n">
        <v>138.16</v>
      </c>
      <c r="K2448" s="3" t="n">
        <v>196.99</v>
      </c>
      <c r="L2448" s="3" t="n">
        <v>148.99</v>
      </c>
      <c r="M2448" s="2" t="inlineStr">
        <is>
          <t>TCGplayer</t>
        </is>
      </c>
      <c r="O2448" s="4" t="inlineStr">
        <is>
          <t>https://www.tcgplayer.com/product/245878</t>
        </is>
      </c>
    </row>
    <row r="2449">
      <c r="A2449" s="2" t="inlineStr">
        <is>
          <t>Mewtwo V-UNION Special Collection</t>
        </is>
      </c>
      <c r="B2449" s="3">
        <f>IF(I2449&lt;&gt;"",I2449,IF(J2449&lt;&gt;"",J2449,IF(K2449&lt;&gt;"",K2449,L2449)))</f>
        <v>183.75</v>
      </c>
      <c r="C2449" s="3">
        <f>MEDIAN(I2449:L2449)</f>
        <v>183.75</v>
      </c>
      <c r="D2449" s="3">
        <f>ROUND(C2449*(1-Settings!$B$2),2)</f>
        <v>128.63</v>
      </c>
      <c r="E2449" s="3">
        <f>ROUND(C2449*(1-Settings!$B$3),2)</f>
        <v>128.63</v>
      </c>
      <c r="F2449" s="2" t="inlineStr">
        <is>
          <t>Pokemon</t>
        </is>
      </c>
      <c r="G2449" s="2" t="inlineStr">
        <is>
          <t>Coffret</t>
        </is>
      </c>
      <c r="H2449" s="2" t="inlineStr">
        <is>
          <t>SWSH07: Evolving Skies</t>
        </is>
      </c>
      <c r="I2449" s="3" t="n"/>
      <c r="J2449" s="3" t="n">
        <v>183.75</v>
      </c>
      <c r="K2449" s="3" t="n">
        <v>249.98</v>
      </c>
      <c r="L2449" s="3" t="n">
        <v>149.99</v>
      </c>
      <c r="M2449" s="2" t="inlineStr">
        <is>
          <t>TCGplayer</t>
        </is>
      </c>
      <c r="O2449" s="4" t="inlineStr">
        <is>
          <t>https://www.tcgplayer.com/product/245877</t>
        </is>
      </c>
    </row>
    <row r="2450">
      <c r="A2450" s="2" t="inlineStr">
        <is>
          <t>V-UNION Special Collection [Set of 3]</t>
        </is>
      </c>
      <c r="B2450" s="3">
        <f>IF(I2450&lt;&gt;"",I2450,IF(J2450&lt;&gt;"",J2450,IF(K2450&lt;&gt;"",K2450,L2450)))</f>
        <v>369.1</v>
      </c>
      <c r="C2450" s="3">
        <f>MEDIAN(I2450:L2450)</f>
        <v>484.55</v>
      </c>
      <c r="D2450" s="3">
        <f>ROUND(C2450*(1-Settings!$B$2),2)</f>
        <v>339.19</v>
      </c>
      <c r="E2450" s="3">
        <f>ROUND(C2450*(1-Settings!$B$3),2)</f>
        <v>339.19</v>
      </c>
      <c r="F2450" s="2" t="inlineStr">
        <is>
          <t>Pokemon</t>
        </is>
      </c>
      <c r="G2450" s="2" t="inlineStr">
        <is>
          <t>Coffret</t>
        </is>
      </c>
      <c r="H2450" s="2" t="inlineStr">
        <is>
          <t>SWSH07: Evolving Skies</t>
        </is>
      </c>
      <c r="I2450" s="3" t="n"/>
      <c r="J2450" s="3" t="n">
        <v>369.1</v>
      </c>
      <c r="K2450" s="3" t="n"/>
      <c r="L2450" s="3" t="n">
        <v>600</v>
      </c>
      <c r="M2450" s="2" t="inlineStr">
        <is>
          <t>TCGplayer</t>
        </is>
      </c>
      <c r="O2450" s="4" t="inlineStr">
        <is>
          <t>https://www.tcgplayer.com/product/245880</t>
        </is>
      </c>
    </row>
    <row r="2451">
      <c r="A2451" s="2" t="inlineStr">
        <is>
          <t>Zacian V-UNION Special Collection</t>
        </is>
      </c>
      <c r="B2451" s="3">
        <f>IF(I2451&lt;&gt;"",I2451,IF(J2451&lt;&gt;"",J2451,IF(K2451&lt;&gt;"",K2451,L2451)))</f>
        <v>118.02</v>
      </c>
      <c r="C2451" s="3">
        <f>MEDIAN(I2451:L2451)</f>
        <v>167.95</v>
      </c>
      <c r="D2451" s="3">
        <f>ROUND(C2451*(1-Settings!$B$2),2)</f>
        <v>117.57</v>
      </c>
      <c r="E2451" s="3">
        <f>ROUND(C2451*(1-Settings!$B$3),2)</f>
        <v>117.57</v>
      </c>
      <c r="F2451" s="2" t="inlineStr">
        <is>
          <t>Pokemon</t>
        </is>
      </c>
      <c r="G2451" s="2" t="inlineStr">
        <is>
          <t>Coffret</t>
        </is>
      </c>
      <c r="H2451" s="2" t="inlineStr">
        <is>
          <t>SWSH07: Evolving Skies</t>
        </is>
      </c>
      <c r="I2451" s="3" t="n"/>
      <c r="J2451" s="3" t="n">
        <v>118.02</v>
      </c>
      <c r="K2451" s="3" t="n">
        <v>169.99</v>
      </c>
      <c r="L2451" s="3" t="n">
        <v>167.95</v>
      </c>
      <c r="M2451" s="2" t="inlineStr">
        <is>
          <t>TCGplayer</t>
        </is>
      </c>
      <c r="O2451" s="4" t="inlineStr">
        <is>
          <t>https://www.tcgplayer.com/product/245879</t>
        </is>
      </c>
    </row>
    <row r="2452">
      <c r="A2452" s="2" t="inlineStr">
        <is>
          <t>Dragonite V Box</t>
        </is>
      </c>
      <c r="B2452" s="3">
        <f>IF(I2452&lt;&gt;"",I2452,IF(J2452&lt;&gt;"",J2452,IF(K2452&lt;&gt;"",K2452,L2452)))</f>
        <v>164.63</v>
      </c>
      <c r="C2452" s="3">
        <f>MEDIAN(I2452:L2452)</f>
        <v>175.0</v>
      </c>
      <c r="D2452" s="3">
        <f>ROUND(C2452*(1-Settings!$B$2),2)</f>
        <v>122.5</v>
      </c>
      <c r="E2452" s="3">
        <f>ROUND(C2452*(1-Settings!$B$3),2)</f>
        <v>122.5</v>
      </c>
      <c r="F2452" s="2" t="inlineStr">
        <is>
          <t>Pokemon</t>
        </is>
      </c>
      <c r="G2452" s="2" t="inlineStr">
        <is>
          <t>Coffret</t>
        </is>
      </c>
      <c r="H2452" s="2" t="inlineStr">
        <is>
          <t>SWSH08: Fusion Strike</t>
        </is>
      </c>
      <c r="I2452" s="3" t="n"/>
      <c r="J2452" s="3" t="n">
        <v>164.63</v>
      </c>
      <c r="K2452" s="3" t="n">
        <v>200</v>
      </c>
      <c r="L2452" s="3" t="n">
        <v>175</v>
      </c>
      <c r="M2452" s="2" t="inlineStr">
        <is>
          <t>TCGplayer</t>
        </is>
      </c>
      <c r="O2452" s="4" t="inlineStr">
        <is>
          <t>https://www.tcgplayer.com/product/245876</t>
        </is>
      </c>
    </row>
    <row r="2453">
      <c r="A2453" s="2" t="inlineStr">
        <is>
          <t>Fusion Strike 3 Pack Hanger Box</t>
        </is>
      </c>
      <c r="B2453" s="3">
        <f>IF(I2453&lt;&gt;"",I2453,IF(J2453&lt;&gt;"",J2453,IF(K2453&lt;&gt;"",K2453,L2453)))</f>
        <v>79.0</v>
      </c>
      <c r="C2453" s="3">
        <f>MEDIAN(I2453:L2453)</f>
        <v>79.0</v>
      </c>
      <c r="D2453" s="3">
        <f>ROUND(C2453*(1-Settings!$B$2),2)</f>
        <v>55.3</v>
      </c>
      <c r="E2453" s="3">
        <f>ROUND(C2453*(1-Settings!$B$3),2)</f>
        <v>55.3</v>
      </c>
      <c r="F2453" s="2" t="inlineStr">
        <is>
          <t>Pokemon</t>
        </is>
      </c>
      <c r="G2453" s="2" t="inlineStr">
        <is>
          <t>Coffret</t>
        </is>
      </c>
      <c r="H2453" s="2" t="inlineStr">
        <is>
          <t>SWSH08: Fusion Strike</t>
        </is>
      </c>
      <c r="I2453" s="3" t="n"/>
      <c r="J2453" s="3" t="n"/>
      <c r="K2453" s="3" t="n">
        <v>79</v>
      </c>
      <c r="L2453" s="3" t="n">
        <v>79</v>
      </c>
      <c r="M2453" s="2" t="inlineStr">
        <is>
          <t>TCGplayer</t>
        </is>
      </c>
      <c r="O2453" s="4" t="inlineStr">
        <is>
          <t>https://www.tcgplayer.com/product/635742</t>
        </is>
      </c>
    </row>
    <row r="2454">
      <c r="A2454" s="2" t="inlineStr">
        <is>
          <t>Fusion Strike Booster Pack Art Bundle [Set of 4]</t>
        </is>
      </c>
      <c r="B2454" s="3">
        <f>IF(I2454&lt;&gt;"",I2454,IF(J2454&lt;&gt;"",J2454,IF(K2454&lt;&gt;"",K2454,L2454)))</f>
        <v>74.49</v>
      </c>
      <c r="C2454" s="3">
        <f>MEDIAN(I2454:L2454)</f>
        <v>74.49</v>
      </c>
      <c r="D2454" s="3">
        <f>ROUND(C2454*(1-Settings!$B$2),2)</f>
        <v>52.14</v>
      </c>
      <c r="E2454" s="3">
        <f>ROUND(C2454*(1-Settings!$B$3),2)</f>
        <v>52.14</v>
      </c>
      <c r="F2454" s="2" t="inlineStr">
        <is>
          <t>Pokemon</t>
        </is>
      </c>
      <c r="G2454" s="2" t="inlineStr">
        <is>
          <t>Coffret</t>
        </is>
      </c>
      <c r="H2454" s="2" t="inlineStr">
        <is>
          <t>SWSH08: Fusion Strike</t>
        </is>
      </c>
      <c r="I2454" s="3" t="n"/>
      <c r="J2454" s="3" t="n">
        <v>74.48999999999999</v>
      </c>
      <c r="K2454" s="3" t="n">
        <v>79.97</v>
      </c>
      <c r="L2454" s="3" t="n">
        <v>71.95</v>
      </c>
      <c r="M2454" s="2" t="inlineStr">
        <is>
          <t>TCGplayer</t>
        </is>
      </c>
      <c r="O2454" s="4" t="inlineStr">
        <is>
          <t>https://www.tcgplayer.com/product/247651</t>
        </is>
      </c>
    </row>
    <row r="2455">
      <c r="A2455" s="2" t="inlineStr">
        <is>
          <t>Fusion Strike Build &amp; Battle Box</t>
        </is>
      </c>
      <c r="B2455" s="3">
        <f>IF(I2455&lt;&gt;"",I2455,IF(J2455&lt;&gt;"",J2455,IF(K2455&lt;&gt;"",K2455,L2455)))</f>
        <v>95.87</v>
      </c>
      <c r="C2455" s="3">
        <f>MEDIAN(I2455:L2455)</f>
        <v>99.875</v>
      </c>
      <c r="D2455" s="3">
        <f>ROUND(C2455*(1-Settings!$B$2),2)</f>
        <v>69.91</v>
      </c>
      <c r="E2455" s="3">
        <f>ROUND(C2455*(1-Settings!$B$3),2)</f>
        <v>69.91</v>
      </c>
      <c r="F2455" s="2" t="inlineStr">
        <is>
          <t>Pokemon</t>
        </is>
      </c>
      <c r="G2455" s="2" t="inlineStr">
        <is>
          <t>Coffret</t>
        </is>
      </c>
      <c r="H2455" s="2" t="inlineStr">
        <is>
          <t>SWSH08: Fusion Strike</t>
        </is>
      </c>
      <c r="I2455" s="3" t="n">
        <v>95.87</v>
      </c>
      <c r="J2455" s="3" t="n">
        <v>103.77</v>
      </c>
      <c r="K2455" s="3" t="n">
        <v>118.95</v>
      </c>
      <c r="L2455" s="3" t="n">
        <v>95.98</v>
      </c>
      <c r="M2455" s="2" t="inlineStr">
        <is>
          <t>PriceCharting + TCGplayer</t>
        </is>
      </c>
      <c r="N2455" s="4" t="inlineStr">
        <is>
          <t>https://www.pricecharting.com/game/pokemon-fusion-strike/build-&amp;-battle-box</t>
        </is>
      </c>
      <c r="O2455" s="4" t="inlineStr">
        <is>
          <t>https://www.tcgplayer.com/product/247659</t>
        </is>
      </c>
    </row>
    <row r="2456">
      <c r="A2456" s="2" t="inlineStr">
        <is>
          <t>Fusion Strike Build &amp; Battle Stadium</t>
        </is>
      </c>
      <c r="B2456" s="3">
        <f>IF(I2456&lt;&gt;"",I2456,IF(J2456&lt;&gt;"",J2456,IF(K2456&lt;&gt;"",K2456,L2456)))</f>
        <v>248.24</v>
      </c>
      <c r="C2456" s="3">
        <f>MEDIAN(I2456:L2456)</f>
        <v>286.635</v>
      </c>
      <c r="D2456" s="3">
        <f>ROUND(C2456*(1-Settings!$B$2),2)</f>
        <v>200.64</v>
      </c>
      <c r="E2456" s="3">
        <f>ROUND(C2456*(1-Settings!$B$3),2)</f>
        <v>200.64</v>
      </c>
      <c r="F2456" s="2" t="inlineStr">
        <is>
          <t>Pokemon</t>
        </is>
      </c>
      <c r="G2456" s="2" t="inlineStr">
        <is>
          <t>Coffret</t>
        </is>
      </c>
      <c r="H2456" s="2" t="inlineStr">
        <is>
          <t>SWSH08: Fusion Strike</t>
        </is>
      </c>
      <c r="I2456" s="3" t="n">
        <v>248.24</v>
      </c>
      <c r="J2456" s="3" t="n">
        <v>283.32</v>
      </c>
      <c r="K2456" s="3" t="n">
        <v>309.94</v>
      </c>
      <c r="L2456" s="3" t="n">
        <v>289.95</v>
      </c>
      <c r="M2456" s="2" t="inlineStr">
        <is>
          <t>PriceCharting + TCGplayer</t>
        </is>
      </c>
      <c r="N2456" s="4" t="inlineStr">
        <is>
          <t>https://www.pricecharting.com/game/pokemon-fusion-strike/build-&amp;-battle-stadium</t>
        </is>
      </c>
      <c r="O2456" s="4" t="inlineStr">
        <is>
          <t>https://www.tcgplayer.com/product/247666</t>
        </is>
      </c>
    </row>
    <row r="2457">
      <c r="A2457" s="2" t="inlineStr">
        <is>
          <t>Fusion Strike Elite Trainer Box</t>
        </is>
      </c>
      <c r="B2457" s="3">
        <f>IF(I2457&lt;&gt;"",I2457,IF(J2457&lt;&gt;"",J2457,IF(K2457&lt;&gt;"",K2457,L2457)))</f>
        <v>320.97</v>
      </c>
      <c r="C2457" s="3">
        <f>MEDIAN(I2457:L2457)</f>
        <v>332.16999999999996</v>
      </c>
      <c r="D2457" s="3">
        <f>ROUND(C2457*(1-Settings!$B$2),2)</f>
        <v>232.52</v>
      </c>
      <c r="E2457" s="3">
        <f>ROUND(C2457*(1-Settings!$B$3),2)</f>
        <v>232.52</v>
      </c>
      <c r="F2457" s="2" t="inlineStr">
        <is>
          <t>Pokemon</t>
        </is>
      </c>
      <c r="G2457" s="2" t="inlineStr">
        <is>
          <t>Coffret</t>
        </is>
      </c>
      <c r="H2457" s="2" t="inlineStr">
        <is>
          <t>SWSH08: Fusion Strike</t>
        </is>
      </c>
      <c r="I2457" s="3" t="n">
        <v>320.97</v>
      </c>
      <c r="J2457" s="3" t="n">
        <v>334.34</v>
      </c>
      <c r="K2457" s="3" t="n">
        <v>399.99</v>
      </c>
      <c r="L2457" s="3" t="n">
        <v>330</v>
      </c>
      <c r="M2457" s="2" t="inlineStr">
        <is>
          <t>PriceCharting + TCGplayer</t>
        </is>
      </c>
      <c r="N2457" s="4" t="inlineStr">
        <is>
          <t>https://www.pricecharting.com/game/pokemon-fusion-strike/elite-trainer-box</t>
        </is>
      </c>
      <c r="O2457" s="4" t="inlineStr">
        <is>
          <t>https://www.tcgplayer.com/product/247671</t>
        </is>
      </c>
    </row>
    <row r="2458">
      <c r="A2458" s="2" t="inlineStr">
        <is>
          <t>Fusion Strike Pokemon Center Elite Trainer Box (Exclusive)</t>
        </is>
      </c>
      <c r="B2458" s="3">
        <f>IF(I2458&lt;&gt;"",I2458,IF(J2458&lt;&gt;"",J2458,IF(K2458&lt;&gt;"",K2458,L2458)))</f>
        <v>467.08</v>
      </c>
      <c r="C2458" s="3">
        <f>MEDIAN(I2458:L2458)</f>
        <v>467.08</v>
      </c>
      <c r="D2458" s="3">
        <f>ROUND(C2458*(1-Settings!$B$2),2)</f>
        <v>326.96</v>
      </c>
      <c r="E2458" s="3">
        <f>ROUND(C2458*(1-Settings!$B$3),2)</f>
        <v>326.96</v>
      </c>
      <c r="F2458" s="2" t="inlineStr">
        <is>
          <t>Pokemon</t>
        </is>
      </c>
      <c r="G2458" s="2" t="inlineStr">
        <is>
          <t>Coffret</t>
        </is>
      </c>
      <c r="H2458" s="2" t="inlineStr">
        <is>
          <t>SWSH08: Fusion Strike</t>
        </is>
      </c>
      <c r="I2458" s="3" t="n"/>
      <c r="J2458" s="3" t="n">
        <v>467.08</v>
      </c>
      <c r="K2458" s="3" t="n">
        <v>599.99</v>
      </c>
      <c r="L2458" s="3" t="n">
        <v>399.99</v>
      </c>
      <c r="M2458" s="2" t="inlineStr">
        <is>
          <t>TCGplayer</t>
        </is>
      </c>
      <c r="O2458" s="4" t="inlineStr">
        <is>
          <t>https://www.tcgplayer.com/product/247673</t>
        </is>
      </c>
    </row>
    <row r="2459">
      <c r="A2459" s="2" t="inlineStr">
        <is>
          <t>Fusion Strike Sleeved Booster Pack Art Bundle [Set of 4]</t>
        </is>
      </c>
      <c r="B2459" s="3">
        <f>IF(I2459&lt;&gt;"",I2459,IF(J2459&lt;&gt;"",J2459,IF(K2459&lt;&gt;"",K2459,L2459)))</f>
        <v>83.45</v>
      </c>
      <c r="C2459" s="3">
        <f>MEDIAN(I2459:L2459)</f>
        <v>123.99</v>
      </c>
      <c r="D2459" s="3">
        <f>ROUND(C2459*(1-Settings!$B$2),2)</f>
        <v>86.79</v>
      </c>
      <c r="E2459" s="3">
        <f>ROUND(C2459*(1-Settings!$B$3),2)</f>
        <v>86.79</v>
      </c>
      <c r="F2459" s="2" t="inlineStr">
        <is>
          <t>Pokemon</t>
        </is>
      </c>
      <c r="G2459" s="2" t="inlineStr">
        <is>
          <t>Coffret</t>
        </is>
      </c>
      <c r="H2459" s="2" t="inlineStr">
        <is>
          <t>SWSH08: Fusion Strike</t>
        </is>
      </c>
      <c r="I2459" s="3" t="n"/>
      <c r="J2459" s="3" t="n">
        <v>83.45</v>
      </c>
      <c r="K2459" s="3" t="n">
        <v>127.99</v>
      </c>
      <c r="L2459" s="3" t="n">
        <v>123.99</v>
      </c>
      <c r="M2459" s="2" t="inlineStr">
        <is>
          <t>TCGplayer</t>
        </is>
      </c>
      <c r="O2459" s="4" t="inlineStr">
        <is>
          <t>https://www.tcgplayer.com/product/247657</t>
        </is>
      </c>
    </row>
    <row r="2460">
      <c r="A2460" s="2" t="inlineStr">
        <is>
          <t>Fusion Strike Sleeved Booster Pack Bundle [Set of 8]</t>
        </is>
      </c>
      <c r="B2460" s="3">
        <f>IF(I2460&lt;&gt;"",I2460,IF(J2460&lt;&gt;"",J2460,IF(K2460&lt;&gt;"",K2460,L2460)))</f>
        <v>234.88</v>
      </c>
      <c r="C2460" s="3">
        <f>MEDIAN(I2460:L2460)</f>
        <v>234.0</v>
      </c>
      <c r="D2460" s="3">
        <f>ROUND(C2460*(1-Settings!$B$2),2)</f>
        <v>163.8</v>
      </c>
      <c r="E2460" s="3">
        <f>ROUND(C2460*(1-Settings!$B$3),2)</f>
        <v>163.8</v>
      </c>
      <c r="F2460" s="2" t="inlineStr">
        <is>
          <t>Pokemon</t>
        </is>
      </c>
      <c r="G2460" s="2" t="inlineStr">
        <is>
          <t>Coffret</t>
        </is>
      </c>
      <c r="H2460" s="2" t="inlineStr">
        <is>
          <t>SWSH08: Fusion Strike</t>
        </is>
      </c>
      <c r="I2460" s="3" t="n"/>
      <c r="J2460" s="3" t="n">
        <v>234.88</v>
      </c>
      <c r="K2460" s="3" t="n">
        <v>234</v>
      </c>
      <c r="L2460" s="3" t="n">
        <v>226.9</v>
      </c>
      <c r="M2460" s="2" t="inlineStr">
        <is>
          <t>TCGplayer</t>
        </is>
      </c>
      <c r="O2460" s="4" t="inlineStr">
        <is>
          <t>https://www.tcgplayer.com/product/247658</t>
        </is>
      </c>
    </row>
    <row r="2461">
      <c r="A2461" s="2" t="inlineStr">
        <is>
          <t>Hisuian Electrode V Box</t>
        </is>
      </c>
      <c r="B2461" s="3">
        <f>IF(I2461&lt;&gt;"",I2461,IF(J2461&lt;&gt;"",J2461,IF(K2461&lt;&gt;"",K2461,L2461)))</f>
        <v>52.27</v>
      </c>
      <c r="C2461" s="3">
        <f>MEDIAN(I2461:L2461)</f>
        <v>71.24</v>
      </c>
      <c r="D2461" s="3">
        <f>ROUND(C2461*(1-Settings!$B$2),2)</f>
        <v>49.87</v>
      </c>
      <c r="E2461" s="3">
        <f>ROUND(C2461*(1-Settings!$B$3),2)</f>
        <v>49.87</v>
      </c>
      <c r="F2461" s="2" t="inlineStr">
        <is>
          <t>Pokemon</t>
        </is>
      </c>
      <c r="G2461" s="2" t="inlineStr">
        <is>
          <t>Coffret</t>
        </is>
      </c>
      <c r="H2461" s="2" t="inlineStr">
        <is>
          <t>SWSH08: Fusion Strike</t>
        </is>
      </c>
      <c r="I2461" s="3" t="n"/>
      <c r="J2461" s="3" t="n">
        <v>52.27</v>
      </c>
      <c r="K2461" s="3" t="n">
        <v>110</v>
      </c>
      <c r="L2461" s="3" t="n">
        <v>71.23999999999999</v>
      </c>
      <c r="M2461" s="2" t="inlineStr">
        <is>
          <t>TCGplayer</t>
        </is>
      </c>
      <c r="O2461" s="4" t="inlineStr">
        <is>
          <t>https://www.tcgplayer.com/product/282721</t>
        </is>
      </c>
    </row>
    <row r="2462">
      <c r="A2462" s="2" t="inlineStr">
        <is>
          <t>Hoopa V Box</t>
        </is>
      </c>
      <c r="B2462" s="3">
        <f>IF(I2462&lt;&gt;"",I2462,IF(J2462&lt;&gt;"",J2462,IF(K2462&lt;&gt;"",K2462,L2462)))</f>
        <v>95.37</v>
      </c>
      <c r="C2462" s="3">
        <f>MEDIAN(I2462:L2462)</f>
        <v>98.715</v>
      </c>
      <c r="D2462" s="3">
        <f>ROUND(C2462*(1-Settings!$B$2),2)</f>
        <v>69.1</v>
      </c>
      <c r="E2462" s="3">
        <f>ROUND(C2462*(1-Settings!$B$3),2)</f>
        <v>69.1</v>
      </c>
      <c r="F2462" s="2" t="inlineStr">
        <is>
          <t>Pokemon</t>
        </is>
      </c>
      <c r="G2462" s="2" t="inlineStr">
        <is>
          <t>Coffret</t>
        </is>
      </c>
      <c r="H2462" s="2" t="inlineStr">
        <is>
          <t>SWSH08: Fusion Strike</t>
        </is>
      </c>
      <c r="I2462" s="3" t="n">
        <v>95.37</v>
      </c>
      <c r="J2462" s="3" t="n">
        <v>97.44</v>
      </c>
      <c r="K2462" s="3" t="n">
        <v>106.99</v>
      </c>
      <c r="L2462" s="3" t="n">
        <v>99.98999999999999</v>
      </c>
      <c r="M2462" s="2" t="inlineStr">
        <is>
          <t>PriceCharting + TCGplayer</t>
        </is>
      </c>
      <c r="N2462" s="4" t="inlineStr">
        <is>
          <t>https://www.pricecharting.com/game/pokemon-fusion-strike/hoopa-v-box</t>
        </is>
      </c>
      <c r="O2462" s="4" t="inlineStr">
        <is>
          <t>https://www.tcgplayer.com/product/247817</t>
        </is>
      </c>
    </row>
    <row r="2463">
      <c r="A2463" s="2" t="inlineStr">
        <is>
          <t>Rapid Strike Urshifu VMAX Premium Collection</t>
        </is>
      </c>
      <c r="B2463" s="3">
        <f>IF(I2463&lt;&gt;"",I2463,IF(J2463&lt;&gt;"",J2463,IF(K2463&lt;&gt;"",K2463,L2463)))</f>
        <v>76.0</v>
      </c>
      <c r="C2463" s="3">
        <f>MEDIAN(I2463:L2463)</f>
        <v>120.065</v>
      </c>
      <c r="D2463" s="3">
        <f>ROUND(C2463*(1-Settings!$B$2),2)</f>
        <v>84.05</v>
      </c>
      <c r="E2463" s="3">
        <f>ROUND(C2463*(1-Settings!$B$3),2)</f>
        <v>84.05</v>
      </c>
      <c r="F2463" s="2" t="inlineStr">
        <is>
          <t>Pokemon</t>
        </is>
      </c>
      <c r="G2463" s="2" t="inlineStr">
        <is>
          <t>Coffret</t>
        </is>
      </c>
      <c r="H2463" s="2" t="inlineStr">
        <is>
          <t>SWSH08: Fusion Strike</t>
        </is>
      </c>
      <c r="I2463" s="3" t="n">
        <v>76</v>
      </c>
      <c r="J2463" s="3" t="n">
        <v>130.33</v>
      </c>
      <c r="K2463" s="3" t="n">
        <v>150</v>
      </c>
      <c r="L2463" s="3" t="n">
        <v>109.8</v>
      </c>
      <c r="M2463" s="2" t="inlineStr">
        <is>
          <t>PriceCharting + TCGplayer</t>
        </is>
      </c>
      <c r="N2463" s="4" t="inlineStr">
        <is>
          <t>https://www.pricecharting.com/game/pokemon-fusion-strike/rapid-strike-urshifu-vmax-premium-collection</t>
        </is>
      </c>
      <c r="O2463" s="4" t="inlineStr">
        <is>
          <t>https://www.tcgplayer.com/product/253454</t>
        </is>
      </c>
    </row>
    <row r="2464">
      <c r="A2464" s="2" t="inlineStr">
        <is>
          <t>Single Strike Urshifu VMAX Premium Collection</t>
        </is>
      </c>
      <c r="B2464" s="3">
        <f>IF(I2464&lt;&gt;"",I2464,IF(J2464&lt;&gt;"",J2464,IF(K2464&lt;&gt;"",K2464,L2464)))</f>
        <v>151.5</v>
      </c>
      <c r="C2464" s="3">
        <f>MEDIAN(I2464:L2464)</f>
        <v>149.99</v>
      </c>
      <c r="D2464" s="3">
        <f>ROUND(C2464*(1-Settings!$B$2),2)</f>
        <v>104.99</v>
      </c>
      <c r="E2464" s="3">
        <f>ROUND(C2464*(1-Settings!$B$3),2)</f>
        <v>104.99</v>
      </c>
      <c r="F2464" s="2" t="inlineStr">
        <is>
          <t>Pokemon</t>
        </is>
      </c>
      <c r="G2464" s="2" t="inlineStr">
        <is>
          <t>Coffret</t>
        </is>
      </c>
      <c r="H2464" s="2" t="inlineStr">
        <is>
          <t>SWSH08: Fusion Strike</t>
        </is>
      </c>
      <c r="I2464" s="3" t="n"/>
      <c r="J2464" s="3" t="n">
        <v>151.5</v>
      </c>
      <c r="K2464" s="3" t="n">
        <v>149.99</v>
      </c>
      <c r="L2464" s="3" t="n">
        <v>147</v>
      </c>
      <c r="M2464" s="2" t="inlineStr">
        <is>
          <t>TCGplayer</t>
        </is>
      </c>
      <c r="O2464" s="4" t="inlineStr">
        <is>
          <t>https://www.tcgplayer.com/product/253455</t>
        </is>
      </c>
    </row>
    <row r="2465">
      <c r="A2465" s="2" t="inlineStr">
        <is>
          <t>Urshifu VMAX Premium Collection [Set of 2]</t>
        </is>
      </c>
      <c r="B2465" s="3">
        <f>IF(I2465&lt;&gt;"",I2465,IF(J2465&lt;&gt;"",J2465,IF(K2465&lt;&gt;"",K2465,L2465)))</f>
        <v>227.5</v>
      </c>
      <c r="C2465" s="3">
        <f>MEDIAN(I2465:L2465)</f>
        <v>243.0</v>
      </c>
      <c r="D2465" s="3">
        <f>ROUND(C2465*(1-Settings!$B$2),2)</f>
        <v>170.1</v>
      </c>
      <c r="E2465" s="3">
        <f>ROUND(C2465*(1-Settings!$B$3),2)</f>
        <v>170.1</v>
      </c>
      <c r="F2465" s="2" t="inlineStr">
        <is>
          <t>Pokemon</t>
        </is>
      </c>
      <c r="G2465" s="2" t="inlineStr">
        <is>
          <t>Coffret</t>
        </is>
      </c>
      <c r="H2465" s="2" t="inlineStr">
        <is>
          <t>SWSH08: Fusion Strike</t>
        </is>
      </c>
      <c r="I2465" s="3" t="n"/>
      <c r="J2465" s="3" t="n">
        <v>227.5</v>
      </c>
      <c r="K2465" s="3" t="n">
        <v>349.99</v>
      </c>
      <c r="L2465" s="3" t="n">
        <v>243</v>
      </c>
      <c r="M2465" s="2" t="inlineStr">
        <is>
          <t>TCGplayer</t>
        </is>
      </c>
      <c r="O2465" s="4" t="inlineStr">
        <is>
          <t>https://www.tcgplayer.com/product/283851</t>
        </is>
      </c>
    </row>
    <row r="2466">
      <c r="A2466" s="2" t="inlineStr">
        <is>
          <t>Arceus V Figure Collection</t>
        </is>
      </c>
      <c r="B2466" s="3">
        <f>IF(I2466&lt;&gt;"",I2466,IF(J2466&lt;&gt;"",J2466,IF(K2466&lt;&gt;"",K2466,L2466)))</f>
        <v>144.45</v>
      </c>
      <c r="C2466" s="3">
        <f>MEDIAN(I2466:L2466)</f>
        <v>146.485</v>
      </c>
      <c r="D2466" s="3">
        <f>ROUND(C2466*(1-Settings!$B$2),2)</f>
        <v>102.54</v>
      </c>
      <c r="E2466" s="3">
        <f>ROUND(C2466*(1-Settings!$B$3),2)</f>
        <v>102.54</v>
      </c>
      <c r="F2466" s="2" t="inlineStr">
        <is>
          <t>Pokemon</t>
        </is>
      </c>
      <c r="G2466" s="2" t="inlineStr">
        <is>
          <t>Coffret</t>
        </is>
      </c>
      <c r="H2466" s="2" t="inlineStr">
        <is>
          <t>SWSH09: Brilliant Stars</t>
        </is>
      </c>
      <c r="I2466" s="3" t="n">
        <v>144.45</v>
      </c>
      <c r="J2466" s="3" t="n">
        <v>148.52</v>
      </c>
      <c r="K2466" s="3" t="n">
        <v>152.9</v>
      </c>
      <c r="L2466" s="3" t="n">
        <v>139.96</v>
      </c>
      <c r="M2466" s="2" t="inlineStr">
        <is>
          <t>PriceCharting + TCGplayer</t>
        </is>
      </c>
      <c r="N2466" s="4" t="inlineStr">
        <is>
          <t>https://www.pricecharting.com/game/pokemon-brilliant-stars/arceus-v-figure-collection</t>
        </is>
      </c>
      <c r="O2466" s="4" t="inlineStr">
        <is>
          <t>https://www.tcgplayer.com/product/265251</t>
        </is>
      </c>
    </row>
    <row r="2467">
      <c r="A2467" s="2" t="inlineStr">
        <is>
          <t>Brilliant Stars Booster Pack Art Bundle [Set of 4]</t>
        </is>
      </c>
      <c r="B2467" s="3">
        <f>IF(I2467&lt;&gt;"",I2467,IF(J2467&lt;&gt;"",J2467,IF(K2467&lt;&gt;"",K2467,L2467)))</f>
        <v>60.64</v>
      </c>
      <c r="C2467" s="3">
        <f>MEDIAN(I2467:L2467)</f>
        <v>60.64</v>
      </c>
      <c r="D2467" s="3">
        <f>ROUND(C2467*(1-Settings!$B$2),2)</f>
        <v>42.45</v>
      </c>
      <c r="E2467" s="3">
        <f>ROUND(C2467*(1-Settings!$B$3),2)</f>
        <v>42.45</v>
      </c>
      <c r="F2467" s="2" t="inlineStr">
        <is>
          <t>Pokemon</t>
        </is>
      </c>
      <c r="G2467" s="2" t="inlineStr">
        <is>
          <t>Coffret</t>
        </is>
      </c>
      <c r="H2467" s="2" t="inlineStr">
        <is>
          <t>SWSH09: Brilliant Stars</t>
        </is>
      </c>
      <c r="I2467" s="3" t="n"/>
      <c r="J2467" s="3" t="n">
        <v>60.64</v>
      </c>
      <c r="K2467" s="3" t="n">
        <v>69.90000000000001</v>
      </c>
      <c r="L2467" s="3" t="n">
        <v>59.69</v>
      </c>
      <c r="M2467" s="2" t="inlineStr">
        <is>
          <t>TCGplayer</t>
        </is>
      </c>
      <c r="O2467" s="4" t="inlineStr">
        <is>
          <t>https://www.tcgplayer.com/product/256134</t>
        </is>
      </c>
    </row>
    <row r="2468">
      <c r="A2468" s="2" t="inlineStr">
        <is>
          <t>Brilliant Stars Build &amp; Battle Box</t>
        </is>
      </c>
      <c r="B2468" s="3">
        <f>IF(I2468&lt;&gt;"",I2468,IF(J2468&lt;&gt;"",J2468,IF(K2468&lt;&gt;"",K2468,L2468)))</f>
        <v>62.5</v>
      </c>
      <c r="C2468" s="3">
        <f>MEDIAN(I2468:L2468)</f>
        <v>62.915</v>
      </c>
      <c r="D2468" s="3">
        <f>ROUND(C2468*(1-Settings!$B$2),2)</f>
        <v>44.04</v>
      </c>
      <c r="E2468" s="3">
        <f>ROUND(C2468*(1-Settings!$B$3),2)</f>
        <v>44.04</v>
      </c>
      <c r="F2468" s="2" t="inlineStr">
        <is>
          <t>Pokemon</t>
        </is>
      </c>
      <c r="G2468" s="2" t="inlineStr">
        <is>
          <t>Coffret</t>
        </is>
      </c>
      <c r="H2468" s="2" t="inlineStr">
        <is>
          <t>SWSH09: Brilliant Stars</t>
        </is>
      </c>
      <c r="I2468" s="3" t="n">
        <v>62.5</v>
      </c>
      <c r="J2468" s="3" t="n">
        <v>63.33</v>
      </c>
      <c r="K2468" s="3" t="n">
        <v>72.44</v>
      </c>
      <c r="L2468" s="3" t="n">
        <v>16.99</v>
      </c>
      <c r="M2468" s="2" t="inlineStr">
        <is>
          <t>PriceCharting + TCGplayer</t>
        </is>
      </c>
      <c r="N2468" s="4" t="inlineStr">
        <is>
          <t>https://www.pricecharting.com/game/pokemon-brilliant-stars/build-&amp;-battle-box</t>
        </is>
      </c>
      <c r="O2468" s="4" t="inlineStr">
        <is>
          <t>https://www.tcgplayer.com/product/256137</t>
        </is>
      </c>
    </row>
    <row r="2469">
      <c r="A2469" s="2" t="inlineStr">
        <is>
          <t>Brilliant Stars Build &amp; Battle Stadium</t>
        </is>
      </c>
      <c r="B2469" s="3">
        <f>IF(I2469&lt;&gt;"",I2469,IF(J2469&lt;&gt;"",J2469,IF(K2469&lt;&gt;"",K2469,L2469)))</f>
        <v>175.0</v>
      </c>
      <c r="C2469" s="3">
        <f>MEDIAN(I2469:L2469)</f>
        <v>173.5</v>
      </c>
      <c r="D2469" s="3">
        <f>ROUND(C2469*(1-Settings!$B$2),2)</f>
        <v>121.45</v>
      </c>
      <c r="E2469" s="3">
        <f>ROUND(C2469*(1-Settings!$B$3),2)</f>
        <v>121.45</v>
      </c>
      <c r="F2469" s="2" t="inlineStr">
        <is>
          <t>Pokemon</t>
        </is>
      </c>
      <c r="G2469" s="2" t="inlineStr">
        <is>
          <t>Coffret</t>
        </is>
      </c>
      <c r="H2469" s="2" t="inlineStr">
        <is>
          <t>SWSH09: Brilliant Stars</t>
        </is>
      </c>
      <c r="I2469" s="3" t="n">
        <v>175</v>
      </c>
      <c r="J2469" s="3" t="n">
        <v>168.91</v>
      </c>
      <c r="K2469" s="3" t="n">
        <v>189.99</v>
      </c>
      <c r="L2469" s="3" t="n">
        <v>172</v>
      </c>
      <c r="M2469" s="2" t="inlineStr">
        <is>
          <t>PriceCharting + TCGplayer</t>
        </is>
      </c>
      <c r="N2469" s="4" t="inlineStr">
        <is>
          <t>https://www.pricecharting.com/game/pokemon-brilliant-stars/build-&amp;-battle-stadium</t>
        </is>
      </c>
      <c r="O2469" s="4" t="inlineStr">
        <is>
          <t>https://www.tcgplayer.com/product/256139</t>
        </is>
      </c>
    </row>
    <row r="2470">
      <c r="A2470" s="2" t="inlineStr">
        <is>
          <t>Brilliant Stars Elite Trainer Box</t>
        </is>
      </c>
      <c r="B2470" s="3">
        <f>IF(I2470&lt;&gt;"",I2470,IF(J2470&lt;&gt;"",J2470,IF(K2470&lt;&gt;"",K2470,L2470)))</f>
        <v>159.0</v>
      </c>
      <c r="C2470" s="3">
        <f>MEDIAN(I2470:L2470)</f>
        <v>162.815</v>
      </c>
      <c r="D2470" s="3">
        <f>ROUND(C2470*(1-Settings!$B$2),2)</f>
        <v>113.97</v>
      </c>
      <c r="E2470" s="3">
        <f>ROUND(C2470*(1-Settings!$B$3),2)</f>
        <v>113.97</v>
      </c>
      <c r="F2470" s="2" t="inlineStr">
        <is>
          <t>Pokemon</t>
        </is>
      </c>
      <c r="G2470" s="2" t="inlineStr">
        <is>
          <t>Coffret</t>
        </is>
      </c>
      <c r="H2470" s="2" t="inlineStr">
        <is>
          <t>SWSH09: Brilliant Stars</t>
        </is>
      </c>
      <c r="I2470" s="3" t="n">
        <v>159</v>
      </c>
      <c r="J2470" s="3" t="n">
        <v>164.98</v>
      </c>
      <c r="K2470" s="3" t="n">
        <v>194.24</v>
      </c>
      <c r="L2470" s="3" t="n">
        <v>160.65</v>
      </c>
      <c r="M2470" s="2" t="inlineStr">
        <is>
          <t>PriceCharting + TCGplayer</t>
        </is>
      </c>
      <c r="N2470" s="4" t="inlineStr">
        <is>
          <t>https://www.pricecharting.com/game/pokemon-brilliant-stars/elite-trainer-box</t>
        </is>
      </c>
      <c r="O2470" s="4" t="inlineStr">
        <is>
          <t>https://www.tcgplayer.com/product/256138</t>
        </is>
      </c>
    </row>
    <row r="2471">
      <c r="A2471" s="2" t="inlineStr">
        <is>
          <t>Brilliant Stars Pokemon Center Elite Trainer Box (Exclusive)</t>
        </is>
      </c>
      <c r="B2471" s="3">
        <f>IF(I2471&lt;&gt;"",I2471,IF(J2471&lt;&gt;"",J2471,IF(K2471&lt;&gt;"",K2471,L2471)))</f>
        <v>236.38</v>
      </c>
      <c r="C2471" s="3">
        <f>MEDIAN(I2471:L2471)</f>
        <v>236.38</v>
      </c>
      <c r="D2471" s="3">
        <f>ROUND(C2471*(1-Settings!$B$2),2)</f>
        <v>165.47</v>
      </c>
      <c r="E2471" s="3">
        <f>ROUND(C2471*(1-Settings!$B$3),2)</f>
        <v>165.47</v>
      </c>
      <c r="F2471" s="2" t="inlineStr">
        <is>
          <t>Pokemon</t>
        </is>
      </c>
      <c r="G2471" s="2" t="inlineStr">
        <is>
          <t>Coffret</t>
        </is>
      </c>
      <c r="H2471" s="2" t="inlineStr">
        <is>
          <t>SWSH09: Brilliant Stars</t>
        </is>
      </c>
      <c r="I2471" s="3" t="n"/>
      <c r="J2471" s="3" t="n">
        <v>236.38</v>
      </c>
      <c r="K2471" s="3" t="n">
        <v>289.44</v>
      </c>
      <c r="L2471" s="3" t="n">
        <v>230</v>
      </c>
      <c r="M2471" s="2" t="inlineStr">
        <is>
          <t>TCGplayer</t>
        </is>
      </c>
      <c r="O2471" s="4" t="inlineStr">
        <is>
          <t>https://www.tcgplayer.com/product/256140</t>
        </is>
      </c>
    </row>
    <row r="2472">
      <c r="A2472" s="2" t="inlineStr">
        <is>
          <t>Brilliant Stars Sleeved Booster Pack Art Bundle [Set of 4]</t>
        </is>
      </c>
      <c r="B2472" s="3">
        <f>IF(I2472&lt;&gt;"",I2472,IF(J2472&lt;&gt;"",J2472,IF(K2472&lt;&gt;"",K2472,L2472)))</f>
        <v>73.54</v>
      </c>
      <c r="C2472" s="3">
        <f>MEDIAN(I2472:L2472)</f>
        <v>72.49</v>
      </c>
      <c r="D2472" s="3">
        <f>ROUND(C2472*(1-Settings!$B$2),2)</f>
        <v>50.74</v>
      </c>
      <c r="E2472" s="3">
        <f>ROUND(C2472*(1-Settings!$B$3),2)</f>
        <v>50.74</v>
      </c>
      <c r="F2472" s="2" t="inlineStr">
        <is>
          <t>Pokemon</t>
        </is>
      </c>
      <c r="G2472" s="2" t="inlineStr">
        <is>
          <t>Coffret</t>
        </is>
      </c>
      <c r="H2472" s="2" t="inlineStr">
        <is>
          <t>SWSH09: Brilliant Stars</t>
        </is>
      </c>
      <c r="I2472" s="3" t="n"/>
      <c r="J2472" s="3" t="n">
        <v>73.54000000000001</v>
      </c>
      <c r="K2472" s="3" t="n">
        <v>72.48999999999999</v>
      </c>
      <c r="L2472" s="3" t="n">
        <v>70.26000000000001</v>
      </c>
      <c r="M2472" s="2" t="inlineStr">
        <is>
          <t>TCGplayer</t>
        </is>
      </c>
      <c r="O2472" s="4" t="inlineStr">
        <is>
          <t>https://www.tcgplayer.com/product/256135</t>
        </is>
      </c>
    </row>
    <row r="2473">
      <c r="A2473" s="2" t="inlineStr">
        <is>
          <t>Brilliant Stars Sleeved Booster Pack Bundle [Set of 8]</t>
        </is>
      </c>
      <c r="B2473" s="3">
        <f>IF(I2473&lt;&gt;"",I2473,IF(J2473&lt;&gt;"",J2473,IF(K2473&lt;&gt;"",K2473,L2473)))</f>
        <v>148.41</v>
      </c>
      <c r="C2473" s="3">
        <f>MEDIAN(I2473:L2473)</f>
        <v>156.87</v>
      </c>
      <c r="D2473" s="3">
        <f>ROUND(C2473*(1-Settings!$B$2),2)</f>
        <v>109.81</v>
      </c>
      <c r="E2473" s="3">
        <f>ROUND(C2473*(1-Settings!$B$3),2)</f>
        <v>109.81</v>
      </c>
      <c r="F2473" s="2" t="inlineStr">
        <is>
          <t>Pokemon</t>
        </is>
      </c>
      <c r="G2473" s="2" t="inlineStr">
        <is>
          <t>Coffret</t>
        </is>
      </c>
      <c r="H2473" s="2" t="inlineStr">
        <is>
          <t>SWSH09: Brilliant Stars</t>
        </is>
      </c>
      <c r="I2473" s="3" t="n"/>
      <c r="J2473" s="3" t="n">
        <v>148.41</v>
      </c>
      <c r="K2473" s="3" t="n">
        <v>156.88</v>
      </c>
      <c r="L2473" s="3" t="n">
        <v>156.87</v>
      </c>
      <c r="M2473" s="2" t="inlineStr">
        <is>
          <t>TCGplayer</t>
        </is>
      </c>
      <c r="O2473" s="4" t="inlineStr">
        <is>
          <t>https://www.tcgplayer.com/product/256136</t>
        </is>
      </c>
    </row>
    <row r="2474">
      <c r="A2474" s="2" t="inlineStr">
        <is>
          <t>Glaceon / Leafeon VSTAR Special Collection [Set of 2]</t>
        </is>
      </c>
      <c r="B2474" s="3">
        <f>IF(I2474&lt;&gt;"",I2474,IF(J2474&lt;&gt;"",J2474,IF(K2474&lt;&gt;"",K2474,L2474)))</f>
        <v>245.13</v>
      </c>
      <c r="C2474" s="3">
        <f>MEDIAN(I2474:L2474)</f>
        <v>299.97</v>
      </c>
      <c r="D2474" s="3">
        <f>ROUND(C2474*(1-Settings!$B$2),2)</f>
        <v>209.98</v>
      </c>
      <c r="E2474" s="3">
        <f>ROUND(C2474*(1-Settings!$B$3),2)</f>
        <v>209.98</v>
      </c>
      <c r="F2474" s="2" t="inlineStr">
        <is>
          <t>Pokemon</t>
        </is>
      </c>
      <c r="G2474" s="2" t="inlineStr">
        <is>
          <t>Coffret</t>
        </is>
      </c>
      <c r="H2474" s="2" t="inlineStr">
        <is>
          <t>SWSH09: Brilliant Stars</t>
        </is>
      </c>
      <c r="I2474" s="3" t="n"/>
      <c r="J2474" s="3" t="n">
        <v>245.13</v>
      </c>
      <c r="K2474" s="3" t="n">
        <v>299.99</v>
      </c>
      <c r="L2474" s="3" t="n">
        <v>299.97</v>
      </c>
      <c r="M2474" s="2" t="inlineStr">
        <is>
          <t>TCGplayer</t>
        </is>
      </c>
      <c r="O2474" s="4" t="inlineStr">
        <is>
          <t>https://www.tcgplayer.com/product/257375</t>
        </is>
      </c>
    </row>
    <row r="2475">
      <c r="A2475" s="2" t="inlineStr">
        <is>
          <t>Glaceon VSTAR Special Collection</t>
        </is>
      </c>
      <c r="B2475" s="3">
        <f>IF(I2475&lt;&gt;"",I2475,IF(J2475&lt;&gt;"",J2475,IF(K2475&lt;&gt;"",K2475,L2475)))</f>
        <v>155.53</v>
      </c>
      <c r="C2475" s="3">
        <f>MEDIAN(I2475:L2475)</f>
        <v>150.135</v>
      </c>
      <c r="D2475" s="3">
        <f>ROUND(C2475*(1-Settings!$B$2),2)</f>
        <v>105.09</v>
      </c>
      <c r="E2475" s="3">
        <f>ROUND(C2475*(1-Settings!$B$3),2)</f>
        <v>105.09</v>
      </c>
      <c r="F2475" s="2" t="inlineStr">
        <is>
          <t>Pokemon</t>
        </is>
      </c>
      <c r="G2475" s="2" t="inlineStr">
        <is>
          <t>Coffret</t>
        </is>
      </c>
      <c r="H2475" s="2" t="inlineStr">
        <is>
          <t>SWSH09: Brilliant Stars</t>
        </is>
      </c>
      <c r="I2475" s="3" t="n">
        <v>155.53</v>
      </c>
      <c r="J2475" s="3" t="n">
        <v>137.51</v>
      </c>
      <c r="K2475" s="3" t="n">
        <v>186.91</v>
      </c>
      <c r="L2475" s="3" t="n">
        <v>144.74</v>
      </c>
      <c r="M2475" s="2" t="inlineStr">
        <is>
          <t>PriceCharting + TCGplayer</t>
        </is>
      </c>
      <c r="N2475" s="4" t="inlineStr">
        <is>
          <t>https://www.pricecharting.com/game/pokemon-brilliant-stars/glaceon-vstar-special-collection</t>
        </is>
      </c>
      <c r="O2475" s="4" t="inlineStr">
        <is>
          <t>https://www.tcgplayer.com/product/256146</t>
        </is>
      </c>
    </row>
    <row r="2476">
      <c r="A2476" s="2" t="inlineStr">
        <is>
          <t>Leafeon VSTAR Special Collection</t>
        </is>
      </c>
      <c r="B2476" s="3">
        <f>IF(I2476&lt;&gt;"",I2476,IF(J2476&lt;&gt;"",J2476,IF(K2476&lt;&gt;"",K2476,L2476)))</f>
        <v>141.82</v>
      </c>
      <c r="C2476" s="3">
        <f>MEDIAN(I2476:L2476)</f>
        <v>135.405</v>
      </c>
      <c r="D2476" s="3">
        <f>ROUND(C2476*(1-Settings!$B$2),2)</f>
        <v>94.78</v>
      </c>
      <c r="E2476" s="3">
        <f>ROUND(C2476*(1-Settings!$B$3),2)</f>
        <v>94.78</v>
      </c>
      <c r="F2476" s="2" t="inlineStr">
        <is>
          <t>Pokemon</t>
        </is>
      </c>
      <c r="G2476" s="2" t="inlineStr">
        <is>
          <t>Coffret</t>
        </is>
      </c>
      <c r="H2476" s="2" t="inlineStr">
        <is>
          <t>SWSH09: Brilliant Stars</t>
        </is>
      </c>
      <c r="I2476" s="3" t="n">
        <v>141.82</v>
      </c>
      <c r="J2476" s="3" t="n">
        <v>123.86</v>
      </c>
      <c r="K2476" s="3" t="n">
        <v>149.47</v>
      </c>
      <c r="L2476" s="3" t="n">
        <v>128.99</v>
      </c>
      <c r="M2476" s="2" t="inlineStr">
        <is>
          <t>PriceCharting + TCGplayer</t>
        </is>
      </c>
      <c r="N2476" s="4" t="inlineStr">
        <is>
          <t>https://www.pricecharting.com/game/pokemon-brilliant-stars/leafeon-vstar-special-collection</t>
        </is>
      </c>
      <c r="O2476" s="4" t="inlineStr">
        <is>
          <t>https://www.tcgplayer.com/product/256147</t>
        </is>
      </c>
    </row>
    <row r="2477">
      <c r="A2477" s="2" t="inlineStr">
        <is>
          <t>Astral Radiance 3 Pack Hanger Box</t>
        </is>
      </c>
      <c r="B2477" s="3">
        <f>IF(I2477&lt;&gt;"",I2477,IF(J2477&lt;&gt;"",J2477,IF(K2477&lt;&gt;"",K2477,L2477)))</f>
        <v>42.5</v>
      </c>
      <c r="C2477" s="3">
        <f>MEDIAN(I2477:L2477)</f>
        <v>420.69</v>
      </c>
      <c r="D2477" s="3">
        <f>ROUND(C2477*(1-Settings!$B$2),2)</f>
        <v>294.48</v>
      </c>
      <c r="E2477" s="3">
        <f>ROUND(C2477*(1-Settings!$B$3),2)</f>
        <v>294.48</v>
      </c>
      <c r="F2477" s="2" t="inlineStr">
        <is>
          <t>Pokemon</t>
        </is>
      </c>
      <c r="G2477" s="2" t="inlineStr">
        <is>
          <t>Coffret</t>
        </is>
      </c>
      <c r="H2477" s="2" t="inlineStr">
        <is>
          <t>SWSH10: Astral Radiance</t>
        </is>
      </c>
      <c r="I2477" s="3" t="n"/>
      <c r="J2477" s="3" t="n">
        <v>42.5</v>
      </c>
      <c r="K2477" s="3" t="n">
        <v>420.69</v>
      </c>
      <c r="L2477" s="3" t="n">
        <v>420.69</v>
      </c>
      <c r="M2477" s="2" t="inlineStr">
        <is>
          <t>TCGplayer</t>
        </is>
      </c>
      <c r="O2477" s="4" t="inlineStr">
        <is>
          <t>https://www.tcgplayer.com/product/523959</t>
        </is>
      </c>
    </row>
    <row r="2478">
      <c r="A2478" s="2" t="inlineStr">
        <is>
          <t>Astral Radiance Booster Pack Art Bundle [Set of 5]</t>
        </is>
      </c>
      <c r="B2478" s="3">
        <f>IF(I2478&lt;&gt;"",I2478,IF(J2478&lt;&gt;"",J2478,IF(K2478&lt;&gt;"",K2478,L2478)))</f>
        <v>53.3</v>
      </c>
      <c r="C2478" s="3">
        <f>MEDIAN(I2478:L2478)</f>
        <v>53.3</v>
      </c>
      <c r="D2478" s="3">
        <f>ROUND(C2478*(1-Settings!$B$2),2)</f>
        <v>37.31</v>
      </c>
      <c r="E2478" s="3">
        <f>ROUND(C2478*(1-Settings!$B$3),2)</f>
        <v>37.31</v>
      </c>
      <c r="F2478" s="2" t="inlineStr">
        <is>
          <t>Pokemon</t>
        </is>
      </c>
      <c r="G2478" s="2" t="inlineStr">
        <is>
          <t>Coffret</t>
        </is>
      </c>
      <c r="H2478" s="2" t="inlineStr">
        <is>
          <t>SWSH10: Astral Radiance</t>
        </is>
      </c>
      <c r="I2478" s="3" t="n"/>
      <c r="J2478" s="3" t="n">
        <v>53.3</v>
      </c>
      <c r="K2478" s="3" t="n">
        <v>54.98</v>
      </c>
      <c r="L2478" s="3" t="n">
        <v>52</v>
      </c>
      <c r="M2478" s="2" t="inlineStr">
        <is>
          <t>TCGplayer</t>
        </is>
      </c>
      <c r="O2478" s="4" t="inlineStr">
        <is>
          <t>https://www.tcgplayer.com/product/265542</t>
        </is>
      </c>
    </row>
    <row r="2479">
      <c r="A2479" s="2" t="inlineStr">
        <is>
          <t>Astral Radiance Build &amp; Battle Box</t>
        </is>
      </c>
      <c r="B2479" s="3">
        <f>IF(I2479&lt;&gt;"",I2479,IF(J2479&lt;&gt;"",J2479,IF(K2479&lt;&gt;"",K2479,L2479)))</f>
        <v>44.09</v>
      </c>
      <c r="C2479" s="3">
        <f>MEDIAN(I2479:L2479)</f>
        <v>46.465</v>
      </c>
      <c r="D2479" s="3">
        <f>ROUND(C2479*(1-Settings!$B$2),2)</f>
        <v>32.53</v>
      </c>
      <c r="E2479" s="3">
        <f>ROUND(C2479*(1-Settings!$B$3),2)</f>
        <v>32.53</v>
      </c>
      <c r="F2479" s="2" t="inlineStr">
        <is>
          <t>Pokemon</t>
        </is>
      </c>
      <c r="G2479" s="2" t="inlineStr">
        <is>
          <t>Coffret</t>
        </is>
      </c>
      <c r="H2479" s="2" t="inlineStr">
        <is>
          <t>SWSH10: Astral Radiance</t>
        </is>
      </c>
      <c r="I2479" s="3" t="n">
        <v>44.09</v>
      </c>
      <c r="J2479" s="3" t="n">
        <v>47.43</v>
      </c>
      <c r="K2479" s="3" t="n">
        <v>51</v>
      </c>
      <c r="L2479" s="3" t="n">
        <v>45.5</v>
      </c>
      <c r="M2479" s="2" t="inlineStr">
        <is>
          <t>PriceCharting + TCGplayer</t>
        </is>
      </c>
      <c r="N2479" s="4" t="inlineStr">
        <is>
          <t>https://www.pricecharting.com/game/pokemon-astral-radiance/build-&amp;-battle-box</t>
        </is>
      </c>
      <c r="O2479" s="4" t="inlineStr">
        <is>
          <t>https://www.tcgplayer.com/product/265529</t>
        </is>
      </c>
    </row>
    <row r="2480">
      <c r="A2480" s="2" t="inlineStr">
        <is>
          <t>Astral Radiance Build &amp; Battle Stadium</t>
        </is>
      </c>
      <c r="B2480" s="3">
        <f>IF(I2480&lt;&gt;"",I2480,IF(J2480&lt;&gt;"",J2480,IF(K2480&lt;&gt;"",K2480,L2480)))</f>
        <v>119.99</v>
      </c>
      <c r="C2480" s="3">
        <f>MEDIAN(I2480:L2480)</f>
        <v>121.755</v>
      </c>
      <c r="D2480" s="3">
        <f>ROUND(C2480*(1-Settings!$B$2),2)</f>
        <v>85.23</v>
      </c>
      <c r="E2480" s="3">
        <f>ROUND(C2480*(1-Settings!$B$3),2)</f>
        <v>85.23</v>
      </c>
      <c r="F2480" s="2" t="inlineStr">
        <is>
          <t>Pokemon</t>
        </is>
      </c>
      <c r="G2480" s="2" t="inlineStr">
        <is>
          <t>Coffret</t>
        </is>
      </c>
      <c r="H2480" s="2" t="inlineStr">
        <is>
          <t>SWSH10: Astral Radiance</t>
        </is>
      </c>
      <c r="I2480" s="3" t="n">
        <v>119.99</v>
      </c>
      <c r="J2480" s="3" t="n">
        <v>123.52</v>
      </c>
      <c r="K2480" s="3" t="n">
        <v>155</v>
      </c>
      <c r="L2480" s="3" t="n">
        <v>119.8</v>
      </c>
      <c r="M2480" s="2" t="inlineStr">
        <is>
          <t>PriceCharting + TCGplayer</t>
        </is>
      </c>
      <c r="N2480" s="4" t="inlineStr">
        <is>
          <t>https://www.pricecharting.com/game/pokemon-astral-radiance/build-&amp;-battle-stadium</t>
        </is>
      </c>
      <c r="O2480" s="4" t="inlineStr">
        <is>
          <t>https://www.tcgplayer.com/product/265515</t>
        </is>
      </c>
    </row>
    <row r="2481">
      <c r="A2481" s="2" t="inlineStr">
        <is>
          <t>Astral Radiance Elite Trainer Box</t>
        </is>
      </c>
      <c r="B2481" s="3">
        <f>IF(I2481&lt;&gt;"",I2481,IF(J2481&lt;&gt;"",J2481,IF(K2481&lt;&gt;"",K2481,L2481)))</f>
        <v>131.98</v>
      </c>
      <c r="C2481" s="3">
        <f>MEDIAN(I2481:L2481)</f>
        <v>130.075</v>
      </c>
      <c r="D2481" s="3">
        <f>ROUND(C2481*(1-Settings!$B$2),2)</f>
        <v>91.05</v>
      </c>
      <c r="E2481" s="3">
        <f>ROUND(C2481*(1-Settings!$B$3),2)</f>
        <v>91.05</v>
      </c>
      <c r="F2481" s="2" t="inlineStr">
        <is>
          <t>Pokemon</t>
        </is>
      </c>
      <c r="G2481" s="2" t="inlineStr">
        <is>
          <t>Coffret</t>
        </is>
      </c>
      <c r="H2481" s="2" t="inlineStr">
        <is>
          <t>SWSH10: Astral Radiance</t>
        </is>
      </c>
      <c r="I2481" s="3" t="n">
        <v>131.98</v>
      </c>
      <c r="J2481" s="3" t="n">
        <v>128.17</v>
      </c>
      <c r="K2481" s="3" t="n">
        <v>159.97</v>
      </c>
      <c r="L2481" s="3" t="n">
        <v>121</v>
      </c>
      <c r="M2481" s="2" t="inlineStr">
        <is>
          <t>PriceCharting + TCGplayer</t>
        </is>
      </c>
      <c r="N2481" s="4" t="inlineStr">
        <is>
          <t>https://www.pricecharting.com/game/pokemon-astral-radiance/elite-trainer-box</t>
        </is>
      </c>
      <c r="O2481" s="4" t="inlineStr">
        <is>
          <t>https://www.tcgplayer.com/product/265527</t>
        </is>
      </c>
    </row>
    <row r="2482">
      <c r="A2482" s="2" t="inlineStr">
        <is>
          <t>Astral Radiance Pokemon Center Elite Trainer Box (Exclusive)</t>
        </is>
      </c>
      <c r="B2482" s="3">
        <f>IF(I2482&lt;&gt;"",I2482,IF(J2482&lt;&gt;"",J2482,IF(K2482&lt;&gt;"",K2482,L2482)))</f>
        <v>186.54</v>
      </c>
      <c r="C2482" s="3">
        <f>MEDIAN(I2482:L2482)</f>
        <v>186.54</v>
      </c>
      <c r="D2482" s="3">
        <f>ROUND(C2482*(1-Settings!$B$2),2)</f>
        <v>130.58</v>
      </c>
      <c r="E2482" s="3">
        <f>ROUND(C2482*(1-Settings!$B$3),2)</f>
        <v>130.58</v>
      </c>
      <c r="F2482" s="2" t="inlineStr">
        <is>
          <t>Pokemon</t>
        </is>
      </c>
      <c r="G2482" s="2" t="inlineStr">
        <is>
          <t>Coffret</t>
        </is>
      </c>
      <c r="H2482" s="2" t="inlineStr">
        <is>
          <t>SWSH10: Astral Radiance</t>
        </is>
      </c>
      <c r="I2482" s="3" t="n"/>
      <c r="J2482" s="3" t="n">
        <v>186.54</v>
      </c>
      <c r="K2482" s="3" t="n">
        <v>229.98</v>
      </c>
      <c r="L2482" s="3" t="n">
        <v>184</v>
      </c>
      <c r="M2482" s="2" t="inlineStr">
        <is>
          <t>TCGplayer</t>
        </is>
      </c>
      <c r="O2482" s="4" t="inlineStr">
        <is>
          <t>https://www.tcgplayer.com/product/265528</t>
        </is>
      </c>
    </row>
    <row r="2483">
      <c r="A2483" s="2" t="inlineStr">
        <is>
          <t>Astral Radiance Sleeved Booster Pack Art Bundle [Set of 5]</t>
        </is>
      </c>
      <c r="B2483" s="3">
        <f>IF(I2483&lt;&gt;"",I2483,IF(J2483&lt;&gt;"",J2483,IF(K2483&lt;&gt;"",K2483,L2483)))</f>
        <v>57.38</v>
      </c>
      <c r="C2483" s="3">
        <f>MEDIAN(I2483:L2483)</f>
        <v>71.89</v>
      </c>
      <c r="D2483" s="3">
        <f>ROUND(C2483*(1-Settings!$B$2),2)</f>
        <v>50.32</v>
      </c>
      <c r="E2483" s="3">
        <f>ROUND(C2483*(1-Settings!$B$3),2)</f>
        <v>50.32</v>
      </c>
      <c r="F2483" s="2" t="inlineStr">
        <is>
          <t>Pokemon</t>
        </is>
      </c>
      <c r="G2483" s="2" t="inlineStr">
        <is>
          <t>Coffret</t>
        </is>
      </c>
      <c r="H2483" s="2" t="inlineStr">
        <is>
          <t>SWSH10: Astral Radiance</t>
        </is>
      </c>
      <c r="I2483" s="3" t="n"/>
      <c r="J2483" s="3" t="n">
        <v>57.38</v>
      </c>
      <c r="K2483" s="3" t="n">
        <v>72</v>
      </c>
      <c r="L2483" s="3" t="n">
        <v>71.89</v>
      </c>
      <c r="M2483" s="2" t="inlineStr">
        <is>
          <t>TCGplayer</t>
        </is>
      </c>
      <c r="O2483" s="4" t="inlineStr">
        <is>
          <t>https://www.tcgplayer.com/product/265543</t>
        </is>
      </c>
    </row>
    <row r="2484">
      <c r="A2484" s="2" t="inlineStr">
        <is>
          <t>Heavy Hitters Premium Collection</t>
        </is>
      </c>
      <c r="B2484" s="3">
        <f>IF(I2484&lt;&gt;"",I2484,IF(J2484&lt;&gt;"",J2484,IF(K2484&lt;&gt;"",K2484,L2484)))</f>
        <v>292.14</v>
      </c>
      <c r="C2484" s="3">
        <f>MEDIAN(I2484:L2484)</f>
        <v>328.0</v>
      </c>
      <c r="D2484" s="3">
        <f>ROUND(C2484*(1-Settings!$B$2),2)</f>
        <v>229.6</v>
      </c>
      <c r="E2484" s="3">
        <f>ROUND(C2484*(1-Settings!$B$3),2)</f>
        <v>229.6</v>
      </c>
      <c r="F2484" s="2" t="inlineStr">
        <is>
          <t>Pokemon</t>
        </is>
      </c>
      <c r="G2484" s="2" t="inlineStr">
        <is>
          <t>Coffret</t>
        </is>
      </c>
      <c r="H2484" s="2" t="inlineStr">
        <is>
          <t>SWSH10: Astral Radiance</t>
        </is>
      </c>
      <c r="I2484" s="3" t="n"/>
      <c r="J2484" s="3" t="n">
        <v>292.14</v>
      </c>
      <c r="K2484" s="3" t="n">
        <v>387.5</v>
      </c>
      <c r="L2484" s="3" t="n">
        <v>328</v>
      </c>
      <c r="M2484" s="2" t="inlineStr">
        <is>
          <t>TCGplayer</t>
        </is>
      </c>
      <c r="O2484" s="4" t="inlineStr">
        <is>
          <t>https://www.tcgplayer.com/product/279598</t>
        </is>
      </c>
    </row>
    <row r="2485">
      <c r="A2485" s="2" t="inlineStr">
        <is>
          <t>Arceus VSTAR Premium Collection</t>
        </is>
      </c>
      <c r="B2485" s="3">
        <f>IF(I2485&lt;&gt;"",I2485,IF(J2485&lt;&gt;"",J2485,IF(K2485&lt;&gt;"",K2485,L2485)))</f>
        <v>305.24</v>
      </c>
      <c r="C2485" s="3">
        <f>MEDIAN(I2485:L2485)</f>
        <v>305.24</v>
      </c>
      <c r="D2485" s="3">
        <f>ROUND(C2485*(1-Settings!$B$2),2)</f>
        <v>213.67</v>
      </c>
      <c r="E2485" s="3">
        <f>ROUND(C2485*(1-Settings!$B$3),2)</f>
        <v>213.67</v>
      </c>
      <c r="F2485" s="2" t="inlineStr">
        <is>
          <t>Pokemon</t>
        </is>
      </c>
      <c r="G2485" s="2" t="inlineStr">
        <is>
          <t>Coffret</t>
        </is>
      </c>
      <c r="H2485" s="2" t="inlineStr">
        <is>
          <t>SWSH11: Lost Origin</t>
        </is>
      </c>
      <c r="I2485" s="3" t="n"/>
      <c r="J2485" s="3" t="n">
        <v>305.24</v>
      </c>
      <c r="K2485" s="3" t="n">
        <v>329.99</v>
      </c>
      <c r="L2485" s="3" t="n">
        <v>249.99</v>
      </c>
      <c r="M2485" s="2" t="inlineStr">
        <is>
          <t>TCGplayer</t>
        </is>
      </c>
      <c r="O2485" s="4" t="inlineStr">
        <is>
          <t>https://www.tcgplayer.com/product/283325</t>
        </is>
      </c>
    </row>
    <row r="2486">
      <c r="A2486" s="2" t="inlineStr">
        <is>
          <t>Arceus VSTAR Ultra-Premium Collection</t>
        </is>
      </c>
      <c r="B2486" s="3">
        <f>IF(I2486&lt;&gt;"",I2486,IF(J2486&lt;&gt;"",J2486,IF(K2486&lt;&gt;"",K2486,L2486)))</f>
        <v>379.04</v>
      </c>
      <c r="C2486" s="3">
        <f>MEDIAN(I2486:L2486)</f>
        <v>379.04</v>
      </c>
      <c r="D2486" s="3">
        <f>ROUND(C2486*(1-Settings!$B$2),2)</f>
        <v>265.33</v>
      </c>
      <c r="E2486" s="3">
        <f>ROUND(C2486*(1-Settings!$B$3),2)</f>
        <v>265.33</v>
      </c>
      <c r="F2486" s="2" t="inlineStr">
        <is>
          <t>Pokemon</t>
        </is>
      </c>
      <c r="G2486" s="2" t="inlineStr">
        <is>
          <t>Coffret</t>
        </is>
      </c>
      <c r="H2486" s="2" t="inlineStr">
        <is>
          <t>SWSH11: Lost Origin</t>
        </is>
      </c>
      <c r="I2486" s="3" t="n"/>
      <c r="J2486" s="3" t="n">
        <v>379.04</v>
      </c>
      <c r="K2486" s="3" t="n">
        <v>400</v>
      </c>
      <c r="L2486" s="3" t="n">
        <v>367.9</v>
      </c>
      <c r="M2486" s="2" t="inlineStr">
        <is>
          <t>TCGplayer</t>
        </is>
      </c>
      <c r="O2486" s="4" t="inlineStr">
        <is>
          <t>https://www.tcgplayer.com/product/285674</t>
        </is>
      </c>
    </row>
    <row r="2487">
      <c r="A2487" s="2" t="inlineStr">
        <is>
          <t>Hisuian Zoroark VSTAR Premium Collection</t>
        </is>
      </c>
      <c r="B2487" s="3">
        <f>IF(I2487&lt;&gt;"",I2487,IF(J2487&lt;&gt;"",J2487,IF(K2487&lt;&gt;"",K2487,L2487)))</f>
        <v>167.86</v>
      </c>
      <c r="C2487" s="3">
        <f>MEDIAN(I2487:L2487)</f>
        <v>167.86</v>
      </c>
      <c r="D2487" s="3">
        <f>ROUND(C2487*(1-Settings!$B$2),2)</f>
        <v>117.5</v>
      </c>
      <c r="E2487" s="3">
        <f>ROUND(C2487*(1-Settings!$B$3),2)</f>
        <v>117.5</v>
      </c>
      <c r="F2487" s="2" t="inlineStr">
        <is>
          <t>Pokemon</t>
        </is>
      </c>
      <c r="G2487" s="2" t="inlineStr">
        <is>
          <t>Coffret</t>
        </is>
      </c>
      <c r="H2487" s="2" t="inlineStr">
        <is>
          <t>SWSH11: Lost Origin</t>
        </is>
      </c>
      <c r="I2487" s="3" t="n"/>
      <c r="J2487" s="3" t="n">
        <v>167.86</v>
      </c>
      <c r="K2487" s="3" t="n">
        <v>229.49</v>
      </c>
      <c r="L2487" s="3" t="n">
        <v>2</v>
      </c>
      <c r="M2487" s="2" t="inlineStr">
        <is>
          <t>TCGplayer</t>
        </is>
      </c>
      <c r="O2487" s="4" t="inlineStr">
        <is>
          <t>https://www.tcgplayer.com/product/282402</t>
        </is>
      </c>
    </row>
    <row r="2488">
      <c r="A2488" s="2" t="inlineStr">
        <is>
          <t>Hisuian Zoroark VSTAR Premium Collection (International Version)</t>
        </is>
      </c>
      <c r="B2488" s="3">
        <f>IF(I2488&lt;&gt;"",I2488,IF(J2488&lt;&gt;"",J2488,IF(K2488&lt;&gt;"",K2488,L2488)))</f>
        <v>102.16</v>
      </c>
      <c r="C2488" s="3">
        <f>MEDIAN(I2488:L2488)</f>
        <v>129.0</v>
      </c>
      <c r="D2488" s="3">
        <f>ROUND(C2488*(1-Settings!$B$2),2)</f>
        <v>90.3</v>
      </c>
      <c r="E2488" s="3">
        <f>ROUND(C2488*(1-Settings!$B$3),2)</f>
        <v>90.3</v>
      </c>
      <c r="F2488" s="2" t="inlineStr">
        <is>
          <t>Pokemon</t>
        </is>
      </c>
      <c r="G2488" s="2" t="inlineStr">
        <is>
          <t>Coffret</t>
        </is>
      </c>
      <c r="H2488" s="2" t="inlineStr">
        <is>
          <t>SWSH11: Lost Origin</t>
        </is>
      </c>
      <c r="I2488" s="3" t="n"/>
      <c r="J2488" s="3" t="n">
        <v>102.16</v>
      </c>
      <c r="K2488" s="3" t="n">
        <v>152.5</v>
      </c>
      <c r="L2488" s="3" t="n">
        <v>129</v>
      </c>
      <c r="M2488" s="2" t="inlineStr">
        <is>
          <t>TCGplayer</t>
        </is>
      </c>
      <c r="O2488" s="4" t="inlineStr">
        <is>
          <t>https://www.tcgplayer.com/product/637417</t>
        </is>
      </c>
    </row>
    <row r="2489">
      <c r="A2489" s="2" t="inlineStr">
        <is>
          <t>Lost Origin Booster Bundle</t>
        </is>
      </c>
      <c r="B2489" s="3">
        <f>IF(I2489&lt;&gt;"",I2489,IF(J2489&lt;&gt;"",J2489,IF(K2489&lt;&gt;"",K2489,L2489)))</f>
        <v>159.29</v>
      </c>
      <c r="C2489" s="3">
        <f>MEDIAN(I2489:L2489)</f>
        <v>192.24</v>
      </c>
      <c r="D2489" s="3">
        <f>ROUND(C2489*(1-Settings!$B$2),2)</f>
        <v>134.57</v>
      </c>
      <c r="E2489" s="3">
        <f>ROUND(C2489*(1-Settings!$B$3),2)</f>
        <v>134.57</v>
      </c>
      <c r="F2489" s="2" t="inlineStr">
        <is>
          <t>Pokemon</t>
        </is>
      </c>
      <c r="G2489" s="2" t="inlineStr">
        <is>
          <t>Coffret</t>
        </is>
      </c>
      <c r="H2489" s="2" t="inlineStr">
        <is>
          <t>SWSH11: Lost Origin</t>
        </is>
      </c>
      <c r="I2489" s="3" t="n">
        <v>159.29</v>
      </c>
      <c r="J2489" s="3" t="n">
        <v>202.3</v>
      </c>
      <c r="K2489" s="3" t="n">
        <v>199.48</v>
      </c>
      <c r="L2489" s="3" t="n">
        <v>185</v>
      </c>
      <c r="M2489" s="2" t="inlineStr">
        <is>
          <t>PriceCharting + TCGplayer</t>
        </is>
      </c>
      <c r="N2489" s="4" t="inlineStr">
        <is>
          <t>https://www.pricecharting.com/game/pokemon-lost-origin/booster-bundle</t>
        </is>
      </c>
      <c r="O2489" s="4" t="inlineStr">
        <is>
          <t>https://www.tcgplayer.com/product/278819</t>
        </is>
      </c>
    </row>
    <row r="2490">
      <c r="A2490" s="2" t="inlineStr">
        <is>
          <t>Lost Origin Booster Pack Art Bundle [Set of 4]</t>
        </is>
      </c>
      <c r="B2490" s="3">
        <f>IF(I2490&lt;&gt;"",I2490,IF(J2490&lt;&gt;"",J2490,IF(K2490&lt;&gt;"",K2490,L2490)))</f>
        <v>77.3</v>
      </c>
      <c r="C2490" s="3">
        <f>MEDIAN(I2490:L2490)</f>
        <v>77.3</v>
      </c>
      <c r="D2490" s="3">
        <f>ROUND(C2490*(1-Settings!$B$2),2)</f>
        <v>54.11</v>
      </c>
      <c r="E2490" s="3">
        <f>ROUND(C2490*(1-Settings!$B$3),2)</f>
        <v>54.11</v>
      </c>
      <c r="F2490" s="2" t="inlineStr">
        <is>
          <t>Pokemon</t>
        </is>
      </c>
      <c r="G2490" s="2" t="inlineStr">
        <is>
          <t>Coffret</t>
        </is>
      </c>
      <c r="H2490" s="2" t="inlineStr">
        <is>
          <t>SWSH11: Lost Origin</t>
        </is>
      </c>
      <c r="I2490" s="3" t="n"/>
      <c r="J2490" s="3" t="n">
        <v>77.3</v>
      </c>
      <c r="K2490" s="3" t="n">
        <v>77.98</v>
      </c>
      <c r="L2490" s="3" t="n">
        <v>69.98999999999999</v>
      </c>
      <c r="M2490" s="2" t="inlineStr">
        <is>
          <t>TCGplayer</t>
        </is>
      </c>
      <c r="O2490" s="4" t="inlineStr">
        <is>
          <t>https://www.tcgplayer.com/product/278794</t>
        </is>
      </c>
    </row>
    <row r="2491">
      <c r="A2491" s="2" t="inlineStr">
        <is>
          <t>Lost Origin Build &amp; Battle Box</t>
        </is>
      </c>
      <c r="B2491" s="3">
        <f>IF(I2491&lt;&gt;"",I2491,IF(J2491&lt;&gt;"",J2491,IF(K2491&lt;&gt;"",K2491,L2491)))</f>
        <v>93.98</v>
      </c>
      <c r="C2491" s="3">
        <f>MEDIAN(I2491:L2491)</f>
        <v>93.735</v>
      </c>
      <c r="D2491" s="3">
        <f>ROUND(C2491*(1-Settings!$B$2),2)</f>
        <v>65.61</v>
      </c>
      <c r="E2491" s="3">
        <f>ROUND(C2491*(1-Settings!$B$3),2)</f>
        <v>65.61</v>
      </c>
      <c r="F2491" s="2" t="inlineStr">
        <is>
          <t>Pokemon</t>
        </is>
      </c>
      <c r="G2491" s="2" t="inlineStr">
        <is>
          <t>Coffret</t>
        </is>
      </c>
      <c r="H2491" s="2" t="inlineStr">
        <is>
          <t>SWSH11: Lost Origin</t>
        </is>
      </c>
      <c r="I2491" s="3" t="n">
        <v>93.98</v>
      </c>
      <c r="J2491" s="3" t="n">
        <v>82.59</v>
      </c>
      <c r="K2491" s="3" t="n">
        <v>108</v>
      </c>
      <c r="L2491" s="3" t="n">
        <v>93.48999999999999</v>
      </c>
      <c r="M2491" s="2" t="inlineStr">
        <is>
          <t>PriceCharting + TCGplayer</t>
        </is>
      </c>
      <c r="N2491" s="4" t="inlineStr">
        <is>
          <t>https://www.pricecharting.com/game/pokemon-lost-origin/build-&amp;-battle-box</t>
        </is>
      </c>
      <c r="O2491" s="4" t="inlineStr">
        <is>
          <t>https://www.tcgplayer.com/product/277345</t>
        </is>
      </c>
    </row>
    <row r="2492">
      <c r="A2492" s="2" t="inlineStr">
        <is>
          <t>Lost Origin Build &amp; Battle Stadium</t>
        </is>
      </c>
      <c r="B2492" s="3">
        <f>IF(I2492&lt;&gt;"",I2492,IF(J2492&lt;&gt;"",J2492,IF(K2492&lt;&gt;"",K2492,L2492)))</f>
        <v>226.73</v>
      </c>
      <c r="C2492" s="3">
        <f>MEDIAN(I2492:L2492)</f>
        <v>238.365</v>
      </c>
      <c r="D2492" s="3">
        <f>ROUND(C2492*(1-Settings!$B$2),2)</f>
        <v>166.86</v>
      </c>
      <c r="E2492" s="3">
        <f>ROUND(C2492*(1-Settings!$B$3),2)</f>
        <v>166.86</v>
      </c>
      <c r="F2492" s="2" t="inlineStr">
        <is>
          <t>Pokemon</t>
        </is>
      </c>
      <c r="G2492" s="2" t="inlineStr">
        <is>
          <t>Coffret</t>
        </is>
      </c>
      <c r="H2492" s="2" t="inlineStr">
        <is>
          <t>SWSH11: Lost Origin</t>
        </is>
      </c>
      <c r="I2492" s="3" t="n">
        <v>226.73</v>
      </c>
      <c r="J2492" s="3" t="n">
        <v>226.2</v>
      </c>
      <c r="K2492" s="3" t="n">
        <v>250</v>
      </c>
      <c r="L2492" s="3" t="n">
        <v>250</v>
      </c>
      <c r="M2492" s="2" t="inlineStr">
        <is>
          <t>PriceCharting + TCGplayer</t>
        </is>
      </c>
      <c r="N2492" s="4" t="inlineStr">
        <is>
          <t>https://www.pricecharting.com/game/pokemon-lost-origin/build-&amp;-battle-stadium</t>
        </is>
      </c>
      <c r="O2492" s="4" t="inlineStr">
        <is>
          <t>https://www.tcgplayer.com/product/277346</t>
        </is>
      </c>
    </row>
    <row r="2493">
      <c r="A2493" s="2" t="inlineStr">
        <is>
          <t>Lost Origin Elite Trainer Box</t>
        </is>
      </c>
      <c r="B2493" s="3">
        <f>IF(I2493&lt;&gt;"",I2493,IF(J2493&lt;&gt;"",J2493,IF(K2493&lt;&gt;"",K2493,L2493)))</f>
        <v>195.98</v>
      </c>
      <c r="C2493" s="3">
        <f>MEDIAN(I2493:L2493)</f>
        <v>195.79</v>
      </c>
      <c r="D2493" s="3">
        <f>ROUND(C2493*(1-Settings!$B$2),2)</f>
        <v>137.05</v>
      </c>
      <c r="E2493" s="3">
        <f>ROUND(C2493*(1-Settings!$B$3),2)</f>
        <v>137.05</v>
      </c>
      <c r="F2493" s="2" t="inlineStr">
        <is>
          <t>Pokemon</t>
        </is>
      </c>
      <c r="G2493" s="2" t="inlineStr">
        <is>
          <t>Coffret</t>
        </is>
      </c>
      <c r="H2493" s="2" t="inlineStr">
        <is>
          <t>SWSH11: Lost Origin</t>
        </is>
      </c>
      <c r="I2493" s="3" t="n">
        <v>195.98</v>
      </c>
      <c r="J2493" s="3" t="n">
        <v>195.6</v>
      </c>
      <c r="K2493" s="3" t="n">
        <v>234.56</v>
      </c>
      <c r="L2493" s="3" t="n">
        <v>194.98</v>
      </c>
      <c r="M2493" s="2" t="inlineStr">
        <is>
          <t>PriceCharting + TCGplayer</t>
        </is>
      </c>
      <c r="N2493" s="4" t="inlineStr">
        <is>
          <t>https://www.pricecharting.com/game/pokemon-lost-origin/elite-trainer-box</t>
        </is>
      </c>
      <c r="O2493" s="4" t="inlineStr">
        <is>
          <t>https://www.tcgplayer.com/product/277335</t>
        </is>
      </c>
    </row>
    <row r="2494">
      <c r="A2494" s="2" t="inlineStr">
        <is>
          <t>Lost Origin Pokemon Center Elite Trainer Box (Exclusive)</t>
        </is>
      </c>
      <c r="B2494" s="3">
        <f>IF(I2494&lt;&gt;"",I2494,IF(J2494&lt;&gt;"",J2494,IF(K2494&lt;&gt;"",K2494,L2494)))</f>
        <v>376.96</v>
      </c>
      <c r="C2494" s="3">
        <f>MEDIAN(I2494:L2494)</f>
        <v>376.96</v>
      </c>
      <c r="D2494" s="3">
        <f>ROUND(C2494*(1-Settings!$B$2),2)</f>
        <v>263.87</v>
      </c>
      <c r="E2494" s="3">
        <f>ROUND(C2494*(1-Settings!$B$3),2)</f>
        <v>263.87</v>
      </c>
      <c r="F2494" s="2" t="inlineStr">
        <is>
          <t>Pokemon</t>
        </is>
      </c>
      <c r="G2494" s="2" t="inlineStr">
        <is>
          <t>Coffret</t>
        </is>
      </c>
      <c r="H2494" s="2" t="inlineStr">
        <is>
          <t>SWSH11: Lost Origin</t>
        </is>
      </c>
      <c r="I2494" s="3" t="n"/>
      <c r="J2494" s="3" t="n">
        <v>376.96</v>
      </c>
      <c r="K2494" s="3" t="n">
        <v>414.88</v>
      </c>
      <c r="L2494" s="3" t="n">
        <v>355</v>
      </c>
      <c r="M2494" s="2" t="inlineStr">
        <is>
          <t>TCGplayer</t>
        </is>
      </c>
      <c r="O2494" s="4" t="inlineStr">
        <is>
          <t>https://www.tcgplayer.com/product/277336</t>
        </is>
      </c>
    </row>
    <row r="2495">
      <c r="A2495" s="2" t="inlineStr">
        <is>
          <t>Lost Origin Sleeved Booster Pack Art Bundle [Set of 4]</t>
        </is>
      </c>
      <c r="B2495" s="3">
        <f>IF(I2495&lt;&gt;"",I2495,IF(J2495&lt;&gt;"",J2495,IF(K2495&lt;&gt;"",K2495,L2495)))</f>
        <v>85.37</v>
      </c>
      <c r="C2495" s="3">
        <f>MEDIAN(I2495:L2495)</f>
        <v>85.37</v>
      </c>
      <c r="D2495" s="3">
        <f>ROUND(C2495*(1-Settings!$B$2),2)</f>
        <v>59.76</v>
      </c>
      <c r="E2495" s="3">
        <f>ROUND(C2495*(1-Settings!$B$3),2)</f>
        <v>59.76</v>
      </c>
      <c r="F2495" s="2" t="inlineStr">
        <is>
          <t>Pokemon</t>
        </is>
      </c>
      <c r="G2495" s="2" t="inlineStr">
        <is>
          <t>Coffret</t>
        </is>
      </c>
      <c r="H2495" s="2" t="inlineStr">
        <is>
          <t>SWSH11: Lost Origin</t>
        </is>
      </c>
      <c r="I2495" s="3" t="n"/>
      <c r="J2495" s="3" t="n">
        <v>85.37</v>
      </c>
      <c r="K2495" s="3" t="n">
        <v>97.47</v>
      </c>
      <c r="L2495" s="3" t="n">
        <v>84.56</v>
      </c>
      <c r="M2495" s="2" t="inlineStr">
        <is>
          <t>TCGplayer</t>
        </is>
      </c>
      <c r="O2495" s="4" t="inlineStr">
        <is>
          <t>https://www.tcgplayer.com/product/278801</t>
        </is>
      </c>
    </row>
    <row r="2496">
      <c r="A2496" s="2" t="inlineStr">
        <is>
          <t>Lost Origin Sleeved Booster Pack Bundle [Set of 8]</t>
        </is>
      </c>
      <c r="B2496" s="3">
        <f>IF(I2496&lt;&gt;"",I2496,IF(J2496&lt;&gt;"",J2496,IF(K2496&lt;&gt;"",K2496,L2496)))</f>
        <v>154.71</v>
      </c>
      <c r="C2496" s="3">
        <f>MEDIAN(I2496:L2496)</f>
        <v>184.87</v>
      </c>
      <c r="D2496" s="3">
        <f>ROUND(C2496*(1-Settings!$B$2),2)</f>
        <v>129.41</v>
      </c>
      <c r="E2496" s="3">
        <f>ROUND(C2496*(1-Settings!$B$3),2)</f>
        <v>129.41</v>
      </c>
      <c r="F2496" s="2" t="inlineStr">
        <is>
          <t>Pokemon</t>
        </is>
      </c>
      <c r="G2496" s="2" t="inlineStr">
        <is>
          <t>Coffret</t>
        </is>
      </c>
      <c r="H2496" s="2" t="inlineStr">
        <is>
          <t>SWSH11: Lost Origin</t>
        </is>
      </c>
      <c r="I2496" s="3" t="n"/>
      <c r="J2496" s="3" t="n">
        <v>154.71</v>
      </c>
      <c r="K2496" s="3" t="n">
        <v>184.99</v>
      </c>
      <c r="L2496" s="3" t="n">
        <v>184.87</v>
      </c>
      <c r="M2496" s="2" t="inlineStr">
        <is>
          <t>TCGplayer</t>
        </is>
      </c>
      <c r="O2496" s="4" t="inlineStr">
        <is>
          <t>https://www.tcgplayer.com/product/278804</t>
        </is>
      </c>
    </row>
    <row r="2497">
      <c r="A2497" s="2" t="inlineStr">
        <is>
          <t>Origin Forme Dialga VSTAR Premium Collection</t>
        </is>
      </c>
      <c r="B2497" s="3">
        <f>IF(I2497&lt;&gt;"",I2497,IF(J2497&lt;&gt;"",J2497,IF(K2497&lt;&gt;"",K2497,L2497)))</f>
        <v>122.43</v>
      </c>
      <c r="C2497" s="3">
        <f>MEDIAN(I2497:L2497)</f>
        <v>167.98</v>
      </c>
      <c r="D2497" s="3">
        <f>ROUND(C2497*(1-Settings!$B$2),2)</f>
        <v>117.59</v>
      </c>
      <c r="E2497" s="3">
        <f>ROUND(C2497*(1-Settings!$B$3),2)</f>
        <v>117.59</v>
      </c>
      <c r="F2497" s="2" t="inlineStr">
        <is>
          <t>Pokemon</t>
        </is>
      </c>
      <c r="G2497" s="2" t="inlineStr">
        <is>
          <t>Coffret</t>
        </is>
      </c>
      <c r="H2497" s="2" t="inlineStr">
        <is>
          <t>SWSH11: Lost Origin</t>
        </is>
      </c>
      <c r="I2497" s="3" t="n"/>
      <c r="J2497" s="3" t="n">
        <v>122.43</v>
      </c>
      <c r="K2497" s="3" t="n">
        <v>179.99</v>
      </c>
      <c r="L2497" s="3" t="n">
        <v>167.98</v>
      </c>
      <c r="M2497" s="2" t="inlineStr">
        <is>
          <t>TCGplayer</t>
        </is>
      </c>
      <c r="O2497" s="4" t="inlineStr">
        <is>
          <t>https://www.tcgplayer.com/product/282000</t>
        </is>
      </c>
    </row>
    <row r="2498">
      <c r="A2498" s="2" t="inlineStr">
        <is>
          <t>Origin Forme Dialga/Palkia VSTAR Premium Collection [Set of 2]</t>
        </is>
      </c>
      <c r="B2498" s="3">
        <f>IF(I2498&lt;&gt;"",I2498,IF(J2498&lt;&gt;"",J2498,IF(K2498&lt;&gt;"",K2498,L2498)))</f>
        <v>221.01</v>
      </c>
      <c r="C2498" s="3">
        <f>MEDIAN(I2498:L2498)</f>
        <v>350.0</v>
      </c>
      <c r="D2498" s="3">
        <f>ROUND(C2498*(1-Settings!$B$2),2)</f>
        <v>245.0</v>
      </c>
      <c r="E2498" s="3">
        <f>ROUND(C2498*(1-Settings!$B$3),2)</f>
        <v>245.0</v>
      </c>
      <c r="F2498" s="2" t="inlineStr">
        <is>
          <t>Pokemon</t>
        </is>
      </c>
      <c r="G2498" s="2" t="inlineStr">
        <is>
          <t>Coffret</t>
        </is>
      </c>
      <c r="H2498" s="2" t="inlineStr">
        <is>
          <t>SWSH11: Lost Origin</t>
        </is>
      </c>
      <c r="I2498" s="3" t="n"/>
      <c r="J2498" s="3" t="n">
        <v>221.01</v>
      </c>
      <c r="K2498" s="3" t="n">
        <v>350</v>
      </c>
      <c r="L2498" s="3" t="n">
        <v>350</v>
      </c>
      <c r="M2498" s="2" t="inlineStr">
        <is>
          <t>TCGplayer</t>
        </is>
      </c>
      <c r="O2498" s="4" t="inlineStr">
        <is>
          <t>https://www.tcgplayer.com/product/282005</t>
        </is>
      </c>
    </row>
    <row r="2499">
      <c r="A2499" s="2" t="inlineStr">
        <is>
          <t>Pokemon Stacking Tin: Darkness</t>
        </is>
      </c>
      <c r="B2499" s="3">
        <f>IF(I2499&lt;&gt;"",I2499,IF(J2499&lt;&gt;"",J2499,IF(K2499&lt;&gt;"",K2499,L2499)))</f>
        <v>51.25</v>
      </c>
      <c r="C2499" s="3">
        <f>MEDIAN(I2499:L2499)</f>
        <v>50.58</v>
      </c>
      <c r="D2499" s="3">
        <f>ROUND(C2499*(1-Settings!$B$2),2)</f>
        <v>35.41</v>
      </c>
      <c r="E2499" s="3">
        <f>ROUND(C2499*(1-Settings!$B$3),2)</f>
        <v>35.41</v>
      </c>
      <c r="F2499" s="2" t="inlineStr">
        <is>
          <t>Pokemon</t>
        </is>
      </c>
      <c r="G2499" s="2" t="inlineStr">
        <is>
          <t>Coffret</t>
        </is>
      </c>
      <c r="H2499" s="2" t="inlineStr">
        <is>
          <t>SWSH11: Lost Origin</t>
        </is>
      </c>
      <c r="I2499" s="3" t="n"/>
      <c r="J2499" s="3" t="n">
        <v>51.25</v>
      </c>
      <c r="K2499" s="3" t="n">
        <v>50.58</v>
      </c>
      <c r="L2499" s="3" t="n">
        <v>49.9</v>
      </c>
      <c r="M2499" s="2" t="inlineStr">
        <is>
          <t>TCGplayer</t>
        </is>
      </c>
      <c r="O2499" s="4" t="inlineStr">
        <is>
          <t>https://www.tcgplayer.com/product/282405</t>
        </is>
      </c>
    </row>
    <row r="2500">
      <c r="A2500" s="2" t="inlineStr">
        <is>
          <t>Pokemon Stacking Tin: Fire</t>
        </is>
      </c>
      <c r="B2500" s="3">
        <f>IF(I2500&lt;&gt;"",I2500,IF(J2500&lt;&gt;"",J2500,IF(K2500&lt;&gt;"",K2500,L2500)))</f>
        <v>51.81</v>
      </c>
      <c r="C2500" s="3">
        <f>MEDIAN(I2500:L2500)</f>
        <v>64.74</v>
      </c>
      <c r="D2500" s="3">
        <f>ROUND(C2500*(1-Settings!$B$2),2)</f>
        <v>45.32</v>
      </c>
      <c r="E2500" s="3">
        <f>ROUND(C2500*(1-Settings!$B$3),2)</f>
        <v>45.32</v>
      </c>
      <c r="F2500" s="2" t="inlineStr">
        <is>
          <t>Pokemon</t>
        </is>
      </c>
      <c r="G2500" s="2" t="inlineStr">
        <is>
          <t>Coffret</t>
        </is>
      </c>
      <c r="H2500" s="2" t="inlineStr">
        <is>
          <t>SWSH11: Lost Origin</t>
        </is>
      </c>
      <c r="I2500" s="3" t="n"/>
      <c r="J2500" s="3" t="n">
        <v>51.81</v>
      </c>
      <c r="K2500" s="3" t="n">
        <v>64.98999999999999</v>
      </c>
      <c r="L2500" s="3" t="n">
        <v>64.73999999999999</v>
      </c>
      <c r="M2500" s="2" t="inlineStr">
        <is>
          <t>TCGplayer</t>
        </is>
      </c>
      <c r="O2500" s="4" t="inlineStr">
        <is>
          <t>https://www.tcgplayer.com/product/282404</t>
        </is>
      </c>
    </row>
    <row r="2501">
      <c r="A2501" s="2" t="inlineStr">
        <is>
          <t>Pokemon Stacking Tins: Fighting-Fire-Darkness [Set of 3]</t>
        </is>
      </c>
      <c r="B2501" s="3">
        <f>IF(I2501&lt;&gt;"",I2501,IF(J2501&lt;&gt;"",J2501,IF(K2501&lt;&gt;"",K2501,L2501)))</f>
        <v>110.0</v>
      </c>
      <c r="C2501" s="3">
        <f>MEDIAN(I2501:L2501)</f>
        <v>110.0</v>
      </c>
      <c r="D2501" s="3">
        <f>ROUND(C2501*(1-Settings!$B$2),2)</f>
        <v>77.0</v>
      </c>
      <c r="E2501" s="3">
        <f>ROUND(C2501*(1-Settings!$B$3),2)</f>
        <v>77.0</v>
      </c>
      <c r="F2501" s="2" t="inlineStr">
        <is>
          <t>Pokemon</t>
        </is>
      </c>
      <c r="G2501" s="2" t="inlineStr">
        <is>
          <t>Coffret</t>
        </is>
      </c>
      <c r="H2501" s="2" t="inlineStr">
        <is>
          <t>SWSH11: Lost Origin</t>
        </is>
      </c>
      <c r="I2501" s="3" t="n"/>
      <c r="J2501" s="3" t="n">
        <v>110</v>
      </c>
      <c r="K2501" s="3" t="n"/>
      <c r="L2501" s="3" t="n"/>
      <c r="M2501" s="2" t="inlineStr">
        <is>
          <t>TCGplayer</t>
        </is>
      </c>
      <c r="O2501" s="4" t="inlineStr">
        <is>
          <t>https://www.tcgplayer.com/product/282406</t>
        </is>
      </c>
    </row>
    <row r="2502">
      <c r="A2502" s="2" t="inlineStr">
        <is>
          <t>Sword &amp; Shield Ultra-Premium Collection: Charizard</t>
        </is>
      </c>
      <c r="B2502" s="3">
        <f>IF(I2502&lt;&gt;"",I2502,IF(J2502&lt;&gt;"",J2502,IF(K2502&lt;&gt;"",K2502,L2502)))</f>
        <v>547.66</v>
      </c>
      <c r="C2502" s="3">
        <f>MEDIAN(I2502:L2502)</f>
        <v>547.66</v>
      </c>
      <c r="D2502" s="3">
        <f>ROUND(C2502*(1-Settings!$B$2),2)</f>
        <v>383.36</v>
      </c>
      <c r="E2502" s="3">
        <f>ROUND(C2502*(1-Settings!$B$3),2)</f>
        <v>383.36</v>
      </c>
      <c r="F2502" s="2" t="inlineStr">
        <is>
          <t>Pokemon</t>
        </is>
      </c>
      <c r="G2502" s="2" t="inlineStr">
        <is>
          <t>Coffret</t>
        </is>
      </c>
      <c r="H2502" s="2" t="inlineStr">
        <is>
          <t>SWSH11: Lost Origin</t>
        </is>
      </c>
      <c r="I2502" s="3" t="n"/>
      <c r="J2502" s="3" t="n">
        <v>547.66</v>
      </c>
      <c r="K2502" s="3" t="n">
        <v>625</v>
      </c>
      <c r="L2502" s="3" t="n">
        <v>59.69</v>
      </c>
      <c r="M2502" s="2" t="inlineStr">
        <is>
          <t>TCGplayer</t>
        </is>
      </c>
      <c r="O2502" s="4" t="inlineStr">
        <is>
          <t>https://www.tcgplayer.com/product/282401</t>
        </is>
      </c>
    </row>
    <row r="2503">
      <c r="A2503" s="2" t="inlineStr">
        <is>
          <t>Fall 2022 Collector Chest</t>
        </is>
      </c>
      <c r="B2503" s="3">
        <f>IF(I2503&lt;&gt;"",I2503,IF(J2503&lt;&gt;"",J2503,IF(K2503&lt;&gt;"",K2503,L2503)))</f>
        <v>74.83</v>
      </c>
      <c r="C2503" s="3">
        <f>MEDIAN(I2503:L2503)</f>
        <v>86.99</v>
      </c>
      <c r="D2503" s="3">
        <f>ROUND(C2503*(1-Settings!$B$2),2)</f>
        <v>60.89</v>
      </c>
      <c r="E2503" s="3">
        <f>ROUND(C2503*(1-Settings!$B$3),2)</f>
        <v>60.89</v>
      </c>
      <c r="F2503" s="2" t="inlineStr">
        <is>
          <t>Pokemon</t>
        </is>
      </c>
      <c r="G2503" s="2" t="inlineStr">
        <is>
          <t>Coffret</t>
        </is>
      </c>
      <c r="H2503" s="2" t="inlineStr">
        <is>
          <t>SWSH12: Silver Tempest</t>
        </is>
      </c>
      <c r="I2503" s="3" t="n"/>
      <c r="J2503" s="3" t="n">
        <v>74.83</v>
      </c>
      <c r="K2503" s="3" t="n">
        <v>96.98</v>
      </c>
      <c r="L2503" s="3" t="n">
        <v>86.98999999999999</v>
      </c>
      <c r="M2503" s="2" t="inlineStr">
        <is>
          <t>TCGplayer</t>
        </is>
      </c>
      <c r="O2503" s="4" t="inlineStr">
        <is>
          <t>https://www.tcgplayer.com/product/284930</t>
        </is>
      </c>
    </row>
    <row r="2504">
      <c r="A2504" s="2" t="inlineStr">
        <is>
          <t>Silver Tempest Booster Bundle</t>
        </is>
      </c>
      <c r="B2504" s="3">
        <f>IF(I2504&lt;&gt;"",I2504,IF(J2504&lt;&gt;"",J2504,IF(K2504&lt;&gt;"",K2504,L2504)))</f>
        <v>110.0</v>
      </c>
      <c r="C2504" s="3">
        <f>MEDIAN(I2504:L2504)</f>
        <v>111.33500000000001</v>
      </c>
      <c r="D2504" s="3">
        <f>ROUND(C2504*(1-Settings!$B$2),2)</f>
        <v>77.93</v>
      </c>
      <c r="E2504" s="3">
        <f>ROUND(C2504*(1-Settings!$B$3),2)</f>
        <v>77.93</v>
      </c>
      <c r="F2504" s="2" t="inlineStr">
        <is>
          <t>Pokemon</t>
        </is>
      </c>
      <c r="G2504" s="2" t="inlineStr">
        <is>
          <t>Coffret</t>
        </is>
      </c>
      <c r="H2504" s="2" t="inlineStr">
        <is>
          <t>SWSH12: Silver Tempest</t>
        </is>
      </c>
      <c r="I2504" s="3" t="n">
        <v>110</v>
      </c>
      <c r="J2504" s="3" t="n">
        <v>112.67</v>
      </c>
      <c r="K2504" s="3" t="n">
        <v>116.74</v>
      </c>
      <c r="L2504" s="3" t="n">
        <v>93.01000000000001</v>
      </c>
      <c r="M2504" s="2" t="inlineStr">
        <is>
          <t>PriceCharting + TCGplayer</t>
        </is>
      </c>
      <c r="N2504" s="4" t="inlineStr">
        <is>
          <t>https://www.pricecharting.com/game/pokemon-silver-tempest/booster-bundle</t>
        </is>
      </c>
      <c r="O2504" s="4" t="inlineStr">
        <is>
          <t>https://www.tcgplayer.com/product/283396</t>
        </is>
      </c>
    </row>
    <row r="2505">
      <c r="A2505" s="2" t="inlineStr">
        <is>
          <t>Silver Tempest Booster Pack Art Bundle [Set of 4]</t>
        </is>
      </c>
      <c r="B2505" s="3">
        <f>IF(I2505&lt;&gt;"",I2505,IF(J2505&lt;&gt;"",J2505,IF(K2505&lt;&gt;"",K2505,L2505)))</f>
        <v>56.69</v>
      </c>
      <c r="C2505" s="3">
        <f>MEDIAN(I2505:L2505)</f>
        <v>56.69</v>
      </c>
      <c r="D2505" s="3">
        <f>ROUND(C2505*(1-Settings!$B$2),2)</f>
        <v>39.68</v>
      </c>
      <c r="E2505" s="3">
        <f>ROUND(C2505*(1-Settings!$B$3),2)</f>
        <v>39.68</v>
      </c>
      <c r="F2505" s="2" t="inlineStr">
        <is>
          <t>Pokemon</t>
        </is>
      </c>
      <c r="G2505" s="2" t="inlineStr">
        <is>
          <t>Coffret</t>
        </is>
      </c>
      <c r="H2505" s="2" t="inlineStr">
        <is>
          <t>SWSH12: Silver Tempest</t>
        </is>
      </c>
      <c r="I2505" s="3" t="n"/>
      <c r="J2505" s="3" t="n">
        <v>56.69</v>
      </c>
      <c r="K2505" s="3" t="n">
        <v>60</v>
      </c>
      <c r="L2505" s="3" t="n">
        <v>54.9</v>
      </c>
      <c r="M2505" s="2" t="inlineStr">
        <is>
          <t>TCGplayer</t>
        </is>
      </c>
      <c r="O2505" s="4" t="inlineStr">
        <is>
          <t>https://www.tcgplayer.com/product/285778</t>
        </is>
      </c>
    </row>
    <row r="2506">
      <c r="A2506" s="2" t="inlineStr">
        <is>
          <t>Silver Tempest Build &amp; Battle Box</t>
        </is>
      </c>
      <c r="B2506" s="3">
        <f>IF(I2506&lt;&gt;"",I2506,IF(J2506&lt;&gt;"",J2506,IF(K2506&lt;&gt;"",K2506,L2506)))</f>
        <v>71.5</v>
      </c>
      <c r="C2506" s="3">
        <f>MEDIAN(I2506:L2506)</f>
        <v>72.725</v>
      </c>
      <c r="D2506" s="3">
        <f>ROUND(C2506*(1-Settings!$B$2),2)</f>
        <v>50.91</v>
      </c>
      <c r="E2506" s="3">
        <f>ROUND(C2506*(1-Settings!$B$3),2)</f>
        <v>50.91</v>
      </c>
      <c r="F2506" s="2" t="inlineStr">
        <is>
          <t>Pokemon</t>
        </is>
      </c>
      <c r="G2506" s="2" t="inlineStr">
        <is>
          <t>Coffret</t>
        </is>
      </c>
      <c r="H2506" s="2" t="inlineStr">
        <is>
          <t>SWSH12: Silver Tempest</t>
        </is>
      </c>
      <c r="I2506" s="3" t="n">
        <v>71.5</v>
      </c>
      <c r="J2506" s="3" t="n">
        <v>60.72</v>
      </c>
      <c r="K2506" s="3" t="n">
        <v>78.47</v>
      </c>
      <c r="L2506" s="3" t="n">
        <v>73.95</v>
      </c>
      <c r="M2506" s="2" t="inlineStr">
        <is>
          <t>PriceCharting + TCGplayer</t>
        </is>
      </c>
      <c r="N2506" s="4" t="inlineStr">
        <is>
          <t>https://www.pricecharting.com/game/pokemon-silver-tempest/build-&amp;-battle-box</t>
        </is>
      </c>
      <c r="O2506" s="4" t="inlineStr">
        <is>
          <t>https://www.tcgplayer.com/product/285776</t>
        </is>
      </c>
    </row>
    <row r="2507">
      <c r="A2507" s="2" t="inlineStr">
        <is>
          <t>Silver Tempest Build &amp; Battle Stadium</t>
        </is>
      </c>
      <c r="B2507" s="3">
        <f>IF(I2507&lt;&gt;"",I2507,IF(J2507&lt;&gt;"",J2507,IF(K2507&lt;&gt;"",K2507,L2507)))</f>
        <v>167.33</v>
      </c>
      <c r="C2507" s="3">
        <f>MEDIAN(I2507:L2507)</f>
        <v>158.66000000000003</v>
      </c>
      <c r="D2507" s="3">
        <f>ROUND(C2507*(1-Settings!$B$2),2)</f>
        <v>111.06</v>
      </c>
      <c r="E2507" s="3">
        <f>ROUND(C2507*(1-Settings!$B$3),2)</f>
        <v>111.06</v>
      </c>
      <c r="F2507" s="2" t="inlineStr">
        <is>
          <t>Pokemon</t>
        </is>
      </c>
      <c r="G2507" s="2" t="inlineStr">
        <is>
          <t>Coffret</t>
        </is>
      </c>
      <c r="H2507" s="2" t="inlineStr">
        <is>
          <t>SWSH12: Silver Tempest</t>
        </is>
      </c>
      <c r="I2507" s="3" t="n">
        <v>167.33</v>
      </c>
      <c r="J2507" s="3" t="n">
        <v>147.75</v>
      </c>
      <c r="K2507" s="3" t="n">
        <v>199.99</v>
      </c>
      <c r="L2507" s="3" t="n">
        <v>149.99</v>
      </c>
      <c r="M2507" s="2" t="inlineStr">
        <is>
          <t>PriceCharting + TCGplayer</t>
        </is>
      </c>
      <c r="N2507" s="4" t="inlineStr">
        <is>
          <t>https://www.pricecharting.com/game/pokemon-silver-tempest/build-&amp;-battle-stadium</t>
        </is>
      </c>
      <c r="O2507" s="4" t="inlineStr">
        <is>
          <t>https://www.tcgplayer.com/product/285042</t>
        </is>
      </c>
    </row>
    <row r="2508">
      <c r="A2508" s="2" t="inlineStr">
        <is>
          <t>Silver Tempest Elite Trainer Box</t>
        </is>
      </c>
      <c r="B2508" s="3">
        <f>IF(I2508&lt;&gt;"",I2508,IF(J2508&lt;&gt;"",J2508,IF(K2508&lt;&gt;"",K2508,L2508)))</f>
        <v>160.0</v>
      </c>
      <c r="C2508" s="3">
        <f>MEDIAN(I2508:L2508)</f>
        <v>162.12</v>
      </c>
      <c r="D2508" s="3">
        <f>ROUND(C2508*(1-Settings!$B$2),2)</f>
        <v>113.48</v>
      </c>
      <c r="E2508" s="3">
        <f>ROUND(C2508*(1-Settings!$B$3),2)</f>
        <v>113.48</v>
      </c>
      <c r="F2508" s="2" t="inlineStr">
        <is>
          <t>Pokemon</t>
        </is>
      </c>
      <c r="G2508" s="2" t="inlineStr">
        <is>
          <t>Coffret</t>
        </is>
      </c>
      <c r="H2508" s="2" t="inlineStr">
        <is>
          <t>SWSH12: Silver Tempest</t>
        </is>
      </c>
      <c r="I2508" s="3" t="n">
        <v>160</v>
      </c>
      <c r="J2508" s="3" t="n">
        <v>164.24</v>
      </c>
      <c r="K2508" s="3" t="n">
        <v>175</v>
      </c>
      <c r="L2508" s="3" t="n">
        <v>149.01</v>
      </c>
      <c r="M2508" s="2" t="inlineStr">
        <is>
          <t>PriceCharting + TCGplayer</t>
        </is>
      </c>
      <c r="N2508" s="4" t="inlineStr">
        <is>
          <t>https://www.pricecharting.com/game/pokemon-silver-tempest/elite-trainer-box</t>
        </is>
      </c>
      <c r="O2508" s="4" t="inlineStr">
        <is>
          <t>https://www.tcgplayer.com/product/283401</t>
        </is>
      </c>
    </row>
    <row r="2509">
      <c r="A2509" s="2" t="inlineStr">
        <is>
          <t>Silver Tempest Pokemon Center Elite Trainer Box (Exclusive)</t>
        </is>
      </c>
      <c r="B2509" s="3">
        <f>IF(I2509&lt;&gt;"",I2509,IF(J2509&lt;&gt;"",J2509,IF(K2509&lt;&gt;"",K2509,L2509)))</f>
        <v>388.92</v>
      </c>
      <c r="C2509" s="3">
        <f>MEDIAN(I2509:L2509)</f>
        <v>388.92</v>
      </c>
      <c r="D2509" s="3">
        <f>ROUND(C2509*(1-Settings!$B$2),2)</f>
        <v>272.24</v>
      </c>
      <c r="E2509" s="3">
        <f>ROUND(C2509*(1-Settings!$B$3),2)</f>
        <v>272.24</v>
      </c>
      <c r="F2509" s="2" t="inlineStr">
        <is>
          <t>Pokemon</t>
        </is>
      </c>
      <c r="G2509" s="2" t="inlineStr">
        <is>
          <t>Coffret</t>
        </is>
      </c>
      <c r="H2509" s="2" t="inlineStr">
        <is>
          <t>SWSH12: Silver Tempest</t>
        </is>
      </c>
      <c r="I2509" s="3" t="n"/>
      <c r="J2509" s="3" t="n">
        <v>388.92</v>
      </c>
      <c r="K2509" s="3" t="n">
        <v>409</v>
      </c>
      <c r="L2509" s="3" t="n">
        <v>357.01</v>
      </c>
      <c r="M2509" s="2" t="inlineStr">
        <is>
          <t>TCGplayer</t>
        </is>
      </c>
      <c r="O2509" s="4" t="inlineStr">
        <is>
          <t>https://www.tcgplayer.com/product/285860</t>
        </is>
      </c>
    </row>
    <row r="2510">
      <c r="A2510" s="2" t="inlineStr">
        <is>
          <t>Silver Tempest Sleeved Booster Pack Art Bundle [Set of 4]</t>
        </is>
      </c>
      <c r="B2510" s="3">
        <f>IF(I2510&lt;&gt;"",I2510,IF(J2510&lt;&gt;"",J2510,IF(K2510&lt;&gt;"",K2510,L2510)))</f>
        <v>60.26</v>
      </c>
      <c r="C2510" s="3">
        <f>MEDIAN(I2510:L2510)</f>
        <v>74.99</v>
      </c>
      <c r="D2510" s="3">
        <f>ROUND(C2510*(1-Settings!$B$2),2)</f>
        <v>52.49</v>
      </c>
      <c r="E2510" s="3">
        <f>ROUND(C2510*(1-Settings!$B$3),2)</f>
        <v>52.49</v>
      </c>
      <c r="F2510" s="2" t="inlineStr">
        <is>
          <t>Pokemon</t>
        </is>
      </c>
      <c r="G2510" s="2" t="inlineStr">
        <is>
          <t>Coffret</t>
        </is>
      </c>
      <c r="H2510" s="2" t="inlineStr">
        <is>
          <t>SWSH12: Silver Tempest</t>
        </is>
      </c>
      <c r="I2510" s="3" t="n"/>
      <c r="J2510" s="3" t="n">
        <v>60.26</v>
      </c>
      <c r="K2510" s="3" t="n">
        <v>91.48</v>
      </c>
      <c r="L2510" s="3" t="n">
        <v>74.98999999999999</v>
      </c>
      <c r="M2510" s="2" t="inlineStr">
        <is>
          <t>TCGplayer</t>
        </is>
      </c>
      <c r="O2510" s="4" t="inlineStr">
        <is>
          <t>https://www.tcgplayer.com/product/283400</t>
        </is>
      </c>
    </row>
    <row r="2511">
      <c r="A2511" s="2" t="inlineStr">
        <is>
          <t>Crown Zenith Booster Bundle</t>
        </is>
      </c>
      <c r="B2511" s="3">
        <f>IF(I2511&lt;&gt;"",I2511,IF(J2511&lt;&gt;"",J2511,IF(K2511&lt;&gt;"",K2511,L2511)))</f>
        <v>219.0</v>
      </c>
      <c r="C2511" s="3">
        <f>MEDIAN(I2511:L2511)</f>
        <v>219.36</v>
      </c>
      <c r="D2511" s="3">
        <f>ROUND(C2511*(1-Settings!$B$2),2)</f>
        <v>153.55</v>
      </c>
      <c r="E2511" s="3">
        <f>ROUND(C2511*(1-Settings!$B$3),2)</f>
        <v>153.55</v>
      </c>
      <c r="F2511" s="2" t="inlineStr">
        <is>
          <t>Pokemon</t>
        </is>
      </c>
      <c r="G2511" s="2" t="inlineStr">
        <is>
          <t>Coffret</t>
        </is>
      </c>
      <c r="H2511" s="2" t="inlineStr">
        <is>
          <t>SWSH: Crown Zenith</t>
        </is>
      </c>
      <c r="I2511" s="3" t="n">
        <v>219</v>
      </c>
      <c r="J2511" s="3" t="n">
        <v>219.72</v>
      </c>
      <c r="K2511" s="3" t="n">
        <v>249.94</v>
      </c>
      <c r="L2511" s="3" t="n">
        <v>209.99</v>
      </c>
      <c r="M2511" s="2" t="inlineStr">
        <is>
          <t>PriceCharting + TCGplayer</t>
        </is>
      </c>
      <c r="N2511" s="4" t="inlineStr">
        <is>
          <t>https://www.pricecharting.com/game/pokemon-crown-zenith/booster-bundle</t>
        </is>
      </c>
      <c r="O2511" s="4" t="inlineStr">
        <is>
          <t>https://www.tcgplayer.com/product/527562</t>
        </is>
      </c>
    </row>
    <row r="2512">
      <c r="A2512" s="2" t="inlineStr">
        <is>
          <t>Crown Zenith Collection [Regidrago V]</t>
        </is>
      </c>
      <c r="B2512" s="3">
        <f>IF(I2512&lt;&gt;"",I2512,IF(J2512&lt;&gt;"",J2512,IF(K2512&lt;&gt;"",K2512,L2512)))</f>
        <v>108.24</v>
      </c>
      <c r="C2512" s="3">
        <f>MEDIAN(I2512:L2512)</f>
        <v>108.24</v>
      </c>
      <c r="D2512" s="3">
        <f>ROUND(C2512*(1-Settings!$B$2),2)</f>
        <v>75.77</v>
      </c>
      <c r="E2512" s="3">
        <f>ROUND(C2512*(1-Settings!$B$3),2)</f>
        <v>75.77</v>
      </c>
      <c r="F2512" s="2" t="inlineStr">
        <is>
          <t>Pokemon</t>
        </is>
      </c>
      <c r="G2512" s="2" t="inlineStr">
        <is>
          <t>Coffret</t>
        </is>
      </c>
      <c r="H2512" s="2" t="inlineStr">
        <is>
          <t>SWSH: Crown Zenith</t>
        </is>
      </c>
      <c r="I2512" s="3" t="n"/>
      <c r="J2512" s="3" t="n">
        <v>108.24</v>
      </c>
      <c r="K2512" s="3" t="n">
        <v>122.48</v>
      </c>
      <c r="L2512" s="3" t="n">
        <v>99.98999999999999</v>
      </c>
      <c r="M2512" s="2" t="inlineStr">
        <is>
          <t>TCGplayer</t>
        </is>
      </c>
      <c r="O2512" s="4" t="inlineStr">
        <is>
          <t>https://www.tcgplayer.com/product/453468</t>
        </is>
      </c>
    </row>
    <row r="2513">
      <c r="A2513" s="2" t="inlineStr">
        <is>
          <t>Crown Zenith Collection [Regieleki V]</t>
        </is>
      </c>
      <c r="B2513" s="3">
        <f>IF(I2513&lt;&gt;"",I2513,IF(J2513&lt;&gt;"",J2513,IF(K2513&lt;&gt;"",K2513,L2513)))</f>
        <v>109.03</v>
      </c>
      <c r="C2513" s="3">
        <f>MEDIAN(I2513:L2513)</f>
        <v>109.03</v>
      </c>
      <c r="D2513" s="3">
        <f>ROUND(C2513*(1-Settings!$B$2),2)</f>
        <v>76.32</v>
      </c>
      <c r="E2513" s="3">
        <f>ROUND(C2513*(1-Settings!$B$3),2)</f>
        <v>76.32</v>
      </c>
      <c r="F2513" s="2" t="inlineStr">
        <is>
          <t>Pokemon</t>
        </is>
      </c>
      <c r="G2513" s="2" t="inlineStr">
        <is>
          <t>Coffret</t>
        </is>
      </c>
      <c r="H2513" s="2" t="inlineStr">
        <is>
          <t>SWSH: Crown Zenith</t>
        </is>
      </c>
      <c r="I2513" s="3" t="n"/>
      <c r="J2513" s="3" t="n">
        <v>109.03</v>
      </c>
      <c r="K2513" s="3" t="n">
        <v>118.99</v>
      </c>
      <c r="L2513" s="3" t="n">
        <v>105</v>
      </c>
      <c r="M2513" s="2" t="inlineStr">
        <is>
          <t>TCGplayer</t>
        </is>
      </c>
      <c r="O2513" s="4" t="inlineStr">
        <is>
          <t>https://www.tcgplayer.com/product/453467</t>
        </is>
      </c>
    </row>
    <row r="2514">
      <c r="A2514" s="2" t="inlineStr">
        <is>
          <t>Crown Zenith Collection [Set of 2]</t>
        </is>
      </c>
      <c r="B2514" s="3">
        <f>IF(I2514&lt;&gt;"",I2514,IF(J2514&lt;&gt;"",J2514,IF(K2514&lt;&gt;"",K2514,L2514)))</f>
        <v>238.47</v>
      </c>
      <c r="C2514" s="3">
        <f>MEDIAN(I2514:L2514)</f>
        <v>285.0</v>
      </c>
      <c r="D2514" s="3">
        <f>ROUND(C2514*(1-Settings!$B$2),2)</f>
        <v>199.5</v>
      </c>
      <c r="E2514" s="3">
        <f>ROUND(C2514*(1-Settings!$B$3),2)</f>
        <v>199.5</v>
      </c>
      <c r="F2514" s="2" t="inlineStr">
        <is>
          <t>Pokemon</t>
        </is>
      </c>
      <c r="G2514" s="2" t="inlineStr">
        <is>
          <t>Coffret</t>
        </is>
      </c>
      <c r="H2514" s="2" t="inlineStr">
        <is>
          <t>SWSH: Crown Zenith</t>
        </is>
      </c>
      <c r="I2514" s="3" t="n"/>
      <c r="J2514" s="3" t="n">
        <v>238.47</v>
      </c>
      <c r="K2514" s="3" t="n">
        <v>292.49</v>
      </c>
      <c r="L2514" s="3" t="n">
        <v>285</v>
      </c>
      <c r="M2514" s="2" t="inlineStr">
        <is>
          <t>TCGplayer</t>
        </is>
      </c>
      <c r="O2514" s="4" t="inlineStr">
        <is>
          <t>https://www.tcgplayer.com/product/453474</t>
        </is>
      </c>
    </row>
    <row r="2515">
      <c r="A2515" s="2" t="inlineStr">
        <is>
          <t>Crown Zenith Elite Trainer Box</t>
        </is>
      </c>
      <c r="B2515" s="3">
        <f>IF(I2515&lt;&gt;"",I2515,IF(J2515&lt;&gt;"",J2515,IF(K2515&lt;&gt;"",K2515,L2515)))</f>
        <v>319.99</v>
      </c>
      <c r="C2515" s="3">
        <f>MEDIAN(I2515:L2515)</f>
        <v>321.315</v>
      </c>
      <c r="D2515" s="3">
        <f>ROUND(C2515*(1-Settings!$B$2),2)</f>
        <v>224.92</v>
      </c>
      <c r="E2515" s="3">
        <f>ROUND(C2515*(1-Settings!$B$3),2)</f>
        <v>224.92</v>
      </c>
      <c r="F2515" s="2" t="inlineStr">
        <is>
          <t>Pokemon</t>
        </is>
      </c>
      <c r="G2515" s="2" t="inlineStr">
        <is>
          <t>Coffret</t>
        </is>
      </c>
      <c r="H2515" s="2" t="inlineStr">
        <is>
          <t>SWSH: Crown Zenith</t>
        </is>
      </c>
      <c r="I2515" s="3" t="n">
        <v>319.99</v>
      </c>
      <c r="J2515" s="3" t="n">
        <v>322.64</v>
      </c>
      <c r="K2515" s="3" t="n">
        <v>375</v>
      </c>
      <c r="L2515" s="3" t="n">
        <v>300</v>
      </c>
      <c r="M2515" s="2" t="inlineStr">
        <is>
          <t>PriceCharting + TCGplayer</t>
        </is>
      </c>
      <c r="N2515" s="4" t="inlineStr">
        <is>
          <t>https://www.pricecharting.com/game/pokemon-crown-zenith/elite-trainer-box</t>
        </is>
      </c>
      <c r="O2515" s="4" t="inlineStr">
        <is>
          <t>https://www.tcgplayer.com/product/453470</t>
        </is>
      </c>
    </row>
    <row r="2516">
      <c r="A2516" s="2" t="inlineStr">
        <is>
          <t>Crown Zenith Mini Tin [Bede &amp; Hatenna]</t>
        </is>
      </c>
      <c r="B2516" s="3">
        <f>IF(I2516&lt;&gt;"",I2516,IF(J2516&lt;&gt;"",J2516,IF(K2516&lt;&gt;"",K2516,L2516)))</f>
        <v>69.8</v>
      </c>
      <c r="C2516" s="3">
        <f>MEDIAN(I2516:L2516)</f>
        <v>69.8</v>
      </c>
      <c r="D2516" s="3">
        <f>ROUND(C2516*(1-Settings!$B$2),2)</f>
        <v>48.86</v>
      </c>
      <c r="E2516" s="3">
        <f>ROUND(C2516*(1-Settings!$B$3),2)</f>
        <v>48.86</v>
      </c>
      <c r="F2516" s="2" t="inlineStr">
        <is>
          <t>Pokemon</t>
        </is>
      </c>
      <c r="G2516" s="2" t="inlineStr">
        <is>
          <t>Coffret</t>
        </is>
      </c>
      <c r="H2516" s="2" t="inlineStr">
        <is>
          <t>SWSH: Crown Zenith</t>
        </is>
      </c>
      <c r="I2516" s="3" t="n"/>
      <c r="J2516" s="3" t="n">
        <v>69.8</v>
      </c>
      <c r="K2516" s="3" t="n">
        <v>94.5</v>
      </c>
      <c r="L2516" s="3" t="n">
        <v>64.53</v>
      </c>
      <c r="M2516" s="2" t="inlineStr">
        <is>
          <t>TCGplayer</t>
        </is>
      </c>
      <c r="O2516" s="4" t="inlineStr">
        <is>
          <t>https://www.tcgplayer.com/product/453491</t>
        </is>
      </c>
    </row>
    <row r="2517">
      <c r="A2517" s="2" t="inlineStr">
        <is>
          <t>Crown Zenith Mini Tin [Hop &amp; Wooloo]</t>
        </is>
      </c>
      <c r="B2517" s="3">
        <f>IF(I2517&lt;&gt;"",I2517,IF(J2517&lt;&gt;"",J2517,IF(K2517&lt;&gt;"",K2517,L2517)))</f>
        <v>55.0</v>
      </c>
      <c r="C2517" s="3">
        <f>MEDIAN(I2517:L2517)</f>
        <v>90.0</v>
      </c>
      <c r="D2517" s="3">
        <f>ROUND(C2517*(1-Settings!$B$2),2)</f>
        <v>63.0</v>
      </c>
      <c r="E2517" s="3">
        <f>ROUND(C2517*(1-Settings!$B$3),2)</f>
        <v>63.0</v>
      </c>
      <c r="F2517" s="2" t="inlineStr">
        <is>
          <t>Pokemon</t>
        </is>
      </c>
      <c r="G2517" s="2" t="inlineStr">
        <is>
          <t>Coffret</t>
        </is>
      </c>
      <c r="H2517" s="2" t="inlineStr">
        <is>
          <t>SWSH: Crown Zenith</t>
        </is>
      </c>
      <c r="I2517" s="3" t="n"/>
      <c r="J2517" s="3" t="n">
        <v>55</v>
      </c>
      <c r="K2517" s="3" t="n">
        <v>99</v>
      </c>
      <c r="L2517" s="3" t="n">
        <v>90</v>
      </c>
      <c r="M2517" s="2" t="inlineStr">
        <is>
          <t>TCGplayer</t>
        </is>
      </c>
      <c r="O2517" s="4" t="inlineStr">
        <is>
          <t>https://www.tcgplayer.com/product/453490</t>
        </is>
      </c>
    </row>
    <row r="2518">
      <c r="A2518" s="2" t="inlineStr">
        <is>
          <t>Crown Zenith Mini Tin [Leon &amp; Charizard]</t>
        </is>
      </c>
      <c r="B2518" s="3">
        <f>IF(I2518&lt;&gt;"",I2518,IF(J2518&lt;&gt;"",J2518,IF(K2518&lt;&gt;"",K2518,L2518)))</f>
        <v>57.91</v>
      </c>
      <c r="C2518" s="3">
        <f>MEDIAN(I2518:L2518)</f>
        <v>64.01</v>
      </c>
      <c r="D2518" s="3">
        <f>ROUND(C2518*(1-Settings!$B$2),2)</f>
        <v>44.81</v>
      </c>
      <c r="E2518" s="3">
        <f>ROUND(C2518*(1-Settings!$B$3),2)</f>
        <v>44.81</v>
      </c>
      <c r="F2518" s="2" t="inlineStr">
        <is>
          <t>Pokemon</t>
        </is>
      </c>
      <c r="G2518" s="2" t="inlineStr">
        <is>
          <t>Coffret</t>
        </is>
      </c>
      <c r="H2518" s="2" t="inlineStr">
        <is>
          <t>SWSH: Crown Zenith</t>
        </is>
      </c>
      <c r="I2518" s="3" t="n"/>
      <c r="J2518" s="3" t="n">
        <v>57.91</v>
      </c>
      <c r="K2518" s="3" t="n">
        <v>87.5</v>
      </c>
      <c r="L2518" s="3" t="n">
        <v>64.01000000000001</v>
      </c>
      <c r="M2518" s="2" t="inlineStr">
        <is>
          <t>TCGplayer</t>
        </is>
      </c>
      <c r="O2518" s="4" t="inlineStr">
        <is>
          <t>https://www.tcgplayer.com/product/453489</t>
        </is>
      </c>
    </row>
    <row r="2519">
      <c r="A2519" s="2" t="inlineStr">
        <is>
          <t>Crown Zenith Mini Tin [Marnie &amp; Morpeko]</t>
        </is>
      </c>
      <c r="B2519" s="3">
        <f>IF(I2519&lt;&gt;"",I2519,IF(J2519&lt;&gt;"",J2519,IF(K2519&lt;&gt;"",K2519,L2519)))</f>
        <v>65.99</v>
      </c>
      <c r="C2519" s="3">
        <f>MEDIAN(I2519:L2519)</f>
        <v>70.0</v>
      </c>
      <c r="D2519" s="3">
        <f>ROUND(C2519*(1-Settings!$B$2),2)</f>
        <v>49.0</v>
      </c>
      <c r="E2519" s="3">
        <f>ROUND(C2519*(1-Settings!$B$3),2)</f>
        <v>49.0</v>
      </c>
      <c r="F2519" s="2" t="inlineStr">
        <is>
          <t>Pokemon</t>
        </is>
      </c>
      <c r="G2519" s="2" t="inlineStr">
        <is>
          <t>Coffret</t>
        </is>
      </c>
      <c r="H2519" s="2" t="inlineStr">
        <is>
          <t>SWSH: Crown Zenith</t>
        </is>
      </c>
      <c r="I2519" s="3" t="n"/>
      <c r="J2519" s="3" t="n">
        <v>65.98999999999999</v>
      </c>
      <c r="K2519" s="3" t="n">
        <v>82.98999999999999</v>
      </c>
      <c r="L2519" s="3" t="n">
        <v>70</v>
      </c>
      <c r="M2519" s="2" t="inlineStr">
        <is>
          <t>TCGplayer</t>
        </is>
      </c>
      <c r="O2519" s="4" t="inlineStr">
        <is>
          <t>https://www.tcgplayer.com/product/453488</t>
        </is>
      </c>
    </row>
    <row r="2520">
      <c r="A2520" s="2" t="inlineStr">
        <is>
          <t>Crown Zenith Mini Tin [Set of 5]</t>
        </is>
      </c>
      <c r="B2520" s="3">
        <f>IF(I2520&lt;&gt;"",I2520,IF(J2520&lt;&gt;"",J2520,IF(K2520&lt;&gt;"",K2520,L2520)))</f>
        <v>260.52</v>
      </c>
      <c r="C2520" s="3">
        <f>MEDIAN(I2520:L2520)</f>
        <v>297.98</v>
      </c>
      <c r="D2520" s="3">
        <f>ROUND(C2520*(1-Settings!$B$2),2)</f>
        <v>208.59</v>
      </c>
      <c r="E2520" s="3">
        <f>ROUND(C2520*(1-Settings!$B$3),2)</f>
        <v>208.59</v>
      </c>
      <c r="F2520" s="2" t="inlineStr">
        <is>
          <t>Pokemon</t>
        </is>
      </c>
      <c r="G2520" s="2" t="inlineStr">
        <is>
          <t>Coffret</t>
        </is>
      </c>
      <c r="H2520" s="2" t="inlineStr">
        <is>
          <t>SWSH: Crown Zenith</t>
        </is>
      </c>
      <c r="I2520" s="3" t="n"/>
      <c r="J2520" s="3" t="n">
        <v>260.52</v>
      </c>
      <c r="K2520" s="3" t="n">
        <v>315</v>
      </c>
      <c r="L2520" s="3" t="n">
        <v>297.98</v>
      </c>
      <c r="M2520" s="2" t="inlineStr">
        <is>
          <t>TCGplayer</t>
        </is>
      </c>
      <c r="O2520" s="4" t="inlineStr">
        <is>
          <t>https://www.tcgplayer.com/product/453494</t>
        </is>
      </c>
    </row>
    <row r="2521">
      <c r="A2521" s="2" t="inlineStr">
        <is>
          <t>Crown Zenith Pin Collection [Cinderace]</t>
        </is>
      </c>
      <c r="B2521" s="3">
        <f>IF(I2521&lt;&gt;"",I2521,IF(J2521&lt;&gt;"",J2521,IF(K2521&lt;&gt;"",K2521,L2521)))</f>
        <v>66.0</v>
      </c>
      <c r="C2521" s="3">
        <f>MEDIAN(I2521:L2521)</f>
        <v>80.53999999999999</v>
      </c>
      <c r="D2521" s="3">
        <f>ROUND(C2521*(1-Settings!$B$2),2)</f>
        <v>56.38</v>
      </c>
      <c r="E2521" s="3">
        <f>ROUND(C2521*(1-Settings!$B$3),2)</f>
        <v>56.38</v>
      </c>
      <c r="F2521" s="2" t="inlineStr">
        <is>
          <t>Pokemon</t>
        </is>
      </c>
      <c r="G2521" s="2" t="inlineStr">
        <is>
          <t>Coffret</t>
        </is>
      </c>
      <c r="H2521" s="2" t="inlineStr">
        <is>
          <t>SWSH: Crown Zenith</t>
        </is>
      </c>
      <c r="I2521" s="3" t="n">
        <v>66</v>
      </c>
      <c r="J2521" s="3" t="n">
        <v>87.06999999999999</v>
      </c>
      <c r="K2521" s="3" t="n">
        <v>92.48999999999999</v>
      </c>
      <c r="L2521" s="3" t="n">
        <v>74.01000000000001</v>
      </c>
      <c r="M2521" s="2" t="inlineStr">
        <is>
          <t>PriceCharting + TCGplayer</t>
        </is>
      </c>
      <c r="N2521" s="4" t="inlineStr">
        <is>
          <t>https://www.pricecharting.com/game/pokemon-crown-zenith/pin-collection-cinderace</t>
        </is>
      </c>
      <c r="O2521" s="4" t="inlineStr">
        <is>
          <t>https://www.tcgplayer.com/product/475617</t>
        </is>
      </c>
    </row>
    <row r="2522">
      <c r="A2522" s="2" t="inlineStr">
        <is>
          <t>Crown Zenith Pin Collection [Inteleon]</t>
        </is>
      </c>
      <c r="B2522" s="3">
        <f>IF(I2522&lt;&gt;"",I2522,IF(J2522&lt;&gt;"",J2522,IF(K2522&lt;&gt;"",K2522,L2522)))</f>
        <v>82.79</v>
      </c>
      <c r="C2522" s="3">
        <f>MEDIAN(I2522:L2522)</f>
        <v>90.89</v>
      </c>
      <c r="D2522" s="3">
        <f>ROUND(C2522*(1-Settings!$B$2),2)</f>
        <v>63.62</v>
      </c>
      <c r="E2522" s="3">
        <f>ROUND(C2522*(1-Settings!$B$3),2)</f>
        <v>63.62</v>
      </c>
      <c r="F2522" s="2" t="inlineStr">
        <is>
          <t>Pokemon</t>
        </is>
      </c>
      <c r="G2522" s="2" t="inlineStr">
        <is>
          <t>Coffret</t>
        </is>
      </c>
      <c r="H2522" s="2" t="inlineStr">
        <is>
          <t>SWSH: Crown Zenith</t>
        </is>
      </c>
      <c r="I2522" s="3" t="n">
        <v>82.79000000000001</v>
      </c>
      <c r="J2522" s="3" t="n">
        <v>87.79000000000001</v>
      </c>
      <c r="K2522" s="3" t="n">
        <v>97.88</v>
      </c>
      <c r="L2522" s="3" t="n">
        <v>93.98999999999999</v>
      </c>
      <c r="M2522" s="2" t="inlineStr">
        <is>
          <t>PriceCharting + TCGplayer</t>
        </is>
      </c>
      <c r="N2522" s="4" t="inlineStr">
        <is>
          <t>https://www.pricecharting.com/game/pokemon-crown-zenith/pin-collection-inteleon</t>
        </is>
      </c>
      <c r="O2522" s="4" t="inlineStr">
        <is>
          <t>https://www.tcgplayer.com/product/475618</t>
        </is>
      </c>
    </row>
    <row r="2523">
      <c r="A2523" s="2" t="inlineStr">
        <is>
          <t>Crown Zenith Pin Collection [Rillaboom]</t>
        </is>
      </c>
      <c r="B2523" s="3">
        <f>IF(I2523&lt;&gt;"",I2523,IF(J2523&lt;&gt;"",J2523,IF(K2523&lt;&gt;"",K2523,L2523)))</f>
        <v>75.0</v>
      </c>
      <c r="C2523" s="3">
        <f>MEDIAN(I2523:L2523)</f>
        <v>90.77000000000001</v>
      </c>
      <c r="D2523" s="3">
        <f>ROUND(C2523*(1-Settings!$B$2),2)</f>
        <v>63.54</v>
      </c>
      <c r="E2523" s="3">
        <f>ROUND(C2523*(1-Settings!$B$3),2)</f>
        <v>63.54</v>
      </c>
      <c r="F2523" s="2" t="inlineStr">
        <is>
          <t>Pokemon</t>
        </is>
      </c>
      <c r="G2523" s="2" t="inlineStr">
        <is>
          <t>Coffret</t>
        </is>
      </c>
      <c r="H2523" s="2" t="inlineStr">
        <is>
          <t>SWSH: Crown Zenith</t>
        </is>
      </c>
      <c r="I2523" s="3" t="n">
        <v>75</v>
      </c>
      <c r="J2523" s="3" t="n">
        <v>86.54000000000001</v>
      </c>
      <c r="K2523" s="3" t="n">
        <v>122.5</v>
      </c>
      <c r="L2523" s="3" t="n">
        <v>95</v>
      </c>
      <c r="M2523" s="2" t="inlineStr">
        <is>
          <t>PriceCharting + TCGplayer</t>
        </is>
      </c>
      <c r="N2523" s="4" t="inlineStr">
        <is>
          <t>https://www.pricecharting.com/game/pokemon-crown-zenith/pin-collection-rillaboom</t>
        </is>
      </c>
      <c r="O2523" s="4" t="inlineStr">
        <is>
          <t>https://www.tcgplayer.com/product/475619</t>
        </is>
      </c>
    </row>
    <row r="2524">
      <c r="A2524" s="2" t="inlineStr">
        <is>
          <t>Crown Zenith Pin Collection [Set of 3]</t>
        </is>
      </c>
      <c r="B2524" s="3">
        <f>IF(I2524&lt;&gt;"",I2524,IF(J2524&lt;&gt;"",J2524,IF(K2524&lt;&gt;"",K2524,L2524)))</f>
        <v>243.62</v>
      </c>
      <c r="C2524" s="3">
        <f>MEDIAN(I2524:L2524)</f>
        <v>300.0</v>
      </c>
      <c r="D2524" s="3">
        <f>ROUND(C2524*(1-Settings!$B$2),2)</f>
        <v>210.0</v>
      </c>
      <c r="E2524" s="3">
        <f>ROUND(C2524*(1-Settings!$B$3),2)</f>
        <v>210.0</v>
      </c>
      <c r="F2524" s="2" t="inlineStr">
        <is>
          <t>Pokemon</t>
        </is>
      </c>
      <c r="G2524" s="2" t="inlineStr">
        <is>
          <t>Coffret</t>
        </is>
      </c>
      <c r="H2524" s="2" t="inlineStr">
        <is>
          <t>SWSH: Crown Zenith</t>
        </is>
      </c>
      <c r="I2524" s="3" t="n"/>
      <c r="J2524" s="3" t="n">
        <v>243.62</v>
      </c>
      <c r="K2524" s="3" t="n">
        <v>379.99</v>
      </c>
      <c r="L2524" s="3" t="n">
        <v>300</v>
      </c>
      <c r="M2524" s="2" t="inlineStr">
        <is>
          <t>TCGplayer</t>
        </is>
      </c>
      <c r="O2524" s="4" t="inlineStr">
        <is>
          <t>https://www.tcgplayer.com/product/475620</t>
        </is>
      </c>
    </row>
    <row r="2525">
      <c r="A2525" s="2" t="inlineStr">
        <is>
          <t>Crown Zenith Pokemon Center Elite Trainer Box Plus</t>
        </is>
      </c>
      <c r="B2525" s="3">
        <f>IF(I2525&lt;&gt;"",I2525,IF(J2525&lt;&gt;"",J2525,IF(K2525&lt;&gt;"",K2525,L2525)))</f>
        <v>530.86</v>
      </c>
      <c r="C2525" s="3">
        <f>MEDIAN(I2525:L2525)</f>
        <v>530.86</v>
      </c>
      <c r="D2525" s="3">
        <f>ROUND(C2525*(1-Settings!$B$2),2)</f>
        <v>371.6</v>
      </c>
      <c r="E2525" s="3">
        <f>ROUND(C2525*(1-Settings!$B$3),2)</f>
        <v>371.6</v>
      </c>
      <c r="F2525" s="2" t="inlineStr">
        <is>
          <t>Pokemon</t>
        </is>
      </c>
      <c r="G2525" s="2" t="inlineStr">
        <is>
          <t>Coffret</t>
        </is>
      </c>
      <c r="H2525" s="2" t="inlineStr">
        <is>
          <t>SWSH: Crown Zenith</t>
        </is>
      </c>
      <c r="I2525" s="3" t="n"/>
      <c r="J2525" s="3" t="n">
        <v>530.86</v>
      </c>
      <c r="K2525" s="3" t="n">
        <v>650</v>
      </c>
      <c r="L2525" s="3" t="n">
        <v>529.99</v>
      </c>
      <c r="M2525" s="2" t="inlineStr">
        <is>
          <t>TCGplayer</t>
        </is>
      </c>
      <c r="O2525" s="4" t="inlineStr">
        <is>
          <t>https://www.tcgplayer.com/product/454246</t>
        </is>
      </c>
    </row>
    <row r="2526">
      <c r="A2526" s="2" t="inlineStr">
        <is>
          <t>Crown Zenith Premium Figure Collection [Set of 2]</t>
        </is>
      </c>
      <c r="B2526" s="3">
        <f>IF(I2526&lt;&gt;"",I2526,IF(J2526&lt;&gt;"",J2526,IF(K2526&lt;&gt;"",K2526,L2526)))</f>
        <v>651.82</v>
      </c>
      <c r="C2526" s="3">
        <f>MEDIAN(I2526:L2526)</f>
        <v>669.0</v>
      </c>
      <c r="D2526" s="3">
        <f>ROUND(C2526*(1-Settings!$B$2),2)</f>
        <v>468.3</v>
      </c>
      <c r="E2526" s="3">
        <f>ROUND(C2526*(1-Settings!$B$3),2)</f>
        <v>468.3</v>
      </c>
      <c r="F2526" s="2" t="inlineStr">
        <is>
          <t>Pokemon</t>
        </is>
      </c>
      <c r="G2526" s="2" t="inlineStr">
        <is>
          <t>Coffret</t>
        </is>
      </c>
      <c r="H2526" s="2" t="inlineStr">
        <is>
          <t>SWSH: Crown Zenith</t>
        </is>
      </c>
      <c r="I2526" s="3" t="n"/>
      <c r="J2526" s="3" t="n">
        <v>651.8200000000001</v>
      </c>
      <c r="K2526" s="3" t="n">
        <v>700</v>
      </c>
      <c r="L2526" s="3" t="n">
        <v>669</v>
      </c>
      <c r="M2526" s="2" t="inlineStr">
        <is>
          <t>TCGplayer</t>
        </is>
      </c>
      <c r="O2526" s="4" t="inlineStr">
        <is>
          <t>https://www.tcgplayer.com/product/475648</t>
        </is>
      </c>
    </row>
    <row r="2527">
      <c r="A2527" s="2" t="inlineStr">
        <is>
          <t>Crown Zenith Premium Figure Collection [Shiny Zacian]</t>
        </is>
      </c>
      <c r="B2527" s="3">
        <f>IF(I2527&lt;&gt;"",I2527,IF(J2527&lt;&gt;"",J2527,IF(K2527&lt;&gt;"",K2527,L2527)))</f>
        <v>347.27</v>
      </c>
      <c r="C2527" s="3">
        <f>MEDIAN(I2527:L2527)</f>
        <v>350.0</v>
      </c>
      <c r="D2527" s="3">
        <f>ROUND(C2527*(1-Settings!$B$2),2)</f>
        <v>245.0</v>
      </c>
      <c r="E2527" s="3">
        <f>ROUND(C2527*(1-Settings!$B$3),2)</f>
        <v>245.0</v>
      </c>
      <c r="F2527" s="2" t="inlineStr">
        <is>
          <t>Pokemon</t>
        </is>
      </c>
      <c r="G2527" s="2" t="inlineStr">
        <is>
          <t>Coffret</t>
        </is>
      </c>
      <c r="H2527" s="2" t="inlineStr">
        <is>
          <t>SWSH: Crown Zenith</t>
        </is>
      </c>
      <c r="I2527" s="3" t="n"/>
      <c r="J2527" s="3" t="n">
        <v>347.27</v>
      </c>
      <c r="K2527" s="3" t="n">
        <v>377.5</v>
      </c>
      <c r="L2527" s="3" t="n">
        <v>350</v>
      </c>
      <c r="M2527" s="2" t="inlineStr">
        <is>
          <t>TCGplayer</t>
        </is>
      </c>
      <c r="O2527" s="4" t="inlineStr">
        <is>
          <t>https://www.tcgplayer.com/product/475647</t>
        </is>
      </c>
    </row>
    <row r="2528">
      <c r="A2528" s="2" t="inlineStr">
        <is>
          <t>Crown Zenith Premium Figure Collection [Shiny Zamazenta]</t>
        </is>
      </c>
      <c r="B2528" s="3">
        <f>IF(I2528&lt;&gt;"",I2528,IF(J2528&lt;&gt;"",J2528,IF(K2528&lt;&gt;"",K2528,L2528)))</f>
        <v>336.07</v>
      </c>
      <c r="C2528" s="3">
        <f>MEDIAN(I2528:L2528)</f>
        <v>336.07</v>
      </c>
      <c r="D2528" s="3">
        <f>ROUND(C2528*(1-Settings!$B$2),2)</f>
        <v>235.25</v>
      </c>
      <c r="E2528" s="3">
        <f>ROUND(C2528*(1-Settings!$B$3),2)</f>
        <v>235.25</v>
      </c>
      <c r="F2528" s="2" t="inlineStr">
        <is>
          <t>Pokemon</t>
        </is>
      </c>
      <c r="G2528" s="2" t="inlineStr">
        <is>
          <t>Coffret</t>
        </is>
      </c>
      <c r="H2528" s="2" t="inlineStr">
        <is>
          <t>SWSH: Crown Zenith</t>
        </is>
      </c>
      <c r="I2528" s="3" t="n"/>
      <c r="J2528" s="3" t="n">
        <v>336.07</v>
      </c>
      <c r="K2528" s="3" t="n">
        <v>342.5</v>
      </c>
      <c r="L2528" s="3" t="n">
        <v>330</v>
      </c>
      <c r="M2528" s="2" t="inlineStr">
        <is>
          <t>TCGplayer</t>
        </is>
      </c>
      <c r="O2528" s="4" t="inlineStr">
        <is>
          <t>https://www.tcgplayer.com/product/475646</t>
        </is>
      </c>
    </row>
    <row r="2529">
      <c r="A2529" s="2" t="inlineStr">
        <is>
          <t>Crown Zenith Special Collection [Unown V &amp; Lugia V]</t>
        </is>
      </c>
      <c r="B2529" s="3">
        <f>IF(I2529&lt;&gt;"",I2529,IF(J2529&lt;&gt;"",J2529,IF(K2529&lt;&gt;"",K2529,L2529)))</f>
        <v>249.99</v>
      </c>
      <c r="C2529" s="3">
        <f>MEDIAN(I2529:L2529)</f>
        <v>325.0</v>
      </c>
      <c r="D2529" s="3">
        <f>ROUND(C2529*(1-Settings!$B$2),2)</f>
        <v>227.5</v>
      </c>
      <c r="E2529" s="3">
        <f>ROUND(C2529*(1-Settings!$B$3),2)</f>
        <v>227.5</v>
      </c>
      <c r="F2529" s="2" t="inlineStr">
        <is>
          <t>Pokemon</t>
        </is>
      </c>
      <c r="G2529" s="2" t="inlineStr">
        <is>
          <t>Coffret</t>
        </is>
      </c>
      <c r="H2529" s="2" t="inlineStr">
        <is>
          <t>SWSH: Crown Zenith</t>
        </is>
      </c>
      <c r="I2529" s="3" t="n"/>
      <c r="J2529" s="3" t="n">
        <v>249.99</v>
      </c>
      <c r="K2529" s="3" t="n">
        <v>349.99</v>
      </c>
      <c r="L2529" s="3" t="n">
        <v>325</v>
      </c>
      <c r="M2529" s="2" t="inlineStr">
        <is>
          <t>TCGplayer</t>
        </is>
      </c>
      <c r="O2529" s="4" t="inlineStr">
        <is>
          <t>https://www.tcgplayer.com/product/505916</t>
        </is>
      </c>
    </row>
    <row r="2530">
      <c r="A2530" s="2" t="inlineStr">
        <is>
          <t>Crown Zenith Tin [Galarian Articuno]</t>
        </is>
      </c>
      <c r="B2530" s="3">
        <f>IF(I2530&lt;&gt;"",I2530,IF(J2530&lt;&gt;"",J2530,IF(K2530&lt;&gt;"",K2530,L2530)))</f>
        <v>150.48</v>
      </c>
      <c r="C2530" s="3">
        <f>MEDIAN(I2530:L2530)</f>
        <v>169.99</v>
      </c>
      <c r="D2530" s="3">
        <f>ROUND(C2530*(1-Settings!$B$2),2)</f>
        <v>118.99</v>
      </c>
      <c r="E2530" s="3">
        <f>ROUND(C2530*(1-Settings!$B$3),2)</f>
        <v>118.99</v>
      </c>
      <c r="F2530" s="2" t="inlineStr">
        <is>
          <t>Pokemon</t>
        </is>
      </c>
      <c r="G2530" s="2" t="inlineStr">
        <is>
          <t>Coffret</t>
        </is>
      </c>
      <c r="H2530" s="2" t="inlineStr">
        <is>
          <t>SWSH: Crown Zenith</t>
        </is>
      </c>
      <c r="I2530" s="3" t="n"/>
      <c r="J2530" s="3" t="n">
        <v>150.48</v>
      </c>
      <c r="K2530" s="3" t="n">
        <v>189.97</v>
      </c>
      <c r="L2530" s="3" t="n">
        <v>169.99</v>
      </c>
      <c r="M2530" s="2" t="inlineStr">
        <is>
          <t>TCGplayer</t>
        </is>
      </c>
      <c r="O2530" s="4" t="inlineStr">
        <is>
          <t>https://www.tcgplayer.com/product/475628</t>
        </is>
      </c>
    </row>
    <row r="2531">
      <c r="A2531" s="2" t="inlineStr">
        <is>
          <t>Crown Zenith Tin [Galarian Articuno] (International Version)</t>
        </is>
      </c>
      <c r="B2531" s="3">
        <f>IF(I2531&lt;&gt;"",I2531,IF(J2531&lt;&gt;"",J2531,IF(K2531&lt;&gt;"",K2531,L2531)))</f>
        <v>107.76</v>
      </c>
      <c r="C2531" s="3">
        <f>MEDIAN(I2531:L2531)</f>
        <v>119.0</v>
      </c>
      <c r="D2531" s="3">
        <f>ROUND(C2531*(1-Settings!$B$2),2)</f>
        <v>83.3</v>
      </c>
      <c r="E2531" s="3">
        <f>ROUND(C2531*(1-Settings!$B$3),2)</f>
        <v>83.3</v>
      </c>
      <c r="F2531" s="2" t="inlineStr">
        <is>
          <t>Pokemon</t>
        </is>
      </c>
      <c r="G2531" s="2" t="inlineStr">
        <is>
          <t>Coffret</t>
        </is>
      </c>
      <c r="H2531" s="2" t="inlineStr">
        <is>
          <t>SWSH: Crown Zenith</t>
        </is>
      </c>
      <c r="I2531" s="3" t="n"/>
      <c r="J2531" s="3" t="n">
        <v>107.76</v>
      </c>
      <c r="K2531" s="3" t="n">
        <v>123.95</v>
      </c>
      <c r="L2531" s="3" t="n">
        <v>119</v>
      </c>
      <c r="M2531" s="2" t="inlineStr">
        <is>
          <t>TCGplayer</t>
        </is>
      </c>
      <c r="O2531" s="4" t="inlineStr">
        <is>
          <t>https://www.tcgplayer.com/product/475631</t>
        </is>
      </c>
    </row>
    <row r="2532">
      <c r="A2532" s="2" t="inlineStr">
        <is>
          <t>Crown Zenith Tin [Galarian Moltres]</t>
        </is>
      </c>
      <c r="B2532" s="3">
        <f>IF(I2532&lt;&gt;"",I2532,IF(J2532&lt;&gt;"",J2532,IF(K2532&lt;&gt;"",K2532,L2532)))</f>
        <v>58.27</v>
      </c>
      <c r="C2532" s="3">
        <f>MEDIAN(I2532:L2532)</f>
        <v>152.805</v>
      </c>
      <c r="D2532" s="3">
        <f>ROUND(C2532*(1-Settings!$B$2),2)</f>
        <v>106.96</v>
      </c>
      <c r="E2532" s="3">
        <f>ROUND(C2532*(1-Settings!$B$3),2)</f>
        <v>106.96</v>
      </c>
      <c r="F2532" s="2" t="inlineStr">
        <is>
          <t>Pokemon</t>
        </is>
      </c>
      <c r="G2532" s="2" t="inlineStr">
        <is>
          <t>Coffret</t>
        </is>
      </c>
      <c r="H2532" s="2" t="inlineStr">
        <is>
          <t>SWSH: Crown Zenith</t>
        </is>
      </c>
      <c r="I2532" s="3" t="n">
        <v>58.27</v>
      </c>
      <c r="J2532" s="3" t="n">
        <v>155.61</v>
      </c>
      <c r="K2532" s="3" t="n">
        <v>170</v>
      </c>
      <c r="L2532" s="3" t="n">
        <v>150</v>
      </c>
      <c r="M2532" s="2" t="inlineStr">
        <is>
          <t>PriceCharting + TCGplayer</t>
        </is>
      </c>
      <c r="N2532" s="4" t="inlineStr">
        <is>
          <t>https://www.pricecharting.com/game/pokemon-crown-zenith/crown-zenith-tin-galarian-moltres</t>
        </is>
      </c>
      <c r="O2532" s="4" t="inlineStr">
        <is>
          <t>https://www.tcgplayer.com/product/475629</t>
        </is>
      </c>
    </row>
    <row r="2533">
      <c r="A2533" s="2" t="inlineStr">
        <is>
          <t>Crown Zenith Tin [Galarian Moltres] (International Version)</t>
        </is>
      </c>
      <c r="B2533" s="3">
        <f>IF(I2533&lt;&gt;"",I2533,IF(J2533&lt;&gt;"",J2533,IF(K2533&lt;&gt;"",K2533,L2533)))</f>
        <v>129.97</v>
      </c>
      <c r="C2533" s="3">
        <f>MEDIAN(I2533:L2533)</f>
        <v>129.97</v>
      </c>
      <c r="D2533" s="3">
        <f>ROUND(C2533*(1-Settings!$B$2),2)</f>
        <v>90.98</v>
      </c>
      <c r="E2533" s="3">
        <f>ROUND(C2533*(1-Settings!$B$3),2)</f>
        <v>90.98</v>
      </c>
      <c r="F2533" s="2" t="inlineStr">
        <is>
          <t>Pokemon</t>
        </is>
      </c>
      <c r="G2533" s="2" t="inlineStr">
        <is>
          <t>Coffret</t>
        </is>
      </c>
      <c r="H2533" s="2" t="inlineStr">
        <is>
          <t>SWSH: Crown Zenith</t>
        </is>
      </c>
      <c r="I2533" s="3" t="n"/>
      <c r="J2533" s="3" t="n">
        <v>129.97</v>
      </c>
      <c r="K2533" s="3" t="n">
        <v>140.5</v>
      </c>
      <c r="L2533" s="3" t="n">
        <v>124.99</v>
      </c>
      <c r="M2533" s="2" t="inlineStr">
        <is>
          <t>TCGplayer</t>
        </is>
      </c>
      <c r="O2533" s="4" t="inlineStr">
        <is>
          <t>https://www.tcgplayer.com/product/475632</t>
        </is>
      </c>
    </row>
    <row r="2534">
      <c r="A2534" s="2" t="inlineStr">
        <is>
          <t>Crown Zenith Tin [Galarian Zapdos]</t>
        </is>
      </c>
      <c r="B2534" s="3">
        <f>IF(I2534&lt;&gt;"",I2534,IF(J2534&lt;&gt;"",J2534,IF(K2534&lt;&gt;"",K2534,L2534)))</f>
        <v>126.72</v>
      </c>
      <c r="C2534" s="3">
        <f>MEDIAN(I2534:L2534)</f>
        <v>139.83499999999998</v>
      </c>
      <c r="D2534" s="3">
        <f>ROUND(C2534*(1-Settings!$B$2),2)</f>
        <v>97.88</v>
      </c>
      <c r="E2534" s="3">
        <f>ROUND(C2534*(1-Settings!$B$3),2)</f>
        <v>97.88</v>
      </c>
      <c r="F2534" s="2" t="inlineStr">
        <is>
          <t>Pokemon</t>
        </is>
      </c>
      <c r="G2534" s="2" t="inlineStr">
        <is>
          <t>Coffret</t>
        </is>
      </c>
      <c r="H2534" s="2" t="inlineStr">
        <is>
          <t>SWSH: Crown Zenith</t>
        </is>
      </c>
      <c r="I2534" s="3" t="n">
        <v>126.72</v>
      </c>
      <c r="J2534" s="3" t="n">
        <v>139.67</v>
      </c>
      <c r="K2534" s="3" t="n">
        <v>150</v>
      </c>
      <c r="L2534" s="3" t="n">
        <v>140</v>
      </c>
      <c r="M2534" s="2" t="inlineStr">
        <is>
          <t>PriceCharting + TCGplayer</t>
        </is>
      </c>
      <c r="N2534" s="4" t="inlineStr">
        <is>
          <t>https://www.pricecharting.com/game/pokemon-crown-zenith/crown-zenith-tin-galarian-zapdos</t>
        </is>
      </c>
      <c r="O2534" s="4" t="inlineStr">
        <is>
          <t>https://www.tcgplayer.com/product/475630</t>
        </is>
      </c>
    </row>
    <row r="2535">
      <c r="A2535" s="2" t="inlineStr">
        <is>
          <t>Crown Zenith Tin [Galarian Zapdos] (International Version)</t>
        </is>
      </c>
      <c r="B2535" s="3">
        <f>IF(I2535&lt;&gt;"",I2535,IF(J2535&lt;&gt;"",J2535,IF(K2535&lt;&gt;"",K2535,L2535)))</f>
        <v>124.16</v>
      </c>
      <c r="C2535" s="3">
        <f>MEDIAN(I2535:L2535)</f>
        <v>124.16</v>
      </c>
      <c r="D2535" s="3">
        <f>ROUND(C2535*(1-Settings!$B$2),2)</f>
        <v>86.91</v>
      </c>
      <c r="E2535" s="3">
        <f>ROUND(C2535*(1-Settings!$B$3),2)</f>
        <v>86.91</v>
      </c>
      <c r="F2535" s="2" t="inlineStr">
        <is>
          <t>Pokemon</t>
        </is>
      </c>
      <c r="G2535" s="2" t="inlineStr">
        <is>
          <t>Coffret</t>
        </is>
      </c>
      <c r="H2535" s="2" t="inlineStr">
        <is>
          <t>SWSH: Crown Zenith</t>
        </is>
      </c>
      <c r="I2535" s="3" t="n"/>
      <c r="J2535" s="3" t="n">
        <v>124.16</v>
      </c>
      <c r="K2535" s="3" t="n">
        <v>125</v>
      </c>
      <c r="L2535" s="3" t="n">
        <v>119</v>
      </c>
      <c r="M2535" s="2" t="inlineStr">
        <is>
          <t>TCGplayer</t>
        </is>
      </c>
      <c r="O2535" s="4" t="inlineStr">
        <is>
          <t>https://www.tcgplayer.com/product/475633</t>
        </is>
      </c>
    </row>
    <row r="2536">
      <c r="A2536" s="2" t="inlineStr">
        <is>
          <t>Crown Zenith Tin [Set of 3]</t>
        </is>
      </c>
      <c r="B2536" s="3">
        <f>IF(I2536&lt;&gt;"",I2536,IF(J2536&lt;&gt;"",J2536,IF(K2536&lt;&gt;"",K2536,L2536)))</f>
        <v>412.2</v>
      </c>
      <c r="C2536" s="3">
        <f>MEDIAN(I2536:L2536)</f>
        <v>469.99</v>
      </c>
      <c r="D2536" s="3">
        <f>ROUND(C2536*(1-Settings!$B$2),2)</f>
        <v>328.99</v>
      </c>
      <c r="E2536" s="3">
        <f>ROUND(C2536*(1-Settings!$B$3),2)</f>
        <v>328.99</v>
      </c>
      <c r="F2536" s="2" t="inlineStr">
        <is>
          <t>Pokemon</t>
        </is>
      </c>
      <c r="G2536" s="2" t="inlineStr">
        <is>
          <t>Coffret</t>
        </is>
      </c>
      <c r="H2536" s="2" t="inlineStr">
        <is>
          <t>SWSH: Crown Zenith</t>
        </is>
      </c>
      <c r="I2536" s="3" t="n"/>
      <c r="J2536" s="3" t="n">
        <v>412.2</v>
      </c>
      <c r="K2536" s="3" t="n">
        <v>476.99</v>
      </c>
      <c r="L2536" s="3" t="n">
        <v>469.99</v>
      </c>
      <c r="M2536" s="2" t="inlineStr">
        <is>
          <t>TCGplayer</t>
        </is>
      </c>
      <c r="O2536" s="4" t="inlineStr">
        <is>
          <t>https://www.tcgplayer.com/product/475634</t>
        </is>
      </c>
    </row>
    <row r="2537">
      <c r="A2537" s="2" t="inlineStr">
        <is>
          <t>Crown Zenith Tin [Set of 3] (International Version)</t>
        </is>
      </c>
      <c r="B2537" s="3">
        <f>IF(I2537&lt;&gt;"",I2537,IF(J2537&lt;&gt;"",J2537,IF(K2537&lt;&gt;"",K2537,L2537)))</f>
        <v>337.49</v>
      </c>
      <c r="C2537" s="3">
        <f>MEDIAN(I2537:L2537)</f>
        <v>380.0</v>
      </c>
      <c r="D2537" s="3">
        <f>ROUND(C2537*(1-Settings!$B$2),2)</f>
        <v>266.0</v>
      </c>
      <c r="E2537" s="3">
        <f>ROUND(C2537*(1-Settings!$B$3),2)</f>
        <v>266.0</v>
      </c>
      <c r="F2537" s="2" t="inlineStr">
        <is>
          <t>Pokemon</t>
        </is>
      </c>
      <c r="G2537" s="2" t="inlineStr">
        <is>
          <t>Coffret</t>
        </is>
      </c>
      <c r="H2537" s="2" t="inlineStr">
        <is>
          <t>SWSH: Crown Zenith</t>
        </is>
      </c>
      <c r="I2537" s="3" t="n"/>
      <c r="J2537" s="3" t="n">
        <v>337.49</v>
      </c>
      <c r="K2537" s="3" t="n">
        <v>440</v>
      </c>
      <c r="L2537" s="3" t="n">
        <v>380</v>
      </c>
      <c r="M2537" s="2" t="inlineStr">
        <is>
          <t>TCGplayer</t>
        </is>
      </c>
      <c r="O2537" s="4" t="inlineStr">
        <is>
          <t>https://www.tcgplayer.com/product/475635</t>
        </is>
      </c>
    </row>
    <row r="2538">
      <c r="A2538" s="2" t="inlineStr">
        <is>
          <t>Morpeko V-UNION Playmat Premium Collection</t>
        </is>
      </c>
      <c r="B2538" s="3">
        <f>IF(I2538&lt;&gt;"",I2538,IF(J2538&lt;&gt;"",J2538,IF(K2538&lt;&gt;"",K2538,L2538)))</f>
        <v>138.55</v>
      </c>
      <c r="C2538" s="3">
        <f>MEDIAN(I2538:L2538)</f>
        <v>138.55</v>
      </c>
      <c r="D2538" s="3">
        <f>ROUND(C2538*(1-Settings!$B$2),2)</f>
        <v>96.99</v>
      </c>
      <c r="E2538" s="3">
        <f>ROUND(C2538*(1-Settings!$B$3),2)</f>
        <v>96.99</v>
      </c>
      <c r="F2538" s="2" t="inlineStr">
        <is>
          <t>Pokemon</t>
        </is>
      </c>
      <c r="G2538" s="2" t="inlineStr">
        <is>
          <t>Coffret</t>
        </is>
      </c>
      <c r="H2538" s="2" t="inlineStr">
        <is>
          <t>SWSH: Crown Zenith</t>
        </is>
      </c>
      <c r="I2538" s="3" t="n"/>
      <c r="J2538" s="3" t="n">
        <v>138.55</v>
      </c>
      <c r="K2538" s="3" t="n">
        <v>199.99</v>
      </c>
      <c r="L2538" s="3" t="n">
        <v>135</v>
      </c>
      <c r="M2538" s="2" t="inlineStr">
        <is>
          <t>TCGplayer</t>
        </is>
      </c>
      <c r="O2538" s="4" t="inlineStr">
        <is>
          <t>https://www.tcgplayer.com/product/475644</t>
        </is>
      </c>
    </row>
    <row r="2539">
      <c r="A2539" s="2" t="inlineStr">
        <is>
          <t>Morpeko V-UNION Premium Treasures Collection</t>
        </is>
      </c>
      <c r="B2539" s="3">
        <f>IF(I2539&lt;&gt;"",I2539,IF(J2539&lt;&gt;"",J2539,IF(K2539&lt;&gt;"",K2539,L2539)))</f>
        <v>199.5</v>
      </c>
      <c r="C2539" s="3">
        <f>MEDIAN(I2539:L2539)</f>
        <v>229.22</v>
      </c>
      <c r="D2539" s="3">
        <f>ROUND(C2539*(1-Settings!$B$2),2)</f>
        <v>160.45</v>
      </c>
      <c r="E2539" s="3">
        <f>ROUND(C2539*(1-Settings!$B$3),2)</f>
        <v>160.45</v>
      </c>
      <c r="F2539" s="2" t="inlineStr">
        <is>
          <t>Pokemon</t>
        </is>
      </c>
      <c r="G2539" s="2" t="inlineStr">
        <is>
          <t>Coffret</t>
        </is>
      </c>
      <c r="H2539" s="2" t="inlineStr">
        <is>
          <t>SWSH: Crown Zenith</t>
        </is>
      </c>
      <c r="I2539" s="3" t="n">
        <v>199.5</v>
      </c>
      <c r="J2539" s="3" t="n">
        <v>219.44</v>
      </c>
      <c r="K2539" s="3" t="n">
        <v>250</v>
      </c>
      <c r="L2539" s="3" t="n">
        <v>239</v>
      </c>
      <c r="M2539" s="2" t="inlineStr">
        <is>
          <t>PriceCharting + TCGplayer</t>
        </is>
      </c>
      <c r="N2539" s="4" t="inlineStr">
        <is>
          <t>https://www.pricecharting.com/game/pokemon-crown-zenith/morpeko-v-union-premium-treasures-collection</t>
        </is>
      </c>
      <c r="O2539" s="4" t="inlineStr">
        <is>
          <t>https://www.tcgplayer.com/product/516939</t>
        </is>
      </c>
    </row>
    <row r="2540">
      <c r="A2540" s="2" t="inlineStr">
        <is>
          <t>Pikachu VMAX Premium Collection</t>
        </is>
      </c>
      <c r="B2540" s="3">
        <f>IF(I2540&lt;&gt;"",I2540,IF(J2540&lt;&gt;"",J2540,IF(K2540&lt;&gt;"",K2540,L2540)))</f>
        <v>198.75</v>
      </c>
      <c r="C2540" s="3">
        <f>MEDIAN(I2540:L2540)</f>
        <v>226.365</v>
      </c>
      <c r="D2540" s="3">
        <f>ROUND(C2540*(1-Settings!$B$2),2)</f>
        <v>158.46</v>
      </c>
      <c r="E2540" s="3">
        <f>ROUND(C2540*(1-Settings!$B$3),2)</f>
        <v>158.46</v>
      </c>
      <c r="F2540" s="2" t="inlineStr">
        <is>
          <t>Pokemon</t>
        </is>
      </c>
      <c r="G2540" s="2" t="inlineStr">
        <is>
          <t>Coffret</t>
        </is>
      </c>
      <c r="H2540" s="2" t="inlineStr">
        <is>
          <t>SWSH: Crown Zenith</t>
        </is>
      </c>
      <c r="I2540" s="3" t="n">
        <v>198.75</v>
      </c>
      <c r="J2540" s="3" t="n">
        <v>222.73</v>
      </c>
      <c r="K2540" s="3" t="n">
        <v>250</v>
      </c>
      <c r="L2540" s="3" t="n">
        <v>230</v>
      </c>
      <c r="M2540" s="2" t="inlineStr">
        <is>
          <t>PriceCharting + TCGplayer</t>
        </is>
      </c>
      <c r="N2540" s="4" t="inlineStr">
        <is>
          <t>https://www.pricecharting.com/game/pokemon-crown-zenith/pikachu-vmax-premium-collection</t>
        </is>
      </c>
      <c r="O2540" s="4" t="inlineStr">
        <is>
          <t>https://www.tcgplayer.com/product/527796</t>
        </is>
      </c>
    </row>
    <row r="2541">
      <c r="A2541" s="2" t="inlineStr">
        <is>
          <t>Pikachu VMAX Special Collection</t>
        </is>
      </c>
      <c r="B2541" s="3">
        <f>IF(I2541&lt;&gt;"",I2541,IF(J2541&lt;&gt;"",J2541,IF(K2541&lt;&gt;"",K2541,L2541)))</f>
        <v>158.92</v>
      </c>
      <c r="C2541" s="3">
        <f>MEDIAN(I2541:L2541)</f>
        <v>159.46499999999997</v>
      </c>
      <c r="D2541" s="3">
        <f>ROUND(C2541*(1-Settings!$B$2),2)</f>
        <v>111.63</v>
      </c>
      <c r="E2541" s="3">
        <f>ROUND(C2541*(1-Settings!$B$3),2)</f>
        <v>111.63</v>
      </c>
      <c r="F2541" s="2" t="inlineStr">
        <is>
          <t>Pokemon</t>
        </is>
      </c>
      <c r="G2541" s="2" t="inlineStr">
        <is>
          <t>Coffret</t>
        </is>
      </c>
      <c r="H2541" s="2" t="inlineStr">
        <is>
          <t>SWSH: Crown Zenith</t>
        </is>
      </c>
      <c r="I2541" s="3" t="n">
        <v>158.92</v>
      </c>
      <c r="J2541" s="3" t="n">
        <v>158.51</v>
      </c>
      <c r="K2541" s="3" t="n">
        <v>174.99</v>
      </c>
      <c r="L2541" s="3" t="n">
        <v>160.01</v>
      </c>
      <c r="M2541" s="2" t="inlineStr">
        <is>
          <t>PriceCharting + TCGplayer</t>
        </is>
      </c>
      <c r="N2541" s="4" t="inlineStr">
        <is>
          <t>https://www.pricecharting.com/game/pokemon-crown-zenith/pikachu-vmax-special-collection</t>
        </is>
      </c>
      <c r="O2541" s="4" t="inlineStr">
        <is>
          <t>https://www.tcgplayer.com/product/454452</t>
        </is>
      </c>
    </row>
    <row r="2542">
      <c r="A2542" s="2" t="inlineStr">
        <is>
          <t>Sea &amp; Sky Premium Collection</t>
        </is>
      </c>
      <c r="B2542" s="3">
        <f>IF(I2542&lt;&gt;"",I2542,IF(J2542&lt;&gt;"",J2542,IF(K2542&lt;&gt;"",K2542,L2542)))</f>
        <v>381.37</v>
      </c>
      <c r="C2542" s="3">
        <f>MEDIAN(I2542:L2542)</f>
        <v>381.37</v>
      </c>
      <c r="D2542" s="3">
        <f>ROUND(C2542*(1-Settings!$B$2),2)</f>
        <v>266.96</v>
      </c>
      <c r="E2542" s="3">
        <f>ROUND(C2542*(1-Settings!$B$3),2)</f>
        <v>266.96</v>
      </c>
      <c r="F2542" s="2" t="inlineStr">
        <is>
          <t>Pokemon</t>
        </is>
      </c>
      <c r="G2542" s="2" t="inlineStr">
        <is>
          <t>Coffret</t>
        </is>
      </c>
      <c r="H2542" s="2" t="inlineStr">
        <is>
          <t>SWSH: Crown Zenith</t>
        </is>
      </c>
      <c r="I2542" s="3" t="n"/>
      <c r="J2542" s="3" t="n">
        <v>381.37</v>
      </c>
      <c r="K2542" s="3" t="n">
        <v>399</v>
      </c>
      <c r="L2542" s="3" t="n">
        <v>372.8</v>
      </c>
      <c r="M2542" s="2" t="inlineStr">
        <is>
          <t>TCGplayer</t>
        </is>
      </c>
      <c r="O2542" s="4" t="inlineStr">
        <is>
          <t>https://www.tcgplayer.com/product/563307</t>
        </is>
      </c>
    </row>
    <row r="2543">
      <c r="A2543" s="2" t="inlineStr">
        <is>
          <t>Team Up 3-Pack Blister</t>
        </is>
      </c>
      <c r="B2543" s="3">
        <f>IF(I2543&lt;&gt;"",I2543,IF(J2543&lt;&gt;"",J2543,IF(K2543&lt;&gt;"",K2543,L2543)))</f>
        <v>1226.09</v>
      </c>
      <c r="C2543" s="3">
        <f>MEDIAN(I2543:L2543)</f>
        <v>1226.09</v>
      </c>
      <c r="D2543" s="3">
        <f>ROUND(C2543*(1-Settings!$B$2),2)</f>
        <v>858.26</v>
      </c>
      <c r="E2543" s="3">
        <f>ROUND(C2543*(1-Settings!$B$3),2)</f>
        <v>858.26</v>
      </c>
      <c r="F2543" s="2" t="inlineStr">
        <is>
          <t>Pokemon</t>
        </is>
      </c>
      <c r="G2543" s="2" t="inlineStr">
        <is>
          <t>Coffret</t>
        </is>
      </c>
      <c r="H2543" s="2" t="inlineStr">
        <is>
          <t>Team Up</t>
        </is>
      </c>
      <c r="I2543" s="3" t="n">
        <v>1226.09</v>
      </c>
      <c r="J2543" s="3" t="n"/>
      <c r="K2543" s="3" t="n"/>
      <c r="L2543" s="3" t="n"/>
      <c r="M2543" s="2" t="inlineStr">
        <is>
          <t>PriceCharting</t>
        </is>
      </c>
      <c r="N2543" s="4" t="inlineStr">
        <is>
          <t>https://www.pricecharting.com/game/pokemon-team-up/3-pack-blister</t>
        </is>
      </c>
    </row>
    <row r="2544">
      <c r="A2544" s="2" t="inlineStr">
        <is>
          <t>Team Up Build And Battle Box</t>
        </is>
      </c>
      <c r="B2544" s="3">
        <f>IF(I2544&lt;&gt;"",I2544,IF(J2544&lt;&gt;"",J2544,IF(K2544&lt;&gt;"",K2544,L2544)))</f>
        <v>1186.0</v>
      </c>
      <c r="C2544" s="3">
        <f>MEDIAN(I2544:L2544)</f>
        <v>1186.0</v>
      </c>
      <c r="D2544" s="3">
        <f>ROUND(C2544*(1-Settings!$B$2),2)</f>
        <v>830.2</v>
      </c>
      <c r="E2544" s="3">
        <f>ROUND(C2544*(1-Settings!$B$3),2)</f>
        <v>830.2</v>
      </c>
      <c r="F2544" s="2" t="inlineStr">
        <is>
          <t>Pokemon</t>
        </is>
      </c>
      <c r="G2544" s="2" t="inlineStr">
        <is>
          <t>Coffret</t>
        </is>
      </c>
      <c r="H2544" s="2" t="inlineStr">
        <is>
          <t>Team Up</t>
        </is>
      </c>
      <c r="I2544" s="3" t="n">
        <v>1186</v>
      </c>
      <c r="J2544" s="3" t="n"/>
      <c r="K2544" s="3" t="n"/>
      <c r="L2544" s="3" t="n"/>
      <c r="M2544" s="2" t="inlineStr">
        <is>
          <t>PriceCharting</t>
        </is>
      </c>
      <c r="N2544" s="4" t="inlineStr">
        <is>
          <t>https://www.pricecharting.com/game/pokemon-team-up/build-and-battle-box</t>
        </is>
      </c>
    </row>
    <row r="2545">
      <c r="A2545" s="2" t="inlineStr">
        <is>
          <t>Team Up Reshiram &amp; Charizard GX Premium Collection Box</t>
        </is>
      </c>
      <c r="B2545" s="3">
        <f>IF(I2545&lt;&gt;"",I2545,IF(J2545&lt;&gt;"",J2545,IF(K2545&lt;&gt;"",K2545,L2545)))</f>
        <v>315.0</v>
      </c>
      <c r="C2545" s="3">
        <f>MEDIAN(I2545:L2545)</f>
        <v>315.0</v>
      </c>
      <c r="D2545" s="3">
        <f>ROUND(C2545*(1-Settings!$B$2),2)</f>
        <v>220.5</v>
      </c>
      <c r="E2545" s="3">
        <f>ROUND(C2545*(1-Settings!$B$3),2)</f>
        <v>220.5</v>
      </c>
      <c r="F2545" s="2" t="inlineStr">
        <is>
          <t>Pokemon</t>
        </is>
      </c>
      <c r="G2545" s="2" t="inlineStr">
        <is>
          <t>Coffret</t>
        </is>
      </c>
      <c r="H2545" s="2" t="inlineStr">
        <is>
          <t>Team Up</t>
        </is>
      </c>
      <c r="I2545" s="3" t="n">
        <v>315</v>
      </c>
      <c r="J2545" s="3" t="n"/>
      <c r="K2545" s="3" t="n"/>
      <c r="L2545" s="3" t="n"/>
      <c r="M2545" s="2" t="inlineStr">
        <is>
          <t>PriceCharting</t>
        </is>
      </c>
      <c r="N2545" s="4" t="inlineStr">
        <is>
          <t>https://www.pricecharting.com/game/pokemon-team-up/reshiram-&amp;-charizard-gx-premium-collection-box</t>
        </is>
      </c>
    </row>
    <row r="2546">
      <c r="A2546" s="2" t="inlineStr">
        <is>
          <t>Temporal Forces Elite Trainer Box [Iron Leaves Pokemon Center]</t>
        </is>
      </c>
      <c r="B2546" s="3">
        <f>IF(I2546&lt;&gt;"",I2546,IF(J2546&lt;&gt;"",J2546,IF(K2546&lt;&gt;"",K2546,L2546)))</f>
        <v>193.2</v>
      </c>
      <c r="C2546" s="3">
        <f>MEDIAN(I2546:L2546)</f>
        <v>193.2</v>
      </c>
      <c r="D2546" s="3">
        <f>ROUND(C2546*(1-Settings!$B$2),2)</f>
        <v>135.24</v>
      </c>
      <c r="E2546" s="3">
        <f>ROUND(C2546*(1-Settings!$B$3),2)</f>
        <v>135.24</v>
      </c>
      <c r="F2546" s="2" t="inlineStr">
        <is>
          <t>Pokemon</t>
        </is>
      </c>
      <c r="G2546" s="2" t="inlineStr">
        <is>
          <t>Coffret</t>
        </is>
      </c>
      <c r="H2546" s="2" t="inlineStr">
        <is>
          <t>Temporal Forces</t>
        </is>
      </c>
      <c r="I2546" s="3" t="n">
        <v>193.2</v>
      </c>
      <c r="J2546" s="3" t="n"/>
      <c r="K2546" s="3" t="n"/>
      <c r="L2546" s="3" t="n"/>
      <c r="M2546" s="2" t="inlineStr">
        <is>
          <t>PriceCharting</t>
        </is>
      </c>
      <c r="N2546" s="4" t="inlineStr">
        <is>
          <t>https://www.pricecharting.com/game/pokemon-temporal-forces/elite-trainer-box-iron-leaves-pokemon-center</t>
        </is>
      </c>
    </row>
    <row r="2547">
      <c r="A2547" s="2" t="inlineStr">
        <is>
          <t>Temporal Forces Elite Trainer Box [Iron Leaves]</t>
        </is>
      </c>
      <c r="B2547" s="3">
        <f>IF(I2547&lt;&gt;"",I2547,IF(J2547&lt;&gt;"",J2547,IF(K2547&lt;&gt;"",K2547,L2547)))</f>
        <v>125.0</v>
      </c>
      <c r="C2547" s="3">
        <f>MEDIAN(I2547:L2547)</f>
        <v>125.0</v>
      </c>
      <c r="D2547" s="3">
        <f>ROUND(C2547*(1-Settings!$B$2),2)</f>
        <v>87.5</v>
      </c>
      <c r="E2547" s="3">
        <f>ROUND(C2547*(1-Settings!$B$3),2)</f>
        <v>87.5</v>
      </c>
      <c r="F2547" s="2" t="inlineStr">
        <is>
          <t>Pokemon</t>
        </is>
      </c>
      <c r="G2547" s="2" t="inlineStr">
        <is>
          <t>Coffret</t>
        </is>
      </c>
      <c r="H2547" s="2" t="inlineStr">
        <is>
          <t>Temporal Forces</t>
        </is>
      </c>
      <c r="I2547" s="3" t="n">
        <v>125</v>
      </c>
      <c r="J2547" s="3" t="n"/>
      <c r="K2547" s="3" t="n"/>
      <c r="L2547" s="3" t="n"/>
      <c r="M2547" s="2" t="inlineStr">
        <is>
          <t>PriceCharting</t>
        </is>
      </c>
      <c r="N2547" s="4" t="inlineStr">
        <is>
          <t>https://www.pricecharting.com/game/pokemon-temporal-forces/elite-trainer-box-iron-leaves</t>
        </is>
      </c>
    </row>
    <row r="2548">
      <c r="A2548" s="2" t="inlineStr">
        <is>
          <t>Temporal Forces Elite Trainer Box [Walking Wake Pokemon Center]</t>
        </is>
      </c>
      <c r="B2548" s="3">
        <f>IF(I2548&lt;&gt;"",I2548,IF(J2548&lt;&gt;"",J2548,IF(K2548&lt;&gt;"",K2548,L2548)))</f>
        <v>215.19</v>
      </c>
      <c r="C2548" s="3">
        <f>MEDIAN(I2548:L2548)</f>
        <v>215.19</v>
      </c>
      <c r="D2548" s="3">
        <f>ROUND(C2548*(1-Settings!$B$2),2)</f>
        <v>150.63</v>
      </c>
      <c r="E2548" s="3">
        <f>ROUND(C2548*(1-Settings!$B$3),2)</f>
        <v>150.63</v>
      </c>
      <c r="F2548" s="2" t="inlineStr">
        <is>
          <t>Pokemon</t>
        </is>
      </c>
      <c r="G2548" s="2" t="inlineStr">
        <is>
          <t>Coffret</t>
        </is>
      </c>
      <c r="H2548" s="2" t="inlineStr">
        <is>
          <t>Temporal Forces</t>
        </is>
      </c>
      <c r="I2548" s="3" t="n">
        <v>215.19</v>
      </c>
      <c r="J2548" s="3" t="n"/>
      <c r="K2548" s="3" t="n"/>
      <c r="L2548" s="3" t="n"/>
      <c r="M2548" s="2" t="inlineStr">
        <is>
          <t>PriceCharting</t>
        </is>
      </c>
      <c r="N2548" s="4" t="inlineStr">
        <is>
          <t>https://www.pricecharting.com/game/pokemon-temporal-forces/elite-trainer-box-walking-wake-pokemon-center</t>
        </is>
      </c>
    </row>
    <row r="2549">
      <c r="A2549" s="2" t="inlineStr">
        <is>
          <t>Trick Or Trade 2022 Booster Bundle</t>
        </is>
      </c>
      <c r="B2549" s="3">
        <f>IF(I2549&lt;&gt;"",I2549,IF(J2549&lt;&gt;"",J2549,IF(K2549&lt;&gt;"",K2549,L2549)))</f>
        <v>65.79</v>
      </c>
      <c r="C2549" s="3">
        <f>MEDIAN(I2549:L2549)</f>
        <v>65.79</v>
      </c>
      <c r="D2549" s="3">
        <f>ROUND(C2549*(1-Settings!$B$2),2)</f>
        <v>46.05</v>
      </c>
      <c r="E2549" s="3">
        <f>ROUND(C2549*(1-Settings!$B$3),2)</f>
        <v>46.05</v>
      </c>
      <c r="F2549" s="2" t="inlineStr">
        <is>
          <t>Pokemon</t>
        </is>
      </c>
      <c r="G2549" s="2" t="inlineStr">
        <is>
          <t>Coffret</t>
        </is>
      </c>
      <c r="H2549" s="2" t="inlineStr">
        <is>
          <t>Trick Or Trade 2022</t>
        </is>
      </c>
      <c r="I2549" s="3" t="n">
        <v>65.79000000000001</v>
      </c>
      <c r="J2549" s="3" t="n"/>
      <c r="K2549" s="3" t="n"/>
      <c r="L2549" s="3" t="n"/>
      <c r="M2549" s="2" t="inlineStr">
        <is>
          <t>PriceCharting</t>
        </is>
      </c>
      <c r="N2549" s="4" t="inlineStr">
        <is>
          <t>https://www.pricecharting.com/game/pokemon-trick-or-trade-2022/booster-bundle</t>
        </is>
      </c>
    </row>
    <row r="2550">
      <c r="A2550" s="2" t="inlineStr">
        <is>
          <t>Trick Or Trade 2022 Booster Bundle [120-Pack]</t>
        </is>
      </c>
      <c r="B2550" s="3">
        <f>IF(I2550&lt;&gt;"",I2550,IF(J2550&lt;&gt;"",J2550,IF(K2550&lt;&gt;"",K2550,L2550)))</f>
        <v>55.0</v>
      </c>
      <c r="C2550" s="3">
        <f>MEDIAN(I2550:L2550)</f>
        <v>55.0</v>
      </c>
      <c r="D2550" s="3">
        <f>ROUND(C2550*(1-Settings!$B$2),2)</f>
        <v>38.5</v>
      </c>
      <c r="E2550" s="3">
        <f>ROUND(C2550*(1-Settings!$B$3),2)</f>
        <v>38.5</v>
      </c>
      <c r="F2550" s="2" t="inlineStr">
        <is>
          <t>Pokemon</t>
        </is>
      </c>
      <c r="G2550" s="2" t="inlineStr">
        <is>
          <t>Coffret</t>
        </is>
      </c>
      <c r="H2550" s="2" t="inlineStr">
        <is>
          <t>Trick Or Trade 2022</t>
        </is>
      </c>
      <c r="I2550" s="3" t="n">
        <v>55</v>
      </c>
      <c r="J2550" s="3" t="n"/>
      <c r="K2550" s="3" t="n"/>
      <c r="L2550" s="3" t="n"/>
      <c r="M2550" s="2" t="inlineStr">
        <is>
          <t>PriceCharting</t>
        </is>
      </c>
      <c r="N2550" s="4" t="inlineStr">
        <is>
          <t>https://www.pricecharting.com/game/pokemon-trick-or-trade-2022/booster-bundle-120-pack</t>
        </is>
      </c>
    </row>
    <row r="2551">
      <c r="A2551" s="2" t="inlineStr">
        <is>
          <t>Trick Or Trade 2023 Booster Bundle</t>
        </is>
      </c>
      <c r="B2551" s="3">
        <f>IF(I2551&lt;&gt;"",I2551,IF(J2551&lt;&gt;"",J2551,IF(K2551&lt;&gt;"",K2551,L2551)))</f>
        <v>75.64</v>
      </c>
      <c r="C2551" s="3">
        <f>MEDIAN(I2551:L2551)</f>
        <v>75.64</v>
      </c>
      <c r="D2551" s="3">
        <f>ROUND(C2551*(1-Settings!$B$2),2)</f>
        <v>52.95</v>
      </c>
      <c r="E2551" s="3">
        <f>ROUND(C2551*(1-Settings!$B$3),2)</f>
        <v>52.95</v>
      </c>
      <c r="F2551" s="2" t="inlineStr">
        <is>
          <t>Pokemon</t>
        </is>
      </c>
      <c r="G2551" s="2" t="inlineStr">
        <is>
          <t>Coffret</t>
        </is>
      </c>
      <c r="H2551" s="2" t="inlineStr">
        <is>
          <t>Trick Or Trade 2023</t>
        </is>
      </c>
      <c r="I2551" s="3" t="n">
        <v>75.64</v>
      </c>
      <c r="J2551" s="3" t="n"/>
      <c r="K2551" s="3" t="n"/>
      <c r="L2551" s="3" t="n"/>
      <c r="M2551" s="2" t="inlineStr">
        <is>
          <t>PriceCharting</t>
        </is>
      </c>
      <c r="N2551" s="4" t="inlineStr">
        <is>
          <t>https://www.pricecharting.com/game/pokemon-trick-or-trade-2023/booster-bundle</t>
        </is>
      </c>
    </row>
    <row r="2552">
      <c r="A2552" s="2" t="inlineStr">
        <is>
          <t>Trick Or Trade 2023 Booster Bundle [120]</t>
        </is>
      </c>
      <c r="B2552" s="3">
        <f>IF(I2552&lt;&gt;"",I2552,IF(J2552&lt;&gt;"",J2552,IF(K2552&lt;&gt;"",K2552,L2552)))</f>
        <v>168.5</v>
      </c>
      <c r="C2552" s="3">
        <f>MEDIAN(I2552:L2552)</f>
        <v>168.5</v>
      </c>
      <c r="D2552" s="3">
        <f>ROUND(C2552*(1-Settings!$B$2),2)</f>
        <v>117.95</v>
      </c>
      <c r="E2552" s="3">
        <f>ROUND(C2552*(1-Settings!$B$3),2)</f>
        <v>117.95</v>
      </c>
      <c r="F2552" s="2" t="inlineStr">
        <is>
          <t>Pokemon</t>
        </is>
      </c>
      <c r="G2552" s="2" t="inlineStr">
        <is>
          <t>Coffret</t>
        </is>
      </c>
      <c r="H2552" s="2" t="inlineStr">
        <is>
          <t>Trick Or Trade 2023</t>
        </is>
      </c>
      <c r="I2552" s="3" t="n">
        <v>168.5</v>
      </c>
      <c r="J2552" s="3" t="n"/>
      <c r="K2552" s="3" t="n"/>
      <c r="L2552" s="3" t="n"/>
      <c r="M2552" s="2" t="inlineStr">
        <is>
          <t>PriceCharting</t>
        </is>
      </c>
      <c r="N2552" s="4" t="inlineStr">
        <is>
          <t>https://www.pricecharting.com/game/pokemon-trick-or-trade-2023/booster-bundle-120</t>
        </is>
      </c>
    </row>
    <row r="2553">
      <c r="A2553" s="2" t="inlineStr">
        <is>
          <t>Trick Or Trade 2024 Booster Bundle</t>
        </is>
      </c>
      <c r="B2553" s="3">
        <f>IF(I2553&lt;&gt;"",I2553,IF(J2553&lt;&gt;"",J2553,IF(K2553&lt;&gt;"",K2553,L2553)))</f>
        <v>71.42</v>
      </c>
      <c r="C2553" s="3">
        <f>MEDIAN(I2553:L2553)</f>
        <v>71.42</v>
      </c>
      <c r="D2553" s="3">
        <f>ROUND(C2553*(1-Settings!$B$2),2)</f>
        <v>49.99</v>
      </c>
      <c r="E2553" s="3">
        <f>ROUND(C2553*(1-Settings!$B$3),2)</f>
        <v>49.99</v>
      </c>
      <c r="F2553" s="2" t="inlineStr">
        <is>
          <t>Pokemon</t>
        </is>
      </c>
      <c r="G2553" s="2" t="inlineStr">
        <is>
          <t>Coffret</t>
        </is>
      </c>
      <c r="H2553" s="2" t="inlineStr">
        <is>
          <t>Trick Or Trade 2024</t>
        </is>
      </c>
      <c r="I2553" s="3" t="n">
        <v>71.42</v>
      </c>
      <c r="J2553" s="3" t="n"/>
      <c r="K2553" s="3" t="n"/>
      <c r="L2553" s="3" t="n"/>
      <c r="M2553" s="2" t="inlineStr">
        <is>
          <t>PriceCharting</t>
        </is>
      </c>
      <c r="N2553" s="4" t="inlineStr">
        <is>
          <t>https://www.pricecharting.com/game/pokemon-trick-or-trade-2024/booster-bundle</t>
        </is>
      </c>
    </row>
    <row r="2554">
      <c r="A2554" s="2" t="inlineStr">
        <is>
          <t>Trick Or Trade 2024 Booster Bundle [120]</t>
        </is>
      </c>
      <c r="B2554" s="3">
        <f>IF(I2554&lt;&gt;"",I2554,IF(J2554&lt;&gt;"",J2554,IF(K2554&lt;&gt;"",K2554,L2554)))</f>
        <v>181.5</v>
      </c>
      <c r="C2554" s="3">
        <f>MEDIAN(I2554:L2554)</f>
        <v>181.5</v>
      </c>
      <c r="D2554" s="3">
        <f>ROUND(C2554*(1-Settings!$B$2),2)</f>
        <v>127.05</v>
      </c>
      <c r="E2554" s="3">
        <f>ROUND(C2554*(1-Settings!$B$3),2)</f>
        <v>127.05</v>
      </c>
      <c r="F2554" s="2" t="inlineStr">
        <is>
          <t>Pokemon</t>
        </is>
      </c>
      <c r="G2554" s="2" t="inlineStr">
        <is>
          <t>Coffret</t>
        </is>
      </c>
      <c r="H2554" s="2" t="inlineStr">
        <is>
          <t>Trick Or Trade 2024</t>
        </is>
      </c>
      <c r="I2554" s="3" t="n">
        <v>181.5</v>
      </c>
      <c r="J2554" s="3" t="n"/>
      <c r="K2554" s="3" t="n"/>
      <c r="L2554" s="3" t="n"/>
      <c r="M2554" s="2" t="inlineStr">
        <is>
          <t>PriceCharting</t>
        </is>
      </c>
      <c r="N2554" s="4" t="inlineStr">
        <is>
          <t>https://www.pricecharting.com/game/pokemon-trick-or-trade-2024/booster-bundle-120</t>
        </is>
      </c>
    </row>
    <row r="2555">
      <c r="A2555" s="2" t="inlineStr">
        <is>
          <t>Trick or Trade BOOster Bundle (120 ct)</t>
        </is>
      </c>
      <c r="B2555" s="3">
        <f>IF(I2555&lt;&gt;"",I2555,IF(J2555&lt;&gt;"",J2555,IF(K2555&lt;&gt;"",K2555,L2555)))</f>
        <v>173.32</v>
      </c>
      <c r="C2555" s="3">
        <f>MEDIAN(I2555:L2555)</f>
        <v>249.99</v>
      </c>
      <c r="D2555" s="3">
        <f>ROUND(C2555*(1-Settings!$B$2),2)</f>
        <v>174.99</v>
      </c>
      <c r="E2555" s="3">
        <f>ROUND(C2555*(1-Settings!$B$3),2)</f>
        <v>174.99</v>
      </c>
      <c r="F2555" s="2" t="inlineStr">
        <is>
          <t>Pokemon</t>
        </is>
      </c>
      <c r="G2555" s="2" t="inlineStr">
        <is>
          <t>Coffret</t>
        </is>
      </c>
      <c r="H2555" s="2" t="inlineStr">
        <is>
          <t>Trick or Trade BOOster Bundle</t>
        </is>
      </c>
      <c r="I2555" s="3" t="n"/>
      <c r="J2555" s="3" t="n">
        <v>173.32</v>
      </c>
      <c r="K2555" s="3" t="n">
        <v>257.48</v>
      </c>
      <c r="L2555" s="3" t="n">
        <v>249.99</v>
      </c>
      <c r="M2555" s="2" t="inlineStr">
        <is>
          <t>TCGplayer</t>
        </is>
      </c>
      <c r="O2555" s="4" t="inlineStr">
        <is>
          <t>https://www.tcgplayer.com/product/659627</t>
        </is>
      </c>
    </row>
    <row r="2556">
      <c r="A2556" s="2" t="inlineStr">
        <is>
          <t>Trick or Trade BOOster Bundle (40 ct)</t>
        </is>
      </c>
      <c r="B2556" s="3">
        <f>IF(I2556&lt;&gt;"",I2556,IF(J2556&lt;&gt;"",J2556,IF(K2556&lt;&gt;"",K2556,L2556)))</f>
        <v>75.43</v>
      </c>
      <c r="C2556" s="3">
        <f>MEDIAN(I2556:L2556)</f>
        <v>75.43</v>
      </c>
      <c r="D2556" s="3">
        <f>ROUND(C2556*(1-Settings!$B$2),2)</f>
        <v>52.8</v>
      </c>
      <c r="E2556" s="3">
        <f>ROUND(C2556*(1-Settings!$B$3),2)</f>
        <v>52.8</v>
      </c>
      <c r="F2556" s="2" t="inlineStr">
        <is>
          <t>Pokemon</t>
        </is>
      </c>
      <c r="G2556" s="2" t="inlineStr">
        <is>
          <t>Coffret</t>
        </is>
      </c>
      <c r="H2556" s="2" t="inlineStr">
        <is>
          <t>Trick or Trade BOOster Bundle</t>
        </is>
      </c>
      <c r="I2556" s="3" t="n"/>
      <c r="J2556" s="3" t="n">
        <v>75.43000000000001</v>
      </c>
      <c r="K2556" s="3" t="n">
        <v>85.98999999999999</v>
      </c>
      <c r="L2556" s="3" t="n">
        <v>69.69</v>
      </c>
      <c r="M2556" s="2" t="inlineStr">
        <is>
          <t>TCGplayer</t>
        </is>
      </c>
      <c r="O2556" s="4" t="inlineStr">
        <is>
          <t>https://www.tcgplayer.com/product/280302</t>
        </is>
      </c>
    </row>
    <row r="2557">
      <c r="A2557" s="2" t="inlineStr">
        <is>
          <t>Trick or Trade BOOster Bundle - Mini Booster Pack</t>
        </is>
      </c>
      <c r="B2557" s="3">
        <f>IF(I2557&lt;&gt;"",I2557,IF(J2557&lt;&gt;"",J2557,IF(K2557&lt;&gt;"",K2557,L2557)))</f>
        <v>2.03</v>
      </c>
      <c r="C2557" s="3">
        <f>MEDIAN(I2557:L2557)</f>
        <v>2.03</v>
      </c>
      <c r="D2557" s="3">
        <f>ROUND(C2557*(1-Settings!$B$2),2)</f>
        <v>1.42</v>
      </c>
      <c r="E2557" s="3">
        <f>ROUND(C2557*(1-Settings!$B$3),2)</f>
        <v>1.42</v>
      </c>
      <c r="F2557" s="2" t="inlineStr">
        <is>
          <t>Pokemon</t>
        </is>
      </c>
      <c r="G2557" s="2" t="inlineStr">
        <is>
          <t>Coffret</t>
        </is>
      </c>
      <c r="H2557" s="2" t="inlineStr">
        <is>
          <t>Trick or Trade BOOster Bundle</t>
        </is>
      </c>
      <c r="I2557" s="3" t="n"/>
      <c r="J2557" s="3" t="n">
        <v>2.03</v>
      </c>
      <c r="K2557" s="3" t="n">
        <v>2.6</v>
      </c>
      <c r="L2557" s="3" t="n">
        <v>0.96</v>
      </c>
      <c r="M2557" s="2" t="inlineStr">
        <is>
          <t>TCGplayer</t>
        </is>
      </c>
      <c r="O2557" s="4" t="inlineStr">
        <is>
          <t>https://www.tcgplayer.com/product/280301</t>
        </is>
      </c>
    </row>
    <row r="2558">
      <c r="A2558" s="2" t="inlineStr">
        <is>
          <t>Trick or Trade BOOster Bundle 2023 (50 ct)</t>
        </is>
      </c>
      <c r="B2558" s="3">
        <f>IF(I2558&lt;&gt;"",I2558,IF(J2558&lt;&gt;"",J2558,IF(K2558&lt;&gt;"",K2558,L2558)))</f>
        <v>76.55</v>
      </c>
      <c r="C2558" s="3">
        <f>MEDIAN(I2558:L2558)</f>
        <v>89.98</v>
      </c>
      <c r="D2558" s="3">
        <f>ROUND(C2558*(1-Settings!$B$2),2)</f>
        <v>62.99</v>
      </c>
      <c r="E2558" s="3">
        <f>ROUND(C2558*(1-Settings!$B$3),2)</f>
        <v>62.99</v>
      </c>
      <c r="F2558" s="2" t="inlineStr">
        <is>
          <t>Pokemon</t>
        </is>
      </c>
      <c r="G2558" s="2" t="inlineStr">
        <is>
          <t>Coffret</t>
        </is>
      </c>
      <c r="H2558" s="2" t="inlineStr">
        <is>
          <t>Trick or Trade BOOster Bundle 2023</t>
        </is>
      </c>
      <c r="I2558" s="3" t="n"/>
      <c r="J2558" s="3" t="n">
        <v>76.55</v>
      </c>
      <c r="K2558" s="3" t="n">
        <v>97.98</v>
      </c>
      <c r="L2558" s="3" t="n">
        <v>89.98</v>
      </c>
      <c r="M2558" s="2" t="inlineStr">
        <is>
          <t>TCGplayer</t>
        </is>
      </c>
      <c r="O2558" s="4" t="inlineStr">
        <is>
          <t>https://www.tcgplayer.com/product/505942</t>
        </is>
      </c>
    </row>
    <row r="2559">
      <c r="A2559" s="2" t="inlineStr">
        <is>
          <t>Trick or Trade BOOster Bundle 2023 - Mini Booster Pack</t>
        </is>
      </c>
      <c r="B2559" s="3">
        <f>IF(I2559&lt;&gt;"",I2559,IF(J2559&lt;&gt;"",J2559,IF(K2559&lt;&gt;"",K2559,L2559)))</f>
        <v>2.35</v>
      </c>
      <c r="C2559" s="3">
        <f>MEDIAN(I2559:L2559)</f>
        <v>2.3</v>
      </c>
      <c r="D2559" s="3">
        <f>ROUND(C2559*(1-Settings!$B$2),2)</f>
        <v>1.61</v>
      </c>
      <c r="E2559" s="3">
        <f>ROUND(C2559*(1-Settings!$B$3),2)</f>
        <v>1.61</v>
      </c>
      <c r="F2559" s="2" t="inlineStr">
        <is>
          <t>Pokemon</t>
        </is>
      </c>
      <c r="G2559" s="2" t="inlineStr">
        <is>
          <t>Coffret</t>
        </is>
      </c>
      <c r="H2559" s="2" t="inlineStr">
        <is>
          <t>Trick or Trade BOOster Bundle 2023</t>
        </is>
      </c>
      <c r="I2559" s="3" t="n"/>
      <c r="J2559" s="3" t="n">
        <v>2.35</v>
      </c>
      <c r="K2559" s="3" t="n">
        <v>2.3</v>
      </c>
      <c r="L2559" s="3" t="n">
        <v>0.8</v>
      </c>
      <c r="M2559" s="2" t="inlineStr">
        <is>
          <t>TCGplayer</t>
        </is>
      </c>
      <c r="O2559" s="4" t="inlineStr">
        <is>
          <t>https://www.tcgplayer.com/product/505945</t>
        </is>
      </c>
    </row>
    <row r="2560">
      <c r="A2560" s="2" t="inlineStr">
        <is>
          <t>Trick or Trade BOOster Bundle 2024 (120 ct)</t>
        </is>
      </c>
      <c r="B2560" s="3">
        <f>IF(I2560&lt;&gt;"",I2560,IF(J2560&lt;&gt;"",J2560,IF(K2560&lt;&gt;"",K2560,L2560)))</f>
        <v>186.85</v>
      </c>
      <c r="C2560" s="3">
        <f>MEDIAN(I2560:L2560)</f>
        <v>186.85</v>
      </c>
      <c r="D2560" s="3">
        <f>ROUND(C2560*(1-Settings!$B$2),2)</f>
        <v>130.8</v>
      </c>
      <c r="E2560" s="3">
        <f>ROUND(C2560*(1-Settings!$B$3),2)</f>
        <v>130.8</v>
      </c>
      <c r="F2560" s="2" t="inlineStr">
        <is>
          <t>Pokemon</t>
        </is>
      </c>
      <c r="G2560" s="2" t="inlineStr">
        <is>
          <t>Coffret</t>
        </is>
      </c>
      <c r="H2560" s="2" t="inlineStr">
        <is>
          <t>Trick or Trade BOOster Bundle 2024</t>
        </is>
      </c>
      <c r="I2560" s="3" t="n"/>
      <c r="J2560" s="3" t="n">
        <v>186.85</v>
      </c>
      <c r="K2560" s="3" t="n">
        <v>299</v>
      </c>
      <c r="L2560" s="3" t="n">
        <v>100</v>
      </c>
      <c r="M2560" s="2" t="inlineStr">
        <is>
          <t>TCGplayer</t>
        </is>
      </c>
      <c r="O2560" s="4" t="inlineStr">
        <is>
          <t>https://www.tcgplayer.com/product/591211</t>
        </is>
      </c>
    </row>
    <row r="2561">
      <c r="A2561" s="2" t="inlineStr">
        <is>
          <t>Trick or Trade BOOster Bundle 2024 (35 mini packs)</t>
        </is>
      </c>
      <c r="B2561" s="3">
        <f>IF(I2561&lt;&gt;"",I2561,IF(J2561&lt;&gt;"",J2561,IF(K2561&lt;&gt;"",K2561,L2561)))</f>
        <v>75.6</v>
      </c>
      <c r="C2561" s="3">
        <f>MEDIAN(I2561:L2561)</f>
        <v>75.6</v>
      </c>
      <c r="D2561" s="3">
        <f>ROUND(C2561*(1-Settings!$B$2),2)</f>
        <v>52.92</v>
      </c>
      <c r="E2561" s="3">
        <f>ROUND(C2561*(1-Settings!$B$3),2)</f>
        <v>52.92</v>
      </c>
      <c r="F2561" s="2" t="inlineStr">
        <is>
          <t>Pokemon</t>
        </is>
      </c>
      <c r="G2561" s="2" t="inlineStr">
        <is>
          <t>Coffret</t>
        </is>
      </c>
      <c r="H2561" s="2" t="inlineStr">
        <is>
          <t>Trick or Trade BOOster Bundle 2024</t>
        </is>
      </c>
      <c r="I2561" s="3" t="n"/>
      <c r="J2561" s="3" t="n">
        <v>75.59999999999999</v>
      </c>
      <c r="K2561" s="3" t="n">
        <v>87.98999999999999</v>
      </c>
      <c r="L2561" s="3" t="n">
        <v>60</v>
      </c>
      <c r="M2561" s="2" t="inlineStr">
        <is>
          <t>TCGplayer</t>
        </is>
      </c>
      <c r="O2561" s="4" t="inlineStr">
        <is>
          <t>https://www.tcgplayer.com/product/558713</t>
        </is>
      </c>
    </row>
    <row r="2562">
      <c r="A2562" s="2" t="inlineStr">
        <is>
          <t>Trick or Trade BOOster Bundle 2024 (80 mini packs)</t>
        </is>
      </c>
      <c r="B2562" s="3">
        <f>IF(I2562&lt;&gt;"",I2562,IF(J2562&lt;&gt;"",J2562,IF(K2562&lt;&gt;"",K2562,L2562)))</f>
        <v>113.12</v>
      </c>
      <c r="C2562" s="3">
        <f>MEDIAN(I2562:L2562)</f>
        <v>113.12</v>
      </c>
      <c r="D2562" s="3">
        <f>ROUND(C2562*(1-Settings!$B$2),2)</f>
        <v>79.18</v>
      </c>
      <c r="E2562" s="3">
        <f>ROUND(C2562*(1-Settings!$B$3),2)</f>
        <v>79.18</v>
      </c>
      <c r="F2562" s="2" t="inlineStr">
        <is>
          <t>Pokemon</t>
        </is>
      </c>
      <c r="G2562" s="2" t="inlineStr">
        <is>
          <t>Coffret</t>
        </is>
      </c>
      <c r="H2562" s="2" t="inlineStr">
        <is>
          <t>Trick or Trade BOOster Bundle 2024</t>
        </is>
      </c>
      <c r="I2562" s="3" t="n"/>
      <c r="J2562" s="3" t="n">
        <v>113.12</v>
      </c>
      <c r="K2562" s="3" t="n"/>
      <c r="L2562" s="3" t="n"/>
      <c r="M2562" s="2" t="inlineStr">
        <is>
          <t>TCGplayer</t>
        </is>
      </c>
      <c r="O2562" s="4" t="inlineStr">
        <is>
          <t>https://www.tcgplayer.com/product/566954</t>
        </is>
      </c>
    </row>
    <row r="2563">
      <c r="A2563" s="2" t="inlineStr">
        <is>
          <t>Trick or Trade BOOster Bundle 2024 - Mini Booster Pack</t>
        </is>
      </c>
      <c r="B2563" s="3">
        <f>IF(I2563&lt;&gt;"",I2563,IF(J2563&lt;&gt;"",J2563,IF(K2563&lt;&gt;"",K2563,L2563)))</f>
        <v>2.52</v>
      </c>
      <c r="C2563" s="3">
        <f>MEDIAN(I2563:L2563)</f>
        <v>2.25</v>
      </c>
      <c r="D2563" s="3">
        <f>ROUND(C2563*(1-Settings!$B$2),2)</f>
        <v>1.58</v>
      </c>
      <c r="E2563" s="3">
        <f>ROUND(C2563*(1-Settings!$B$3),2)</f>
        <v>1.58</v>
      </c>
      <c r="F2563" s="2" t="inlineStr">
        <is>
          <t>Pokemon</t>
        </is>
      </c>
      <c r="G2563" s="2" t="inlineStr">
        <is>
          <t>Coffret</t>
        </is>
      </c>
      <c r="H2563" s="2" t="inlineStr">
        <is>
          <t>Trick or Trade BOOster Bundle 2024</t>
        </is>
      </c>
      <c r="I2563" s="3" t="n"/>
      <c r="J2563" s="3" t="n">
        <v>2.52</v>
      </c>
      <c r="K2563" s="3" t="n">
        <v>2.25</v>
      </c>
      <c r="L2563" s="3" t="n">
        <v>0.75</v>
      </c>
      <c r="M2563" s="2" t="inlineStr">
        <is>
          <t>TCGplayer</t>
        </is>
      </c>
      <c r="O2563" s="4" t="inlineStr">
        <is>
          <t>https://www.tcgplayer.com/product/579930</t>
        </is>
      </c>
    </row>
    <row r="2564">
      <c r="A2564" s="2" t="inlineStr">
        <is>
          <t>Twilight Masquerade Elite Trainer Box [Pokemon Center]</t>
        </is>
      </c>
      <c r="B2564" s="3">
        <f>IF(I2564&lt;&gt;"",I2564,IF(J2564&lt;&gt;"",J2564,IF(K2564&lt;&gt;"",K2564,L2564)))</f>
        <v>182.37</v>
      </c>
      <c r="C2564" s="3">
        <f>MEDIAN(I2564:L2564)</f>
        <v>182.37</v>
      </c>
      <c r="D2564" s="3">
        <f>ROUND(C2564*(1-Settings!$B$2),2)</f>
        <v>127.66</v>
      </c>
      <c r="E2564" s="3">
        <f>ROUND(C2564*(1-Settings!$B$3),2)</f>
        <v>127.66</v>
      </c>
      <c r="F2564" s="2" t="inlineStr">
        <is>
          <t>Pokemon</t>
        </is>
      </c>
      <c r="G2564" s="2" t="inlineStr">
        <is>
          <t>Coffret</t>
        </is>
      </c>
      <c r="H2564" s="2" t="inlineStr">
        <is>
          <t>Twilight Masquerade</t>
        </is>
      </c>
      <c r="I2564" s="3" t="n">
        <v>182.37</v>
      </c>
      <c r="J2564" s="3" t="n"/>
      <c r="K2564" s="3" t="n"/>
      <c r="L2564" s="3" t="n"/>
      <c r="M2564" s="2" t="inlineStr">
        <is>
          <t>PriceCharting</t>
        </is>
      </c>
      <c r="N2564" s="4" t="inlineStr">
        <is>
          <t>https://www.pricecharting.com/game/pokemon-twilight-masquerade/elite-trainer-box-pokemon-center</t>
        </is>
      </c>
    </row>
    <row r="2565">
      <c r="A2565" s="2" t="inlineStr">
        <is>
          <t>Twilight Masquerade Masks Of Ogerpon Premium Collection</t>
        </is>
      </c>
      <c r="B2565" s="3">
        <f>IF(I2565&lt;&gt;"",I2565,IF(J2565&lt;&gt;"",J2565,IF(K2565&lt;&gt;"",K2565,L2565)))</f>
        <v>58.99</v>
      </c>
      <c r="C2565" s="3">
        <f>MEDIAN(I2565:L2565)</f>
        <v>58.99</v>
      </c>
      <c r="D2565" s="3">
        <f>ROUND(C2565*(1-Settings!$B$2),2)</f>
        <v>41.29</v>
      </c>
      <c r="E2565" s="3">
        <f>ROUND(C2565*(1-Settings!$B$3),2)</f>
        <v>41.29</v>
      </c>
      <c r="F2565" s="2" t="inlineStr">
        <is>
          <t>Pokemon</t>
        </is>
      </c>
      <c r="G2565" s="2" t="inlineStr">
        <is>
          <t>Coffret</t>
        </is>
      </c>
      <c r="H2565" s="2" t="inlineStr">
        <is>
          <t>Twilight Masquerade</t>
        </is>
      </c>
      <c r="I2565" s="3" t="n">
        <v>58.99</v>
      </c>
      <c r="J2565" s="3" t="n"/>
      <c r="K2565" s="3" t="n"/>
      <c r="L2565" s="3" t="n"/>
      <c r="M2565" s="2" t="inlineStr">
        <is>
          <t>PriceCharting</t>
        </is>
      </c>
      <c r="N2565" s="4" t="inlineStr">
        <is>
          <t>https://www.pricecharting.com/game/pokemon-twilight-masquerade/masks-of-ogerpon-premium-collection</t>
        </is>
      </c>
    </row>
    <row r="2566">
      <c r="A2566" s="2" t="inlineStr">
        <is>
          <t>Ultra Prism Dusk Mane Necrozma Prism Tin</t>
        </is>
      </c>
      <c r="B2566" s="3">
        <f>IF(I2566&lt;&gt;"",I2566,IF(J2566&lt;&gt;"",J2566,IF(K2566&lt;&gt;"",K2566,L2566)))</f>
        <v>236.02</v>
      </c>
      <c r="C2566" s="3">
        <f>MEDIAN(I2566:L2566)</f>
        <v>236.02</v>
      </c>
      <c r="D2566" s="3">
        <f>ROUND(C2566*(1-Settings!$B$2),2)</f>
        <v>165.21</v>
      </c>
      <c r="E2566" s="3">
        <f>ROUND(C2566*(1-Settings!$B$3),2)</f>
        <v>165.21</v>
      </c>
      <c r="F2566" s="2" t="inlineStr">
        <is>
          <t>Pokemon</t>
        </is>
      </c>
      <c r="G2566" s="2" t="inlineStr">
        <is>
          <t>Coffret</t>
        </is>
      </c>
      <c r="H2566" s="2" t="inlineStr">
        <is>
          <t>Ultra Prism</t>
        </is>
      </c>
      <c r="I2566" s="3" t="n">
        <v>236.02</v>
      </c>
      <c r="J2566" s="3" t="n"/>
      <c r="K2566" s="3" t="n"/>
      <c r="L2566" s="3" t="n"/>
      <c r="M2566" s="2" t="inlineStr">
        <is>
          <t>PriceCharting</t>
        </is>
      </c>
      <c r="N2566" s="4" t="inlineStr">
        <is>
          <t>https://www.pricecharting.com/game/pokemon-ultra-prism/dusk-mane-necrozma-prism-tin</t>
        </is>
      </c>
    </row>
    <row r="2567">
      <c r="A2567" s="2" t="inlineStr">
        <is>
          <t>Ultra Prism Necrozma Prism Tin</t>
        </is>
      </c>
      <c r="B2567" s="3">
        <f>IF(I2567&lt;&gt;"",I2567,IF(J2567&lt;&gt;"",J2567,IF(K2567&lt;&gt;"",K2567,L2567)))</f>
        <v>99.99</v>
      </c>
      <c r="C2567" s="3">
        <f>MEDIAN(I2567:L2567)</f>
        <v>99.99</v>
      </c>
      <c r="D2567" s="3">
        <f>ROUND(C2567*(1-Settings!$B$2),2)</f>
        <v>69.99</v>
      </c>
      <c r="E2567" s="3">
        <f>ROUND(C2567*(1-Settings!$B$3),2)</f>
        <v>69.99</v>
      </c>
      <c r="F2567" s="2" t="inlineStr">
        <is>
          <t>Pokemon</t>
        </is>
      </c>
      <c r="G2567" s="2" t="inlineStr">
        <is>
          <t>Coffret</t>
        </is>
      </c>
      <c r="H2567" s="2" t="inlineStr">
        <is>
          <t>Ultra Prism</t>
        </is>
      </c>
      <c r="I2567" s="3" t="n">
        <v>99.98999999999999</v>
      </c>
      <c r="J2567" s="3" t="n"/>
      <c r="K2567" s="3" t="n"/>
      <c r="L2567" s="3" t="n"/>
      <c r="M2567" s="2" t="inlineStr">
        <is>
          <t>PriceCharting</t>
        </is>
      </c>
      <c r="N2567" s="4" t="inlineStr">
        <is>
          <t>https://www.pricecharting.com/game/pokemon-ultra-prism/necrozma-prism-tin</t>
        </is>
      </c>
    </row>
    <row r="2568">
      <c r="A2568" s="2" t="inlineStr">
        <is>
          <t>Unbroken Bonds 3 Booster Pack Box</t>
        </is>
      </c>
      <c r="B2568" s="3">
        <f>IF(I2568&lt;&gt;"",I2568,IF(J2568&lt;&gt;"",J2568,IF(K2568&lt;&gt;"",K2568,L2568)))</f>
        <v>198.78</v>
      </c>
      <c r="C2568" s="3">
        <f>MEDIAN(I2568:L2568)</f>
        <v>198.78</v>
      </c>
      <c r="D2568" s="3">
        <f>ROUND(C2568*(1-Settings!$B$2),2)</f>
        <v>139.15</v>
      </c>
      <c r="E2568" s="3">
        <f>ROUND(C2568*(1-Settings!$B$3),2)</f>
        <v>139.15</v>
      </c>
      <c r="F2568" s="2" t="inlineStr">
        <is>
          <t>Pokemon</t>
        </is>
      </c>
      <c r="G2568" s="2" t="inlineStr">
        <is>
          <t>Coffret</t>
        </is>
      </c>
      <c r="H2568" s="2" t="inlineStr">
        <is>
          <t>Unbroken Bonds</t>
        </is>
      </c>
      <c r="I2568" s="3" t="n">
        <v>198.78</v>
      </c>
      <c r="J2568" s="3" t="n"/>
      <c r="K2568" s="3" t="n"/>
      <c r="L2568" s="3" t="n"/>
      <c r="M2568" s="2" t="inlineStr">
        <is>
          <t>PriceCharting</t>
        </is>
      </c>
      <c r="N2568" s="4" t="inlineStr">
        <is>
          <t>https://www.pricecharting.com/game/pokemon-unbroken-bonds/3-booster-pack-box</t>
        </is>
      </c>
    </row>
    <row r="2569">
      <c r="A2569" s="2" t="inlineStr">
        <is>
          <t>Unbroken Bonds Blastoise GX Premium Collection</t>
        </is>
      </c>
      <c r="B2569" s="3">
        <f>IF(I2569&lt;&gt;"",I2569,IF(J2569&lt;&gt;"",J2569,IF(K2569&lt;&gt;"",K2569,L2569)))</f>
        <v>410.0</v>
      </c>
      <c r="C2569" s="3">
        <f>MEDIAN(I2569:L2569)</f>
        <v>410.0</v>
      </c>
      <c r="D2569" s="3">
        <f>ROUND(C2569*(1-Settings!$B$2),2)</f>
        <v>287.0</v>
      </c>
      <c r="E2569" s="3">
        <f>ROUND(C2569*(1-Settings!$B$3),2)</f>
        <v>287.0</v>
      </c>
      <c r="F2569" s="2" t="inlineStr">
        <is>
          <t>Pokemon</t>
        </is>
      </c>
      <c r="G2569" s="2" t="inlineStr">
        <is>
          <t>Coffret</t>
        </is>
      </c>
      <c r="H2569" s="2" t="inlineStr">
        <is>
          <t>Unbroken Bonds</t>
        </is>
      </c>
      <c r="I2569" s="3" t="n">
        <v>410</v>
      </c>
      <c r="J2569" s="3" t="n"/>
      <c r="K2569" s="3" t="n"/>
      <c r="L2569" s="3" t="n"/>
      <c r="M2569" s="2" t="inlineStr">
        <is>
          <t>PriceCharting</t>
        </is>
      </c>
      <c r="N2569" s="4" t="inlineStr">
        <is>
          <t>https://www.pricecharting.com/game/pokemon-unbroken-bonds/blastoise-gx-premium-collection</t>
        </is>
      </c>
    </row>
    <row r="2570">
      <c r="A2570" s="2" t="inlineStr">
        <is>
          <t>Unbroken Bonds Sceptile 3-Pack Blister</t>
        </is>
      </c>
      <c r="B2570" s="3">
        <f>IF(I2570&lt;&gt;"",I2570,IF(J2570&lt;&gt;"",J2570,IF(K2570&lt;&gt;"",K2570,L2570)))</f>
        <v>221.25</v>
      </c>
      <c r="C2570" s="3">
        <f>MEDIAN(I2570:L2570)</f>
        <v>221.25</v>
      </c>
      <c r="D2570" s="3">
        <f>ROUND(C2570*(1-Settings!$B$2),2)</f>
        <v>154.88</v>
      </c>
      <c r="E2570" s="3">
        <f>ROUND(C2570*(1-Settings!$B$3),2)</f>
        <v>154.88</v>
      </c>
      <c r="F2570" s="2" t="inlineStr">
        <is>
          <t>Pokemon</t>
        </is>
      </c>
      <c r="G2570" s="2" t="inlineStr">
        <is>
          <t>Coffret</t>
        </is>
      </c>
      <c r="H2570" s="2" t="inlineStr">
        <is>
          <t>Unbroken Bonds</t>
        </is>
      </c>
      <c r="I2570" s="3" t="n">
        <v>221.25</v>
      </c>
      <c r="J2570" s="3" t="n"/>
      <c r="K2570" s="3" t="n"/>
      <c r="L2570" s="3" t="n"/>
      <c r="M2570" s="2" t="inlineStr">
        <is>
          <t>PriceCharting</t>
        </is>
      </c>
      <c r="N2570" s="4" t="inlineStr">
        <is>
          <t>https://www.pricecharting.com/game/pokemon-unbroken-bonds/sceptile-3-pack-blister</t>
        </is>
      </c>
    </row>
    <row r="2571">
      <c r="A2571" s="2" t="inlineStr">
        <is>
          <t>Unbroken Bonds Typhlosion 3-Pack Blister</t>
        </is>
      </c>
      <c r="B2571" s="3">
        <f>IF(I2571&lt;&gt;"",I2571,IF(J2571&lt;&gt;"",J2571,IF(K2571&lt;&gt;"",K2571,L2571)))</f>
        <v>223.78</v>
      </c>
      <c r="C2571" s="3">
        <f>MEDIAN(I2571:L2571)</f>
        <v>223.78</v>
      </c>
      <c r="D2571" s="3">
        <f>ROUND(C2571*(1-Settings!$B$2),2)</f>
        <v>156.65</v>
      </c>
      <c r="E2571" s="3">
        <f>ROUND(C2571*(1-Settings!$B$3),2)</f>
        <v>156.65</v>
      </c>
      <c r="F2571" s="2" t="inlineStr">
        <is>
          <t>Pokemon</t>
        </is>
      </c>
      <c r="G2571" s="2" t="inlineStr">
        <is>
          <t>Coffret</t>
        </is>
      </c>
      <c r="H2571" s="2" t="inlineStr">
        <is>
          <t>Unbroken Bonds</t>
        </is>
      </c>
      <c r="I2571" s="3" t="n">
        <v>223.78</v>
      </c>
      <c r="J2571" s="3" t="n"/>
      <c r="K2571" s="3" t="n"/>
      <c r="L2571" s="3" t="n"/>
      <c r="M2571" s="2" t="inlineStr">
        <is>
          <t>PriceCharting</t>
        </is>
      </c>
      <c r="N2571" s="4" t="inlineStr">
        <is>
          <t>https://www.pricecharting.com/game/pokemon-unbroken-bonds/typhlosion-3-pack-blister</t>
        </is>
      </c>
    </row>
    <row r="2572">
      <c r="A2572" s="2" t="inlineStr">
        <is>
          <t>Unified Minds Build &amp; Battle Box [Prerelease Kit]</t>
        </is>
      </c>
      <c r="B2572" s="3">
        <f>IF(I2572&lt;&gt;"",I2572,IF(J2572&lt;&gt;"",J2572,IF(K2572&lt;&gt;"",K2572,L2572)))</f>
        <v>349.98</v>
      </c>
      <c r="C2572" s="3">
        <f>MEDIAN(I2572:L2572)</f>
        <v>349.98</v>
      </c>
      <c r="D2572" s="3">
        <f>ROUND(C2572*(1-Settings!$B$2),2)</f>
        <v>244.99</v>
      </c>
      <c r="E2572" s="3">
        <f>ROUND(C2572*(1-Settings!$B$3),2)</f>
        <v>244.99</v>
      </c>
      <c r="F2572" s="2" t="inlineStr">
        <is>
          <t>Pokemon</t>
        </is>
      </c>
      <c r="G2572" s="2" t="inlineStr">
        <is>
          <t>Coffret</t>
        </is>
      </c>
      <c r="H2572" s="2" t="inlineStr">
        <is>
          <t>Unified Minds</t>
        </is>
      </c>
      <c r="I2572" s="3" t="n">
        <v>349.98</v>
      </c>
      <c r="J2572" s="3" t="n"/>
      <c r="K2572" s="3" t="n"/>
      <c r="L2572" s="3" t="n"/>
      <c r="M2572" s="2" t="inlineStr">
        <is>
          <t>PriceCharting</t>
        </is>
      </c>
      <c r="N2572" s="4" t="inlineStr">
        <is>
          <t>https://www.pricecharting.com/game/pokemon-unified-minds/build-&amp;-battle-box-prerelease-kit</t>
        </is>
      </c>
    </row>
    <row r="2573">
      <c r="A2573" s="2" t="inlineStr">
        <is>
          <t>Unified Minds Hanger Box</t>
        </is>
      </c>
      <c r="B2573" s="3">
        <f>IF(I2573&lt;&gt;"",I2573,IF(J2573&lt;&gt;"",J2573,IF(K2573&lt;&gt;"",K2573,L2573)))</f>
        <v>255.0</v>
      </c>
      <c r="C2573" s="3">
        <f>MEDIAN(I2573:L2573)</f>
        <v>255.0</v>
      </c>
      <c r="D2573" s="3">
        <f>ROUND(C2573*(1-Settings!$B$2),2)</f>
        <v>178.5</v>
      </c>
      <c r="E2573" s="3">
        <f>ROUND(C2573*(1-Settings!$B$3),2)</f>
        <v>178.5</v>
      </c>
      <c r="F2573" s="2" t="inlineStr">
        <is>
          <t>Pokemon</t>
        </is>
      </c>
      <c r="G2573" s="2" t="inlineStr">
        <is>
          <t>Coffret</t>
        </is>
      </c>
      <c r="H2573" s="2" t="inlineStr">
        <is>
          <t>Unified Minds</t>
        </is>
      </c>
      <c r="I2573" s="3" t="n">
        <v>255</v>
      </c>
      <c r="J2573" s="3" t="n"/>
      <c r="K2573" s="3" t="n"/>
      <c r="L2573" s="3" t="n"/>
      <c r="M2573" s="2" t="inlineStr">
        <is>
          <t>PriceCharting</t>
        </is>
      </c>
      <c r="N2573" s="4" t="inlineStr">
        <is>
          <t>https://www.pricecharting.com/game/pokemon-unified-minds/hanger-box</t>
        </is>
      </c>
    </row>
    <row r="2574">
      <c r="A2574" s="2" t="inlineStr">
        <is>
          <t>Vivid Voltage 3-Pack Blister</t>
        </is>
      </c>
      <c r="B2574" s="3">
        <f>IF(I2574&lt;&gt;"",I2574,IF(J2574&lt;&gt;"",J2574,IF(K2574&lt;&gt;"",K2574,L2574)))</f>
        <v>40.0</v>
      </c>
      <c r="C2574" s="3">
        <f>MEDIAN(I2574:L2574)</f>
        <v>40.0</v>
      </c>
      <c r="D2574" s="3">
        <f>ROUND(C2574*(1-Settings!$B$2),2)</f>
        <v>28.0</v>
      </c>
      <c r="E2574" s="3">
        <f>ROUND(C2574*(1-Settings!$B$3),2)</f>
        <v>28.0</v>
      </c>
      <c r="F2574" s="2" t="inlineStr">
        <is>
          <t>Pokemon</t>
        </is>
      </c>
      <c r="G2574" s="2" t="inlineStr">
        <is>
          <t>Coffret</t>
        </is>
      </c>
      <c r="H2574" s="2" t="inlineStr">
        <is>
          <t>Vivid Voltage</t>
        </is>
      </c>
      <c r="I2574" s="3" t="n">
        <v>40</v>
      </c>
      <c r="J2574" s="3" t="n"/>
      <c r="K2574" s="3" t="n"/>
      <c r="L2574" s="3" t="n"/>
      <c r="M2574" s="2" t="inlineStr">
        <is>
          <t>PriceCharting</t>
        </is>
      </c>
      <c r="N2574" s="4" t="inlineStr">
        <is>
          <t>https://www.pricecharting.com/game/pokemon-vivid-voltage/3-pack-blister</t>
        </is>
      </c>
    </row>
    <row r="2575">
      <c r="A2575" s="2" t="inlineStr">
        <is>
          <t>White Flare Elite Trainer Box [Pokemon Center]</t>
        </is>
      </c>
      <c r="B2575" s="3">
        <f>IF(I2575&lt;&gt;"",I2575,IF(J2575&lt;&gt;"",J2575,IF(K2575&lt;&gt;"",K2575,L2575)))</f>
        <v>230.0</v>
      </c>
      <c r="C2575" s="3">
        <f>MEDIAN(I2575:L2575)</f>
        <v>230.0</v>
      </c>
      <c r="D2575" s="3">
        <f>ROUND(C2575*(1-Settings!$B$2),2)</f>
        <v>161.0</v>
      </c>
      <c r="E2575" s="3">
        <f>ROUND(C2575*(1-Settings!$B$3),2)</f>
        <v>161.0</v>
      </c>
      <c r="F2575" s="2" t="inlineStr">
        <is>
          <t>Pokemon</t>
        </is>
      </c>
      <c r="G2575" s="2" t="inlineStr">
        <is>
          <t>Coffret</t>
        </is>
      </c>
      <c r="H2575" s="2" t="inlineStr">
        <is>
          <t>White Flare</t>
        </is>
      </c>
      <c r="I2575" s="3" t="n">
        <v>230</v>
      </c>
      <c r="J2575" s="3" t="n"/>
      <c r="K2575" s="3" t="n"/>
      <c r="L2575" s="3" t="n"/>
      <c r="M2575" s="2" t="inlineStr">
        <is>
          <t>PriceCharting</t>
        </is>
      </c>
      <c r="N2575" s="4" t="inlineStr">
        <is>
          <t>https://www.pricecharting.com/game/pokemon-white-flare/elite-trainer-box-pokemon-center</t>
        </is>
      </c>
    </row>
    <row r="2576">
      <c r="A2576" s="2" t="inlineStr">
        <is>
          <t>White Flare Unova Heavy Hitters Premium Collection</t>
        </is>
      </c>
      <c r="B2576" s="3">
        <f>IF(I2576&lt;&gt;"",I2576,IF(J2576&lt;&gt;"",J2576,IF(K2576&lt;&gt;"",K2576,L2576)))</f>
        <v>168.0</v>
      </c>
      <c r="C2576" s="3">
        <f>MEDIAN(I2576:L2576)</f>
        <v>168.0</v>
      </c>
      <c r="D2576" s="3">
        <f>ROUND(C2576*(1-Settings!$B$2),2)</f>
        <v>117.6</v>
      </c>
      <c r="E2576" s="3">
        <f>ROUND(C2576*(1-Settings!$B$3),2)</f>
        <v>117.6</v>
      </c>
      <c r="F2576" s="2" t="inlineStr">
        <is>
          <t>Pokemon</t>
        </is>
      </c>
      <c r="G2576" s="2" t="inlineStr">
        <is>
          <t>Coffret</t>
        </is>
      </c>
      <c r="H2576" s="2" t="inlineStr">
        <is>
          <t>White Flare</t>
        </is>
      </c>
      <c r="I2576" s="3" t="n">
        <v>168</v>
      </c>
      <c r="J2576" s="3" t="n"/>
      <c r="K2576" s="3" t="n"/>
      <c r="L2576" s="3" t="n"/>
      <c r="M2576" s="2" t="inlineStr">
        <is>
          <t>PriceCharting</t>
        </is>
      </c>
      <c r="N2576" s="4" t="inlineStr">
        <is>
          <t>https://www.pricecharting.com/game/pokemon-white-flare/unova-heavy-hitters-premium-collection</t>
        </is>
      </c>
    </row>
    <row r="2577">
      <c r="A2577" s="2" t="inlineStr">
        <is>
          <t>Xy 3-Pack Blister</t>
        </is>
      </c>
      <c r="B2577" s="3">
        <f>IF(I2577&lt;&gt;"",I2577,IF(J2577&lt;&gt;"",J2577,IF(K2577&lt;&gt;"",K2577,L2577)))</f>
        <v>243.96</v>
      </c>
      <c r="C2577" s="3">
        <f>MEDIAN(I2577:L2577)</f>
        <v>243.96</v>
      </c>
      <c r="D2577" s="3">
        <f>ROUND(C2577*(1-Settings!$B$2),2)</f>
        <v>170.77</v>
      </c>
      <c r="E2577" s="3">
        <f>ROUND(C2577*(1-Settings!$B$3),2)</f>
        <v>170.77</v>
      </c>
      <c r="F2577" s="2" t="inlineStr">
        <is>
          <t>Pokemon</t>
        </is>
      </c>
      <c r="G2577" s="2" t="inlineStr">
        <is>
          <t>Coffret</t>
        </is>
      </c>
      <c r="H2577" s="2" t="inlineStr">
        <is>
          <t>Xy</t>
        </is>
      </c>
      <c r="I2577" s="3" t="n">
        <v>243.96</v>
      </c>
      <c r="J2577" s="3" t="n"/>
      <c r="K2577" s="3" t="n"/>
      <c r="L2577" s="3" t="n"/>
      <c r="M2577" s="2" t="inlineStr">
        <is>
          <t>PriceCharting</t>
        </is>
      </c>
      <c r="N2577" s="4" t="inlineStr">
        <is>
          <t>https://www.pricecharting.com/game/pokemon-xy/3-pack-blister</t>
        </is>
      </c>
    </row>
    <row r="2578">
      <c r="A2578" s="2" t="inlineStr">
        <is>
          <t>Xy Ash Greninja EX Collection Box</t>
        </is>
      </c>
      <c r="B2578" s="3">
        <f>IF(I2578&lt;&gt;"",I2578,IF(J2578&lt;&gt;"",J2578,IF(K2578&lt;&gt;"",K2578,L2578)))</f>
        <v>2151.07</v>
      </c>
      <c r="C2578" s="3">
        <f>MEDIAN(I2578:L2578)</f>
        <v>2151.07</v>
      </c>
      <c r="D2578" s="3">
        <f>ROUND(C2578*(1-Settings!$B$2),2)</f>
        <v>1505.75</v>
      </c>
      <c r="E2578" s="3">
        <f>ROUND(C2578*(1-Settings!$B$3),2)</f>
        <v>1505.75</v>
      </c>
      <c r="F2578" s="2" t="inlineStr">
        <is>
          <t>Pokemon</t>
        </is>
      </c>
      <c r="G2578" s="2" t="inlineStr">
        <is>
          <t>Coffret</t>
        </is>
      </c>
      <c r="H2578" s="2" t="inlineStr">
        <is>
          <t>Xy</t>
        </is>
      </c>
      <c r="I2578" s="3" t="n">
        <v>2151.07</v>
      </c>
      <c r="J2578" s="3" t="n"/>
      <c r="K2578" s="3" t="n"/>
      <c r="L2578" s="3" t="n"/>
      <c r="M2578" s="2" t="inlineStr">
        <is>
          <t>PriceCharting</t>
        </is>
      </c>
      <c r="N2578" s="4" t="inlineStr">
        <is>
          <t>https://www.pricecharting.com/game/pokemon-xy/ash-greninja-ex-collection-box</t>
        </is>
      </c>
    </row>
    <row r="2579">
      <c r="A2579" s="2" t="inlineStr">
        <is>
          <t>Xy Elite Trainer Box [Xerneas]</t>
        </is>
      </c>
      <c r="B2579" s="3">
        <f>IF(I2579&lt;&gt;"",I2579,IF(J2579&lt;&gt;"",J2579,IF(K2579&lt;&gt;"",K2579,L2579)))</f>
        <v>4320.61</v>
      </c>
      <c r="C2579" s="3">
        <f>MEDIAN(I2579:L2579)</f>
        <v>4320.61</v>
      </c>
      <c r="D2579" s="3">
        <f>ROUND(C2579*(1-Settings!$B$2),2)</f>
        <v>3024.43</v>
      </c>
      <c r="E2579" s="3">
        <f>ROUND(C2579*(1-Settings!$B$3),2)</f>
        <v>3024.43</v>
      </c>
      <c r="F2579" s="2" t="inlineStr">
        <is>
          <t>Pokemon</t>
        </is>
      </c>
      <c r="G2579" s="2" t="inlineStr">
        <is>
          <t>Coffret</t>
        </is>
      </c>
      <c r="H2579" s="2" t="inlineStr">
        <is>
          <t>Xy</t>
        </is>
      </c>
      <c r="I2579" s="3" t="n">
        <v>4320.61</v>
      </c>
      <c r="J2579" s="3" t="n"/>
      <c r="K2579" s="3" t="n"/>
      <c r="L2579" s="3" t="n"/>
      <c r="M2579" s="2" t="inlineStr">
        <is>
          <t>PriceCharting</t>
        </is>
      </c>
      <c r="N2579" s="4" t="inlineStr">
        <is>
          <t>https://www.pricecharting.com/game/pokemon-xy/elite-trainer-box-xerneas</t>
        </is>
      </c>
    </row>
    <row r="2580">
      <c r="A2580" s="2" t="inlineStr">
        <is>
          <t>Xy Elite Trainer Box [Yveltal]</t>
        </is>
      </c>
      <c r="B2580" s="3">
        <f>IF(I2580&lt;&gt;"",I2580,IF(J2580&lt;&gt;"",J2580,IF(K2580&lt;&gt;"",K2580,L2580)))</f>
        <v>4423.91</v>
      </c>
      <c r="C2580" s="3">
        <f>MEDIAN(I2580:L2580)</f>
        <v>4423.91</v>
      </c>
      <c r="D2580" s="3">
        <f>ROUND(C2580*(1-Settings!$B$2),2)</f>
        <v>3096.74</v>
      </c>
      <c r="E2580" s="3">
        <f>ROUND(C2580*(1-Settings!$B$3),2)</f>
        <v>3096.74</v>
      </c>
      <c r="F2580" s="2" t="inlineStr">
        <is>
          <t>Pokemon</t>
        </is>
      </c>
      <c r="G2580" s="2" t="inlineStr">
        <is>
          <t>Coffret</t>
        </is>
      </c>
      <c r="H2580" s="2" t="inlineStr">
        <is>
          <t>Xy</t>
        </is>
      </c>
      <c r="I2580" s="3" t="n">
        <v>4423.91</v>
      </c>
      <c r="J2580" s="3" t="n"/>
      <c r="K2580" s="3" t="n"/>
      <c r="L2580" s="3" t="n"/>
      <c r="M2580" s="2" t="inlineStr">
        <is>
          <t>PriceCharting</t>
        </is>
      </c>
      <c r="N2580" s="4" t="inlineStr">
        <is>
          <t>https://www.pricecharting.com/game/pokemon-xy/elite-trainer-box-yveltal</t>
        </is>
      </c>
    </row>
    <row r="2581">
      <c r="A2581" s="2" t="inlineStr">
        <is>
          <t>Xy Gallade EX Collection Box</t>
        </is>
      </c>
      <c r="B2581" s="3">
        <f>IF(I2581&lt;&gt;"",I2581,IF(J2581&lt;&gt;"",J2581,IF(K2581&lt;&gt;"",K2581,L2581)))</f>
        <v>497.51</v>
      </c>
      <c r="C2581" s="3">
        <f>MEDIAN(I2581:L2581)</f>
        <v>497.51</v>
      </c>
      <c r="D2581" s="3">
        <f>ROUND(C2581*(1-Settings!$B$2),2)</f>
        <v>348.26</v>
      </c>
      <c r="E2581" s="3">
        <f>ROUND(C2581*(1-Settings!$B$3),2)</f>
        <v>348.26</v>
      </c>
      <c r="F2581" s="2" t="inlineStr">
        <is>
          <t>Pokemon</t>
        </is>
      </c>
      <c r="G2581" s="2" t="inlineStr">
        <is>
          <t>Coffret</t>
        </is>
      </c>
      <c r="H2581" s="2" t="inlineStr">
        <is>
          <t>Xy</t>
        </is>
      </c>
      <c r="I2581" s="3" t="n">
        <v>497.51</v>
      </c>
      <c r="J2581" s="3" t="n"/>
      <c r="K2581" s="3" t="n"/>
      <c r="L2581" s="3" t="n"/>
      <c r="M2581" s="2" t="inlineStr">
        <is>
          <t>PriceCharting</t>
        </is>
      </c>
      <c r="N2581" s="4" t="inlineStr">
        <is>
          <t>https://www.pricecharting.com/game/pokemon-xy/gallade-ex-collection-box</t>
        </is>
      </c>
    </row>
    <row r="2582">
      <c r="A2582" s="2" t="inlineStr">
        <is>
          <t>Xy Mega Lucario Collection Box</t>
        </is>
      </c>
      <c r="B2582" s="3">
        <f>IF(I2582&lt;&gt;"",I2582,IF(J2582&lt;&gt;"",J2582,IF(K2582&lt;&gt;"",K2582,L2582)))</f>
        <v>945.0</v>
      </c>
      <c r="C2582" s="3">
        <f>MEDIAN(I2582:L2582)</f>
        <v>945.0</v>
      </c>
      <c r="D2582" s="3">
        <f>ROUND(C2582*(1-Settings!$B$2),2)</f>
        <v>661.5</v>
      </c>
      <c r="E2582" s="3">
        <f>ROUND(C2582*(1-Settings!$B$3),2)</f>
        <v>661.5</v>
      </c>
      <c r="F2582" s="2" t="inlineStr">
        <is>
          <t>Pokemon</t>
        </is>
      </c>
      <c r="G2582" s="2" t="inlineStr">
        <is>
          <t>Coffret</t>
        </is>
      </c>
      <c r="H2582" s="2" t="inlineStr">
        <is>
          <t>Xy</t>
        </is>
      </c>
      <c r="I2582" s="3" t="n">
        <v>945</v>
      </c>
      <c r="J2582" s="3" t="n"/>
      <c r="K2582" s="3" t="n"/>
      <c r="L2582" s="3" t="n"/>
      <c r="M2582" s="2" t="inlineStr">
        <is>
          <t>PriceCharting</t>
        </is>
      </c>
      <c r="N2582" s="4" t="inlineStr">
        <is>
          <t>https://www.pricecharting.com/game/pokemon-xy/mega-lucario-collection-box</t>
        </is>
      </c>
    </row>
    <row r="2583">
      <c r="A2583" s="2" t="inlineStr">
        <is>
          <t>Xy Premium Trainer's XY Collection Box</t>
        </is>
      </c>
      <c r="B2583" s="3">
        <f>IF(I2583&lt;&gt;"",I2583,IF(J2583&lt;&gt;"",J2583,IF(K2583&lt;&gt;"",K2583,L2583)))</f>
        <v>2548.7</v>
      </c>
      <c r="C2583" s="3">
        <f>MEDIAN(I2583:L2583)</f>
        <v>2548.7</v>
      </c>
      <c r="D2583" s="3">
        <f>ROUND(C2583*(1-Settings!$B$2),2)</f>
        <v>1784.09</v>
      </c>
      <c r="E2583" s="3">
        <f>ROUND(C2583*(1-Settings!$B$3),2)</f>
        <v>1784.09</v>
      </c>
      <c r="F2583" s="2" t="inlineStr">
        <is>
          <t>Pokemon</t>
        </is>
      </c>
      <c r="G2583" s="2" t="inlineStr">
        <is>
          <t>Coffret</t>
        </is>
      </c>
      <c r="H2583" s="2" t="inlineStr">
        <is>
          <t>Xy</t>
        </is>
      </c>
      <c r="I2583" s="3" t="n">
        <v>2548.7</v>
      </c>
      <c r="J2583" s="3" t="n"/>
      <c r="K2583" s="3" t="n"/>
      <c r="L2583" s="3" t="n"/>
      <c r="M2583" s="2" t="inlineStr">
        <is>
          <t>PriceCharting</t>
        </is>
      </c>
      <c r="N2583" s="4" t="inlineStr">
        <is>
          <t>https://www.pricecharting.com/game/pokemon-xy/premium-trainer's-xy-collection-box</t>
        </is>
      </c>
    </row>
    <row r="2584">
      <c r="A2584" s="2" t="inlineStr">
        <is>
          <t>Xy Pyroar Box</t>
        </is>
      </c>
      <c r="B2584" s="3">
        <f>IF(I2584&lt;&gt;"",I2584,IF(J2584&lt;&gt;"",J2584,IF(K2584&lt;&gt;"",K2584,L2584)))</f>
        <v>349.99</v>
      </c>
      <c r="C2584" s="3">
        <f>MEDIAN(I2584:L2584)</f>
        <v>349.99</v>
      </c>
      <c r="D2584" s="3">
        <f>ROUND(C2584*(1-Settings!$B$2),2)</f>
        <v>244.99</v>
      </c>
      <c r="E2584" s="3">
        <f>ROUND(C2584*(1-Settings!$B$3),2)</f>
        <v>244.99</v>
      </c>
      <c r="F2584" s="2" t="inlineStr">
        <is>
          <t>Pokemon</t>
        </is>
      </c>
      <c r="G2584" s="2" t="inlineStr">
        <is>
          <t>Coffret</t>
        </is>
      </c>
      <c r="H2584" s="2" t="inlineStr">
        <is>
          <t>Xy</t>
        </is>
      </c>
      <c r="I2584" s="3" t="n">
        <v>349.99</v>
      </c>
      <c r="J2584" s="3" t="n"/>
      <c r="K2584" s="3" t="n"/>
      <c r="L2584" s="3" t="n"/>
      <c r="M2584" s="2" t="inlineStr">
        <is>
          <t>PriceCharting</t>
        </is>
      </c>
      <c r="N2584" s="4" t="inlineStr">
        <is>
          <t>https://www.pricecharting.com/game/pokemon-xy/pyroar-box</t>
        </is>
      </c>
    </row>
    <row r="2585">
      <c r="A2585" s="2" t="inlineStr">
        <is>
          <t>Xy Rayquaza EX Box</t>
        </is>
      </c>
      <c r="B2585" s="3">
        <f>IF(I2585&lt;&gt;"",I2585,IF(J2585&lt;&gt;"",J2585,IF(K2585&lt;&gt;"",K2585,L2585)))</f>
        <v>561.4</v>
      </c>
      <c r="C2585" s="3">
        <f>MEDIAN(I2585:L2585)</f>
        <v>561.4</v>
      </c>
      <c r="D2585" s="3">
        <f>ROUND(C2585*(1-Settings!$B$2),2)</f>
        <v>392.98</v>
      </c>
      <c r="E2585" s="3">
        <f>ROUND(C2585*(1-Settings!$B$3),2)</f>
        <v>392.98</v>
      </c>
      <c r="F2585" s="2" t="inlineStr">
        <is>
          <t>Pokemon</t>
        </is>
      </c>
      <c r="G2585" s="2" t="inlineStr">
        <is>
          <t>Coffret</t>
        </is>
      </c>
      <c r="H2585" s="2" t="inlineStr">
        <is>
          <t>Xy</t>
        </is>
      </c>
      <c r="I2585" s="3" t="n">
        <v>561.4</v>
      </c>
      <c r="J2585" s="3" t="n"/>
      <c r="K2585" s="3" t="n"/>
      <c r="L2585" s="3" t="n"/>
      <c r="M2585" s="2" t="inlineStr">
        <is>
          <t>PriceCharting</t>
        </is>
      </c>
      <c r="N2585" s="4" t="inlineStr">
        <is>
          <t>https://www.pricecharting.com/game/pokemon-xy/rayquaza-ex-box</t>
        </is>
      </c>
    </row>
    <row r="2586">
      <c r="A2586" s="2" t="inlineStr">
        <is>
          <t>Xy Sealed Knockout Collection</t>
        </is>
      </c>
      <c r="B2586" s="3">
        <f>IF(I2586&lt;&gt;"",I2586,IF(J2586&lt;&gt;"",J2586,IF(K2586&lt;&gt;"",K2586,L2586)))</f>
        <v>50.02</v>
      </c>
      <c r="C2586" s="3">
        <f>MEDIAN(I2586:L2586)</f>
        <v>50.02</v>
      </c>
      <c r="D2586" s="3">
        <f>ROUND(C2586*(1-Settings!$B$2),2)</f>
        <v>35.01</v>
      </c>
      <c r="E2586" s="3">
        <f>ROUND(C2586*(1-Settings!$B$3),2)</f>
        <v>35.01</v>
      </c>
      <c r="F2586" s="2" t="inlineStr">
        <is>
          <t>Pokemon</t>
        </is>
      </c>
      <c r="G2586" s="2" t="inlineStr">
        <is>
          <t>Coffret</t>
        </is>
      </c>
      <c r="H2586" s="2" t="inlineStr">
        <is>
          <t>Xy</t>
        </is>
      </c>
      <c r="I2586" s="3" t="n">
        <v>50.02</v>
      </c>
      <c r="J2586" s="3" t="n"/>
      <c r="K2586" s="3" t="n"/>
      <c r="L2586" s="3" t="n"/>
      <c r="M2586" s="2" t="inlineStr">
        <is>
          <t>PriceCharting</t>
        </is>
      </c>
      <c r="N2586" s="4" t="inlineStr">
        <is>
          <t>https://www.pricecharting.com/game/pokemon-xy/sealed-knockout-collection</t>
        </is>
      </c>
    </row>
    <row r="2587">
      <c r="A2587" s="2" t="inlineStr">
        <is>
          <t>Xy Shiny Rayquaza EX Collection Box</t>
        </is>
      </c>
      <c r="B2587" s="3">
        <f>IF(I2587&lt;&gt;"",I2587,IF(J2587&lt;&gt;"",J2587,IF(K2587&lt;&gt;"",K2587,L2587)))</f>
        <v>1900.0</v>
      </c>
      <c r="C2587" s="3">
        <f>MEDIAN(I2587:L2587)</f>
        <v>1900.0</v>
      </c>
      <c r="D2587" s="3">
        <f>ROUND(C2587*(1-Settings!$B$2),2)</f>
        <v>1330.0</v>
      </c>
      <c r="E2587" s="3">
        <f>ROUND(C2587*(1-Settings!$B$3),2)</f>
        <v>1330.0</v>
      </c>
      <c r="F2587" s="2" t="inlineStr">
        <is>
          <t>Pokemon</t>
        </is>
      </c>
      <c r="G2587" s="2" t="inlineStr">
        <is>
          <t>Coffret</t>
        </is>
      </c>
      <c r="H2587" s="2" t="inlineStr">
        <is>
          <t>Xy</t>
        </is>
      </c>
      <c r="I2587" s="3" t="n">
        <v>1900</v>
      </c>
      <c r="J2587" s="3" t="n"/>
      <c r="K2587" s="3" t="n"/>
      <c r="L2587" s="3" t="n"/>
      <c r="M2587" s="2" t="inlineStr">
        <is>
          <t>PriceCharting</t>
        </is>
      </c>
      <c r="N2587" s="4" t="inlineStr">
        <is>
          <t>https://www.pricecharting.com/game/pokemon-xy/shiny-rayquaza-ex-collection-box</t>
        </is>
      </c>
    </row>
    <row r="2588">
      <c r="A2588" s="2" t="inlineStr">
        <is>
          <t>Xy Sylveon Collection</t>
        </is>
      </c>
      <c r="B2588" s="3">
        <f>IF(I2588&lt;&gt;"",I2588,IF(J2588&lt;&gt;"",J2588,IF(K2588&lt;&gt;"",K2588,L2588)))</f>
        <v>4700.0</v>
      </c>
      <c r="C2588" s="3">
        <f>MEDIAN(I2588:L2588)</f>
        <v>4700.0</v>
      </c>
      <c r="D2588" s="3">
        <f>ROUND(C2588*(1-Settings!$B$2),2)</f>
        <v>3290.0</v>
      </c>
      <c r="E2588" s="3">
        <f>ROUND(C2588*(1-Settings!$B$3),2)</f>
        <v>3290.0</v>
      </c>
      <c r="F2588" s="2" t="inlineStr">
        <is>
          <t>Pokemon</t>
        </is>
      </c>
      <c r="G2588" s="2" t="inlineStr">
        <is>
          <t>Coffret</t>
        </is>
      </c>
      <c r="H2588" s="2" t="inlineStr">
        <is>
          <t>Xy</t>
        </is>
      </c>
      <c r="I2588" s="3" t="n">
        <v>4700</v>
      </c>
      <c r="J2588" s="3" t="n"/>
      <c r="K2588" s="3" t="n"/>
      <c r="L2588" s="3" t="n"/>
      <c r="M2588" s="2" t="inlineStr">
        <is>
          <t>PriceCharting</t>
        </is>
      </c>
      <c r="N2588" s="4" t="inlineStr">
        <is>
          <t>https://www.pricecharting.com/game/pokemon-xy/sylveon-collection</t>
        </is>
      </c>
    </row>
    <row r="2589">
      <c r="A2589" s="2" t="inlineStr">
        <is>
          <t>Ancient Origins Elite Trainer Box</t>
        </is>
      </c>
      <c r="B2589" s="3">
        <f>IF(I2589&lt;&gt;"",I2589,IF(J2589&lt;&gt;"",J2589,IF(K2589&lt;&gt;"",K2589,L2589)))</f>
        <v>3050.0</v>
      </c>
      <c r="C2589" s="3">
        <f>MEDIAN(I2589:L2589)</f>
        <v>3050.0</v>
      </c>
      <c r="D2589" s="3">
        <f>ROUND(C2589*(1-Settings!$B$2),2)</f>
        <v>2135.0</v>
      </c>
      <c r="E2589" s="3">
        <f>ROUND(C2589*(1-Settings!$B$3),2)</f>
        <v>2135.0</v>
      </c>
      <c r="F2589" s="2" t="inlineStr">
        <is>
          <t>Pokemon</t>
        </is>
      </c>
      <c r="G2589" s="2" t="inlineStr">
        <is>
          <t>Coffret</t>
        </is>
      </c>
      <c r="H2589" s="2" t="inlineStr">
        <is>
          <t>XY - Ancient Origins</t>
        </is>
      </c>
      <c r="I2589" s="3" t="n">
        <v>3050</v>
      </c>
      <c r="J2589" s="3" t="n"/>
      <c r="K2589" s="3" t="n"/>
      <c r="L2589" s="3" t="n"/>
      <c r="M2589" s="2" t="inlineStr">
        <is>
          <t>PriceCharting + TCGplayer</t>
        </is>
      </c>
      <c r="N2589" s="4" t="inlineStr">
        <is>
          <t>https://www.pricecharting.com/game/pokemon-ancient-origins/elite-trainer-box</t>
        </is>
      </c>
      <c r="O2589" s="4" t="inlineStr">
        <is>
          <t>https://www.tcgplayer.com/product/100495</t>
        </is>
      </c>
    </row>
    <row r="2590">
      <c r="A2590" s="2" t="inlineStr">
        <is>
          <t>Powers Beyond Tin [Hoopa EX]</t>
        </is>
      </c>
      <c r="B2590" s="3">
        <f>IF(I2590&lt;&gt;"",I2590,IF(J2590&lt;&gt;"",J2590,IF(K2590&lt;&gt;"",K2590,L2590)))</f>
        <v>502.5</v>
      </c>
      <c r="C2590" s="3">
        <f>MEDIAN(I2590:L2590)</f>
        <v>498.75</v>
      </c>
      <c r="D2590" s="3">
        <f>ROUND(C2590*(1-Settings!$B$2),2)</f>
        <v>349.13</v>
      </c>
      <c r="E2590" s="3">
        <f>ROUND(C2590*(1-Settings!$B$3),2)</f>
        <v>349.13</v>
      </c>
      <c r="F2590" s="2" t="inlineStr">
        <is>
          <t>Pokemon</t>
        </is>
      </c>
      <c r="G2590" s="2" t="inlineStr">
        <is>
          <t>Coffret</t>
        </is>
      </c>
      <c r="H2590" s="2" t="inlineStr">
        <is>
          <t>XY - Ancient Origins</t>
        </is>
      </c>
      <c r="I2590" s="3" t="n"/>
      <c r="J2590" s="3" t="n"/>
      <c r="K2590" s="3" t="n">
        <v>502.5</v>
      </c>
      <c r="L2590" s="3" t="n">
        <v>495</v>
      </c>
      <c r="M2590" s="2" t="inlineStr">
        <is>
          <t>TCGplayer</t>
        </is>
      </c>
      <c r="O2590" s="4" t="inlineStr">
        <is>
          <t>https://www.tcgplayer.com/product/106213</t>
        </is>
      </c>
    </row>
    <row r="2591">
      <c r="A2591" s="2" t="inlineStr">
        <is>
          <t>Powers Beyond Tin [Latios EX]</t>
        </is>
      </c>
      <c r="B2591" s="3">
        <f>IF(I2591&lt;&gt;"",I2591,IF(J2591&lt;&gt;"",J2591,IF(K2591&lt;&gt;"",K2591,L2591)))</f>
        <v>549.99</v>
      </c>
      <c r="C2591" s="3">
        <f>MEDIAN(I2591:L2591)</f>
        <v>699.99</v>
      </c>
      <c r="D2591" s="3">
        <f>ROUND(C2591*(1-Settings!$B$2),2)</f>
        <v>489.99</v>
      </c>
      <c r="E2591" s="3">
        <f>ROUND(C2591*(1-Settings!$B$3),2)</f>
        <v>489.99</v>
      </c>
      <c r="F2591" s="2" t="inlineStr">
        <is>
          <t>Pokemon</t>
        </is>
      </c>
      <c r="G2591" s="2" t="inlineStr">
        <is>
          <t>Coffret</t>
        </is>
      </c>
      <c r="H2591" s="2" t="inlineStr">
        <is>
          <t>XY - Ancient Origins</t>
        </is>
      </c>
      <c r="I2591" s="3" t="n"/>
      <c r="J2591" s="3" t="n">
        <v>549.99</v>
      </c>
      <c r="K2591" s="3" t="n">
        <v>699.99</v>
      </c>
      <c r="L2591" s="3" t="n">
        <v>699.99</v>
      </c>
      <c r="M2591" s="2" t="inlineStr">
        <is>
          <t>TCGplayer</t>
        </is>
      </c>
      <c r="O2591" s="4" t="inlineStr">
        <is>
          <t>https://www.tcgplayer.com/product/106211</t>
        </is>
      </c>
    </row>
    <row r="2592">
      <c r="A2592" s="2" t="inlineStr">
        <is>
          <t>BREAKpoint Booster Pack Art Bundle [Set of 4]</t>
        </is>
      </c>
      <c r="B2592" s="3">
        <f>IF(I2592&lt;&gt;"",I2592,IF(J2592&lt;&gt;"",J2592,IF(K2592&lt;&gt;"",K2592,L2592)))</f>
        <v>192.83</v>
      </c>
      <c r="C2592" s="3">
        <f>MEDIAN(I2592:L2592)</f>
        <v>128.91500000000002</v>
      </c>
      <c r="D2592" s="3">
        <f>ROUND(C2592*(1-Settings!$B$2),2)</f>
        <v>90.24</v>
      </c>
      <c r="E2592" s="3">
        <f>ROUND(C2592*(1-Settings!$B$3),2)</f>
        <v>90.24</v>
      </c>
      <c r="F2592" s="2" t="inlineStr">
        <is>
          <t>Pokemon</t>
        </is>
      </c>
      <c r="G2592" s="2" t="inlineStr">
        <is>
          <t>Coffret</t>
        </is>
      </c>
      <c r="H2592" s="2" t="inlineStr">
        <is>
          <t>XY - BREAKpoint</t>
        </is>
      </c>
      <c r="I2592" s="3" t="n"/>
      <c r="J2592" s="3" t="n">
        <v>192.83</v>
      </c>
      <c r="K2592" s="3" t="n"/>
      <c r="L2592" s="3" t="n">
        <v>65</v>
      </c>
      <c r="M2592" s="2" t="inlineStr">
        <is>
          <t>TCGplayer</t>
        </is>
      </c>
      <c r="O2592" s="4" t="inlineStr">
        <is>
          <t>https://www.tcgplayer.com/product/531444</t>
        </is>
      </c>
    </row>
    <row r="2593">
      <c r="A2593" s="2" t="inlineStr">
        <is>
          <t>BREAKpoint Sleeved Booster Pack Art Bundle [Set of 4]</t>
        </is>
      </c>
      <c r="B2593" s="3">
        <f>IF(I2593&lt;&gt;"",I2593,IF(J2593&lt;&gt;"",J2593,IF(K2593&lt;&gt;"",K2593,L2593)))</f>
        <v>189.98</v>
      </c>
      <c r="C2593" s="3">
        <f>MEDIAN(I2593:L2593)</f>
        <v>189.98</v>
      </c>
      <c r="D2593" s="3">
        <f>ROUND(C2593*(1-Settings!$B$2),2)</f>
        <v>132.99</v>
      </c>
      <c r="E2593" s="3">
        <f>ROUND(C2593*(1-Settings!$B$3),2)</f>
        <v>132.99</v>
      </c>
      <c r="F2593" s="2" t="inlineStr">
        <is>
          <t>Pokemon</t>
        </is>
      </c>
      <c r="G2593" s="2" t="inlineStr">
        <is>
          <t>Coffret</t>
        </is>
      </c>
      <c r="H2593" s="2" t="inlineStr">
        <is>
          <t>XY - BREAKpoint</t>
        </is>
      </c>
      <c r="I2593" s="3" t="n"/>
      <c r="J2593" s="3" t="n">
        <v>189.98</v>
      </c>
      <c r="K2593" s="3" t="n">
        <v>249.5</v>
      </c>
      <c r="L2593" s="3" t="n">
        <v>179</v>
      </c>
      <c r="M2593" s="2" t="inlineStr">
        <is>
          <t>TCGplayer</t>
        </is>
      </c>
      <c r="O2593" s="4" t="inlineStr">
        <is>
          <t>https://www.tcgplayer.com/product/276597</t>
        </is>
      </c>
    </row>
    <row r="2594">
      <c r="A2594" s="2" t="inlineStr">
        <is>
          <t>Triple Power Tin [Machamp EX]</t>
        </is>
      </c>
      <c r="B2594" s="3">
        <f>IF(I2594&lt;&gt;"",I2594,IF(J2594&lt;&gt;"",J2594,IF(K2594&lt;&gt;"",K2594,L2594)))</f>
        <v>450.0</v>
      </c>
      <c r="C2594" s="3">
        <f>MEDIAN(I2594:L2594)</f>
        <v>425.0</v>
      </c>
      <c r="D2594" s="3">
        <f>ROUND(C2594*(1-Settings!$B$2),2)</f>
        <v>297.5</v>
      </c>
      <c r="E2594" s="3">
        <f>ROUND(C2594*(1-Settings!$B$3),2)</f>
        <v>297.5</v>
      </c>
      <c r="F2594" s="2" t="inlineStr">
        <is>
          <t>Pokemon</t>
        </is>
      </c>
      <c r="G2594" s="2" t="inlineStr">
        <is>
          <t>Coffret</t>
        </is>
      </c>
      <c r="H2594" s="2" t="inlineStr">
        <is>
          <t>XY - BREAKpoint</t>
        </is>
      </c>
      <c r="I2594" s="3" t="n"/>
      <c r="J2594" s="3" t="n"/>
      <c r="K2594" s="3" t="n">
        <v>450</v>
      </c>
      <c r="L2594" s="3" t="n">
        <v>400</v>
      </c>
      <c r="M2594" s="2" t="inlineStr">
        <is>
          <t>TCGplayer</t>
        </is>
      </c>
      <c r="O2594" s="4" t="inlineStr">
        <is>
          <t>https://www.tcgplayer.com/product/117699</t>
        </is>
      </c>
    </row>
    <row r="2595">
      <c r="A2595" s="2" t="inlineStr">
        <is>
          <t>Triple Power Tin [Mewtwo EX]</t>
        </is>
      </c>
      <c r="B2595" s="3">
        <f>IF(I2595&lt;&gt;"",I2595,IF(J2595&lt;&gt;"",J2595,IF(K2595&lt;&gt;"",K2595,L2595)))</f>
        <v>590.0</v>
      </c>
      <c r="C2595" s="3">
        <f>MEDIAN(I2595:L2595)</f>
        <v>585.0</v>
      </c>
      <c r="D2595" s="3">
        <f>ROUND(C2595*(1-Settings!$B$2),2)</f>
        <v>409.5</v>
      </c>
      <c r="E2595" s="3">
        <f>ROUND(C2595*(1-Settings!$B$3),2)</f>
        <v>409.5</v>
      </c>
      <c r="F2595" s="2" t="inlineStr">
        <is>
          <t>Pokemon</t>
        </is>
      </c>
      <c r="G2595" s="2" t="inlineStr">
        <is>
          <t>Coffret</t>
        </is>
      </c>
      <c r="H2595" s="2" t="inlineStr">
        <is>
          <t>XY - BREAKpoint</t>
        </is>
      </c>
      <c r="I2595" s="3" t="n"/>
      <c r="J2595" s="3" t="n"/>
      <c r="K2595" s="3" t="n">
        <v>590</v>
      </c>
      <c r="L2595" s="3" t="n">
        <v>580</v>
      </c>
      <c r="M2595" s="2" t="inlineStr">
        <is>
          <t>TCGplayer</t>
        </is>
      </c>
      <c r="O2595" s="4" t="inlineStr">
        <is>
          <t>https://www.tcgplayer.com/product/117698</t>
        </is>
      </c>
    </row>
    <row r="2596">
      <c r="A2596" s="2" t="inlineStr">
        <is>
          <t>XY BREAKpoint Elite Trainer Box</t>
        </is>
      </c>
      <c r="B2596" s="3">
        <f>IF(I2596&lt;&gt;"",I2596,IF(J2596&lt;&gt;"",J2596,IF(K2596&lt;&gt;"",K2596,L2596)))</f>
        <v>1099.99</v>
      </c>
      <c r="C2596" s="3">
        <f>MEDIAN(I2596:L2596)</f>
        <v>1329.95</v>
      </c>
      <c r="D2596" s="3">
        <f>ROUND(C2596*(1-Settings!$B$2),2)</f>
        <v>930.97</v>
      </c>
      <c r="E2596" s="3">
        <f>ROUND(C2596*(1-Settings!$B$3),2)</f>
        <v>930.97</v>
      </c>
      <c r="F2596" s="2" t="inlineStr">
        <is>
          <t>Pokemon</t>
        </is>
      </c>
      <c r="G2596" s="2" t="inlineStr">
        <is>
          <t>Coffret</t>
        </is>
      </c>
      <c r="H2596" s="2" t="inlineStr">
        <is>
          <t>XY - BREAKpoint</t>
        </is>
      </c>
      <c r="I2596" s="3" t="n"/>
      <c r="J2596" s="3" t="n">
        <v>1099.99</v>
      </c>
      <c r="K2596" s="3" t="n">
        <v>1349.99</v>
      </c>
      <c r="L2596" s="3" t="n">
        <v>1329.95</v>
      </c>
      <c r="M2596" s="2" t="inlineStr">
        <is>
          <t>TCGplayer</t>
        </is>
      </c>
      <c r="O2596" s="4" t="inlineStr">
        <is>
          <t>https://www.tcgplayer.com/product/111280</t>
        </is>
      </c>
    </row>
    <row r="2597">
      <c r="A2597" s="2" t="inlineStr">
        <is>
          <t>Aurorus EX Box</t>
        </is>
      </c>
      <c r="B2597" s="3">
        <f>IF(I2597&lt;&gt;"",I2597,IF(J2597&lt;&gt;"",J2597,IF(K2597&lt;&gt;"",K2597,L2597)))</f>
        <v>399.0</v>
      </c>
      <c r="C2597" s="3">
        <f>MEDIAN(I2597:L2597)</f>
        <v>399.0</v>
      </c>
      <c r="D2597" s="3">
        <f>ROUND(C2597*(1-Settings!$B$2),2)</f>
        <v>279.3</v>
      </c>
      <c r="E2597" s="3">
        <f>ROUND(C2597*(1-Settings!$B$3),2)</f>
        <v>279.3</v>
      </c>
      <c r="F2597" s="2" t="inlineStr">
        <is>
          <t>Pokemon</t>
        </is>
      </c>
      <c r="G2597" s="2" t="inlineStr">
        <is>
          <t>Coffret</t>
        </is>
      </c>
      <c r="H2597" s="2" t="inlineStr">
        <is>
          <t>XY - BREAKthrough</t>
        </is>
      </c>
      <c r="I2597" s="3" t="n"/>
      <c r="J2597" s="3" t="n">
        <v>399</v>
      </c>
      <c r="K2597" s="3" t="n"/>
      <c r="L2597" s="3" t="n"/>
      <c r="M2597" s="2" t="inlineStr">
        <is>
          <t>TCGplayer</t>
        </is>
      </c>
      <c r="O2597" s="4" t="inlineStr">
        <is>
          <t>https://www.tcgplayer.com/product/117278</t>
        </is>
      </c>
    </row>
    <row r="2598">
      <c r="A2598" s="2" t="inlineStr">
        <is>
          <t>BREAKthrough Booster Pack Art Bundle [Set of 4]</t>
        </is>
      </c>
      <c r="B2598" s="3">
        <f>IF(I2598&lt;&gt;"",I2598,IF(J2598&lt;&gt;"",J2598,IF(K2598&lt;&gt;"",K2598,L2598)))</f>
        <v>279.95</v>
      </c>
      <c r="C2598" s="3">
        <f>MEDIAN(I2598:L2598)</f>
        <v>279.95</v>
      </c>
      <c r="D2598" s="3">
        <f>ROUND(C2598*(1-Settings!$B$2),2)</f>
        <v>195.97</v>
      </c>
      <c r="E2598" s="3">
        <f>ROUND(C2598*(1-Settings!$B$3),2)</f>
        <v>195.97</v>
      </c>
      <c r="F2598" s="2" t="inlineStr">
        <is>
          <t>Pokemon</t>
        </is>
      </c>
      <c r="G2598" s="2" t="inlineStr">
        <is>
          <t>Coffret</t>
        </is>
      </c>
      <c r="H2598" s="2" t="inlineStr">
        <is>
          <t>XY - BREAKthrough</t>
        </is>
      </c>
      <c r="I2598" s="3" t="n"/>
      <c r="J2598" s="3" t="n">
        <v>279.95</v>
      </c>
      <c r="K2598" s="3" t="n">
        <v>279.95</v>
      </c>
      <c r="L2598" s="3" t="n">
        <v>279.95</v>
      </c>
      <c r="M2598" s="2" t="inlineStr">
        <is>
          <t>TCGplayer</t>
        </is>
      </c>
      <c r="O2598" s="4" t="inlineStr">
        <is>
          <t>https://www.tcgplayer.com/product/531445</t>
        </is>
      </c>
    </row>
    <row r="2599">
      <c r="A2599" s="2" t="inlineStr">
        <is>
          <t>BREAKthrough Sleeved Booster Pack Art Bundle [Set of 4]</t>
        </is>
      </c>
      <c r="B2599" s="3">
        <f>IF(I2599&lt;&gt;"",I2599,IF(J2599&lt;&gt;"",J2599,IF(K2599&lt;&gt;"",K2599,L2599)))</f>
        <v>500.0</v>
      </c>
      <c r="C2599" s="3">
        <f>MEDIAN(I2599:L2599)</f>
        <v>500.0</v>
      </c>
      <c r="D2599" s="3">
        <f>ROUND(C2599*(1-Settings!$B$2),2)</f>
        <v>350.0</v>
      </c>
      <c r="E2599" s="3">
        <f>ROUND(C2599*(1-Settings!$B$3),2)</f>
        <v>350.0</v>
      </c>
      <c r="F2599" s="2" t="inlineStr">
        <is>
          <t>Pokemon</t>
        </is>
      </c>
      <c r="G2599" s="2" t="inlineStr">
        <is>
          <t>Coffret</t>
        </is>
      </c>
      <c r="H2599" s="2" t="inlineStr">
        <is>
          <t>XY - BREAKthrough</t>
        </is>
      </c>
      <c r="I2599" s="3" t="n"/>
      <c r="J2599" s="3" t="n">
        <v>500</v>
      </c>
      <c r="K2599" s="3" t="n"/>
      <c r="L2599" s="3" t="n">
        <v>500</v>
      </c>
      <c r="M2599" s="2" t="inlineStr">
        <is>
          <t>TCGplayer</t>
        </is>
      </c>
      <c r="O2599" s="4" t="inlineStr">
        <is>
          <t>https://www.tcgplayer.com/product/276596</t>
        </is>
      </c>
    </row>
    <row r="2600">
      <c r="A2600" s="2" t="inlineStr">
        <is>
          <t>Elite Trainer Box [Mewtwo X]</t>
        </is>
      </c>
      <c r="B2600" s="3">
        <f>IF(I2600&lt;&gt;"",I2600,IF(J2600&lt;&gt;"",J2600,IF(K2600&lt;&gt;"",K2600,L2600)))</f>
        <v>668.73</v>
      </c>
      <c r="C2600" s="3">
        <f>MEDIAN(I2600:L2600)</f>
        <v>1999.99</v>
      </c>
      <c r="D2600" s="3">
        <f>ROUND(C2600*(1-Settings!$B$2),2)</f>
        <v>1399.99</v>
      </c>
      <c r="E2600" s="3">
        <f>ROUND(C2600*(1-Settings!$B$3),2)</f>
        <v>1399.99</v>
      </c>
      <c r="F2600" s="2" t="inlineStr">
        <is>
          <t>Pokemon</t>
        </is>
      </c>
      <c r="G2600" s="2" t="inlineStr">
        <is>
          <t>Coffret</t>
        </is>
      </c>
      <c r="H2600" s="2" t="inlineStr">
        <is>
          <t>XY - BREAKthrough</t>
        </is>
      </c>
      <c r="I2600" s="3" t="n">
        <v>668.73</v>
      </c>
      <c r="J2600" s="3" t="n"/>
      <c r="K2600" s="3" t="n">
        <v>1999.99</v>
      </c>
      <c r="L2600" s="3" t="n">
        <v>1999.99</v>
      </c>
      <c r="M2600" s="2" t="inlineStr">
        <is>
          <t>PriceCharting + TCGplayer</t>
        </is>
      </c>
      <c r="N2600" s="4" t="inlineStr">
        <is>
          <t>https://www.pricecharting.com/game/pokemon-breakthrough/elite-trainer-box-mewtwo-x</t>
        </is>
      </c>
      <c r="O2600" s="4" t="inlineStr">
        <is>
          <t>https://www.tcgplayer.com/product/107106</t>
        </is>
      </c>
    </row>
    <row r="2601">
      <c r="A2601" s="2" t="inlineStr">
        <is>
          <t>Elite Trainer Box [Mewtwo Y]</t>
        </is>
      </c>
      <c r="B2601" s="3">
        <f>IF(I2601&lt;&gt;"",I2601,IF(J2601&lt;&gt;"",J2601,IF(K2601&lt;&gt;"",K2601,L2601)))</f>
        <v>615.22</v>
      </c>
      <c r="C2601" s="3">
        <f>MEDIAN(I2601:L2601)</f>
        <v>1749.495</v>
      </c>
      <c r="D2601" s="3">
        <f>ROUND(C2601*(1-Settings!$B$2),2)</f>
        <v>1224.65</v>
      </c>
      <c r="E2601" s="3">
        <f>ROUND(C2601*(1-Settings!$B$3),2)</f>
        <v>1224.65</v>
      </c>
      <c r="F2601" s="2" t="inlineStr">
        <is>
          <t>Pokemon</t>
        </is>
      </c>
      <c r="G2601" s="2" t="inlineStr">
        <is>
          <t>Coffret</t>
        </is>
      </c>
      <c r="H2601" s="2" t="inlineStr">
        <is>
          <t>XY - BREAKthrough</t>
        </is>
      </c>
      <c r="I2601" s="3" t="n">
        <v>615.22</v>
      </c>
      <c r="J2601" s="3" t="n">
        <v>1499</v>
      </c>
      <c r="K2601" s="3" t="n">
        <v>1999.99</v>
      </c>
      <c r="L2601" s="3" t="n">
        <v>1999.99</v>
      </c>
      <c r="M2601" s="2" t="inlineStr">
        <is>
          <t>PriceCharting + TCGplayer</t>
        </is>
      </c>
      <c r="N2601" s="4" t="inlineStr">
        <is>
          <t>https://www.pricecharting.com/game/pokemon-breakthrough/elite-trainer-box-mewtwo-y</t>
        </is>
      </c>
      <c r="O2601" s="4" t="inlineStr">
        <is>
          <t>https://www.tcgplayer.com/product/107107</t>
        </is>
      </c>
    </row>
    <row r="2602">
      <c r="A2602" s="2" t="inlineStr">
        <is>
          <t>Mega Aerodactyl EX Premium Collection</t>
        </is>
      </c>
      <c r="B2602" s="3">
        <f>IF(I2602&lt;&gt;"",I2602,IF(J2602&lt;&gt;"",J2602,IF(K2602&lt;&gt;"",K2602,L2602)))</f>
        <v>699.99</v>
      </c>
      <c r="C2602" s="3">
        <f>MEDIAN(I2602:L2602)</f>
        <v>689.99</v>
      </c>
      <c r="D2602" s="3">
        <f>ROUND(C2602*(1-Settings!$B$2),2)</f>
        <v>482.99</v>
      </c>
      <c r="E2602" s="3">
        <f>ROUND(C2602*(1-Settings!$B$3),2)</f>
        <v>482.99</v>
      </c>
      <c r="F2602" s="2" t="inlineStr">
        <is>
          <t>Pokemon</t>
        </is>
      </c>
      <c r="G2602" s="2" t="inlineStr">
        <is>
          <t>Coffret</t>
        </is>
      </c>
      <c r="H2602" s="2" t="inlineStr">
        <is>
          <t>XY - BREAKthrough</t>
        </is>
      </c>
      <c r="I2602" s="3" t="n"/>
      <c r="J2602" s="3" t="n"/>
      <c r="K2602" s="3" t="n">
        <v>699.99</v>
      </c>
      <c r="L2602" s="3" t="n">
        <v>679.99</v>
      </c>
      <c r="M2602" s="2" t="inlineStr">
        <is>
          <t>TCGplayer</t>
        </is>
      </c>
      <c r="O2602" s="4" t="inlineStr">
        <is>
          <t>https://www.tcgplayer.com/product/117277</t>
        </is>
      </c>
    </row>
    <row r="2603">
      <c r="A2603" s="2" t="inlineStr">
        <is>
          <t>Mega Blaziken EX &amp; Mega Swampert EX Premium Collection (Set of 2)</t>
        </is>
      </c>
      <c r="B2603" s="3">
        <f>IF(I2603&lt;&gt;"",I2603,IF(J2603&lt;&gt;"",J2603,IF(K2603&lt;&gt;"",K2603,L2603)))</f>
        <v>5000.0</v>
      </c>
      <c r="C2603" s="3">
        <f>MEDIAN(I2603:L2603)</f>
        <v>5000.0</v>
      </c>
      <c r="D2603" s="3">
        <f>ROUND(C2603*(1-Settings!$B$2),2)</f>
        <v>3500.0</v>
      </c>
      <c r="E2603" s="3">
        <f>ROUND(C2603*(1-Settings!$B$3),2)</f>
        <v>3500.0</v>
      </c>
      <c r="F2603" s="2" t="inlineStr">
        <is>
          <t>Pokemon</t>
        </is>
      </c>
      <c r="G2603" s="2" t="inlineStr">
        <is>
          <t>Coffret</t>
        </is>
      </c>
      <c r="H2603" s="2" t="inlineStr">
        <is>
          <t>XY - BREAKthrough</t>
        </is>
      </c>
      <c r="I2603" s="3" t="n"/>
      <c r="J2603" s="3" t="n"/>
      <c r="K2603" s="3" t="n">
        <v>5000</v>
      </c>
      <c r="L2603" s="3" t="n">
        <v>5000</v>
      </c>
      <c r="M2603" s="2" t="inlineStr">
        <is>
          <t>TCGplayer</t>
        </is>
      </c>
      <c r="O2603" s="4" t="inlineStr">
        <is>
          <t>https://www.tcgplayer.com/product/107108</t>
        </is>
      </c>
    </row>
    <row r="2604">
      <c r="A2604" s="2" t="inlineStr">
        <is>
          <t>Mega Mewtwo Collection (Set of 2)</t>
        </is>
      </c>
      <c r="B2604" s="3">
        <f>IF(I2604&lt;&gt;"",I2604,IF(J2604&lt;&gt;"",J2604,IF(K2604&lt;&gt;"",K2604,L2604)))</f>
        <v>1600.0</v>
      </c>
      <c r="C2604" s="3">
        <f>MEDIAN(I2604:L2604)</f>
        <v>1600.0</v>
      </c>
      <c r="D2604" s="3">
        <f>ROUND(C2604*(1-Settings!$B$2),2)</f>
        <v>1120.0</v>
      </c>
      <c r="E2604" s="3">
        <f>ROUND(C2604*(1-Settings!$B$3),2)</f>
        <v>1120.0</v>
      </c>
      <c r="F2604" s="2" t="inlineStr">
        <is>
          <t>Pokemon</t>
        </is>
      </c>
      <c r="G2604" s="2" t="inlineStr">
        <is>
          <t>Coffret</t>
        </is>
      </c>
      <c r="H2604" s="2" t="inlineStr">
        <is>
          <t>XY - BREAKthrough</t>
        </is>
      </c>
      <c r="I2604" s="3" t="n"/>
      <c r="J2604" s="3" t="n"/>
      <c r="K2604" s="3" t="n"/>
      <c r="L2604" s="3" t="n">
        <v>1600</v>
      </c>
      <c r="M2604" s="2" t="inlineStr">
        <is>
          <t>TCGplayer</t>
        </is>
      </c>
      <c r="O2604" s="4" t="inlineStr">
        <is>
          <t>https://www.tcgplayer.com/product/107116</t>
        </is>
      </c>
    </row>
    <row r="2605">
      <c r="A2605" s="2" t="inlineStr">
        <is>
          <t>Mega Mewtwo Collection [Mega Mewtwo X]</t>
        </is>
      </c>
      <c r="B2605" s="3">
        <f>IF(I2605&lt;&gt;"",I2605,IF(J2605&lt;&gt;"",J2605,IF(K2605&lt;&gt;"",K2605,L2605)))</f>
        <v>599.0</v>
      </c>
      <c r="C2605" s="3">
        <f>MEDIAN(I2605:L2605)</f>
        <v>595.01</v>
      </c>
      <c r="D2605" s="3">
        <f>ROUND(C2605*(1-Settings!$B$2),2)</f>
        <v>416.51</v>
      </c>
      <c r="E2605" s="3">
        <f>ROUND(C2605*(1-Settings!$B$3),2)</f>
        <v>416.51</v>
      </c>
      <c r="F2605" s="2" t="inlineStr">
        <is>
          <t>Pokemon</t>
        </is>
      </c>
      <c r="G2605" s="2" t="inlineStr">
        <is>
          <t>Coffret</t>
        </is>
      </c>
      <c r="H2605" s="2" t="inlineStr">
        <is>
          <t>XY - BREAKthrough</t>
        </is>
      </c>
      <c r="I2605" s="3" t="n"/>
      <c r="J2605" s="3" t="n">
        <v>599</v>
      </c>
      <c r="K2605" s="3" t="n">
        <v>595.01</v>
      </c>
      <c r="L2605" s="3" t="n">
        <v>595.01</v>
      </c>
      <c r="M2605" s="2" t="inlineStr">
        <is>
          <t>TCGplayer</t>
        </is>
      </c>
      <c r="O2605" s="4" t="inlineStr">
        <is>
          <t>https://www.tcgplayer.com/product/107118</t>
        </is>
      </c>
    </row>
    <row r="2606">
      <c r="A2606" s="2" t="inlineStr">
        <is>
          <t>XY BREAKthrough Collector Chest</t>
        </is>
      </c>
      <c r="B2606" s="3">
        <f>IF(I2606&lt;&gt;"",I2606,IF(J2606&lt;&gt;"",J2606,IF(K2606&lt;&gt;"",K2606,L2606)))</f>
        <v>2659.86</v>
      </c>
      <c r="C2606" s="3">
        <f>MEDIAN(I2606:L2606)</f>
        <v>2659.86</v>
      </c>
      <c r="D2606" s="3">
        <f>ROUND(C2606*(1-Settings!$B$2),2)</f>
        <v>1861.9</v>
      </c>
      <c r="E2606" s="3">
        <f>ROUND(C2606*(1-Settings!$B$3),2)</f>
        <v>1861.9</v>
      </c>
      <c r="F2606" s="2" t="inlineStr">
        <is>
          <t>Pokemon</t>
        </is>
      </c>
      <c r="G2606" s="2" t="inlineStr">
        <is>
          <t>Coffret</t>
        </is>
      </c>
      <c r="H2606" s="2" t="inlineStr">
        <is>
          <t>XY - BREAKthrough</t>
        </is>
      </c>
      <c r="I2606" s="3" t="n"/>
      <c r="J2606" s="3" t="n"/>
      <c r="K2606" s="3" t="n">
        <v>2659.86</v>
      </c>
      <c r="L2606" s="3" t="n">
        <v>2659.86</v>
      </c>
      <c r="M2606" s="2" t="inlineStr">
        <is>
          <t>TCGplayer</t>
        </is>
      </c>
      <c r="O2606" s="4" t="inlineStr">
        <is>
          <t>https://www.tcgplayer.com/product/107109</t>
        </is>
      </c>
    </row>
    <row r="2607">
      <c r="A2607" s="2" t="inlineStr">
        <is>
          <t>Alola Collection [Lunala]</t>
        </is>
      </c>
      <c r="B2607" s="3">
        <f>IF(I2607&lt;&gt;"",I2607,IF(J2607&lt;&gt;"",J2607,IF(K2607&lt;&gt;"",K2607,L2607)))</f>
        <v>447.97</v>
      </c>
      <c r="C2607" s="3">
        <f>MEDIAN(I2607:L2607)</f>
        <v>447.97</v>
      </c>
      <c r="D2607" s="3">
        <f>ROUND(C2607*(1-Settings!$B$2),2)</f>
        <v>313.58</v>
      </c>
      <c r="E2607" s="3">
        <f>ROUND(C2607*(1-Settings!$B$3),2)</f>
        <v>313.58</v>
      </c>
      <c r="F2607" s="2" t="inlineStr">
        <is>
          <t>Pokemon</t>
        </is>
      </c>
      <c r="G2607" s="2" t="inlineStr">
        <is>
          <t>Coffret</t>
        </is>
      </c>
      <c r="H2607" s="2" t="inlineStr">
        <is>
          <t>XY - Evolutions</t>
        </is>
      </c>
      <c r="I2607" s="3" t="n"/>
      <c r="J2607" s="3" t="n">
        <v>447.97</v>
      </c>
      <c r="K2607" s="3" t="n">
        <v>447.97</v>
      </c>
      <c r="L2607" s="3" t="n">
        <v>447.97</v>
      </c>
      <c r="M2607" s="2" t="inlineStr">
        <is>
          <t>TCGplayer</t>
        </is>
      </c>
      <c r="O2607" s="4" t="inlineStr">
        <is>
          <t>https://www.tcgplayer.com/product/125740</t>
        </is>
      </c>
    </row>
    <row r="2608">
      <c r="A2608" s="2" t="inlineStr">
        <is>
          <t>Alola Collection [Solgaleo]</t>
        </is>
      </c>
      <c r="B2608" s="3">
        <f>IF(I2608&lt;&gt;"",I2608,IF(J2608&lt;&gt;"",J2608,IF(K2608&lt;&gt;"",K2608,L2608)))</f>
        <v>401.99</v>
      </c>
      <c r="C2608" s="3">
        <f>MEDIAN(I2608:L2608)</f>
        <v>497.97</v>
      </c>
      <c r="D2608" s="3">
        <f>ROUND(C2608*(1-Settings!$B$2),2)</f>
        <v>348.58</v>
      </c>
      <c r="E2608" s="3">
        <f>ROUND(C2608*(1-Settings!$B$3),2)</f>
        <v>348.58</v>
      </c>
      <c r="F2608" s="2" t="inlineStr">
        <is>
          <t>Pokemon</t>
        </is>
      </c>
      <c r="G2608" s="2" t="inlineStr">
        <is>
          <t>Coffret</t>
        </is>
      </c>
      <c r="H2608" s="2" t="inlineStr">
        <is>
          <t>XY - Evolutions</t>
        </is>
      </c>
      <c r="I2608" s="3" t="n"/>
      <c r="J2608" s="3" t="n">
        <v>401.99</v>
      </c>
      <c r="K2608" s="3" t="n">
        <v>497.97</v>
      </c>
      <c r="L2608" s="3" t="n">
        <v>497.97</v>
      </c>
      <c r="M2608" s="2" t="inlineStr">
        <is>
          <t>TCGplayer</t>
        </is>
      </c>
      <c r="O2608" s="4" t="inlineStr">
        <is>
          <t>https://www.tcgplayer.com/product/125739</t>
        </is>
      </c>
    </row>
    <row r="2609">
      <c r="A2609" s="2" t="inlineStr">
        <is>
          <t>Autumn 2016 Collector Chest</t>
        </is>
      </c>
      <c r="B2609" s="3">
        <f>IF(I2609&lt;&gt;"",I2609,IF(J2609&lt;&gt;"",J2609,IF(K2609&lt;&gt;"",K2609,L2609)))</f>
        <v>2989.99</v>
      </c>
      <c r="C2609" s="3">
        <f>MEDIAN(I2609:L2609)</f>
        <v>2984.9849999999997</v>
      </c>
      <c r="D2609" s="3">
        <f>ROUND(C2609*(1-Settings!$B$2),2)</f>
        <v>2089.49</v>
      </c>
      <c r="E2609" s="3">
        <f>ROUND(C2609*(1-Settings!$B$3),2)</f>
        <v>2089.49</v>
      </c>
      <c r="F2609" s="2" t="inlineStr">
        <is>
          <t>Pokemon</t>
        </is>
      </c>
      <c r="G2609" s="2" t="inlineStr">
        <is>
          <t>Coffret</t>
        </is>
      </c>
      <c r="H2609" s="2" t="inlineStr">
        <is>
          <t>XY - Evolutions</t>
        </is>
      </c>
      <c r="I2609" s="3" t="n"/>
      <c r="J2609" s="3" t="n"/>
      <c r="K2609" s="3" t="n">
        <v>2989.99</v>
      </c>
      <c r="L2609" s="3" t="n">
        <v>2979.98</v>
      </c>
      <c r="M2609" s="2" t="inlineStr">
        <is>
          <t>TCGplayer</t>
        </is>
      </c>
      <c r="O2609" s="4" t="inlineStr">
        <is>
          <t>https://www.tcgplayer.com/product/169636</t>
        </is>
      </c>
    </row>
    <row r="2610">
      <c r="A2610" s="2" t="inlineStr">
        <is>
          <t>BREAK Evolution Box [Arcanine]</t>
        </is>
      </c>
      <c r="B2610" s="3">
        <f>IF(I2610&lt;&gt;"",I2610,IF(J2610&lt;&gt;"",J2610,IF(K2610&lt;&gt;"",K2610,L2610)))</f>
        <v>449.99</v>
      </c>
      <c r="C2610" s="3">
        <f>MEDIAN(I2610:L2610)</f>
        <v>500.0</v>
      </c>
      <c r="D2610" s="3">
        <f>ROUND(C2610*(1-Settings!$B$2),2)</f>
        <v>350.0</v>
      </c>
      <c r="E2610" s="3">
        <f>ROUND(C2610*(1-Settings!$B$3),2)</f>
        <v>350.0</v>
      </c>
      <c r="F2610" s="2" t="inlineStr">
        <is>
          <t>Pokemon</t>
        </is>
      </c>
      <c r="G2610" s="2" t="inlineStr">
        <is>
          <t>Coffret</t>
        </is>
      </c>
      <c r="H2610" s="2" t="inlineStr">
        <is>
          <t>XY - Evolutions</t>
        </is>
      </c>
      <c r="I2610" s="3" t="n"/>
      <c r="J2610" s="3" t="n">
        <v>449.99</v>
      </c>
      <c r="K2610" s="3" t="n">
        <v>500</v>
      </c>
      <c r="L2610" s="3" t="n">
        <v>500</v>
      </c>
      <c r="M2610" s="2" t="inlineStr">
        <is>
          <t>TCGplayer</t>
        </is>
      </c>
      <c r="O2610" s="4" t="inlineStr">
        <is>
          <t>https://www.tcgplayer.com/product/126570</t>
        </is>
      </c>
    </row>
    <row r="2611">
      <c r="A2611" s="2" t="inlineStr">
        <is>
          <t>Charizard EX Box</t>
        </is>
      </c>
      <c r="B2611" s="3">
        <f>IF(I2611&lt;&gt;"",I2611,IF(J2611&lt;&gt;"",J2611,IF(K2611&lt;&gt;"",K2611,L2611)))</f>
        <v>334.98</v>
      </c>
      <c r="C2611" s="3">
        <f>MEDIAN(I2611:L2611)</f>
        <v>374.99</v>
      </c>
      <c r="D2611" s="3">
        <f>ROUND(C2611*(1-Settings!$B$2),2)</f>
        <v>262.49</v>
      </c>
      <c r="E2611" s="3">
        <f>ROUND(C2611*(1-Settings!$B$3),2)</f>
        <v>262.49</v>
      </c>
      <c r="F2611" s="2" t="inlineStr">
        <is>
          <t>Pokemon</t>
        </is>
      </c>
      <c r="G2611" s="2" t="inlineStr">
        <is>
          <t>Coffret</t>
        </is>
      </c>
      <c r="H2611" s="2" t="inlineStr">
        <is>
          <t>XY - Evolutions</t>
        </is>
      </c>
      <c r="I2611" s="3" t="n"/>
      <c r="J2611" s="3" t="n">
        <v>334.98</v>
      </c>
      <c r="K2611" s="3" t="n">
        <v>379.9</v>
      </c>
      <c r="L2611" s="3" t="n">
        <v>374.99</v>
      </c>
      <c r="M2611" s="2" t="inlineStr">
        <is>
          <t>TCGplayer</t>
        </is>
      </c>
      <c r="O2611" s="4" t="inlineStr">
        <is>
          <t>https://www.tcgplayer.com/product/125731</t>
        </is>
      </c>
    </row>
    <row r="2612">
      <c r="A2612" s="2" t="inlineStr">
        <is>
          <t>Dragonite EX Box</t>
        </is>
      </c>
      <c r="B2612" s="3">
        <f>IF(I2612&lt;&gt;"",I2612,IF(J2612&lt;&gt;"",J2612,IF(K2612&lt;&gt;"",K2612,L2612)))</f>
        <v>369.98</v>
      </c>
      <c r="C2612" s="3">
        <f>MEDIAN(I2612:L2612)</f>
        <v>369.98</v>
      </c>
      <c r="D2612" s="3">
        <f>ROUND(C2612*(1-Settings!$B$2),2)</f>
        <v>258.99</v>
      </c>
      <c r="E2612" s="3">
        <f>ROUND(C2612*(1-Settings!$B$3),2)</f>
        <v>258.99</v>
      </c>
      <c r="F2612" s="2" t="inlineStr">
        <is>
          <t>Pokemon</t>
        </is>
      </c>
      <c r="G2612" s="2" t="inlineStr">
        <is>
          <t>Coffret</t>
        </is>
      </c>
      <c r="H2612" s="2" t="inlineStr">
        <is>
          <t>XY - Evolutions</t>
        </is>
      </c>
      <c r="I2612" s="3" t="n"/>
      <c r="J2612" s="3" t="n"/>
      <c r="K2612" s="3" t="n"/>
      <c r="L2612" s="3" t="n">
        <v>369.98</v>
      </c>
      <c r="M2612" s="2" t="inlineStr">
        <is>
          <t>TCGplayer</t>
        </is>
      </c>
      <c r="O2612" s="4" t="inlineStr">
        <is>
          <t>https://www.tcgplayer.com/product/125734</t>
        </is>
      </c>
    </row>
    <row r="2613">
      <c r="A2613" s="2" t="inlineStr">
        <is>
          <t>Evolutions Booster Pack Art Bundle [Set of 4]</t>
        </is>
      </c>
      <c r="B2613" s="3">
        <f>IF(I2613&lt;&gt;"",I2613,IF(J2613&lt;&gt;"",J2613,IF(K2613&lt;&gt;"",K2613,L2613)))</f>
        <v>259.67</v>
      </c>
      <c r="C2613" s="3">
        <f>MEDIAN(I2613:L2613)</f>
        <v>259.67</v>
      </c>
      <c r="D2613" s="3">
        <f>ROUND(C2613*(1-Settings!$B$2),2)</f>
        <v>181.77</v>
      </c>
      <c r="E2613" s="3">
        <f>ROUND(C2613*(1-Settings!$B$3),2)</f>
        <v>181.77</v>
      </c>
      <c r="F2613" s="2" t="inlineStr">
        <is>
          <t>Pokemon</t>
        </is>
      </c>
      <c r="G2613" s="2" t="inlineStr">
        <is>
          <t>Coffret</t>
        </is>
      </c>
      <c r="H2613" s="2" t="inlineStr">
        <is>
          <t>XY - Evolutions</t>
        </is>
      </c>
      <c r="I2613" s="3" t="n"/>
      <c r="J2613" s="3" t="n">
        <v>259.67</v>
      </c>
      <c r="K2613" s="3" t="n">
        <v>284.99</v>
      </c>
      <c r="L2613" s="3" t="n">
        <v>95</v>
      </c>
      <c r="M2613" s="2" t="inlineStr">
        <is>
          <t>TCGplayer</t>
        </is>
      </c>
      <c r="O2613" s="4" t="inlineStr">
        <is>
          <t>https://www.tcgplayer.com/product/272649</t>
        </is>
      </c>
    </row>
    <row r="2614">
      <c r="A2614" s="2" t="inlineStr">
        <is>
          <t>Evolutions Sleeved Booster Pack Art Bundle [Set of 4]</t>
        </is>
      </c>
      <c r="B2614" s="3">
        <f>IF(I2614&lt;&gt;"",I2614,IF(J2614&lt;&gt;"",J2614,IF(K2614&lt;&gt;"",K2614,L2614)))</f>
        <v>469.42</v>
      </c>
      <c r="C2614" s="3">
        <f>MEDIAN(I2614:L2614)</f>
        <v>459.685</v>
      </c>
      <c r="D2614" s="3">
        <f>ROUND(C2614*(1-Settings!$B$2),2)</f>
        <v>321.78</v>
      </c>
      <c r="E2614" s="3">
        <f>ROUND(C2614*(1-Settings!$B$3),2)</f>
        <v>321.78</v>
      </c>
      <c r="F2614" s="2" t="inlineStr">
        <is>
          <t>Pokemon</t>
        </is>
      </c>
      <c r="G2614" s="2" t="inlineStr">
        <is>
          <t>Coffret</t>
        </is>
      </c>
      <c r="H2614" s="2" t="inlineStr">
        <is>
          <t>XY - Evolutions</t>
        </is>
      </c>
      <c r="I2614" s="3" t="n"/>
      <c r="J2614" s="3" t="n"/>
      <c r="K2614" s="3" t="n">
        <v>469.42</v>
      </c>
      <c r="L2614" s="3" t="n">
        <v>449.95</v>
      </c>
      <c r="M2614" s="2" t="inlineStr">
        <is>
          <t>TCGplayer</t>
        </is>
      </c>
      <c r="O2614" s="4" t="inlineStr">
        <is>
          <t>https://www.tcgplayer.com/product/276600</t>
        </is>
      </c>
    </row>
    <row r="2615">
      <c r="A2615" s="2" t="inlineStr">
        <is>
          <t>Gengar EX Box</t>
        </is>
      </c>
      <c r="B2615" s="3">
        <f>IF(I2615&lt;&gt;"",I2615,IF(J2615&lt;&gt;"",J2615,IF(K2615&lt;&gt;"",K2615,L2615)))</f>
        <v>535.67</v>
      </c>
      <c r="C2615" s="3">
        <f>MEDIAN(I2615:L2615)</f>
        <v>552.6800000000001</v>
      </c>
      <c r="D2615" s="3">
        <f>ROUND(C2615*(1-Settings!$B$2),2)</f>
        <v>386.88</v>
      </c>
      <c r="E2615" s="3">
        <f>ROUND(C2615*(1-Settings!$B$3),2)</f>
        <v>386.88</v>
      </c>
      <c r="F2615" s="2" t="inlineStr">
        <is>
          <t>Pokemon</t>
        </is>
      </c>
      <c r="G2615" s="2" t="inlineStr">
        <is>
          <t>Coffret</t>
        </is>
      </c>
      <c r="H2615" s="2" t="inlineStr">
        <is>
          <t>XY - Evolutions</t>
        </is>
      </c>
      <c r="I2615" s="3" t="n">
        <v>535.67</v>
      </c>
      <c r="J2615" s="3" t="n">
        <v>511.42</v>
      </c>
      <c r="K2615" s="3" t="n">
        <v>569.99</v>
      </c>
      <c r="L2615" s="3" t="n">
        <v>569.6900000000001</v>
      </c>
      <c r="M2615" s="2" t="inlineStr">
        <is>
          <t>PriceCharting + TCGplayer</t>
        </is>
      </c>
      <c r="N2615" s="4" t="inlineStr">
        <is>
          <t>https://www.pricecharting.com/game/pokemon-evolutions/gengar-ex-box</t>
        </is>
      </c>
      <c r="O2615" s="4" t="inlineStr">
        <is>
          <t>https://www.tcgplayer.com/product/125733</t>
        </is>
      </c>
    </row>
    <row r="2616">
      <c r="A2616" s="2" t="inlineStr">
        <is>
          <t>Kanto Power Collection [Dragonite EX/Pidgeot EX]</t>
        </is>
      </c>
      <c r="B2616" s="3">
        <f>IF(I2616&lt;&gt;"",I2616,IF(J2616&lt;&gt;"",J2616,IF(K2616&lt;&gt;"",K2616,L2616)))</f>
        <v>611.7</v>
      </c>
      <c r="C2616" s="3">
        <f>MEDIAN(I2616:L2616)</f>
        <v>799.99</v>
      </c>
      <c r="D2616" s="3">
        <f>ROUND(C2616*(1-Settings!$B$2),2)</f>
        <v>559.99</v>
      </c>
      <c r="E2616" s="3">
        <f>ROUND(C2616*(1-Settings!$B$3),2)</f>
        <v>559.99</v>
      </c>
      <c r="F2616" s="2" t="inlineStr">
        <is>
          <t>Pokemon</t>
        </is>
      </c>
      <c r="G2616" s="2" t="inlineStr">
        <is>
          <t>Coffret</t>
        </is>
      </c>
      <c r="H2616" s="2" t="inlineStr">
        <is>
          <t>XY - Evolutions</t>
        </is>
      </c>
      <c r="I2616" s="3" t="n"/>
      <c r="J2616" s="3" t="n">
        <v>611.7</v>
      </c>
      <c r="K2616" s="3" t="n">
        <v>804.99</v>
      </c>
      <c r="L2616" s="3" t="n">
        <v>799.99</v>
      </c>
      <c r="M2616" s="2" t="inlineStr">
        <is>
          <t>TCGplayer</t>
        </is>
      </c>
      <c r="O2616" s="4" t="inlineStr">
        <is>
          <t>https://www.tcgplayer.com/product/222989</t>
        </is>
      </c>
    </row>
    <row r="2617">
      <c r="A2617" s="2" t="inlineStr">
        <is>
          <t>Kanto Power Collection [Mewtwo EX/Slowbro EX]</t>
        </is>
      </c>
      <c r="B2617" s="3">
        <f>IF(I2617&lt;&gt;"",I2617,IF(J2617&lt;&gt;"",J2617,IF(K2617&lt;&gt;"",K2617,L2617)))</f>
        <v>571.66</v>
      </c>
      <c r="C2617" s="3">
        <f>MEDIAN(I2617:L2617)</f>
        <v>724.98</v>
      </c>
      <c r="D2617" s="3">
        <f>ROUND(C2617*(1-Settings!$B$2),2)</f>
        <v>507.49</v>
      </c>
      <c r="E2617" s="3">
        <f>ROUND(C2617*(1-Settings!$B$3),2)</f>
        <v>507.49</v>
      </c>
      <c r="F2617" s="2" t="inlineStr">
        <is>
          <t>Pokemon</t>
        </is>
      </c>
      <c r="G2617" s="2" t="inlineStr">
        <is>
          <t>Coffret</t>
        </is>
      </c>
      <c r="H2617" s="2" t="inlineStr">
        <is>
          <t>XY - Evolutions</t>
        </is>
      </c>
      <c r="I2617" s="3" t="n"/>
      <c r="J2617" s="3" t="n">
        <v>571.66</v>
      </c>
      <c r="K2617" s="3" t="n">
        <v>800</v>
      </c>
      <c r="L2617" s="3" t="n">
        <v>724.98</v>
      </c>
      <c r="M2617" s="2" t="inlineStr">
        <is>
          <t>TCGplayer</t>
        </is>
      </c>
      <c r="O2617" s="4" t="inlineStr">
        <is>
          <t>https://www.tcgplayer.com/product/222988</t>
        </is>
      </c>
    </row>
    <row r="2618">
      <c r="A2618" s="2" t="inlineStr">
        <is>
          <t>Mega Beedrill EX Premium Collection</t>
        </is>
      </c>
      <c r="B2618" s="3">
        <f>IF(I2618&lt;&gt;"",I2618,IF(J2618&lt;&gt;"",J2618,IF(K2618&lt;&gt;"",K2618,L2618)))</f>
        <v>405.96</v>
      </c>
      <c r="C2618" s="3">
        <f>MEDIAN(I2618:L2618)</f>
        <v>405.96</v>
      </c>
      <c r="D2618" s="3">
        <f>ROUND(C2618*(1-Settings!$B$2),2)</f>
        <v>284.17</v>
      </c>
      <c r="E2618" s="3">
        <f>ROUND(C2618*(1-Settings!$B$3),2)</f>
        <v>284.17</v>
      </c>
      <c r="F2618" s="2" t="inlineStr">
        <is>
          <t>Pokemon</t>
        </is>
      </c>
      <c r="G2618" s="2" t="inlineStr">
        <is>
          <t>Coffret</t>
        </is>
      </c>
      <c r="H2618" s="2" t="inlineStr">
        <is>
          <t>XY - Evolutions</t>
        </is>
      </c>
      <c r="I2618" s="3" t="n"/>
      <c r="J2618" s="3" t="n">
        <v>405.96</v>
      </c>
      <c r="K2618" s="3" t="n"/>
      <c r="L2618" s="3" t="n"/>
      <c r="M2618" s="2" t="inlineStr">
        <is>
          <t>TCGplayer</t>
        </is>
      </c>
      <c r="O2618" s="4" t="inlineStr">
        <is>
          <t>https://www.tcgplayer.com/product/125563</t>
        </is>
      </c>
    </row>
    <row r="2619">
      <c r="A2619" s="2" t="inlineStr">
        <is>
          <t>Mega Garchomp EX Premium Collection</t>
        </is>
      </c>
      <c r="B2619" s="3">
        <f>IF(I2619&lt;&gt;"",I2619,IF(J2619&lt;&gt;"",J2619,IF(K2619&lt;&gt;"",K2619,L2619)))</f>
        <v>749.0</v>
      </c>
      <c r="C2619" s="3">
        <f>MEDIAN(I2619:L2619)</f>
        <v>749.0</v>
      </c>
      <c r="D2619" s="3">
        <f>ROUND(C2619*(1-Settings!$B$2),2)</f>
        <v>524.3</v>
      </c>
      <c r="E2619" s="3">
        <f>ROUND(C2619*(1-Settings!$B$3),2)</f>
        <v>524.3</v>
      </c>
      <c r="F2619" s="2" t="inlineStr">
        <is>
          <t>Pokemon</t>
        </is>
      </c>
      <c r="G2619" s="2" t="inlineStr">
        <is>
          <t>Coffret</t>
        </is>
      </c>
      <c r="H2619" s="2" t="inlineStr">
        <is>
          <t>XY - Evolutions</t>
        </is>
      </c>
      <c r="I2619" s="3" t="n"/>
      <c r="J2619" s="3" t="n"/>
      <c r="K2619" s="3" t="n"/>
      <c r="L2619" s="3" t="n">
        <v>749</v>
      </c>
      <c r="M2619" s="2" t="inlineStr">
        <is>
          <t>TCGplayer</t>
        </is>
      </c>
      <c r="O2619" s="4" t="inlineStr">
        <is>
          <t>https://www.tcgplayer.com/product/125738</t>
        </is>
      </c>
    </row>
    <row r="2620">
      <c r="A2620" s="2" t="inlineStr">
        <is>
          <t>Mewtwo EX Box</t>
        </is>
      </c>
      <c r="B2620" s="3">
        <f>IF(I2620&lt;&gt;"",I2620,IF(J2620&lt;&gt;"",J2620,IF(K2620&lt;&gt;"",K2620,L2620)))</f>
        <v>384.98</v>
      </c>
      <c r="C2620" s="3">
        <f>MEDIAN(I2620:L2620)</f>
        <v>384.98</v>
      </c>
      <c r="D2620" s="3">
        <f>ROUND(C2620*(1-Settings!$B$2),2)</f>
        <v>269.49</v>
      </c>
      <c r="E2620" s="3">
        <f>ROUND(C2620*(1-Settings!$B$3),2)</f>
        <v>269.49</v>
      </c>
      <c r="F2620" s="2" t="inlineStr">
        <is>
          <t>Pokemon</t>
        </is>
      </c>
      <c r="G2620" s="2" t="inlineStr">
        <is>
          <t>Coffret</t>
        </is>
      </c>
      <c r="H2620" s="2" t="inlineStr">
        <is>
          <t>XY - Evolutions</t>
        </is>
      </c>
      <c r="I2620" s="3" t="n"/>
      <c r="J2620" s="3" t="n">
        <v>384.98</v>
      </c>
      <c r="K2620" s="3" t="n"/>
      <c r="L2620" s="3" t="n"/>
      <c r="M2620" s="2" t="inlineStr">
        <is>
          <t>TCGplayer</t>
        </is>
      </c>
      <c r="O2620" s="4" t="inlineStr">
        <is>
          <t>https://www.tcgplayer.com/product/125735</t>
        </is>
      </c>
    </row>
    <row r="2621">
      <c r="A2621" s="2" t="inlineStr">
        <is>
          <t>Mythical Collection [Magearna]</t>
        </is>
      </c>
      <c r="B2621" s="3">
        <f>IF(I2621&lt;&gt;"",I2621,IF(J2621&lt;&gt;"",J2621,IF(K2621&lt;&gt;"",K2621,L2621)))</f>
        <v>730.63</v>
      </c>
      <c r="C2621" s="3">
        <f>MEDIAN(I2621:L2621)</f>
        <v>848.98</v>
      </c>
      <c r="D2621" s="3">
        <f>ROUND(C2621*(1-Settings!$B$2),2)</f>
        <v>594.29</v>
      </c>
      <c r="E2621" s="3">
        <f>ROUND(C2621*(1-Settings!$B$3),2)</f>
        <v>594.29</v>
      </c>
      <c r="F2621" s="2" t="inlineStr">
        <is>
          <t>Pokemon</t>
        </is>
      </c>
      <c r="G2621" s="2" t="inlineStr">
        <is>
          <t>Coffret</t>
        </is>
      </c>
      <c r="H2621" s="2" t="inlineStr">
        <is>
          <t>XY - Evolutions</t>
        </is>
      </c>
      <c r="I2621" s="3" t="n">
        <v>730.63</v>
      </c>
      <c r="J2621" s="3" t="n">
        <v>799.99</v>
      </c>
      <c r="K2621" s="3" t="n">
        <v>897.97</v>
      </c>
      <c r="L2621" s="3" t="n">
        <v>897.97</v>
      </c>
      <c r="M2621" s="2" t="inlineStr">
        <is>
          <t>PriceCharting + TCGplayer</t>
        </is>
      </c>
      <c r="N2621" s="4" t="inlineStr">
        <is>
          <t>https://www.pricecharting.com/game/pokemon-evolutions/mythical-collection-magearna</t>
        </is>
      </c>
      <c r="O2621" s="4" t="inlineStr">
        <is>
          <t>https://www.tcgplayer.com/product/127179</t>
        </is>
      </c>
    </row>
    <row r="2622">
      <c r="A2622" s="2" t="inlineStr">
        <is>
          <t>Mythical Collection [Volcanion]</t>
        </is>
      </c>
      <c r="B2622" s="3">
        <f>IF(I2622&lt;&gt;"",I2622,IF(J2622&lt;&gt;"",J2622,IF(K2622&lt;&gt;"",K2622,L2622)))</f>
        <v>357.58</v>
      </c>
      <c r="C2622" s="3">
        <f>MEDIAN(I2622:L2622)</f>
        <v>750.0</v>
      </c>
      <c r="D2622" s="3">
        <f>ROUND(C2622*(1-Settings!$B$2),2)</f>
        <v>525.0</v>
      </c>
      <c r="E2622" s="3">
        <f>ROUND(C2622*(1-Settings!$B$3),2)</f>
        <v>525.0</v>
      </c>
      <c r="F2622" s="2" t="inlineStr">
        <is>
          <t>Pokemon</t>
        </is>
      </c>
      <c r="G2622" s="2" t="inlineStr">
        <is>
          <t>Coffret</t>
        </is>
      </c>
      <c r="H2622" s="2" t="inlineStr">
        <is>
          <t>XY - Evolutions</t>
        </is>
      </c>
      <c r="I2622" s="3" t="n"/>
      <c r="J2622" s="3" t="n">
        <v>357.58</v>
      </c>
      <c r="K2622" s="3" t="n">
        <v>750</v>
      </c>
      <c r="L2622" s="3" t="n">
        <v>750</v>
      </c>
      <c r="M2622" s="2" t="inlineStr">
        <is>
          <t>TCGplayer</t>
        </is>
      </c>
      <c r="O2622" s="4" t="inlineStr">
        <is>
          <t>https://www.tcgplayer.com/product/127180</t>
        </is>
      </c>
    </row>
    <row r="2623">
      <c r="A2623" s="2" t="inlineStr">
        <is>
          <t>XY Evolutions Elite Trainer Box [Mega Blastoise]</t>
        </is>
      </c>
      <c r="B2623" s="3">
        <f>IF(I2623&lt;&gt;"",I2623,IF(J2623&lt;&gt;"",J2623,IF(K2623&lt;&gt;"",K2623,L2623)))</f>
        <v>713.15</v>
      </c>
      <c r="C2623" s="3">
        <f>MEDIAN(I2623:L2623)</f>
        <v>749.99</v>
      </c>
      <c r="D2623" s="3">
        <f>ROUND(C2623*(1-Settings!$B$2),2)</f>
        <v>524.99</v>
      </c>
      <c r="E2623" s="3">
        <f>ROUND(C2623*(1-Settings!$B$3),2)</f>
        <v>524.99</v>
      </c>
      <c r="F2623" s="2" t="inlineStr">
        <is>
          <t>Pokemon</t>
        </is>
      </c>
      <c r="G2623" s="2" t="inlineStr">
        <is>
          <t>Coffret</t>
        </is>
      </c>
      <c r="H2623" s="2" t="inlineStr">
        <is>
          <t>XY - Evolutions</t>
        </is>
      </c>
      <c r="I2623" s="3" t="n"/>
      <c r="J2623" s="3" t="n">
        <v>713.15</v>
      </c>
      <c r="K2623" s="3" t="n">
        <v>880.45</v>
      </c>
      <c r="L2623" s="3" t="n">
        <v>749.99</v>
      </c>
      <c r="M2623" s="2" t="inlineStr">
        <is>
          <t>TCGplayer</t>
        </is>
      </c>
      <c r="O2623" s="4" t="inlineStr">
        <is>
          <t>https://www.tcgplayer.com/product/123448</t>
        </is>
      </c>
    </row>
    <row r="2624">
      <c r="A2624" s="2" t="inlineStr">
        <is>
          <t>XY Evolutions Elite Trainer Box [Mega Charizard Y]</t>
        </is>
      </c>
      <c r="B2624" s="3">
        <f>IF(I2624&lt;&gt;"",I2624,IF(J2624&lt;&gt;"",J2624,IF(K2624&lt;&gt;"",K2624,L2624)))</f>
        <v>868.87</v>
      </c>
      <c r="C2624" s="3">
        <f>MEDIAN(I2624:L2624)</f>
        <v>868.87</v>
      </c>
      <c r="D2624" s="3">
        <f>ROUND(C2624*(1-Settings!$B$2),2)</f>
        <v>608.21</v>
      </c>
      <c r="E2624" s="3">
        <f>ROUND(C2624*(1-Settings!$B$3),2)</f>
        <v>608.21</v>
      </c>
      <c r="F2624" s="2" t="inlineStr">
        <is>
          <t>Pokemon</t>
        </is>
      </c>
      <c r="G2624" s="2" t="inlineStr">
        <is>
          <t>Coffret</t>
        </is>
      </c>
      <c r="H2624" s="2" t="inlineStr">
        <is>
          <t>XY - Evolutions</t>
        </is>
      </c>
      <c r="I2624" s="3" t="n"/>
      <c r="J2624" s="3" t="n">
        <v>868.87</v>
      </c>
      <c r="K2624" s="3" t="n">
        <v>986.85</v>
      </c>
      <c r="L2624" s="3" t="n">
        <v>855.95</v>
      </c>
      <c r="M2624" s="2" t="inlineStr">
        <is>
          <t>TCGplayer</t>
        </is>
      </c>
      <c r="O2624" s="4" t="inlineStr">
        <is>
          <t>https://www.tcgplayer.com/product/123447</t>
        </is>
      </c>
    </row>
    <row r="2625">
      <c r="A2625" s="2" t="inlineStr">
        <is>
          <t>XY Evolutions Prerelease Kit</t>
        </is>
      </c>
      <c r="B2625" s="3">
        <f>IF(I2625&lt;&gt;"",I2625,IF(J2625&lt;&gt;"",J2625,IF(K2625&lt;&gt;"",K2625,L2625)))</f>
        <v>925.0</v>
      </c>
      <c r="C2625" s="3">
        <f>MEDIAN(I2625:L2625)</f>
        <v>2500.0</v>
      </c>
      <c r="D2625" s="3">
        <f>ROUND(C2625*(1-Settings!$B$2),2)</f>
        <v>1750.0</v>
      </c>
      <c r="E2625" s="3">
        <f>ROUND(C2625*(1-Settings!$B$3),2)</f>
        <v>1750.0</v>
      </c>
      <c r="F2625" s="2" t="inlineStr">
        <is>
          <t>Pokemon</t>
        </is>
      </c>
      <c r="G2625" s="2" t="inlineStr">
        <is>
          <t>Coffret</t>
        </is>
      </c>
      <c r="H2625" s="2" t="inlineStr">
        <is>
          <t>XY - Evolutions</t>
        </is>
      </c>
      <c r="I2625" s="3" t="n"/>
      <c r="J2625" s="3" t="n">
        <v>925</v>
      </c>
      <c r="K2625" s="3" t="n">
        <v>2500</v>
      </c>
      <c r="L2625" s="3" t="n">
        <v>2500</v>
      </c>
      <c r="M2625" s="2" t="inlineStr">
        <is>
          <t>TCGplayer</t>
        </is>
      </c>
      <c r="O2625" s="4" t="inlineStr">
        <is>
          <t>https://www.tcgplayer.com/product/125741</t>
        </is>
      </c>
    </row>
    <row r="2626">
      <c r="A2626" s="2" t="inlineStr">
        <is>
          <t>Ash-Greninja EX Box</t>
        </is>
      </c>
      <c r="B2626" s="3">
        <f>IF(I2626&lt;&gt;"",I2626,IF(J2626&lt;&gt;"",J2626,IF(K2626&lt;&gt;"",K2626,L2626)))</f>
        <v>1200.0</v>
      </c>
      <c r="C2626" s="3">
        <f>MEDIAN(I2626:L2626)</f>
        <v>1200.0</v>
      </c>
      <c r="D2626" s="3">
        <f>ROUND(C2626*(1-Settings!$B$2),2)</f>
        <v>840.0</v>
      </c>
      <c r="E2626" s="3">
        <f>ROUND(C2626*(1-Settings!$B$3),2)</f>
        <v>840.0</v>
      </c>
      <c r="F2626" s="2" t="inlineStr">
        <is>
          <t>Pokemon</t>
        </is>
      </c>
      <c r="G2626" s="2" t="inlineStr">
        <is>
          <t>Coffret</t>
        </is>
      </c>
      <c r="H2626" s="2" t="inlineStr">
        <is>
          <t>XY - Fates Collide</t>
        </is>
      </c>
      <c r="I2626" s="3" t="n"/>
      <c r="J2626" s="3" t="n"/>
      <c r="K2626" s="3" t="n">
        <v>1200</v>
      </c>
      <c r="L2626" s="3" t="n">
        <v>1200</v>
      </c>
      <c r="M2626" s="2" t="inlineStr">
        <is>
          <t>TCGplayer</t>
        </is>
      </c>
      <c r="O2626" s="4" t="inlineStr">
        <is>
          <t>https://www.tcgplayer.com/product/118336</t>
        </is>
      </c>
    </row>
    <row r="2627">
      <c r="A2627" s="2" t="inlineStr">
        <is>
          <t>Fates Collide Elite Trainer Box</t>
        </is>
      </c>
      <c r="B2627" s="3">
        <f>IF(I2627&lt;&gt;"",I2627,IF(J2627&lt;&gt;"",J2627,IF(K2627&lt;&gt;"",K2627,L2627)))</f>
        <v>724.33</v>
      </c>
      <c r="C2627" s="3">
        <f>MEDIAN(I2627:L2627)</f>
        <v>1599.0</v>
      </c>
      <c r="D2627" s="3">
        <f>ROUND(C2627*(1-Settings!$B$2),2)</f>
        <v>1119.3</v>
      </c>
      <c r="E2627" s="3">
        <f>ROUND(C2627*(1-Settings!$B$3),2)</f>
        <v>1119.3</v>
      </c>
      <c r="F2627" s="2" t="inlineStr">
        <is>
          <t>Pokemon</t>
        </is>
      </c>
      <c r="G2627" s="2" t="inlineStr">
        <is>
          <t>Coffret</t>
        </is>
      </c>
      <c r="H2627" s="2" t="inlineStr">
        <is>
          <t>XY - Fates Collide</t>
        </is>
      </c>
      <c r="I2627" s="3" t="n">
        <v>724.33</v>
      </c>
      <c r="J2627" s="3" t="n"/>
      <c r="K2627" s="3" t="n">
        <v>1599.99</v>
      </c>
      <c r="L2627" s="3" t="n">
        <v>1599</v>
      </c>
      <c r="M2627" s="2" t="inlineStr">
        <is>
          <t>PriceCharting + TCGplayer</t>
        </is>
      </c>
      <c r="N2627" s="4" t="inlineStr">
        <is>
          <t>https://www.pricecharting.com/game/pokemon-fates-collide/elite-trainer-box</t>
        </is>
      </c>
      <c r="O2627" s="4" t="inlineStr">
        <is>
          <t>https://www.tcgplayer.com/product/118331</t>
        </is>
      </c>
    </row>
    <row r="2628">
      <c r="A2628" s="2" t="inlineStr">
        <is>
          <t>Fates Collide Prerelease Kit</t>
        </is>
      </c>
      <c r="B2628" s="3">
        <f>IF(I2628&lt;&gt;"",I2628,IF(J2628&lt;&gt;"",J2628,IF(K2628&lt;&gt;"",K2628,L2628)))</f>
        <v>208.87</v>
      </c>
      <c r="C2628" s="3">
        <f>MEDIAN(I2628:L2628)</f>
        <v>260.0</v>
      </c>
      <c r="D2628" s="3">
        <f>ROUND(C2628*(1-Settings!$B$2),2)</f>
        <v>182.0</v>
      </c>
      <c r="E2628" s="3">
        <f>ROUND(C2628*(1-Settings!$B$3),2)</f>
        <v>182.0</v>
      </c>
      <c r="F2628" s="2" t="inlineStr">
        <is>
          <t>Pokemon</t>
        </is>
      </c>
      <c r="G2628" s="2" t="inlineStr">
        <is>
          <t>Coffret</t>
        </is>
      </c>
      <c r="H2628" s="2" t="inlineStr">
        <is>
          <t>XY - Fates Collide</t>
        </is>
      </c>
      <c r="I2628" s="3" t="n"/>
      <c r="J2628" s="3" t="n">
        <v>208.87</v>
      </c>
      <c r="K2628" s="3" t="n">
        <v>314.98</v>
      </c>
      <c r="L2628" s="3" t="n">
        <v>260</v>
      </c>
      <c r="M2628" s="2" t="inlineStr">
        <is>
          <t>TCGplayer</t>
        </is>
      </c>
      <c r="O2628" s="4" t="inlineStr">
        <is>
          <t>https://www.tcgplayer.com/product/118334</t>
        </is>
      </c>
    </row>
    <row r="2629">
      <c r="A2629" s="2" t="inlineStr">
        <is>
          <t>Mega Mawile EX Premium Collection</t>
        </is>
      </c>
      <c r="B2629" s="3">
        <f>IF(I2629&lt;&gt;"",I2629,IF(J2629&lt;&gt;"",J2629,IF(K2629&lt;&gt;"",K2629,L2629)))</f>
        <v>479.99</v>
      </c>
      <c r="C2629" s="3">
        <f>MEDIAN(I2629:L2629)</f>
        <v>479.99</v>
      </c>
      <c r="D2629" s="3">
        <f>ROUND(C2629*(1-Settings!$B$2),2)</f>
        <v>335.99</v>
      </c>
      <c r="E2629" s="3">
        <f>ROUND(C2629*(1-Settings!$B$3),2)</f>
        <v>335.99</v>
      </c>
      <c r="F2629" s="2" t="inlineStr">
        <is>
          <t>Pokemon</t>
        </is>
      </c>
      <c r="G2629" s="2" t="inlineStr">
        <is>
          <t>Coffret</t>
        </is>
      </c>
      <c r="H2629" s="2" t="inlineStr">
        <is>
          <t>XY - Fates Collide</t>
        </is>
      </c>
      <c r="I2629" s="3" t="n"/>
      <c r="J2629" s="3" t="n"/>
      <c r="K2629" s="3" t="n"/>
      <c r="L2629" s="3" t="n">
        <v>479.99</v>
      </c>
      <c r="M2629" s="2" t="inlineStr">
        <is>
          <t>TCGplayer</t>
        </is>
      </c>
      <c r="O2629" s="4" t="inlineStr">
        <is>
          <t>https://www.tcgplayer.com/product/118335</t>
        </is>
      </c>
    </row>
    <row r="2630">
      <c r="A2630" s="2" t="inlineStr">
        <is>
          <t>Shiny Kalos Tin [Xerneas EX]</t>
        </is>
      </c>
      <c r="B2630" s="3">
        <f>IF(I2630&lt;&gt;"",I2630,IF(J2630&lt;&gt;"",J2630,IF(K2630&lt;&gt;"",K2630,L2630)))</f>
        <v>489.5</v>
      </c>
      <c r="C2630" s="3">
        <f>MEDIAN(I2630:L2630)</f>
        <v>419.75</v>
      </c>
      <c r="D2630" s="3">
        <f>ROUND(C2630*(1-Settings!$B$2),2)</f>
        <v>293.83</v>
      </c>
      <c r="E2630" s="3">
        <f>ROUND(C2630*(1-Settings!$B$3),2)</f>
        <v>293.83</v>
      </c>
      <c r="F2630" s="2" t="inlineStr">
        <is>
          <t>Pokemon</t>
        </is>
      </c>
      <c r="G2630" s="2" t="inlineStr">
        <is>
          <t>Coffret</t>
        </is>
      </c>
      <c r="H2630" s="2" t="inlineStr">
        <is>
          <t>XY - Fates Collide</t>
        </is>
      </c>
      <c r="I2630" s="3" t="n"/>
      <c r="J2630" s="3" t="n"/>
      <c r="K2630" s="3" t="n">
        <v>489.5</v>
      </c>
      <c r="L2630" s="3" t="n">
        <v>350</v>
      </c>
      <c r="M2630" s="2" t="inlineStr">
        <is>
          <t>TCGplayer</t>
        </is>
      </c>
      <c r="O2630" s="4" t="inlineStr">
        <is>
          <t>https://www.tcgplayer.com/product/121394</t>
        </is>
      </c>
    </row>
    <row r="2631">
      <c r="A2631" s="2" t="inlineStr">
        <is>
          <t>Shiny Kalos Tin [Yveltal EX]</t>
        </is>
      </c>
      <c r="B2631" s="3">
        <f>IF(I2631&lt;&gt;"",I2631,IF(J2631&lt;&gt;"",J2631,IF(K2631&lt;&gt;"",K2631,L2631)))</f>
        <v>406.49</v>
      </c>
      <c r="C2631" s="3">
        <f>MEDIAN(I2631:L2631)</f>
        <v>404.24</v>
      </c>
      <c r="D2631" s="3">
        <f>ROUND(C2631*(1-Settings!$B$2),2)</f>
        <v>282.97</v>
      </c>
      <c r="E2631" s="3">
        <f>ROUND(C2631*(1-Settings!$B$3),2)</f>
        <v>282.97</v>
      </c>
      <c r="F2631" s="2" t="inlineStr">
        <is>
          <t>Pokemon</t>
        </is>
      </c>
      <c r="G2631" s="2" t="inlineStr">
        <is>
          <t>Coffret</t>
        </is>
      </c>
      <c r="H2631" s="2" t="inlineStr">
        <is>
          <t>XY - Fates Collide</t>
        </is>
      </c>
      <c r="I2631" s="3" t="n"/>
      <c r="J2631" s="3" t="n"/>
      <c r="K2631" s="3" t="n">
        <v>406.49</v>
      </c>
      <c r="L2631" s="3" t="n">
        <v>401.99</v>
      </c>
      <c r="M2631" s="2" t="inlineStr">
        <is>
          <t>TCGplayer</t>
        </is>
      </c>
      <c r="O2631" s="4" t="inlineStr">
        <is>
          <t>https://www.tcgplayer.com/product/121395</t>
        </is>
      </c>
    </row>
    <row r="2632">
      <c r="A2632" s="2" t="inlineStr">
        <is>
          <t>Shiny Kalos Tin [Zygarde EX]</t>
        </is>
      </c>
      <c r="B2632" s="3">
        <f>IF(I2632&lt;&gt;"",I2632,IF(J2632&lt;&gt;"",J2632,IF(K2632&lt;&gt;"",K2632,L2632)))</f>
        <v>499.0</v>
      </c>
      <c r="C2632" s="3">
        <f>MEDIAN(I2632:L2632)</f>
        <v>499.0</v>
      </c>
      <c r="D2632" s="3">
        <f>ROUND(C2632*(1-Settings!$B$2),2)</f>
        <v>349.3</v>
      </c>
      <c r="E2632" s="3">
        <f>ROUND(C2632*(1-Settings!$B$3),2)</f>
        <v>349.3</v>
      </c>
      <c r="F2632" s="2" t="inlineStr">
        <is>
          <t>Pokemon</t>
        </is>
      </c>
      <c r="G2632" s="2" t="inlineStr">
        <is>
          <t>Coffret</t>
        </is>
      </c>
      <c r="H2632" s="2" t="inlineStr">
        <is>
          <t>XY - Fates Collide</t>
        </is>
      </c>
      <c r="I2632" s="3" t="n"/>
      <c r="J2632" s="3" t="n"/>
      <c r="K2632" s="3" t="n">
        <v>499</v>
      </c>
      <c r="L2632" s="3" t="n">
        <v>499</v>
      </c>
      <c r="M2632" s="2" t="inlineStr">
        <is>
          <t>TCGplayer</t>
        </is>
      </c>
      <c r="O2632" s="4" t="inlineStr">
        <is>
          <t>https://www.tcgplayer.com/product/121396</t>
        </is>
      </c>
    </row>
    <row r="2633">
      <c r="A2633" s="2" t="inlineStr">
        <is>
          <t>Zygarde Collection Box</t>
        </is>
      </c>
      <c r="B2633" s="3">
        <f>IF(I2633&lt;&gt;"",I2633,IF(J2633&lt;&gt;"",J2633,IF(K2633&lt;&gt;"",K2633,L2633)))</f>
        <v>365.0</v>
      </c>
      <c r="C2633" s="3">
        <f>MEDIAN(I2633:L2633)</f>
        <v>355.0</v>
      </c>
      <c r="D2633" s="3">
        <f>ROUND(C2633*(1-Settings!$B$2),2)</f>
        <v>248.5</v>
      </c>
      <c r="E2633" s="3">
        <f>ROUND(C2633*(1-Settings!$B$3),2)</f>
        <v>248.5</v>
      </c>
      <c r="F2633" s="2" t="inlineStr">
        <is>
          <t>Pokemon</t>
        </is>
      </c>
      <c r="G2633" s="2" t="inlineStr">
        <is>
          <t>Coffret</t>
        </is>
      </c>
      <c r="H2633" s="2" t="inlineStr">
        <is>
          <t>XY - Fates Collide</t>
        </is>
      </c>
      <c r="I2633" s="3" t="n"/>
      <c r="J2633" s="3" t="n"/>
      <c r="K2633" s="3" t="n">
        <v>365</v>
      </c>
      <c r="L2633" s="3" t="n">
        <v>345</v>
      </c>
      <c r="M2633" s="2" t="inlineStr">
        <is>
          <t>TCGplayer</t>
        </is>
      </c>
      <c r="O2633" s="4" t="inlineStr">
        <is>
          <t>https://www.tcgplayer.com/product/121391</t>
        </is>
      </c>
    </row>
    <row r="2634">
      <c r="A2634" s="2" t="inlineStr">
        <is>
          <t>Charizard Ex Box</t>
        </is>
      </c>
      <c r="B2634" s="3">
        <f>IF(I2634&lt;&gt;"",I2634,IF(J2634&lt;&gt;"",J2634,IF(K2634&lt;&gt;"",K2634,L2634)))</f>
        <v>3989.0</v>
      </c>
      <c r="C2634" s="3">
        <f>MEDIAN(I2634:L2634)</f>
        <v>2994.5</v>
      </c>
      <c r="D2634" s="3">
        <f>ROUND(C2634*(1-Settings!$B$2),2)</f>
        <v>2096.15</v>
      </c>
      <c r="E2634" s="3">
        <f>ROUND(C2634*(1-Settings!$B$3),2)</f>
        <v>2096.15</v>
      </c>
      <c r="F2634" s="2" t="inlineStr">
        <is>
          <t>Pokemon</t>
        </is>
      </c>
      <c r="G2634" s="2" t="inlineStr">
        <is>
          <t>Coffret</t>
        </is>
      </c>
      <c r="H2634" s="2" t="inlineStr">
        <is>
          <t>XY - Flashfire</t>
        </is>
      </c>
      <c r="I2634" s="3" t="n"/>
      <c r="J2634" s="3" t="n"/>
      <c r="K2634" s="3" t="n">
        <v>3989</v>
      </c>
      <c r="L2634" s="3" t="n">
        <v>2000</v>
      </c>
      <c r="M2634" s="2" t="inlineStr">
        <is>
          <t>TCGplayer</t>
        </is>
      </c>
      <c r="O2634" s="4" t="inlineStr">
        <is>
          <t>https://www.tcgplayer.com/product/91612</t>
        </is>
      </c>
    </row>
    <row r="2635">
      <c r="A2635" s="2" t="inlineStr">
        <is>
          <t>Flashfire Sleeved Booster Pack Art Bundle [Set of 4]</t>
        </is>
      </c>
      <c r="B2635" s="3">
        <f>IF(I2635&lt;&gt;"",I2635,IF(J2635&lt;&gt;"",J2635,IF(K2635&lt;&gt;"",K2635,L2635)))</f>
        <v>1000.01</v>
      </c>
      <c r="C2635" s="3">
        <f>MEDIAN(I2635:L2635)</f>
        <v>1000.01</v>
      </c>
      <c r="D2635" s="3">
        <f>ROUND(C2635*(1-Settings!$B$2),2)</f>
        <v>700.01</v>
      </c>
      <c r="E2635" s="3">
        <f>ROUND(C2635*(1-Settings!$B$3),2)</f>
        <v>700.01</v>
      </c>
      <c r="F2635" s="2" t="inlineStr">
        <is>
          <t>Pokemon</t>
        </is>
      </c>
      <c r="G2635" s="2" t="inlineStr">
        <is>
          <t>Coffret</t>
        </is>
      </c>
      <c r="H2635" s="2" t="inlineStr">
        <is>
          <t>XY - Flashfire</t>
        </is>
      </c>
      <c r="I2635" s="3" t="n"/>
      <c r="J2635" s="3" t="n"/>
      <c r="K2635" s="3" t="n">
        <v>1000.01</v>
      </c>
      <c r="L2635" s="3" t="n">
        <v>1000.01</v>
      </c>
      <c r="M2635" s="2" t="inlineStr">
        <is>
          <t>TCGplayer</t>
        </is>
      </c>
      <c r="O2635" s="4" t="inlineStr">
        <is>
          <t>https://www.tcgplayer.com/product/276590</t>
        </is>
      </c>
    </row>
    <row r="2636">
      <c r="A2636" s="2" t="inlineStr">
        <is>
          <t>Kalos Power Tin [Chesnaught EX]</t>
        </is>
      </c>
      <c r="B2636" s="3">
        <f>IF(I2636&lt;&gt;"",I2636,IF(J2636&lt;&gt;"",J2636,IF(K2636&lt;&gt;"",K2636,L2636)))</f>
        <v>599.99</v>
      </c>
      <c r="C2636" s="3">
        <f>MEDIAN(I2636:L2636)</f>
        <v>599.99</v>
      </c>
      <c r="D2636" s="3">
        <f>ROUND(C2636*(1-Settings!$B$2),2)</f>
        <v>419.99</v>
      </c>
      <c r="E2636" s="3">
        <f>ROUND(C2636*(1-Settings!$B$3),2)</f>
        <v>419.99</v>
      </c>
      <c r="F2636" s="2" t="inlineStr">
        <is>
          <t>Pokemon</t>
        </is>
      </c>
      <c r="G2636" s="2" t="inlineStr">
        <is>
          <t>Coffret</t>
        </is>
      </c>
      <c r="H2636" s="2" t="inlineStr">
        <is>
          <t>XY - Flashfire</t>
        </is>
      </c>
      <c r="I2636" s="3" t="n">
        <v>599.99</v>
      </c>
      <c r="J2636" s="3" t="n"/>
      <c r="K2636" s="3" t="n"/>
      <c r="L2636" s="3" t="n"/>
      <c r="M2636" s="2" t="inlineStr">
        <is>
          <t>PriceCharting + TCGplayer</t>
        </is>
      </c>
      <c r="N2636" s="4" t="inlineStr">
        <is>
          <t>https://www.pricecharting.com/game/pokemon-flashfire/kalos-power-tin-chesnaught-ex</t>
        </is>
      </c>
      <c r="O2636" s="4" t="inlineStr">
        <is>
          <t>https://www.tcgplayer.com/product/91605</t>
        </is>
      </c>
    </row>
    <row r="2637">
      <c r="A2637" s="2" t="inlineStr">
        <is>
          <t>Kalos Power Tin [Greninja]</t>
        </is>
      </c>
      <c r="B2637" s="3">
        <f>IF(I2637&lt;&gt;"",I2637,IF(J2637&lt;&gt;"",J2637,IF(K2637&lt;&gt;"",K2637,L2637)))</f>
        <v>400.0</v>
      </c>
      <c r="C2637" s="3">
        <f>MEDIAN(I2637:L2637)</f>
        <v>400.0</v>
      </c>
      <c r="D2637" s="3">
        <f>ROUND(C2637*(1-Settings!$B$2),2)</f>
        <v>280.0</v>
      </c>
      <c r="E2637" s="3">
        <f>ROUND(C2637*(1-Settings!$B$3),2)</f>
        <v>280.0</v>
      </c>
      <c r="F2637" s="2" t="inlineStr">
        <is>
          <t>Pokemon</t>
        </is>
      </c>
      <c r="G2637" s="2" t="inlineStr">
        <is>
          <t>Coffret</t>
        </is>
      </c>
      <c r="H2637" s="2" t="inlineStr">
        <is>
          <t>XY - Flashfire</t>
        </is>
      </c>
      <c r="I2637" s="3" t="n">
        <v>400</v>
      </c>
      <c r="J2637" s="3" t="n"/>
      <c r="K2637" s="3" t="n"/>
      <c r="L2637" s="3" t="n"/>
      <c r="M2637" s="2" t="inlineStr">
        <is>
          <t>PriceCharting + TCGplayer</t>
        </is>
      </c>
      <c r="N2637" s="4" t="inlineStr">
        <is>
          <t>https://www.pricecharting.com/game/pokemon-flashfire/kalos-power-tin-greninja</t>
        </is>
      </c>
      <c r="O2637" s="4" t="inlineStr">
        <is>
          <t>https://www.tcgplayer.com/product/91607</t>
        </is>
      </c>
    </row>
    <row r="2638">
      <c r="A2638" s="2" t="inlineStr">
        <is>
          <t>Krookodile EX Box</t>
        </is>
      </c>
      <c r="B2638" s="3">
        <f>IF(I2638&lt;&gt;"",I2638,IF(J2638&lt;&gt;"",J2638,IF(K2638&lt;&gt;"",K2638,L2638)))</f>
        <v>319.83</v>
      </c>
      <c r="C2638" s="3">
        <f>MEDIAN(I2638:L2638)</f>
        <v>319.83</v>
      </c>
      <c r="D2638" s="3">
        <f>ROUND(C2638*(1-Settings!$B$2),2)</f>
        <v>223.88</v>
      </c>
      <c r="E2638" s="3">
        <f>ROUND(C2638*(1-Settings!$B$3),2)</f>
        <v>223.88</v>
      </c>
      <c r="F2638" s="2" t="inlineStr">
        <is>
          <t>Pokemon</t>
        </is>
      </c>
      <c r="G2638" s="2" t="inlineStr">
        <is>
          <t>Coffret</t>
        </is>
      </c>
      <c r="H2638" s="2" t="inlineStr">
        <is>
          <t>XY - Flashfire</t>
        </is>
      </c>
      <c r="I2638" s="3" t="n">
        <v>319.83</v>
      </c>
      <c r="J2638" s="3" t="n"/>
      <c r="K2638" s="3" t="n"/>
      <c r="L2638" s="3" t="n"/>
      <c r="M2638" s="2" t="inlineStr">
        <is>
          <t>PriceCharting + TCGplayer</t>
        </is>
      </c>
      <c r="N2638" s="4" t="inlineStr">
        <is>
          <t>https://www.pricecharting.com/game/pokemon-flashfire/krookodile-ex-box</t>
        </is>
      </c>
      <c r="O2638" s="4" t="inlineStr">
        <is>
          <t>https://www.tcgplayer.com/product/97742</t>
        </is>
      </c>
    </row>
    <row r="2639">
      <c r="A2639" s="2" t="inlineStr">
        <is>
          <t>XY Flashfire Collector Chest</t>
        </is>
      </c>
      <c r="B2639" s="3">
        <f>IF(I2639&lt;&gt;"",I2639,IF(J2639&lt;&gt;"",J2639,IF(K2639&lt;&gt;"",K2639,L2639)))</f>
        <v>5699.68</v>
      </c>
      <c r="C2639" s="3">
        <f>MEDIAN(I2639:L2639)</f>
        <v>5699.68</v>
      </c>
      <c r="D2639" s="3">
        <f>ROUND(C2639*(1-Settings!$B$2),2)</f>
        <v>3989.78</v>
      </c>
      <c r="E2639" s="3">
        <f>ROUND(C2639*(1-Settings!$B$3),2)</f>
        <v>3989.78</v>
      </c>
      <c r="F2639" s="2" t="inlineStr">
        <is>
          <t>Pokemon</t>
        </is>
      </c>
      <c r="G2639" s="2" t="inlineStr">
        <is>
          <t>Coffret</t>
        </is>
      </c>
      <c r="H2639" s="2" t="inlineStr">
        <is>
          <t>XY - Flashfire</t>
        </is>
      </c>
      <c r="I2639" s="3" t="n"/>
      <c r="J2639" s="3" t="n"/>
      <c r="K2639" s="3" t="n">
        <v>5699.68</v>
      </c>
      <c r="L2639" s="3" t="n">
        <v>5699.68</v>
      </c>
      <c r="M2639" s="2" t="inlineStr">
        <is>
          <t>TCGplayer</t>
        </is>
      </c>
      <c r="O2639" s="4" t="inlineStr">
        <is>
          <t>https://www.tcgplayer.com/product/249164</t>
        </is>
      </c>
    </row>
    <row r="2640">
      <c r="A2640" s="2" t="inlineStr">
        <is>
          <t>EX Power Trio Tin [Blastoise EX]</t>
        </is>
      </c>
      <c r="B2640" s="3">
        <f>IF(I2640&lt;&gt;"",I2640,IF(J2640&lt;&gt;"",J2640,IF(K2640&lt;&gt;"",K2640,L2640)))</f>
        <v>499.99</v>
      </c>
      <c r="C2640" s="3">
        <f>MEDIAN(I2640:L2640)</f>
        <v>749.99</v>
      </c>
      <c r="D2640" s="3">
        <f>ROUND(C2640*(1-Settings!$B$2),2)</f>
        <v>524.99</v>
      </c>
      <c r="E2640" s="3">
        <f>ROUND(C2640*(1-Settings!$B$3),2)</f>
        <v>524.99</v>
      </c>
      <c r="F2640" s="2" t="inlineStr">
        <is>
          <t>Pokemon</t>
        </is>
      </c>
      <c r="G2640" s="2" t="inlineStr">
        <is>
          <t>Coffret</t>
        </is>
      </c>
      <c r="H2640" s="2" t="inlineStr">
        <is>
          <t>XY - Furious Fists</t>
        </is>
      </c>
      <c r="I2640" s="3" t="n">
        <v>499.99</v>
      </c>
      <c r="J2640" s="3" t="n">
        <v>499.99</v>
      </c>
      <c r="K2640" s="3" t="n">
        <v>1027.62</v>
      </c>
      <c r="L2640" s="3" t="n">
        <v>999.99</v>
      </c>
      <c r="M2640" s="2" t="inlineStr">
        <is>
          <t>PriceCharting + TCGplayer</t>
        </is>
      </c>
      <c r="N2640" s="4" t="inlineStr">
        <is>
          <t>https://www.pricecharting.com/game/pokemon-furious-fists/ex-power-trio-tin-blastoise-ex</t>
        </is>
      </c>
      <c r="O2640" s="4" t="inlineStr">
        <is>
          <t>https://www.tcgplayer.com/product/97778</t>
        </is>
      </c>
    </row>
    <row r="2641">
      <c r="A2641" s="2" t="inlineStr">
        <is>
          <t>EX Power Trio Tin [Venusaur EX]</t>
        </is>
      </c>
      <c r="B2641" s="3">
        <f>IF(I2641&lt;&gt;"",I2641,IF(J2641&lt;&gt;"",J2641,IF(K2641&lt;&gt;"",K2641,L2641)))</f>
        <v>1299.99</v>
      </c>
      <c r="C2641" s="3">
        <f>MEDIAN(I2641:L2641)</f>
        <v>1299.99</v>
      </c>
      <c r="D2641" s="3">
        <f>ROUND(C2641*(1-Settings!$B$2),2)</f>
        <v>909.99</v>
      </c>
      <c r="E2641" s="3">
        <f>ROUND(C2641*(1-Settings!$B$3),2)</f>
        <v>909.99</v>
      </c>
      <c r="F2641" s="2" t="inlineStr">
        <is>
          <t>Pokemon</t>
        </is>
      </c>
      <c r="G2641" s="2" t="inlineStr">
        <is>
          <t>Coffret</t>
        </is>
      </c>
      <c r="H2641" s="2" t="inlineStr">
        <is>
          <t>XY - Furious Fists</t>
        </is>
      </c>
      <c r="I2641" s="3" t="n"/>
      <c r="J2641" s="3" t="n"/>
      <c r="K2641" s="3" t="n">
        <v>1299.99</v>
      </c>
      <c r="L2641" s="3" t="n">
        <v>1299.99</v>
      </c>
      <c r="M2641" s="2" t="inlineStr">
        <is>
          <t>TCGplayer</t>
        </is>
      </c>
      <c r="O2641" s="4" t="inlineStr">
        <is>
          <t>https://www.tcgplayer.com/product/97776</t>
        </is>
      </c>
    </row>
    <row r="2642">
      <c r="A2642" s="2" t="inlineStr">
        <is>
          <t>Furious Fists Elite Trainer Box</t>
        </is>
      </c>
      <c r="B2642" s="3">
        <f>IF(I2642&lt;&gt;"",I2642,IF(J2642&lt;&gt;"",J2642,IF(K2642&lt;&gt;"",K2642,L2642)))</f>
        <v>4750.0</v>
      </c>
      <c r="C2642" s="3">
        <f>MEDIAN(I2642:L2642)</f>
        <v>4750.0</v>
      </c>
      <c r="D2642" s="3">
        <f>ROUND(C2642*(1-Settings!$B$2),2)</f>
        <v>3325.0</v>
      </c>
      <c r="E2642" s="3">
        <f>ROUND(C2642*(1-Settings!$B$3),2)</f>
        <v>3325.0</v>
      </c>
      <c r="F2642" s="2" t="inlineStr">
        <is>
          <t>Pokemon</t>
        </is>
      </c>
      <c r="G2642" s="2" t="inlineStr">
        <is>
          <t>Coffret</t>
        </is>
      </c>
      <c r="H2642" s="2" t="inlineStr">
        <is>
          <t>XY - Furious Fists</t>
        </is>
      </c>
      <c r="I2642" s="3" t="n">
        <v>4750</v>
      </c>
      <c r="J2642" s="3" t="n"/>
      <c r="K2642" s="3" t="n"/>
      <c r="L2642" s="3" t="n"/>
      <c r="M2642" s="2" t="inlineStr">
        <is>
          <t>PriceCharting + TCGplayer</t>
        </is>
      </c>
      <c r="N2642" s="4" t="inlineStr">
        <is>
          <t>https://www.pricecharting.com/game/pokemon-furious-fists/elite-trainer-box</t>
        </is>
      </c>
      <c r="O2642" s="4" t="inlineStr">
        <is>
          <t>https://www.tcgplayer.com/product/95284</t>
        </is>
      </c>
    </row>
    <row r="2643">
      <c r="A2643" s="2" t="inlineStr">
        <is>
          <t>Furious Fists Sleeved Booster Pack Art Bundle [Set of 4]</t>
        </is>
      </c>
      <c r="B2643" s="3">
        <f>IF(I2643&lt;&gt;"",I2643,IF(J2643&lt;&gt;"",J2643,IF(K2643&lt;&gt;"",K2643,L2643)))</f>
        <v>399.98</v>
      </c>
      <c r="C2643" s="3">
        <f>MEDIAN(I2643:L2643)</f>
        <v>699.99</v>
      </c>
      <c r="D2643" s="3">
        <f>ROUND(C2643*(1-Settings!$B$2),2)</f>
        <v>489.99</v>
      </c>
      <c r="E2643" s="3">
        <f>ROUND(C2643*(1-Settings!$B$3),2)</f>
        <v>489.99</v>
      </c>
      <c r="F2643" s="2" t="inlineStr">
        <is>
          <t>Pokemon</t>
        </is>
      </c>
      <c r="G2643" s="2" t="inlineStr">
        <is>
          <t>Coffret</t>
        </is>
      </c>
      <c r="H2643" s="2" t="inlineStr">
        <is>
          <t>XY - Furious Fists</t>
        </is>
      </c>
      <c r="I2643" s="3" t="n"/>
      <c r="J2643" s="3" t="n">
        <v>399.98</v>
      </c>
      <c r="K2643" s="3" t="n">
        <v>699.99</v>
      </c>
      <c r="L2643" s="3" t="n">
        <v>699.99</v>
      </c>
      <c r="M2643" s="2" t="inlineStr">
        <is>
          <t>TCGplayer</t>
        </is>
      </c>
      <c r="O2643" s="4" t="inlineStr">
        <is>
          <t>https://www.tcgplayer.com/product/276591</t>
        </is>
      </c>
    </row>
    <row r="2644">
      <c r="A2644" s="2" t="inlineStr">
        <is>
          <t>Mega Charizard X Collection</t>
        </is>
      </c>
      <c r="B2644" s="3">
        <f>IF(I2644&lt;&gt;"",I2644,IF(J2644&lt;&gt;"",J2644,IF(K2644&lt;&gt;"",K2644,L2644)))</f>
        <v>1999.97</v>
      </c>
      <c r="C2644" s="3">
        <f>MEDIAN(I2644:L2644)</f>
        <v>1999.96</v>
      </c>
      <c r="D2644" s="3">
        <f>ROUND(C2644*(1-Settings!$B$2),2)</f>
        <v>1399.97</v>
      </c>
      <c r="E2644" s="3">
        <f>ROUND(C2644*(1-Settings!$B$3),2)</f>
        <v>1399.97</v>
      </c>
      <c r="F2644" s="2" t="inlineStr">
        <is>
          <t>Pokemon</t>
        </is>
      </c>
      <c r="G2644" s="2" t="inlineStr">
        <is>
          <t>Coffret</t>
        </is>
      </c>
      <c r="H2644" s="2" t="inlineStr">
        <is>
          <t>XY - Furious Fists</t>
        </is>
      </c>
      <c r="I2644" s="3" t="n"/>
      <c r="J2644" s="3" t="n"/>
      <c r="K2644" s="3" t="n">
        <v>1999.97</v>
      </c>
      <c r="L2644" s="3" t="n">
        <v>1999.95</v>
      </c>
      <c r="M2644" s="2" t="inlineStr">
        <is>
          <t>TCGplayer</t>
        </is>
      </c>
      <c r="O2644" s="4" t="inlineStr">
        <is>
          <t>https://www.tcgplayer.com/product/97766</t>
        </is>
      </c>
    </row>
    <row r="2645">
      <c r="A2645" s="2" t="inlineStr">
        <is>
          <t>Mega Charizard Y Collection</t>
        </is>
      </c>
      <c r="B2645" s="3">
        <f>IF(I2645&lt;&gt;"",I2645,IF(J2645&lt;&gt;"",J2645,IF(K2645&lt;&gt;"",K2645,L2645)))</f>
        <v>1999.95</v>
      </c>
      <c r="C2645" s="3">
        <f>MEDIAN(I2645:L2645)</f>
        <v>1999.95</v>
      </c>
      <c r="D2645" s="3">
        <f>ROUND(C2645*(1-Settings!$B$2),2)</f>
        <v>1399.97</v>
      </c>
      <c r="E2645" s="3">
        <f>ROUND(C2645*(1-Settings!$B$3),2)</f>
        <v>1399.97</v>
      </c>
      <c r="F2645" s="2" t="inlineStr">
        <is>
          <t>Pokemon</t>
        </is>
      </c>
      <c r="G2645" s="2" t="inlineStr">
        <is>
          <t>Coffret</t>
        </is>
      </c>
      <c r="H2645" s="2" t="inlineStr">
        <is>
          <t>XY - Furious Fists</t>
        </is>
      </c>
      <c r="I2645" s="3" t="n"/>
      <c r="J2645" s="3" t="n"/>
      <c r="K2645" s="3" t="n">
        <v>1999.95</v>
      </c>
      <c r="L2645" s="3" t="n">
        <v>1999.95</v>
      </c>
      <c r="M2645" s="2" t="inlineStr">
        <is>
          <t>TCGplayer</t>
        </is>
      </c>
      <c r="O2645" s="4" t="inlineStr">
        <is>
          <t>https://www.tcgplayer.com/product/97767</t>
        </is>
      </c>
    </row>
    <row r="2646">
      <c r="A2646" s="2" t="inlineStr">
        <is>
          <t>Gallade EX Box</t>
        </is>
      </c>
      <c r="B2646" s="3">
        <f>IF(I2646&lt;&gt;"",I2646,IF(J2646&lt;&gt;"",J2646,IF(K2646&lt;&gt;"",K2646,L2646)))</f>
        <v>1099.0</v>
      </c>
      <c r="C2646" s="3">
        <f>MEDIAN(I2646:L2646)</f>
        <v>1099.0</v>
      </c>
      <c r="D2646" s="3">
        <f>ROUND(C2646*(1-Settings!$B$2),2)</f>
        <v>769.3</v>
      </c>
      <c r="E2646" s="3">
        <f>ROUND(C2646*(1-Settings!$B$3),2)</f>
        <v>769.3</v>
      </c>
      <c r="F2646" s="2" t="inlineStr">
        <is>
          <t>Pokemon</t>
        </is>
      </c>
      <c r="G2646" s="2" t="inlineStr">
        <is>
          <t>Coffret</t>
        </is>
      </c>
      <c r="H2646" s="2" t="inlineStr">
        <is>
          <t>XY - Phantom Forces</t>
        </is>
      </c>
      <c r="I2646" s="3" t="n"/>
      <c r="J2646" s="3" t="n"/>
      <c r="K2646" s="3" t="n">
        <v>1099</v>
      </c>
      <c r="L2646" s="3" t="n">
        <v>1099</v>
      </c>
      <c r="M2646" s="2" t="inlineStr">
        <is>
          <t>TCGplayer</t>
        </is>
      </c>
      <c r="O2646" s="4" t="inlineStr">
        <is>
          <t>https://www.tcgplayer.com/product/97794</t>
        </is>
      </c>
    </row>
    <row r="2647">
      <c r="A2647" s="2" t="inlineStr">
        <is>
          <t>Mega Diancie EX Premium Collection</t>
        </is>
      </c>
      <c r="B2647" s="3">
        <f>IF(I2647&lt;&gt;"",I2647,IF(J2647&lt;&gt;"",J2647,IF(K2647&lt;&gt;"",K2647,L2647)))</f>
        <v>5.0</v>
      </c>
      <c r="C2647" s="3">
        <f>MEDIAN(I2647:L2647)</f>
        <v>5.0</v>
      </c>
      <c r="D2647" s="3">
        <f>ROUND(C2647*(1-Settings!$B$2),2)</f>
        <v>3.5</v>
      </c>
      <c r="E2647" s="3">
        <f>ROUND(C2647*(1-Settings!$B$3),2)</f>
        <v>3.5</v>
      </c>
      <c r="F2647" s="2" t="inlineStr">
        <is>
          <t>Pokemon</t>
        </is>
      </c>
      <c r="G2647" s="2" t="inlineStr">
        <is>
          <t>Coffret</t>
        </is>
      </c>
      <c r="H2647" s="2" t="inlineStr">
        <is>
          <t>XY - Phantom Forces</t>
        </is>
      </c>
      <c r="I2647" s="3" t="n"/>
      <c r="J2647" s="3" t="n"/>
      <c r="K2647" s="3" t="n"/>
      <c r="L2647" s="3" t="n">
        <v>5</v>
      </c>
      <c r="M2647" s="2" t="inlineStr">
        <is>
          <t>TCGplayer</t>
        </is>
      </c>
      <c r="O2647" s="4" t="inlineStr">
        <is>
          <t>https://www.tcgplayer.com/product/97793</t>
        </is>
      </c>
    </row>
    <row r="2648">
      <c r="A2648" s="2" t="inlineStr">
        <is>
          <t>Phantom Forces Elite Trainer Box</t>
        </is>
      </c>
      <c r="B2648" s="3">
        <f>IF(I2648&lt;&gt;"",I2648,IF(J2648&lt;&gt;"",J2648,IF(K2648&lt;&gt;"",K2648,L2648)))</f>
        <v>5873.07</v>
      </c>
      <c r="C2648" s="3">
        <f>MEDIAN(I2648:L2648)</f>
        <v>5873.07</v>
      </c>
      <c r="D2648" s="3">
        <f>ROUND(C2648*(1-Settings!$B$2),2)</f>
        <v>4111.15</v>
      </c>
      <c r="E2648" s="3">
        <f>ROUND(C2648*(1-Settings!$B$3),2)</f>
        <v>4111.15</v>
      </c>
      <c r="F2648" s="2" t="inlineStr">
        <is>
          <t>Pokemon</t>
        </is>
      </c>
      <c r="G2648" s="2" t="inlineStr">
        <is>
          <t>Coffret</t>
        </is>
      </c>
      <c r="H2648" s="2" t="inlineStr">
        <is>
          <t>XY - Phantom Forces</t>
        </is>
      </c>
      <c r="I2648" s="3" t="n">
        <v>5873.07</v>
      </c>
      <c r="J2648" s="3" t="n"/>
      <c r="K2648" s="3" t="n"/>
      <c r="L2648" s="3" t="n"/>
      <c r="M2648" s="2" t="inlineStr">
        <is>
          <t>PriceCharting + TCGplayer</t>
        </is>
      </c>
      <c r="N2648" s="4" t="inlineStr">
        <is>
          <t>https://www.pricecharting.com/game/pokemon-phantom-forces/elite-trainer-box</t>
        </is>
      </c>
      <c r="O2648" s="4" t="inlineStr">
        <is>
          <t>https://www.tcgplayer.com/product/97786</t>
        </is>
      </c>
    </row>
    <row r="2649">
      <c r="A2649" s="2" t="inlineStr">
        <is>
          <t>Elite Trainer Box [Kyogre]</t>
        </is>
      </c>
      <c r="B2649" s="3">
        <f>IF(I2649&lt;&gt;"",I2649,IF(J2649&lt;&gt;"",J2649,IF(K2649&lt;&gt;"",K2649,L2649)))</f>
        <v>7400.0</v>
      </c>
      <c r="C2649" s="3">
        <f>MEDIAN(I2649:L2649)</f>
        <v>7400.0</v>
      </c>
      <c r="D2649" s="3">
        <f>ROUND(C2649*(1-Settings!$B$2),2)</f>
        <v>5180.0</v>
      </c>
      <c r="E2649" s="3">
        <f>ROUND(C2649*(1-Settings!$B$3),2)</f>
        <v>5180.0</v>
      </c>
      <c r="F2649" s="2" t="inlineStr">
        <is>
          <t>Pokemon</t>
        </is>
      </c>
      <c r="G2649" s="2" t="inlineStr">
        <is>
          <t>Coffret</t>
        </is>
      </c>
      <c r="H2649" s="2" t="inlineStr">
        <is>
          <t>XY - Primal Clash</t>
        </is>
      </c>
      <c r="I2649" s="3" t="n">
        <v>7400</v>
      </c>
      <c r="J2649" s="3" t="n"/>
      <c r="K2649" s="3" t="n"/>
      <c r="L2649" s="3" t="n"/>
      <c r="M2649" s="2" t="inlineStr">
        <is>
          <t>PriceCharting + TCGplayer</t>
        </is>
      </c>
      <c r="N2649" s="4" t="inlineStr">
        <is>
          <t>https://www.pricecharting.com/game/pokemon-primal-clash/elite-trainer-box-kyogre</t>
        </is>
      </c>
      <c r="O2649" s="4" t="inlineStr">
        <is>
          <t>https://www.tcgplayer.com/product/97763</t>
        </is>
      </c>
    </row>
    <row r="2650">
      <c r="A2650" s="2" t="inlineStr">
        <is>
          <t>Flygon EX Box</t>
        </is>
      </c>
      <c r="B2650" s="3">
        <f>IF(I2650&lt;&gt;"",I2650,IF(J2650&lt;&gt;"",J2650,IF(K2650&lt;&gt;"",K2650,L2650)))</f>
        <v>515.0</v>
      </c>
      <c r="C2650" s="3">
        <f>MEDIAN(I2650:L2650)</f>
        <v>515.0</v>
      </c>
      <c r="D2650" s="3">
        <f>ROUND(C2650*(1-Settings!$B$2),2)</f>
        <v>360.5</v>
      </c>
      <c r="E2650" s="3">
        <f>ROUND(C2650*(1-Settings!$B$3),2)</f>
        <v>360.5</v>
      </c>
      <c r="F2650" s="2" t="inlineStr">
        <is>
          <t>Pokemon</t>
        </is>
      </c>
      <c r="G2650" s="2" t="inlineStr">
        <is>
          <t>Coffret</t>
        </is>
      </c>
      <c r="H2650" s="2" t="inlineStr">
        <is>
          <t>XY - Primal Clash</t>
        </is>
      </c>
      <c r="I2650" s="3" t="n"/>
      <c r="J2650" s="3" t="n"/>
      <c r="K2650" s="3" t="n">
        <v>515</v>
      </c>
      <c r="L2650" s="3" t="n">
        <v>515</v>
      </c>
      <c r="M2650" s="2" t="inlineStr">
        <is>
          <t>TCGplayer</t>
        </is>
      </c>
      <c r="O2650" s="4" t="inlineStr">
        <is>
          <t>https://www.tcgplayer.com/product/97820</t>
        </is>
      </c>
    </row>
    <row r="2651">
      <c r="A2651" s="2" t="inlineStr">
        <is>
          <t>Legend of Hoenn Tin [Groudon EX]</t>
        </is>
      </c>
      <c r="B2651" s="3">
        <f>IF(I2651&lt;&gt;"",I2651,IF(J2651&lt;&gt;"",J2651,IF(K2651&lt;&gt;"",K2651,L2651)))</f>
        <v>749.99</v>
      </c>
      <c r="C2651" s="3">
        <f>MEDIAN(I2651:L2651)</f>
        <v>749.99</v>
      </c>
      <c r="D2651" s="3">
        <f>ROUND(C2651*(1-Settings!$B$2),2)</f>
        <v>524.99</v>
      </c>
      <c r="E2651" s="3">
        <f>ROUND(C2651*(1-Settings!$B$3),2)</f>
        <v>524.99</v>
      </c>
      <c r="F2651" s="2" t="inlineStr">
        <is>
          <t>Pokemon</t>
        </is>
      </c>
      <c r="G2651" s="2" t="inlineStr">
        <is>
          <t>Coffret</t>
        </is>
      </c>
      <c r="H2651" s="2" t="inlineStr">
        <is>
          <t>XY - Primal Clash</t>
        </is>
      </c>
      <c r="I2651" s="3" t="n"/>
      <c r="J2651" s="3" t="n"/>
      <c r="K2651" s="3" t="n">
        <v>749.99</v>
      </c>
      <c r="L2651" s="3" t="n">
        <v>749.99</v>
      </c>
      <c r="M2651" s="2" t="inlineStr">
        <is>
          <t>TCGplayer</t>
        </is>
      </c>
      <c r="O2651" s="4" t="inlineStr">
        <is>
          <t>https://www.tcgplayer.com/product/97757</t>
        </is>
      </c>
    </row>
    <row r="2652">
      <c r="A2652" s="2" t="inlineStr">
        <is>
          <t>Legend of Hoenn Tin [Kyogre EX]</t>
        </is>
      </c>
      <c r="B2652" s="3">
        <f>IF(I2652&lt;&gt;"",I2652,IF(J2652&lt;&gt;"",J2652,IF(K2652&lt;&gt;"",K2652,L2652)))</f>
        <v>712.5</v>
      </c>
      <c r="C2652" s="3">
        <f>MEDIAN(I2652:L2652)</f>
        <v>693.75</v>
      </c>
      <c r="D2652" s="3">
        <f>ROUND(C2652*(1-Settings!$B$2),2)</f>
        <v>485.63</v>
      </c>
      <c r="E2652" s="3">
        <f>ROUND(C2652*(1-Settings!$B$3),2)</f>
        <v>485.63</v>
      </c>
      <c r="F2652" s="2" t="inlineStr">
        <is>
          <t>Pokemon</t>
        </is>
      </c>
      <c r="G2652" s="2" t="inlineStr">
        <is>
          <t>Coffret</t>
        </is>
      </c>
      <c r="H2652" s="2" t="inlineStr">
        <is>
          <t>XY - Primal Clash</t>
        </is>
      </c>
      <c r="I2652" s="3" t="n"/>
      <c r="J2652" s="3" t="n"/>
      <c r="K2652" s="3" t="n">
        <v>712.5</v>
      </c>
      <c r="L2652" s="3" t="n">
        <v>675</v>
      </c>
      <c r="M2652" s="2" t="inlineStr">
        <is>
          <t>TCGplayer</t>
        </is>
      </c>
      <c r="O2652" s="4" t="inlineStr">
        <is>
          <t>https://www.tcgplayer.com/product/97756</t>
        </is>
      </c>
    </row>
    <row r="2653">
      <c r="A2653" s="2" t="inlineStr">
        <is>
          <t>Primal Clash Sleeved Booster Pack Art Bundle [Set of 4]</t>
        </is>
      </c>
      <c r="B2653" s="3">
        <f>IF(I2653&lt;&gt;"",I2653,IF(J2653&lt;&gt;"",J2653,IF(K2653&lt;&gt;"",K2653,L2653)))</f>
        <v>600.0</v>
      </c>
      <c r="C2653" s="3">
        <f>MEDIAN(I2653:L2653)</f>
        <v>600.0</v>
      </c>
      <c r="D2653" s="3">
        <f>ROUND(C2653*(1-Settings!$B$2),2)</f>
        <v>420.0</v>
      </c>
      <c r="E2653" s="3">
        <f>ROUND(C2653*(1-Settings!$B$3),2)</f>
        <v>420.0</v>
      </c>
      <c r="F2653" s="2" t="inlineStr">
        <is>
          <t>Pokemon</t>
        </is>
      </c>
      <c r="G2653" s="2" t="inlineStr">
        <is>
          <t>Coffret</t>
        </is>
      </c>
      <c r="H2653" s="2" t="inlineStr">
        <is>
          <t>XY - Primal Clash</t>
        </is>
      </c>
      <c r="I2653" s="3" t="n"/>
      <c r="J2653" s="3" t="n"/>
      <c r="K2653" s="3" t="n"/>
      <c r="L2653" s="3" t="n">
        <v>600</v>
      </c>
      <c r="M2653" s="2" t="inlineStr">
        <is>
          <t>TCGplayer</t>
        </is>
      </c>
      <c r="O2653" s="4" t="inlineStr">
        <is>
          <t>https://www.tcgplayer.com/product/276593</t>
        </is>
      </c>
    </row>
    <row r="2654">
      <c r="A2654" s="2" t="inlineStr">
        <is>
          <t>Primal Groudon Collection</t>
        </is>
      </c>
      <c r="B2654" s="3">
        <f>IF(I2654&lt;&gt;"",I2654,IF(J2654&lt;&gt;"",J2654,IF(K2654&lt;&gt;"",K2654,L2654)))</f>
        <v>2499.99</v>
      </c>
      <c r="C2654" s="3">
        <f>MEDIAN(I2654:L2654)</f>
        <v>2499.99</v>
      </c>
      <c r="D2654" s="3">
        <f>ROUND(C2654*(1-Settings!$B$2),2)</f>
        <v>1749.99</v>
      </c>
      <c r="E2654" s="3">
        <f>ROUND(C2654*(1-Settings!$B$3),2)</f>
        <v>1749.99</v>
      </c>
      <c r="F2654" s="2" t="inlineStr">
        <is>
          <t>Pokemon</t>
        </is>
      </c>
      <c r="G2654" s="2" t="inlineStr">
        <is>
          <t>Coffret</t>
        </is>
      </c>
      <c r="H2654" s="2" t="inlineStr">
        <is>
          <t>XY - Primal Clash</t>
        </is>
      </c>
      <c r="I2654" s="3" t="n"/>
      <c r="J2654" s="3" t="n"/>
      <c r="K2654" s="3" t="n">
        <v>2499.99</v>
      </c>
      <c r="L2654" s="3" t="n">
        <v>2499.99</v>
      </c>
      <c r="M2654" s="2" t="inlineStr">
        <is>
          <t>TCGplayer</t>
        </is>
      </c>
      <c r="O2654" s="4" t="inlineStr">
        <is>
          <t>https://www.tcgplayer.com/product/97755</t>
        </is>
      </c>
    </row>
    <row r="2655">
      <c r="A2655" s="2" t="inlineStr">
        <is>
          <t>Hoenn Power Tin [Blaziken]</t>
        </is>
      </c>
      <c r="B2655" s="3">
        <f>IF(I2655&lt;&gt;"",I2655,IF(J2655&lt;&gt;"",J2655,IF(K2655&lt;&gt;"",K2655,L2655)))</f>
        <v>669.95</v>
      </c>
      <c r="C2655" s="3">
        <f>MEDIAN(I2655:L2655)</f>
        <v>669.95</v>
      </c>
      <c r="D2655" s="3">
        <f>ROUND(C2655*(1-Settings!$B$2),2)</f>
        <v>468.97</v>
      </c>
      <c r="E2655" s="3">
        <f>ROUND(C2655*(1-Settings!$B$3),2)</f>
        <v>468.97</v>
      </c>
      <c r="F2655" s="2" t="inlineStr">
        <is>
          <t>Pokemon</t>
        </is>
      </c>
      <c r="G2655" s="2" t="inlineStr">
        <is>
          <t>Coffret</t>
        </is>
      </c>
      <c r="H2655" s="2" t="inlineStr">
        <is>
          <t>XY - Roaring Skies</t>
        </is>
      </c>
      <c r="I2655" s="3" t="n"/>
      <c r="J2655" s="3" t="n"/>
      <c r="K2655" s="3" t="n">
        <v>669.95</v>
      </c>
      <c r="L2655" s="3" t="n">
        <v>669.95</v>
      </c>
      <c r="M2655" s="2" t="inlineStr">
        <is>
          <t>TCGplayer</t>
        </is>
      </c>
      <c r="O2655" s="4" t="inlineStr">
        <is>
          <t>https://www.tcgplayer.com/product/100497</t>
        </is>
      </c>
    </row>
    <row r="2656">
      <c r="A2656" s="2" t="inlineStr">
        <is>
          <t>Hoenn Power Tin [Sceptile]</t>
        </is>
      </c>
      <c r="B2656" s="3">
        <f>IF(I2656&lt;&gt;"",I2656,IF(J2656&lt;&gt;"",J2656,IF(K2656&lt;&gt;"",K2656,L2656)))</f>
        <v>650.0</v>
      </c>
      <c r="C2656" s="3">
        <f>MEDIAN(I2656:L2656)</f>
        <v>669.95</v>
      </c>
      <c r="D2656" s="3">
        <f>ROUND(C2656*(1-Settings!$B$2),2)</f>
        <v>468.97</v>
      </c>
      <c r="E2656" s="3">
        <f>ROUND(C2656*(1-Settings!$B$3),2)</f>
        <v>468.97</v>
      </c>
      <c r="F2656" s="2" t="inlineStr">
        <is>
          <t>Pokemon</t>
        </is>
      </c>
      <c r="G2656" s="2" t="inlineStr">
        <is>
          <t>Coffret</t>
        </is>
      </c>
      <c r="H2656" s="2" t="inlineStr">
        <is>
          <t>XY - Roaring Skies</t>
        </is>
      </c>
      <c r="I2656" s="3" t="n"/>
      <c r="J2656" s="3" t="n">
        <v>650</v>
      </c>
      <c r="K2656" s="3" t="n">
        <v>669.95</v>
      </c>
      <c r="L2656" s="3" t="n">
        <v>669.95</v>
      </c>
      <c r="M2656" s="2" t="inlineStr">
        <is>
          <t>TCGplayer</t>
        </is>
      </c>
      <c r="O2656" s="4" t="inlineStr">
        <is>
          <t>https://www.tcgplayer.com/product/100496</t>
        </is>
      </c>
    </row>
    <row r="2657">
      <c r="A2657" s="2" t="inlineStr">
        <is>
          <t>Mega Latios Collection</t>
        </is>
      </c>
      <c r="B2657" s="3">
        <f>IF(I2657&lt;&gt;"",I2657,IF(J2657&lt;&gt;"",J2657,IF(K2657&lt;&gt;"",K2657,L2657)))</f>
        <v>584.5</v>
      </c>
      <c r="C2657" s="3">
        <f>MEDIAN(I2657:L2657)</f>
        <v>584.5</v>
      </c>
      <c r="D2657" s="3">
        <f>ROUND(C2657*(1-Settings!$B$2),2)</f>
        <v>409.15</v>
      </c>
      <c r="E2657" s="3">
        <f>ROUND(C2657*(1-Settings!$B$3),2)</f>
        <v>409.15</v>
      </c>
      <c r="F2657" s="2" t="inlineStr">
        <is>
          <t>Pokemon</t>
        </is>
      </c>
      <c r="G2657" s="2" t="inlineStr">
        <is>
          <t>Coffret</t>
        </is>
      </c>
      <c r="H2657" s="2" t="inlineStr">
        <is>
          <t>XY - Roaring Skies</t>
        </is>
      </c>
      <c r="I2657" s="3" t="n"/>
      <c r="J2657" s="3" t="n">
        <v>584.5</v>
      </c>
      <c r="K2657" s="3" t="n"/>
      <c r="L2657" s="3" t="n"/>
      <c r="M2657" s="2" t="inlineStr">
        <is>
          <t>TCGplayer</t>
        </is>
      </c>
      <c r="O2657" s="4" t="inlineStr">
        <is>
          <t>https://www.tcgplayer.com/product/100502</t>
        </is>
      </c>
    </row>
    <row r="2658">
      <c r="A2658" s="2" t="inlineStr">
        <is>
          <t>Roaring Skies Sleeved Booster Pack Art Bundle [Set of 4]</t>
        </is>
      </c>
      <c r="B2658" s="3">
        <f>IF(I2658&lt;&gt;"",I2658,IF(J2658&lt;&gt;"",J2658,IF(K2658&lt;&gt;"",K2658,L2658)))</f>
        <v>446.0</v>
      </c>
      <c r="C2658" s="3">
        <f>MEDIAN(I2658:L2658)</f>
        <v>466.0</v>
      </c>
      <c r="D2658" s="3">
        <f>ROUND(C2658*(1-Settings!$B$2),2)</f>
        <v>326.2</v>
      </c>
      <c r="E2658" s="3">
        <f>ROUND(C2658*(1-Settings!$B$3),2)</f>
        <v>326.2</v>
      </c>
      <c r="F2658" s="2" t="inlineStr">
        <is>
          <t>Pokemon</t>
        </is>
      </c>
      <c r="G2658" s="2" t="inlineStr">
        <is>
          <t>Coffret</t>
        </is>
      </c>
      <c r="H2658" s="2" t="inlineStr">
        <is>
          <t>XY - Roaring Skies</t>
        </is>
      </c>
      <c r="I2658" s="3" t="n"/>
      <c r="J2658" s="3" t="n">
        <v>446</v>
      </c>
      <c r="K2658" s="3" t="n">
        <v>595</v>
      </c>
      <c r="L2658" s="3" t="n">
        <v>466</v>
      </c>
      <c r="M2658" s="2" t="inlineStr">
        <is>
          <t>TCGplayer</t>
        </is>
      </c>
      <c r="O2658" s="4" t="inlineStr">
        <is>
          <t>https://www.tcgplayer.com/product/276594</t>
        </is>
      </c>
    </row>
    <row r="2659">
      <c r="A2659" s="2" t="inlineStr">
        <is>
          <t>Battle Heart Tin [Magearna EX]</t>
        </is>
      </c>
      <c r="B2659" s="3">
        <f>IF(I2659&lt;&gt;"",I2659,IF(J2659&lt;&gt;"",J2659,IF(K2659&lt;&gt;"",K2659,L2659)))</f>
        <v>499.99</v>
      </c>
      <c r="C2659" s="3">
        <f>MEDIAN(I2659:L2659)</f>
        <v>499.99</v>
      </c>
      <c r="D2659" s="3">
        <f>ROUND(C2659*(1-Settings!$B$2),2)</f>
        <v>349.99</v>
      </c>
      <c r="E2659" s="3">
        <f>ROUND(C2659*(1-Settings!$B$3),2)</f>
        <v>349.99</v>
      </c>
      <c r="F2659" s="2" t="inlineStr">
        <is>
          <t>Pokemon</t>
        </is>
      </c>
      <c r="G2659" s="2" t="inlineStr">
        <is>
          <t>Coffret</t>
        </is>
      </c>
      <c r="H2659" s="2" t="inlineStr">
        <is>
          <t>XY - Steam Siege</t>
        </is>
      </c>
      <c r="I2659" s="3" t="n"/>
      <c r="J2659" s="3" t="n"/>
      <c r="K2659" s="3" t="n">
        <v>499.99</v>
      </c>
      <c r="L2659" s="3" t="n">
        <v>499.99</v>
      </c>
      <c r="M2659" s="2" t="inlineStr">
        <is>
          <t>TCGplayer</t>
        </is>
      </c>
      <c r="O2659" s="4" t="inlineStr">
        <is>
          <t>https://www.tcgplayer.com/product/123440</t>
        </is>
      </c>
    </row>
    <row r="2660">
      <c r="A2660" s="2" t="inlineStr">
        <is>
          <t>Battle Heart Tin [Pikachu EX]</t>
        </is>
      </c>
      <c r="B2660" s="3">
        <f>IF(I2660&lt;&gt;"",I2660,IF(J2660&lt;&gt;"",J2660,IF(K2660&lt;&gt;"",K2660,L2660)))</f>
        <v>549.99</v>
      </c>
      <c r="C2660" s="3">
        <f>MEDIAN(I2660:L2660)</f>
        <v>474.995</v>
      </c>
      <c r="D2660" s="3">
        <f>ROUND(C2660*(1-Settings!$B$2),2)</f>
        <v>332.5</v>
      </c>
      <c r="E2660" s="3">
        <f>ROUND(C2660*(1-Settings!$B$3),2)</f>
        <v>332.5</v>
      </c>
      <c r="F2660" s="2" t="inlineStr">
        <is>
          <t>Pokemon</t>
        </is>
      </c>
      <c r="G2660" s="2" t="inlineStr">
        <is>
          <t>Coffret</t>
        </is>
      </c>
      <c r="H2660" s="2" t="inlineStr">
        <is>
          <t>XY - Steam Siege</t>
        </is>
      </c>
      <c r="I2660" s="3" t="n"/>
      <c r="J2660" s="3" t="n"/>
      <c r="K2660" s="3" t="n">
        <v>549.99</v>
      </c>
      <c r="L2660" s="3" t="n">
        <v>400</v>
      </c>
      <c r="M2660" s="2" t="inlineStr">
        <is>
          <t>TCGplayer</t>
        </is>
      </c>
      <c r="O2660" s="4" t="inlineStr">
        <is>
          <t>https://www.tcgplayer.com/product/123441</t>
        </is>
      </c>
    </row>
    <row r="2661">
      <c r="A2661" s="2" t="inlineStr">
        <is>
          <t>Battle Heart Tin [Volcanion EX]</t>
        </is>
      </c>
      <c r="B2661" s="3">
        <f>IF(I2661&lt;&gt;"",I2661,IF(J2661&lt;&gt;"",J2661,IF(K2661&lt;&gt;"",K2661,L2661)))</f>
        <v>475.0</v>
      </c>
      <c r="C2661" s="3">
        <f>MEDIAN(I2661:L2661)</f>
        <v>387.5</v>
      </c>
      <c r="D2661" s="3">
        <f>ROUND(C2661*(1-Settings!$B$2),2)</f>
        <v>271.25</v>
      </c>
      <c r="E2661" s="3">
        <f>ROUND(C2661*(1-Settings!$B$3),2)</f>
        <v>271.25</v>
      </c>
      <c r="F2661" s="2" t="inlineStr">
        <is>
          <t>Pokemon</t>
        </is>
      </c>
      <c r="G2661" s="2" t="inlineStr">
        <is>
          <t>Coffret</t>
        </is>
      </c>
      <c r="H2661" s="2" t="inlineStr">
        <is>
          <t>XY - Steam Siege</t>
        </is>
      </c>
      <c r="I2661" s="3" t="n"/>
      <c r="J2661" s="3" t="n"/>
      <c r="K2661" s="3" t="n">
        <v>475</v>
      </c>
      <c r="L2661" s="3" t="n">
        <v>300</v>
      </c>
      <c r="M2661" s="2" t="inlineStr">
        <is>
          <t>TCGplayer</t>
        </is>
      </c>
      <c r="O2661" s="4" t="inlineStr">
        <is>
          <t>https://www.tcgplayer.com/product/123442</t>
        </is>
      </c>
    </row>
    <row r="2662">
      <c r="A2662" s="2" t="inlineStr">
        <is>
          <t>Hoopa EX Challenge Box</t>
        </is>
      </c>
      <c r="B2662" s="3">
        <f>IF(I2662&lt;&gt;"",I2662,IF(J2662&lt;&gt;"",J2662,IF(K2662&lt;&gt;"",K2662,L2662)))</f>
        <v>69.0</v>
      </c>
      <c r="C2662" s="3">
        <f>MEDIAN(I2662:L2662)</f>
        <v>69.0</v>
      </c>
      <c r="D2662" s="3">
        <f>ROUND(C2662*(1-Settings!$B$2),2)</f>
        <v>48.3</v>
      </c>
      <c r="E2662" s="3">
        <f>ROUND(C2662*(1-Settings!$B$3),2)</f>
        <v>48.3</v>
      </c>
      <c r="F2662" s="2" t="inlineStr">
        <is>
          <t>Pokemon</t>
        </is>
      </c>
      <c r="G2662" s="2" t="inlineStr">
        <is>
          <t>Coffret</t>
        </is>
      </c>
      <c r="H2662" s="2" t="inlineStr">
        <is>
          <t>XY - Steam Siege</t>
        </is>
      </c>
      <c r="I2662" s="3" t="n"/>
      <c r="J2662" s="3" t="n">
        <v>69</v>
      </c>
      <c r="K2662" s="3" t="n"/>
      <c r="L2662" s="3" t="n"/>
      <c r="M2662" s="2" t="inlineStr">
        <is>
          <t>TCGplayer</t>
        </is>
      </c>
      <c r="O2662" s="4" t="inlineStr">
        <is>
          <t>https://www.tcgplayer.com/product/693146</t>
        </is>
      </c>
    </row>
    <row r="2663">
      <c r="A2663" s="2" t="inlineStr">
        <is>
          <t>Mega Gyarados Collection Box</t>
        </is>
      </c>
      <c r="B2663" s="3">
        <f>IF(I2663&lt;&gt;"",I2663,IF(J2663&lt;&gt;"",J2663,IF(K2663&lt;&gt;"",K2663,L2663)))</f>
        <v>644.46</v>
      </c>
      <c r="C2663" s="3">
        <f>MEDIAN(I2663:L2663)</f>
        <v>769.99</v>
      </c>
      <c r="D2663" s="3">
        <f>ROUND(C2663*(1-Settings!$B$2),2)</f>
        <v>538.99</v>
      </c>
      <c r="E2663" s="3">
        <f>ROUND(C2663*(1-Settings!$B$3),2)</f>
        <v>538.99</v>
      </c>
      <c r="F2663" s="2" t="inlineStr">
        <is>
          <t>Pokemon</t>
        </is>
      </c>
      <c r="G2663" s="2" t="inlineStr">
        <is>
          <t>Coffret</t>
        </is>
      </c>
      <c r="H2663" s="2" t="inlineStr">
        <is>
          <t>XY - Steam Siege</t>
        </is>
      </c>
      <c r="I2663" s="3" t="n"/>
      <c r="J2663" s="3" t="n">
        <v>644.46</v>
      </c>
      <c r="K2663" s="3" t="n">
        <v>769.99</v>
      </c>
      <c r="L2663" s="3" t="n">
        <v>769.99</v>
      </c>
      <c r="M2663" s="2" t="inlineStr">
        <is>
          <t>TCGplayer</t>
        </is>
      </c>
      <c r="O2663" s="4" t="inlineStr">
        <is>
          <t>https://www.tcgplayer.com/product/177529</t>
        </is>
      </c>
    </row>
    <row r="2664">
      <c r="A2664" s="2" t="inlineStr">
        <is>
          <t>Steam Siege Elite Trainer Box</t>
        </is>
      </c>
      <c r="B2664" s="3">
        <f>IF(I2664&lt;&gt;"",I2664,IF(J2664&lt;&gt;"",J2664,IF(K2664&lt;&gt;"",K2664,L2664)))</f>
        <v>1800.0</v>
      </c>
      <c r="C2664" s="3">
        <f>MEDIAN(I2664:L2664)</f>
        <v>1749.99</v>
      </c>
      <c r="D2664" s="3">
        <f>ROUND(C2664*(1-Settings!$B$2),2)</f>
        <v>1224.99</v>
      </c>
      <c r="E2664" s="3">
        <f>ROUND(C2664*(1-Settings!$B$3),2)</f>
        <v>1224.99</v>
      </c>
      <c r="F2664" s="2" t="inlineStr">
        <is>
          <t>Pokemon</t>
        </is>
      </c>
      <c r="G2664" s="2" t="inlineStr">
        <is>
          <t>Coffret</t>
        </is>
      </c>
      <c r="H2664" s="2" t="inlineStr">
        <is>
          <t>XY - Steam Siege</t>
        </is>
      </c>
      <c r="I2664" s="3" t="n"/>
      <c r="J2664" s="3" t="n">
        <v>1800</v>
      </c>
      <c r="K2664" s="3" t="n">
        <v>1749.99</v>
      </c>
      <c r="L2664" s="3" t="n">
        <v>1749.99</v>
      </c>
      <c r="M2664" s="2" t="inlineStr">
        <is>
          <t>TCGplayer</t>
        </is>
      </c>
      <c r="O2664" s="4" t="inlineStr">
        <is>
          <t>https://www.tcgplayer.com/product/120697</t>
        </is>
      </c>
    </row>
    <row r="2665">
      <c r="A2665" s="2" t="inlineStr">
        <is>
          <t>Steam Siege Sleeved Booster Pack Art Bundle [Set of 4]</t>
        </is>
      </c>
      <c r="B2665" s="3">
        <f>IF(I2665&lt;&gt;"",I2665,IF(J2665&lt;&gt;"",J2665,IF(K2665&lt;&gt;"",K2665,L2665)))</f>
        <v>139.49</v>
      </c>
      <c r="C2665" s="3">
        <f>MEDIAN(I2665:L2665)</f>
        <v>139.49</v>
      </c>
      <c r="D2665" s="3">
        <f>ROUND(C2665*(1-Settings!$B$2),2)</f>
        <v>97.64</v>
      </c>
      <c r="E2665" s="3">
        <f>ROUND(C2665*(1-Settings!$B$3),2)</f>
        <v>97.64</v>
      </c>
      <c r="F2665" s="2" t="inlineStr">
        <is>
          <t>Pokemon</t>
        </is>
      </c>
      <c r="G2665" s="2" t="inlineStr">
        <is>
          <t>Coffret</t>
        </is>
      </c>
      <c r="H2665" s="2" t="inlineStr">
        <is>
          <t>XY - Steam Siege</t>
        </is>
      </c>
      <c r="I2665" s="3" t="n"/>
      <c r="J2665" s="3" t="n">
        <v>139.49</v>
      </c>
      <c r="K2665" s="3" t="n">
        <v>140.49</v>
      </c>
      <c r="L2665" s="3" t="n">
        <v>131.98</v>
      </c>
      <c r="M2665" s="2" t="inlineStr">
        <is>
          <t>TCGplayer</t>
        </is>
      </c>
      <c r="O2665" s="4" t="inlineStr">
        <is>
          <t>https://www.tcgplayer.com/product/276599</t>
        </is>
      </c>
    </row>
    <row r="2666">
      <c r="A2666" s="2" t="inlineStr">
        <is>
          <t>Garchomp EX Box</t>
        </is>
      </c>
      <c r="B2666" s="3">
        <f>IF(I2666&lt;&gt;"",I2666,IF(J2666&lt;&gt;"",J2666,IF(K2666&lt;&gt;"",K2666,L2666)))</f>
        <v>599.99</v>
      </c>
      <c r="C2666" s="3">
        <f>MEDIAN(I2666:L2666)</f>
        <v>599.99</v>
      </c>
      <c r="D2666" s="3">
        <f>ROUND(C2666*(1-Settings!$B$2),2)</f>
        <v>419.99</v>
      </c>
      <c r="E2666" s="3">
        <f>ROUND(C2666*(1-Settings!$B$3),2)</f>
        <v>419.99</v>
      </c>
      <c r="F2666" s="2" t="inlineStr">
        <is>
          <t>Pokemon</t>
        </is>
      </c>
      <c r="G2666" s="2" t="inlineStr">
        <is>
          <t>Coffret</t>
        </is>
      </c>
      <c r="H2666" s="2" t="inlineStr">
        <is>
          <t>XY Base Set</t>
        </is>
      </c>
      <c r="I2666" s="3" t="n"/>
      <c r="J2666" s="3" t="n">
        <v>599.99</v>
      </c>
      <c r="K2666" s="3" t="n"/>
      <c r="L2666" s="3" t="n"/>
      <c r="M2666" s="2" t="inlineStr">
        <is>
          <t>TCGplayer</t>
        </is>
      </c>
      <c r="O2666" s="4" t="inlineStr">
        <is>
          <t>https://www.tcgplayer.com/product/97729</t>
        </is>
      </c>
    </row>
    <row r="2667">
      <c r="A2667" s="2" t="inlineStr">
        <is>
          <t>Legend of Kalos Tin [Yveltal EX]</t>
        </is>
      </c>
      <c r="B2667" s="3">
        <f>IF(I2667&lt;&gt;"",I2667,IF(J2667&lt;&gt;"",J2667,IF(K2667&lt;&gt;"",K2667,L2667)))</f>
        <v>950.0</v>
      </c>
      <c r="C2667" s="3">
        <f>MEDIAN(I2667:L2667)</f>
        <v>950.0</v>
      </c>
      <c r="D2667" s="3">
        <f>ROUND(C2667*(1-Settings!$B$2),2)</f>
        <v>665.0</v>
      </c>
      <c r="E2667" s="3">
        <f>ROUND(C2667*(1-Settings!$B$3),2)</f>
        <v>665.0</v>
      </c>
      <c r="F2667" s="2" t="inlineStr">
        <is>
          <t>Pokemon</t>
        </is>
      </c>
      <c r="G2667" s="2" t="inlineStr">
        <is>
          <t>Coffret</t>
        </is>
      </c>
      <c r="H2667" s="2" t="inlineStr">
        <is>
          <t>XY Base Set</t>
        </is>
      </c>
      <c r="I2667" s="3" t="n"/>
      <c r="J2667" s="3" t="n"/>
      <c r="K2667" s="3" t="n">
        <v>950</v>
      </c>
      <c r="L2667" s="3" t="n">
        <v>950</v>
      </c>
      <c r="M2667" s="2" t="inlineStr">
        <is>
          <t>TCGplayer</t>
        </is>
      </c>
      <c r="O2667" s="4" t="inlineStr">
        <is>
          <t>https://www.tcgplayer.com/product/97727</t>
        </is>
      </c>
    </row>
    <row r="2668">
      <c r="A2668" s="2" t="inlineStr">
        <is>
          <t>Sylveon Collection</t>
        </is>
      </c>
      <c r="B2668" s="3">
        <f>IF(I2668&lt;&gt;"",I2668,IF(J2668&lt;&gt;"",J2668,IF(K2668&lt;&gt;"",K2668,L2668)))</f>
        <v>7000.0</v>
      </c>
      <c r="C2668" s="3">
        <f>MEDIAN(I2668:L2668)</f>
        <v>7000.0</v>
      </c>
      <c r="D2668" s="3">
        <f>ROUND(C2668*(1-Settings!$B$2),2)</f>
        <v>4900.0</v>
      </c>
      <c r="E2668" s="3">
        <f>ROUND(C2668*(1-Settings!$B$3),2)</f>
        <v>4900.0</v>
      </c>
      <c r="F2668" s="2" t="inlineStr">
        <is>
          <t>Pokemon</t>
        </is>
      </c>
      <c r="G2668" s="2" t="inlineStr">
        <is>
          <t>Coffret</t>
        </is>
      </c>
      <c r="H2668" s="2" t="inlineStr">
        <is>
          <t>XY Base Set</t>
        </is>
      </c>
      <c r="I2668" s="3" t="n"/>
      <c r="J2668" s="3" t="n"/>
      <c r="K2668" s="3" t="n"/>
      <c r="L2668" s="3" t="n">
        <v>7000</v>
      </c>
      <c r="M2668" s="2" t="inlineStr">
        <is>
          <t>TCGplayer</t>
        </is>
      </c>
      <c r="O2668" s="4" t="inlineStr">
        <is>
          <t>https://www.tcgplayer.com/product/91598</t>
        </is>
      </c>
    </row>
    <row r="2669">
      <c r="A2669" s="2" t="inlineStr">
        <is>
          <t>XY Sleeved Booster Pack Art Bundle [Set of 4]</t>
        </is>
      </c>
      <c r="B2669" s="3">
        <f>IF(I2669&lt;&gt;"",I2669,IF(J2669&lt;&gt;"",J2669,IF(K2669&lt;&gt;"",K2669,L2669)))</f>
        <v>495.99</v>
      </c>
      <c r="C2669" s="3">
        <f>MEDIAN(I2669:L2669)</f>
        <v>495.99</v>
      </c>
      <c r="D2669" s="3">
        <f>ROUND(C2669*(1-Settings!$B$2),2)</f>
        <v>347.19</v>
      </c>
      <c r="E2669" s="3">
        <f>ROUND(C2669*(1-Settings!$B$3),2)</f>
        <v>347.19</v>
      </c>
      <c r="F2669" s="2" t="inlineStr">
        <is>
          <t>Pokemon</t>
        </is>
      </c>
      <c r="G2669" s="2" t="inlineStr">
        <is>
          <t>Coffret</t>
        </is>
      </c>
      <c r="H2669" s="2" t="inlineStr">
        <is>
          <t>XY Base Set</t>
        </is>
      </c>
      <c r="I2669" s="3" t="n"/>
      <c r="J2669" s="3" t="n"/>
      <c r="K2669" s="3" t="n">
        <v>495.99</v>
      </c>
      <c r="L2669" s="3" t="n">
        <v>495.99</v>
      </c>
      <c r="M2669" s="2" t="inlineStr">
        <is>
          <t>TCGplayer</t>
        </is>
      </c>
      <c r="O2669" s="4" t="inlineStr">
        <is>
          <t>https://www.tcgplayer.com/product/276589</t>
        </is>
      </c>
    </row>
    <row r="2670">
      <c r="A2670" s="2" t="inlineStr">
        <is>
          <t>1999 Topps Movie First Movie Booster Pack</t>
        </is>
      </c>
      <c r="B2670" s="3">
        <f>IF(I2670&lt;&gt;"",I2670,IF(J2670&lt;&gt;"",J2670,IF(K2670&lt;&gt;"",K2670,L2670)))</f>
        <v>48.28</v>
      </c>
      <c r="C2670" s="3">
        <f>MEDIAN(I2670:L2670)</f>
        <v>48.28</v>
      </c>
      <c r="D2670" s="3">
        <f>ROUND(C2670*(1-Settings!$B$2),2)</f>
        <v>33.8</v>
      </c>
      <c r="E2670" s="3">
        <f>ROUND(C2670*(1-Settings!$B$3),2)</f>
        <v>33.8</v>
      </c>
      <c r="F2670" s="2" t="inlineStr">
        <is>
          <t>Pokemon</t>
        </is>
      </c>
      <c r="G2670" s="2" t="inlineStr">
        <is>
          <t>Pack</t>
        </is>
      </c>
      <c r="H2670" s="2" t="inlineStr">
        <is>
          <t>1999 Topps Movie</t>
        </is>
      </c>
      <c r="I2670" s="3" t="n">
        <v>48.28</v>
      </c>
      <c r="J2670" s="3" t="n"/>
      <c r="K2670" s="3" t="n"/>
      <c r="L2670" s="3" t="n"/>
      <c r="M2670" s="2" t="inlineStr">
        <is>
          <t>PriceCharting</t>
        </is>
      </c>
      <c r="N2670" s="4" t="inlineStr">
        <is>
          <t>https://www.pricecharting.com/game/pokemon-1999-topps-movie/first-movie-booster-pack</t>
        </is>
      </c>
    </row>
    <row r="2671">
      <c r="A2671" s="2" t="inlineStr">
        <is>
          <t>1999 Topps Tv Booster Pack [Series 2]</t>
        </is>
      </c>
      <c r="B2671" s="3">
        <f>IF(I2671&lt;&gt;"",I2671,IF(J2671&lt;&gt;"",J2671,IF(K2671&lt;&gt;"",K2671,L2671)))</f>
        <v>56.95</v>
      </c>
      <c r="C2671" s="3">
        <f>MEDIAN(I2671:L2671)</f>
        <v>56.95</v>
      </c>
      <c r="D2671" s="3">
        <f>ROUND(C2671*(1-Settings!$B$2),2)</f>
        <v>39.87</v>
      </c>
      <c r="E2671" s="3">
        <f>ROUND(C2671*(1-Settings!$B$3),2)</f>
        <v>39.87</v>
      </c>
      <c r="F2671" s="2" t="inlineStr">
        <is>
          <t>Pokemon</t>
        </is>
      </c>
      <c r="G2671" s="2" t="inlineStr">
        <is>
          <t>Pack</t>
        </is>
      </c>
      <c r="H2671" s="2" t="inlineStr">
        <is>
          <t>1999 Topps Tv</t>
        </is>
      </c>
      <c r="I2671" s="3" t="n">
        <v>56.95</v>
      </c>
      <c r="J2671" s="3" t="n"/>
      <c r="K2671" s="3" t="n"/>
      <c r="L2671" s="3" t="n"/>
      <c r="M2671" s="2" t="inlineStr">
        <is>
          <t>PriceCharting</t>
        </is>
      </c>
      <c r="N2671" s="4" t="inlineStr">
        <is>
          <t>https://www.pricecharting.com/game/pokemon-1999-topps-tv/booster-pack-series-2</t>
        </is>
      </c>
    </row>
    <row r="2672">
      <c r="A2672" s="2" t="inlineStr">
        <is>
          <t>1999 Topps Tv Booster Pack Series 1 Blue Logo</t>
        </is>
      </c>
      <c r="B2672" s="3">
        <f>IF(I2672&lt;&gt;"",I2672,IF(J2672&lt;&gt;"",J2672,IF(K2672&lt;&gt;"",K2672,L2672)))</f>
        <v>96.92</v>
      </c>
      <c r="C2672" s="3">
        <f>MEDIAN(I2672:L2672)</f>
        <v>96.92</v>
      </c>
      <c r="D2672" s="3">
        <f>ROUND(C2672*(1-Settings!$B$2),2)</f>
        <v>67.84</v>
      </c>
      <c r="E2672" s="3">
        <f>ROUND(C2672*(1-Settings!$B$3),2)</f>
        <v>67.84</v>
      </c>
      <c r="F2672" s="2" t="inlineStr">
        <is>
          <t>Pokemon</t>
        </is>
      </c>
      <c r="G2672" s="2" t="inlineStr">
        <is>
          <t>Pack</t>
        </is>
      </c>
      <c r="H2672" s="2" t="inlineStr">
        <is>
          <t>1999 Topps Tv</t>
        </is>
      </c>
      <c r="I2672" s="3" t="n">
        <v>96.92</v>
      </c>
      <c r="J2672" s="3" t="n"/>
      <c r="K2672" s="3" t="n"/>
      <c r="L2672" s="3" t="n"/>
      <c r="M2672" s="2" t="inlineStr">
        <is>
          <t>PriceCharting</t>
        </is>
      </c>
      <c r="N2672" s="4" t="inlineStr">
        <is>
          <t>https://www.pricecharting.com/game/pokemon-1999-topps-tv/booster-pack-series-1-blue-logo</t>
        </is>
      </c>
    </row>
    <row r="2673">
      <c r="A2673" s="2" t="inlineStr">
        <is>
          <t>2000 Topps Chrome Booster Pack</t>
        </is>
      </c>
      <c r="B2673" s="3">
        <f>IF(I2673&lt;&gt;"",I2673,IF(J2673&lt;&gt;"",J2673,IF(K2673&lt;&gt;"",K2673,L2673)))</f>
        <v>825.0</v>
      </c>
      <c r="C2673" s="3">
        <f>MEDIAN(I2673:L2673)</f>
        <v>825.0</v>
      </c>
      <c r="D2673" s="3">
        <f>ROUND(C2673*(1-Settings!$B$2),2)</f>
        <v>577.5</v>
      </c>
      <c r="E2673" s="3">
        <f>ROUND(C2673*(1-Settings!$B$3),2)</f>
        <v>577.5</v>
      </c>
      <c r="F2673" s="2" t="inlineStr">
        <is>
          <t>Pokemon</t>
        </is>
      </c>
      <c r="G2673" s="2" t="inlineStr">
        <is>
          <t>Pack</t>
        </is>
      </c>
      <c r="H2673" s="2" t="inlineStr">
        <is>
          <t>2000 Topps Chrome</t>
        </is>
      </c>
      <c r="I2673" s="3" t="n">
        <v>825</v>
      </c>
      <c r="J2673" s="3" t="n"/>
      <c r="K2673" s="3" t="n"/>
      <c r="L2673" s="3" t="n"/>
      <c r="M2673" s="2" t="inlineStr">
        <is>
          <t>PriceCharting</t>
        </is>
      </c>
      <c r="N2673" s="4" t="inlineStr">
        <is>
          <t>https://www.pricecharting.com/game/pokemon-2000-topps-chrome/booster-pack</t>
        </is>
      </c>
    </row>
    <row r="2674">
      <c r="A2674" s="2" t="inlineStr">
        <is>
          <t>2000 Topps Chrome Booster Pack: Series 2</t>
        </is>
      </c>
      <c r="B2674" s="3">
        <f>IF(I2674&lt;&gt;"",I2674,IF(J2674&lt;&gt;"",J2674,IF(K2674&lt;&gt;"",K2674,L2674)))</f>
        <v>1022.0</v>
      </c>
      <c r="C2674" s="3">
        <f>MEDIAN(I2674:L2674)</f>
        <v>1022.0</v>
      </c>
      <c r="D2674" s="3">
        <f>ROUND(C2674*(1-Settings!$B$2),2)</f>
        <v>715.4</v>
      </c>
      <c r="E2674" s="3">
        <f>ROUND(C2674*(1-Settings!$B$3),2)</f>
        <v>715.4</v>
      </c>
      <c r="F2674" s="2" t="inlineStr">
        <is>
          <t>Pokemon</t>
        </is>
      </c>
      <c r="G2674" s="2" t="inlineStr">
        <is>
          <t>Pack</t>
        </is>
      </c>
      <c r="H2674" s="2" t="inlineStr">
        <is>
          <t>2000 Topps Chrome</t>
        </is>
      </c>
      <c r="I2674" s="3" t="n">
        <v>1022</v>
      </c>
      <c r="J2674" s="3" t="n"/>
      <c r="K2674" s="3" t="n"/>
      <c r="L2674" s="3" t="n"/>
      <c r="M2674" s="2" t="inlineStr">
        <is>
          <t>PriceCharting</t>
        </is>
      </c>
      <c r="N2674" s="4" t="inlineStr">
        <is>
          <t>https://www.pricecharting.com/game/pokemon-2000-topps-chrome/booster-pack-series-2</t>
        </is>
      </c>
    </row>
    <row r="2675">
      <c r="A2675" s="2" t="inlineStr">
        <is>
          <t>2000 Topps Tv Booster Pack [Series 3]</t>
        </is>
      </c>
      <c r="B2675" s="3">
        <f>IF(I2675&lt;&gt;"",I2675,IF(J2675&lt;&gt;"",J2675,IF(K2675&lt;&gt;"",K2675,L2675)))</f>
        <v>168.56</v>
      </c>
      <c r="C2675" s="3">
        <f>MEDIAN(I2675:L2675)</f>
        <v>168.56</v>
      </c>
      <c r="D2675" s="3">
        <f>ROUND(C2675*(1-Settings!$B$2),2)</f>
        <v>117.99</v>
      </c>
      <c r="E2675" s="3">
        <f>ROUND(C2675*(1-Settings!$B$3),2)</f>
        <v>117.99</v>
      </c>
      <c r="F2675" s="2" t="inlineStr">
        <is>
          <t>Pokemon</t>
        </is>
      </c>
      <c r="G2675" s="2" t="inlineStr">
        <is>
          <t>Pack</t>
        </is>
      </c>
      <c r="H2675" s="2" t="inlineStr">
        <is>
          <t>2000 Topps Tv</t>
        </is>
      </c>
      <c r="I2675" s="3" t="n">
        <v>168.56</v>
      </c>
      <c r="J2675" s="3" t="n"/>
      <c r="K2675" s="3" t="n"/>
      <c r="L2675" s="3" t="n"/>
      <c r="M2675" s="2" t="inlineStr">
        <is>
          <t>PriceCharting</t>
        </is>
      </c>
      <c r="N2675" s="4" t="inlineStr">
        <is>
          <t>https://www.pricecharting.com/game/pokemon-2000-topps-tv/booster-pack-series-3</t>
        </is>
      </c>
    </row>
    <row r="2676">
      <c r="A2676" s="2" t="inlineStr">
        <is>
          <t>Ancient Origins Booster Pack</t>
        </is>
      </c>
      <c r="B2676" s="3">
        <f>IF(I2676&lt;&gt;"",I2676,IF(J2676&lt;&gt;"",J2676,IF(K2676&lt;&gt;"",K2676,L2676)))</f>
        <v>132.14</v>
      </c>
      <c r="C2676" s="3">
        <f>MEDIAN(I2676:L2676)</f>
        <v>132.14</v>
      </c>
      <c r="D2676" s="3">
        <f>ROUND(C2676*(1-Settings!$B$2),2)</f>
        <v>92.5</v>
      </c>
      <c r="E2676" s="3">
        <f>ROUND(C2676*(1-Settings!$B$3),2)</f>
        <v>92.5</v>
      </c>
      <c r="F2676" s="2" t="inlineStr">
        <is>
          <t>Pokemon</t>
        </is>
      </c>
      <c r="G2676" s="2" t="inlineStr">
        <is>
          <t>Pack</t>
        </is>
      </c>
      <c r="H2676" s="2" t="inlineStr">
        <is>
          <t>Ancient Origins</t>
        </is>
      </c>
      <c r="I2676" s="3" t="n">
        <v>132.14</v>
      </c>
      <c r="J2676" s="3" t="n"/>
      <c r="K2676" s="3" t="n"/>
      <c r="L2676" s="3" t="n"/>
      <c r="M2676" s="2" t="inlineStr">
        <is>
          <t>PriceCharting</t>
        </is>
      </c>
      <c r="N2676" s="4" t="inlineStr">
        <is>
          <t>https://www.pricecharting.com/game/pokemon-ancient-origins/booster-pack</t>
        </is>
      </c>
    </row>
    <row r="2677">
      <c r="A2677" s="2" t="inlineStr">
        <is>
          <t>Ancient Origins Mini Booster Pack</t>
        </is>
      </c>
      <c r="B2677" s="3">
        <f>IF(I2677&lt;&gt;"",I2677,IF(J2677&lt;&gt;"",J2677,IF(K2677&lt;&gt;"",K2677,L2677)))</f>
        <v>44.23</v>
      </c>
      <c r="C2677" s="3">
        <f>MEDIAN(I2677:L2677)</f>
        <v>44.23</v>
      </c>
      <c r="D2677" s="3">
        <f>ROUND(C2677*(1-Settings!$B$2),2)</f>
        <v>30.96</v>
      </c>
      <c r="E2677" s="3">
        <f>ROUND(C2677*(1-Settings!$B$3),2)</f>
        <v>30.96</v>
      </c>
      <c r="F2677" s="2" t="inlineStr">
        <is>
          <t>Pokemon</t>
        </is>
      </c>
      <c r="G2677" s="2" t="inlineStr">
        <is>
          <t>Pack</t>
        </is>
      </c>
      <c r="H2677" s="2" t="inlineStr">
        <is>
          <t>Ancient Origins</t>
        </is>
      </c>
      <c r="I2677" s="3" t="n">
        <v>44.23</v>
      </c>
      <c r="J2677" s="3" t="n"/>
      <c r="K2677" s="3" t="n"/>
      <c r="L2677" s="3" t="n"/>
      <c r="M2677" s="2" t="inlineStr">
        <is>
          <t>PriceCharting</t>
        </is>
      </c>
      <c r="N2677" s="4" t="inlineStr">
        <is>
          <t>https://www.pricecharting.com/game/pokemon-ancient-origins/mini-booster-pack</t>
        </is>
      </c>
    </row>
    <row r="2678">
      <c r="A2678" s="2" t="inlineStr">
        <is>
          <t>Aquapolis Blister Pack</t>
        </is>
      </c>
      <c r="B2678" s="3">
        <f>IF(I2678&lt;&gt;"",I2678,IF(J2678&lt;&gt;"",J2678,IF(K2678&lt;&gt;"",K2678,L2678)))</f>
        <v>3365.0</v>
      </c>
      <c r="C2678" s="3">
        <f>MEDIAN(I2678:L2678)</f>
        <v>3365.0</v>
      </c>
      <c r="D2678" s="3">
        <f>ROUND(C2678*(1-Settings!$B$2),2)</f>
        <v>2355.5</v>
      </c>
      <c r="E2678" s="3">
        <f>ROUND(C2678*(1-Settings!$B$3),2)</f>
        <v>2355.5</v>
      </c>
      <c r="F2678" s="2" t="inlineStr">
        <is>
          <t>Pokemon</t>
        </is>
      </c>
      <c r="G2678" s="2" t="inlineStr">
        <is>
          <t>Pack</t>
        </is>
      </c>
      <c r="H2678" s="2" t="inlineStr">
        <is>
          <t>Aquapolis</t>
        </is>
      </c>
      <c r="I2678" s="3" t="n">
        <v>3365</v>
      </c>
      <c r="J2678" s="3" t="n"/>
      <c r="K2678" s="3" t="n"/>
      <c r="L2678" s="3" t="n"/>
      <c r="M2678" s="2" t="inlineStr">
        <is>
          <t>PriceCharting</t>
        </is>
      </c>
      <c r="N2678" s="4" t="inlineStr">
        <is>
          <t>https://www.pricecharting.com/game/pokemon-aquapolis/blister-pack</t>
        </is>
      </c>
    </row>
    <row r="2679">
      <c r="A2679" s="2" t="inlineStr">
        <is>
          <t>Aquapolis Booster Pack</t>
        </is>
      </c>
      <c r="B2679" s="3">
        <f>IF(I2679&lt;&gt;"",I2679,IF(J2679&lt;&gt;"",J2679,IF(K2679&lt;&gt;"",K2679,L2679)))</f>
        <v>1808.19</v>
      </c>
      <c r="C2679" s="3">
        <f>MEDIAN(I2679:L2679)</f>
        <v>2999.99</v>
      </c>
      <c r="D2679" s="3">
        <f>ROUND(C2679*(1-Settings!$B$2),2)</f>
        <v>2099.99</v>
      </c>
      <c r="E2679" s="3">
        <f>ROUND(C2679*(1-Settings!$B$3),2)</f>
        <v>2099.99</v>
      </c>
      <c r="F2679" s="2" t="inlineStr">
        <is>
          <t>Pokemon</t>
        </is>
      </c>
      <c r="G2679" s="2" t="inlineStr">
        <is>
          <t>Pack</t>
        </is>
      </c>
      <c r="H2679" s="2" t="inlineStr">
        <is>
          <t>Aquapolis</t>
        </is>
      </c>
      <c r="I2679" s="3" t="n">
        <v>1808.19</v>
      </c>
      <c r="J2679" s="3" t="n">
        <v>1999.99</v>
      </c>
      <c r="K2679" s="3" t="n">
        <v>3999.99</v>
      </c>
      <c r="L2679" s="3" t="n">
        <v>3999.99</v>
      </c>
      <c r="M2679" s="2" t="inlineStr">
        <is>
          <t>PriceCharting + TCGplayer</t>
        </is>
      </c>
      <c r="N2679" s="4" t="inlineStr">
        <is>
          <t>https://www.pricecharting.com/game/pokemon-aquapolis/booster-pack</t>
        </is>
      </c>
      <c r="O2679" s="4" t="inlineStr">
        <is>
          <t>https://www.tcgplayer.com/product/138152</t>
        </is>
      </c>
    </row>
    <row r="2680">
      <c r="A2680" s="2" t="inlineStr">
        <is>
          <t>Arceus Blister Pack</t>
        </is>
      </c>
      <c r="B2680" s="3">
        <f>IF(I2680&lt;&gt;"",I2680,IF(J2680&lt;&gt;"",J2680,IF(K2680&lt;&gt;"",K2680,L2680)))</f>
        <v>38.0</v>
      </c>
      <c r="C2680" s="3">
        <f>MEDIAN(I2680:L2680)</f>
        <v>38.0</v>
      </c>
      <c r="D2680" s="3">
        <f>ROUND(C2680*(1-Settings!$B$2),2)</f>
        <v>26.6</v>
      </c>
      <c r="E2680" s="3">
        <f>ROUND(C2680*(1-Settings!$B$3),2)</f>
        <v>26.6</v>
      </c>
      <c r="F2680" s="2" t="inlineStr">
        <is>
          <t>Pokemon</t>
        </is>
      </c>
      <c r="G2680" s="2" t="inlineStr">
        <is>
          <t>Pack</t>
        </is>
      </c>
      <c r="H2680" s="2" t="inlineStr">
        <is>
          <t>Arceus</t>
        </is>
      </c>
      <c r="I2680" s="3" t="n">
        <v>38</v>
      </c>
      <c r="J2680" s="3" t="n"/>
      <c r="K2680" s="3" t="n"/>
      <c r="L2680" s="3" t="n"/>
      <c r="M2680" s="2" t="inlineStr">
        <is>
          <t>PriceCharting + TCGplayer</t>
        </is>
      </c>
      <c r="N2680" s="4" t="inlineStr">
        <is>
          <t>https://www.pricecharting.com/game/pokemon-arceus/blister-pack</t>
        </is>
      </c>
      <c r="O2680" s="4" t="inlineStr">
        <is>
          <t>https://www.tcgplayer.com/product/617025</t>
        </is>
      </c>
    </row>
    <row r="2681">
      <c r="A2681" s="2" t="inlineStr">
        <is>
          <t>Arceus Booster Pack</t>
        </is>
      </c>
      <c r="B2681" s="3">
        <f>IF(I2681&lt;&gt;"",I2681,IF(J2681&lt;&gt;"",J2681,IF(K2681&lt;&gt;"",K2681,L2681)))</f>
        <v>272.42</v>
      </c>
      <c r="C2681" s="3">
        <f>MEDIAN(I2681:L2681)</f>
        <v>759.025</v>
      </c>
      <c r="D2681" s="3">
        <f>ROUND(C2681*(1-Settings!$B$2),2)</f>
        <v>531.32</v>
      </c>
      <c r="E2681" s="3">
        <f>ROUND(C2681*(1-Settings!$B$3),2)</f>
        <v>531.32</v>
      </c>
      <c r="F2681" s="2" t="inlineStr">
        <is>
          <t>Pokemon</t>
        </is>
      </c>
      <c r="G2681" s="2" t="inlineStr">
        <is>
          <t>Pack</t>
        </is>
      </c>
      <c r="H2681" s="2" t="inlineStr">
        <is>
          <t>Arceus</t>
        </is>
      </c>
      <c r="I2681" s="3" t="n">
        <v>272.42</v>
      </c>
      <c r="J2681" s="3" t="n">
        <v>568.0599999999999</v>
      </c>
      <c r="K2681" s="3" t="n">
        <v>974.99</v>
      </c>
      <c r="L2681" s="3" t="n">
        <v>949.99</v>
      </c>
      <c r="M2681" s="2" t="inlineStr">
        <is>
          <t>PriceCharting + TCGplayer</t>
        </is>
      </c>
      <c r="N2681" s="4" t="inlineStr">
        <is>
          <t>https://www.pricecharting.com/game/pokemon-arceus/booster-pack</t>
        </is>
      </c>
      <c r="O2681" s="4" t="inlineStr">
        <is>
          <t>https://www.tcgplayer.com/product/98594</t>
        </is>
      </c>
    </row>
    <row r="2682">
      <c r="A2682" s="2" t="inlineStr">
        <is>
          <t>Astral Radiance Feraligatr Premium Checklane Blister</t>
        </is>
      </c>
      <c r="B2682" s="3">
        <f>IF(I2682&lt;&gt;"",I2682,IF(J2682&lt;&gt;"",J2682,IF(K2682&lt;&gt;"",K2682,L2682)))</f>
        <v>14.62</v>
      </c>
      <c r="C2682" s="3">
        <f>MEDIAN(I2682:L2682)</f>
        <v>14.62</v>
      </c>
      <c r="D2682" s="3">
        <f>ROUND(C2682*(1-Settings!$B$2),2)</f>
        <v>10.23</v>
      </c>
      <c r="E2682" s="3">
        <f>ROUND(C2682*(1-Settings!$B$3),2)</f>
        <v>10.23</v>
      </c>
      <c r="F2682" s="2" t="inlineStr">
        <is>
          <t>Pokemon</t>
        </is>
      </c>
      <c r="G2682" s="2" t="inlineStr">
        <is>
          <t>Pack</t>
        </is>
      </c>
      <c r="H2682" s="2" t="inlineStr">
        <is>
          <t>Astral Radiance</t>
        </is>
      </c>
      <c r="I2682" s="3" t="n">
        <v>14.62</v>
      </c>
      <c r="J2682" s="3" t="n"/>
      <c r="K2682" s="3" t="n"/>
      <c r="L2682" s="3" t="n"/>
      <c r="M2682" s="2" t="inlineStr">
        <is>
          <t>PriceCharting</t>
        </is>
      </c>
      <c r="N2682" s="4" t="inlineStr">
        <is>
          <t>https://www.pricecharting.com/game/pokemon-astral-radiance/feraligatr-premium-checklane-blister</t>
        </is>
      </c>
    </row>
    <row r="2683">
      <c r="A2683" s="2" t="inlineStr">
        <is>
          <t>Astral Radiance Swampert Premium Checklane Blister</t>
        </is>
      </c>
      <c r="B2683" s="3">
        <f>IF(I2683&lt;&gt;"",I2683,IF(J2683&lt;&gt;"",J2683,IF(K2683&lt;&gt;"",K2683,L2683)))</f>
        <v>14.99</v>
      </c>
      <c r="C2683" s="3">
        <f>MEDIAN(I2683:L2683)</f>
        <v>14.99</v>
      </c>
      <c r="D2683" s="3">
        <f>ROUND(C2683*(1-Settings!$B$2),2)</f>
        <v>10.49</v>
      </c>
      <c r="E2683" s="3">
        <f>ROUND(C2683*(1-Settings!$B$3),2)</f>
        <v>10.49</v>
      </c>
      <c r="F2683" s="2" t="inlineStr">
        <is>
          <t>Pokemon</t>
        </is>
      </c>
      <c r="G2683" s="2" t="inlineStr">
        <is>
          <t>Pack</t>
        </is>
      </c>
      <c r="H2683" s="2" t="inlineStr">
        <is>
          <t>Astral Radiance</t>
        </is>
      </c>
      <c r="I2683" s="3" t="n">
        <v>14.99</v>
      </c>
      <c r="J2683" s="3" t="n"/>
      <c r="K2683" s="3" t="n"/>
      <c r="L2683" s="3" t="n"/>
      <c r="M2683" s="2" t="inlineStr">
        <is>
          <t>PriceCharting</t>
        </is>
      </c>
      <c r="N2683" s="4" t="inlineStr">
        <is>
          <t>https://www.pricecharting.com/game/pokemon-astral-radiance/swampert-premium-checklane-blister</t>
        </is>
      </c>
    </row>
    <row r="2684">
      <c r="A2684" s="2" t="inlineStr">
        <is>
          <t>Base Set Blister Pack</t>
        </is>
      </c>
      <c r="B2684" s="3">
        <f>IF(I2684&lt;&gt;"",I2684,IF(J2684&lt;&gt;"",J2684,IF(K2684&lt;&gt;"",K2684,L2684)))</f>
        <v>1423.33</v>
      </c>
      <c r="C2684" s="3">
        <f>MEDIAN(I2684:L2684)</f>
        <v>1423.33</v>
      </c>
      <c r="D2684" s="3">
        <f>ROUND(C2684*(1-Settings!$B$2),2)</f>
        <v>996.33</v>
      </c>
      <c r="E2684" s="3">
        <f>ROUND(C2684*(1-Settings!$B$3),2)</f>
        <v>996.33</v>
      </c>
      <c r="F2684" s="2" t="inlineStr">
        <is>
          <t>Pokemon</t>
        </is>
      </c>
      <c r="G2684" s="2" t="inlineStr">
        <is>
          <t>Pack</t>
        </is>
      </c>
      <c r="H2684" s="2" t="inlineStr">
        <is>
          <t>Base Set</t>
        </is>
      </c>
      <c r="I2684" s="3" t="n">
        <v>1423.33</v>
      </c>
      <c r="J2684" s="3" t="n"/>
      <c r="K2684" s="3" t="n"/>
      <c r="L2684" s="3" t="n"/>
      <c r="M2684" s="2" t="inlineStr">
        <is>
          <t>PriceCharting</t>
        </is>
      </c>
      <c r="N2684" s="4" t="inlineStr">
        <is>
          <t>https://www.pricecharting.com/game/pokemon-base-set/blister-pack</t>
        </is>
      </c>
    </row>
    <row r="2685">
      <c r="A2685" s="2" t="inlineStr">
        <is>
          <t>Base Set Blister Pack [1st Edition]</t>
        </is>
      </c>
      <c r="B2685" s="3">
        <f>IF(I2685&lt;&gt;"",I2685,IF(J2685&lt;&gt;"",J2685,IF(K2685&lt;&gt;"",K2685,L2685)))</f>
        <v>10077.9</v>
      </c>
      <c r="C2685" s="3">
        <f>MEDIAN(I2685:L2685)</f>
        <v>10077.9</v>
      </c>
      <c r="D2685" s="3">
        <f>ROUND(C2685*(1-Settings!$B$2),2)</f>
        <v>7054.53</v>
      </c>
      <c r="E2685" s="3">
        <f>ROUND(C2685*(1-Settings!$B$3),2)</f>
        <v>7054.53</v>
      </c>
      <c r="F2685" s="2" t="inlineStr">
        <is>
          <t>Pokemon</t>
        </is>
      </c>
      <c r="G2685" s="2" t="inlineStr">
        <is>
          <t>Pack</t>
        </is>
      </c>
      <c r="H2685" s="2" t="inlineStr">
        <is>
          <t>Base Set</t>
        </is>
      </c>
      <c r="I2685" s="3" t="n">
        <v>10077.9</v>
      </c>
      <c r="J2685" s="3" t="n"/>
      <c r="K2685" s="3" t="n"/>
      <c r="L2685" s="3" t="n"/>
      <c r="M2685" s="2" t="inlineStr">
        <is>
          <t>PriceCharting</t>
        </is>
      </c>
      <c r="N2685" s="4" t="inlineStr">
        <is>
          <t>https://www.pricecharting.com/game/pokemon-base-set/blister-pack-1st-edition</t>
        </is>
      </c>
    </row>
    <row r="2686">
      <c r="A2686" s="2" t="inlineStr">
        <is>
          <t>Base Set Blister Pack [Shadowless]</t>
        </is>
      </c>
      <c r="B2686" s="3">
        <f>IF(I2686&lt;&gt;"",I2686,IF(J2686&lt;&gt;"",J2686,IF(K2686&lt;&gt;"",K2686,L2686)))</f>
        <v>2130.42</v>
      </c>
      <c r="C2686" s="3">
        <f>MEDIAN(I2686:L2686)</f>
        <v>2130.42</v>
      </c>
      <c r="D2686" s="3">
        <f>ROUND(C2686*(1-Settings!$B$2),2)</f>
        <v>1491.29</v>
      </c>
      <c r="E2686" s="3">
        <f>ROUND(C2686*(1-Settings!$B$3),2)</f>
        <v>1491.29</v>
      </c>
      <c r="F2686" s="2" t="inlineStr">
        <is>
          <t>Pokemon</t>
        </is>
      </c>
      <c r="G2686" s="2" t="inlineStr">
        <is>
          <t>Pack</t>
        </is>
      </c>
      <c r="H2686" s="2" t="inlineStr">
        <is>
          <t>Base Set</t>
        </is>
      </c>
      <c r="I2686" s="3" t="n">
        <v>2130.42</v>
      </c>
      <c r="J2686" s="3" t="n"/>
      <c r="K2686" s="3" t="n"/>
      <c r="L2686" s="3" t="n"/>
      <c r="M2686" s="2" t="inlineStr">
        <is>
          <t>PriceCharting</t>
        </is>
      </c>
      <c r="N2686" s="4" t="inlineStr">
        <is>
          <t>https://www.pricecharting.com/game/pokemon-base-set/blister-pack-shadowless</t>
        </is>
      </c>
    </row>
    <row r="2687">
      <c r="A2687" s="2" t="inlineStr">
        <is>
          <t>Base Set Booster Pack</t>
        </is>
      </c>
      <c r="B2687" s="3">
        <f>IF(I2687&lt;&gt;"",I2687,IF(J2687&lt;&gt;"",J2687,IF(K2687&lt;&gt;"",K2687,L2687)))</f>
        <v>712.9</v>
      </c>
      <c r="C2687" s="3">
        <f>MEDIAN(I2687:L2687)</f>
        <v>712.9</v>
      </c>
      <c r="D2687" s="3">
        <f>ROUND(C2687*(1-Settings!$B$2),2)</f>
        <v>499.03</v>
      </c>
      <c r="E2687" s="3">
        <f>ROUND(C2687*(1-Settings!$B$3),2)</f>
        <v>499.03</v>
      </c>
      <c r="F2687" s="2" t="inlineStr">
        <is>
          <t>Pokemon</t>
        </is>
      </c>
      <c r="G2687" s="2" t="inlineStr">
        <is>
          <t>Pack</t>
        </is>
      </c>
      <c r="H2687" s="2" t="inlineStr">
        <is>
          <t>Base Set</t>
        </is>
      </c>
      <c r="I2687" s="3" t="n">
        <v>712.9</v>
      </c>
      <c r="J2687" s="3" t="n"/>
      <c r="K2687" s="3" t="n"/>
      <c r="L2687" s="3" t="n"/>
      <c r="M2687" s="2" t="inlineStr">
        <is>
          <t>PriceCharting</t>
        </is>
      </c>
      <c r="N2687" s="4" t="inlineStr">
        <is>
          <t>https://www.pricecharting.com/game/pokemon-base-set/booster-pack</t>
        </is>
      </c>
    </row>
    <row r="2688">
      <c r="A2688" s="2" t="inlineStr">
        <is>
          <t>Base Set Booster Pack [1st Edition]</t>
        </is>
      </c>
      <c r="B2688" s="3">
        <f>IF(I2688&lt;&gt;"",I2688,IF(J2688&lt;&gt;"",J2688,IF(K2688&lt;&gt;"",K2688,L2688)))</f>
        <v>6208.84</v>
      </c>
      <c r="C2688" s="3">
        <f>MEDIAN(I2688:L2688)</f>
        <v>6208.84</v>
      </c>
      <c r="D2688" s="3">
        <f>ROUND(C2688*(1-Settings!$B$2),2)</f>
        <v>4346.19</v>
      </c>
      <c r="E2688" s="3">
        <f>ROUND(C2688*(1-Settings!$B$3),2)</f>
        <v>4346.19</v>
      </c>
      <c r="F2688" s="2" t="inlineStr">
        <is>
          <t>Pokemon</t>
        </is>
      </c>
      <c r="G2688" s="2" t="inlineStr">
        <is>
          <t>Pack</t>
        </is>
      </c>
      <c r="H2688" s="2" t="inlineStr">
        <is>
          <t>Base Set</t>
        </is>
      </c>
      <c r="I2688" s="3" t="n">
        <v>6208.84</v>
      </c>
      <c r="J2688" s="3" t="n"/>
      <c r="K2688" s="3" t="n"/>
      <c r="L2688" s="3" t="n"/>
      <c r="M2688" s="2" t="inlineStr">
        <is>
          <t>PriceCharting</t>
        </is>
      </c>
      <c r="N2688" s="4" t="inlineStr">
        <is>
          <t>https://www.pricecharting.com/game/pokemon-base-set/booster-pack-1st-edition</t>
        </is>
      </c>
    </row>
    <row r="2689">
      <c r="A2689" s="2" t="inlineStr">
        <is>
          <t>Base Set Booster Pack [Revised Unlimited Edition]</t>
        </is>
      </c>
      <c r="B2689" s="3">
        <f>IF(I2689&lt;&gt;"",I2689,IF(J2689&lt;&gt;"",J2689,IF(K2689&lt;&gt;"",K2689,L2689)))</f>
        <v>930.89</v>
      </c>
      <c r="C2689" s="3">
        <f>MEDIAN(I2689:L2689)</f>
        <v>930.89</v>
      </c>
      <c r="D2689" s="3">
        <f>ROUND(C2689*(1-Settings!$B$2),2)</f>
        <v>651.62</v>
      </c>
      <c r="E2689" s="3">
        <f>ROUND(C2689*(1-Settings!$B$3),2)</f>
        <v>651.62</v>
      </c>
      <c r="F2689" s="2" t="inlineStr">
        <is>
          <t>Pokemon</t>
        </is>
      </c>
      <c r="G2689" s="2" t="inlineStr">
        <is>
          <t>Pack</t>
        </is>
      </c>
      <c r="H2689" s="2" t="inlineStr">
        <is>
          <t>Base Set</t>
        </is>
      </c>
      <c r="I2689" s="3" t="n"/>
      <c r="J2689" s="3" t="n">
        <v>930.89</v>
      </c>
      <c r="K2689" s="3" t="n">
        <v>983.47</v>
      </c>
      <c r="L2689" s="3" t="n">
        <v>925</v>
      </c>
      <c r="M2689" s="2" t="inlineStr">
        <is>
          <t>TCGplayer</t>
        </is>
      </c>
      <c r="O2689" s="4" t="inlineStr">
        <is>
          <t>https://www.tcgplayer.com/product/138130</t>
        </is>
      </c>
    </row>
    <row r="2690">
      <c r="A2690" s="2" t="inlineStr">
        <is>
          <t>Base Set Booster Pack [Shadowless]</t>
        </is>
      </c>
      <c r="B2690" s="3">
        <f>IF(I2690&lt;&gt;"",I2690,IF(J2690&lt;&gt;"",J2690,IF(K2690&lt;&gt;"",K2690,L2690)))</f>
        <v>1866.5</v>
      </c>
      <c r="C2690" s="3">
        <f>MEDIAN(I2690:L2690)</f>
        <v>1866.5</v>
      </c>
      <c r="D2690" s="3">
        <f>ROUND(C2690*(1-Settings!$B$2),2)</f>
        <v>1306.55</v>
      </c>
      <c r="E2690" s="3">
        <f>ROUND(C2690*(1-Settings!$B$3),2)</f>
        <v>1306.55</v>
      </c>
      <c r="F2690" s="2" t="inlineStr">
        <is>
          <t>Pokemon</t>
        </is>
      </c>
      <c r="G2690" s="2" t="inlineStr">
        <is>
          <t>Pack</t>
        </is>
      </c>
      <c r="H2690" s="2" t="inlineStr">
        <is>
          <t>Base Set</t>
        </is>
      </c>
      <c r="I2690" s="3" t="n">
        <v>1866.5</v>
      </c>
      <c r="J2690" s="3" t="n"/>
      <c r="K2690" s="3" t="n"/>
      <c r="L2690" s="3" t="n"/>
      <c r="M2690" s="2" t="inlineStr">
        <is>
          <t>PriceCharting</t>
        </is>
      </c>
      <c r="N2690" s="4" t="inlineStr">
        <is>
          <t>https://www.pricecharting.com/game/pokemon-base-set/booster-pack-shadowless</t>
        </is>
      </c>
    </row>
    <row r="2691">
      <c r="A2691" s="2" t="inlineStr">
        <is>
          <t>Base Set Booster Pack [Triangle Error]</t>
        </is>
      </c>
      <c r="B2691" s="3">
        <f>IF(I2691&lt;&gt;"",I2691,IF(J2691&lt;&gt;"",J2691,IF(K2691&lt;&gt;"",K2691,L2691)))</f>
        <v>1177.22</v>
      </c>
      <c r="C2691" s="3">
        <f>MEDIAN(I2691:L2691)</f>
        <v>1177.22</v>
      </c>
      <c r="D2691" s="3">
        <f>ROUND(C2691*(1-Settings!$B$2),2)</f>
        <v>824.05</v>
      </c>
      <c r="E2691" s="3">
        <f>ROUND(C2691*(1-Settings!$B$3),2)</f>
        <v>824.05</v>
      </c>
      <c r="F2691" s="2" t="inlineStr">
        <is>
          <t>Pokemon</t>
        </is>
      </c>
      <c r="G2691" s="2" t="inlineStr">
        <is>
          <t>Pack</t>
        </is>
      </c>
      <c r="H2691" s="2" t="inlineStr">
        <is>
          <t>Base Set</t>
        </is>
      </c>
      <c r="I2691" s="3" t="n">
        <v>1177.22</v>
      </c>
      <c r="J2691" s="3" t="n"/>
      <c r="K2691" s="3" t="n"/>
      <c r="L2691" s="3" t="n"/>
      <c r="M2691" s="2" t="inlineStr">
        <is>
          <t>PriceCharting</t>
        </is>
      </c>
      <c r="N2691" s="4" t="inlineStr">
        <is>
          <t>https://www.pricecharting.com/game/pokemon-base-set/booster-pack-triangle-error</t>
        </is>
      </c>
    </row>
    <row r="2692">
      <c r="A2692" s="2" t="inlineStr">
        <is>
          <t>Base Set Plastic Pack Demo Game</t>
        </is>
      </c>
      <c r="B2692" s="3">
        <f>IF(I2692&lt;&gt;"",I2692,IF(J2692&lt;&gt;"",J2692,IF(K2692&lt;&gt;"",K2692,L2692)))</f>
        <v>2995.99</v>
      </c>
      <c r="C2692" s="3">
        <f>MEDIAN(I2692:L2692)</f>
        <v>2995.99</v>
      </c>
      <c r="D2692" s="3">
        <f>ROUND(C2692*(1-Settings!$B$2),2)</f>
        <v>2097.19</v>
      </c>
      <c r="E2692" s="3">
        <f>ROUND(C2692*(1-Settings!$B$3),2)</f>
        <v>2097.19</v>
      </c>
      <c r="F2692" s="2" t="inlineStr">
        <is>
          <t>Pokemon</t>
        </is>
      </c>
      <c r="G2692" s="2" t="inlineStr">
        <is>
          <t>Pack</t>
        </is>
      </c>
      <c r="H2692" s="2" t="inlineStr">
        <is>
          <t>Base Set</t>
        </is>
      </c>
      <c r="I2692" s="3" t="n">
        <v>2995.99</v>
      </c>
      <c r="J2692" s="3" t="n"/>
      <c r="K2692" s="3" t="n"/>
      <c r="L2692" s="3" t="n"/>
      <c r="M2692" s="2" t="inlineStr">
        <is>
          <t>PriceCharting</t>
        </is>
      </c>
      <c r="N2692" s="4" t="inlineStr">
        <is>
          <t>https://www.pricecharting.com/game/pokemon-base-set/plastic-pack-demo-game</t>
        </is>
      </c>
    </row>
    <row r="2693">
      <c r="A2693" s="2" t="inlineStr">
        <is>
          <t>Pokemon Base Set (Shadowless) [1st Edition] Booster Pack</t>
        </is>
      </c>
      <c r="B2693" s="3">
        <f>IF(I2693&lt;&gt;"",I2693,IF(J2693&lt;&gt;"",J2693,IF(K2693&lt;&gt;"",K2693,L2693)))</f>
        <v>15000.0</v>
      </c>
      <c r="C2693" s="3">
        <f>MEDIAN(I2693:L2693)</f>
        <v>20000.0</v>
      </c>
      <c r="D2693" s="3">
        <f>ROUND(C2693*(1-Settings!$B$2),2)</f>
        <v>14000.0</v>
      </c>
      <c r="E2693" s="3">
        <f>ROUND(C2693*(1-Settings!$B$3),2)</f>
        <v>14000.0</v>
      </c>
      <c r="F2693" s="2" t="inlineStr">
        <is>
          <t>Pokemon</t>
        </is>
      </c>
      <c r="G2693" s="2" t="inlineStr">
        <is>
          <t>Pack</t>
        </is>
      </c>
      <c r="H2693" s="2" t="inlineStr">
        <is>
          <t>Base Set (Shadowless)</t>
        </is>
      </c>
      <c r="I2693" s="3" t="n"/>
      <c r="J2693" s="3" t="n">
        <v>15000</v>
      </c>
      <c r="K2693" s="3" t="n">
        <v>20000</v>
      </c>
      <c r="L2693" s="3" t="n">
        <v>20000</v>
      </c>
      <c r="M2693" s="2" t="inlineStr">
        <is>
          <t>TCGplayer</t>
        </is>
      </c>
      <c r="O2693" s="4" t="inlineStr">
        <is>
          <t>https://www.tcgplayer.com/product/138132</t>
        </is>
      </c>
    </row>
    <row r="2694">
      <c r="A2694" s="2" t="inlineStr">
        <is>
          <t>Pokemon Base Set (Shadowless) [Unlimited Edition] Booster Pack</t>
        </is>
      </c>
      <c r="B2694" s="3">
        <f>IF(I2694&lt;&gt;"",I2694,IF(J2694&lt;&gt;"",J2694,IF(K2694&lt;&gt;"",K2694,L2694)))</f>
        <v>3074.99</v>
      </c>
      <c r="C2694" s="3">
        <f>MEDIAN(I2694:L2694)</f>
        <v>2112.49</v>
      </c>
      <c r="D2694" s="3">
        <f>ROUND(C2694*(1-Settings!$B$2),2)</f>
        <v>1478.74</v>
      </c>
      <c r="E2694" s="3">
        <f>ROUND(C2694*(1-Settings!$B$3),2)</f>
        <v>1478.74</v>
      </c>
      <c r="F2694" s="2" t="inlineStr">
        <is>
          <t>Pokemon</t>
        </is>
      </c>
      <c r="G2694" s="2" t="inlineStr">
        <is>
          <t>Pack</t>
        </is>
      </c>
      <c r="H2694" s="2" t="inlineStr">
        <is>
          <t>Base Set (Shadowless)</t>
        </is>
      </c>
      <c r="I2694" s="3" t="n"/>
      <c r="J2694" s="3" t="n"/>
      <c r="K2694" s="3" t="n">
        <v>3074.99</v>
      </c>
      <c r="L2694" s="3" t="n">
        <v>1149.99</v>
      </c>
      <c r="M2694" s="2" t="inlineStr">
        <is>
          <t>TCGplayer</t>
        </is>
      </c>
      <c r="O2694" s="4" t="inlineStr">
        <is>
          <t>https://www.tcgplayer.com/product/138131</t>
        </is>
      </c>
    </row>
    <row r="2695">
      <c r="A2695" s="2" t="inlineStr">
        <is>
          <t>Base Set 2 Booster Pack</t>
        </is>
      </c>
      <c r="B2695" s="3">
        <f>IF(I2695&lt;&gt;"",I2695,IF(J2695&lt;&gt;"",J2695,IF(K2695&lt;&gt;"",K2695,L2695)))</f>
        <v>362.26</v>
      </c>
      <c r="C2695" s="3">
        <f>MEDIAN(I2695:L2695)</f>
        <v>470.40999999999997</v>
      </c>
      <c r="D2695" s="3">
        <f>ROUND(C2695*(1-Settings!$B$2),2)</f>
        <v>329.29</v>
      </c>
      <c r="E2695" s="3">
        <f>ROUND(C2695*(1-Settings!$B$3),2)</f>
        <v>329.29</v>
      </c>
      <c r="F2695" s="2" t="inlineStr">
        <is>
          <t>Pokemon</t>
        </is>
      </c>
      <c r="G2695" s="2" t="inlineStr">
        <is>
          <t>Pack</t>
        </is>
      </c>
      <c r="H2695" s="2" t="inlineStr">
        <is>
          <t>Base Set 2</t>
        </is>
      </c>
      <c r="I2695" s="3" t="n">
        <v>362.26</v>
      </c>
      <c r="J2695" s="3" t="n">
        <v>440.84</v>
      </c>
      <c r="K2695" s="3" t="n">
        <v>499.98</v>
      </c>
      <c r="L2695" s="3" t="n">
        <v>499.98</v>
      </c>
      <c r="M2695" s="2" t="inlineStr">
        <is>
          <t>PriceCharting + TCGplayer</t>
        </is>
      </c>
      <c r="N2695" s="4" t="inlineStr">
        <is>
          <t>https://www.pricecharting.com/game/pokemon-base-set-2/booster-pack</t>
        </is>
      </c>
      <c r="O2695" s="4" t="inlineStr">
        <is>
          <t>https://www.tcgplayer.com/product/138149</t>
        </is>
      </c>
    </row>
    <row r="2696">
      <c r="A2696" s="2" t="inlineStr">
        <is>
          <t>Battle Styles Blister Pack</t>
        </is>
      </c>
      <c r="B2696" s="3">
        <f>IF(I2696&lt;&gt;"",I2696,IF(J2696&lt;&gt;"",J2696,IF(K2696&lt;&gt;"",K2696,L2696)))</f>
        <v>24.19</v>
      </c>
      <c r="C2696" s="3">
        <f>MEDIAN(I2696:L2696)</f>
        <v>24.19</v>
      </c>
      <c r="D2696" s="3">
        <f>ROUND(C2696*(1-Settings!$B$2),2)</f>
        <v>16.93</v>
      </c>
      <c r="E2696" s="3">
        <f>ROUND(C2696*(1-Settings!$B$3),2)</f>
        <v>16.93</v>
      </c>
      <c r="F2696" s="2" t="inlineStr">
        <is>
          <t>Pokemon</t>
        </is>
      </c>
      <c r="G2696" s="2" t="inlineStr">
        <is>
          <t>Pack</t>
        </is>
      </c>
      <c r="H2696" s="2" t="inlineStr">
        <is>
          <t>Battle Styles</t>
        </is>
      </c>
      <c r="I2696" s="3" t="n">
        <v>24.19</v>
      </c>
      <c r="J2696" s="3" t="n"/>
      <c r="K2696" s="3" t="n"/>
      <c r="L2696" s="3" t="n"/>
      <c r="M2696" s="2" t="inlineStr">
        <is>
          <t>PriceCharting</t>
        </is>
      </c>
      <c r="N2696" s="4" t="inlineStr">
        <is>
          <t>https://www.pricecharting.com/game/pokemon-battle-styles/blister-pack</t>
        </is>
      </c>
    </row>
    <row r="2697">
      <c r="A2697" s="2" t="inlineStr">
        <is>
          <t>Black and White Booster Pack</t>
        </is>
      </c>
      <c r="B2697" s="3">
        <f>IF(I2697&lt;&gt;"",I2697,IF(J2697&lt;&gt;"",J2697,IF(K2697&lt;&gt;"",K2697,L2697)))</f>
        <v>203.49</v>
      </c>
      <c r="C2697" s="3">
        <f>MEDIAN(I2697:L2697)</f>
        <v>259.99</v>
      </c>
      <c r="D2697" s="3">
        <f>ROUND(C2697*(1-Settings!$B$2),2)</f>
        <v>181.99</v>
      </c>
      <c r="E2697" s="3">
        <f>ROUND(C2697*(1-Settings!$B$3),2)</f>
        <v>181.99</v>
      </c>
      <c r="F2697" s="2" t="inlineStr">
        <is>
          <t>Pokemon</t>
        </is>
      </c>
      <c r="G2697" s="2" t="inlineStr">
        <is>
          <t>Pack</t>
        </is>
      </c>
      <c r="H2697" s="2" t="inlineStr">
        <is>
          <t>Black and White</t>
        </is>
      </c>
      <c r="I2697" s="3" t="n"/>
      <c r="J2697" s="3" t="n">
        <v>203.49</v>
      </c>
      <c r="K2697" s="3" t="n">
        <v>269.99</v>
      </c>
      <c r="L2697" s="3" t="n">
        <v>259.99</v>
      </c>
      <c r="M2697" s="2" t="inlineStr">
        <is>
          <t>TCGplayer</t>
        </is>
      </c>
      <c r="O2697" s="4" t="inlineStr">
        <is>
          <t>https://www.tcgplayer.com/product/98553</t>
        </is>
      </c>
    </row>
    <row r="2698">
      <c r="A2698" s="2" t="inlineStr">
        <is>
          <t>Black and White Preview Pack</t>
        </is>
      </c>
      <c r="B2698" s="3">
        <f>IF(I2698&lt;&gt;"",I2698,IF(J2698&lt;&gt;"",J2698,IF(K2698&lt;&gt;"",K2698,L2698)))</f>
        <v>33.5</v>
      </c>
      <c r="C2698" s="3">
        <f>MEDIAN(I2698:L2698)</f>
        <v>33.5</v>
      </c>
      <c r="D2698" s="3">
        <f>ROUND(C2698*(1-Settings!$B$2),2)</f>
        <v>23.45</v>
      </c>
      <c r="E2698" s="3">
        <f>ROUND(C2698*(1-Settings!$B$3),2)</f>
        <v>23.45</v>
      </c>
      <c r="F2698" s="2" t="inlineStr">
        <is>
          <t>Pokemon</t>
        </is>
      </c>
      <c r="G2698" s="2" t="inlineStr">
        <is>
          <t>Pack</t>
        </is>
      </c>
      <c r="H2698" s="2" t="inlineStr">
        <is>
          <t>Black and White</t>
        </is>
      </c>
      <c r="I2698" s="3" t="n"/>
      <c r="J2698" s="3" t="n">
        <v>33.5</v>
      </c>
      <c r="K2698" s="3" t="n">
        <v>36</v>
      </c>
      <c r="L2698" s="3" t="n">
        <v>25</v>
      </c>
      <c r="M2698" s="2" t="inlineStr">
        <is>
          <t>TCGplayer</t>
        </is>
      </c>
      <c r="O2698" s="4" t="inlineStr">
        <is>
          <t>https://www.tcgplayer.com/product/647775</t>
        </is>
      </c>
    </row>
    <row r="2699">
      <c r="A2699" s="2" t="inlineStr">
        <is>
          <t>Boundaries Crossed Blister Pack</t>
        </is>
      </c>
      <c r="B2699" s="3">
        <f>IF(I2699&lt;&gt;"",I2699,IF(J2699&lt;&gt;"",J2699,IF(K2699&lt;&gt;"",K2699,L2699)))</f>
        <v>461.74</v>
      </c>
      <c r="C2699" s="3">
        <f>MEDIAN(I2699:L2699)</f>
        <v>461.74</v>
      </c>
      <c r="D2699" s="3">
        <f>ROUND(C2699*(1-Settings!$B$2),2)</f>
        <v>323.22</v>
      </c>
      <c r="E2699" s="3">
        <f>ROUND(C2699*(1-Settings!$B$3),2)</f>
        <v>323.22</v>
      </c>
      <c r="F2699" s="2" t="inlineStr">
        <is>
          <t>Pokemon</t>
        </is>
      </c>
      <c r="G2699" s="2" t="inlineStr">
        <is>
          <t>Pack</t>
        </is>
      </c>
      <c r="H2699" s="2" t="inlineStr">
        <is>
          <t>Boundaries Crossed</t>
        </is>
      </c>
      <c r="I2699" s="3" t="n">
        <v>461.74</v>
      </c>
      <c r="J2699" s="3" t="n"/>
      <c r="K2699" s="3" t="n"/>
      <c r="L2699" s="3" t="n"/>
      <c r="M2699" s="2" t="inlineStr">
        <is>
          <t>PriceCharting</t>
        </is>
      </c>
      <c r="N2699" s="4" t="inlineStr">
        <is>
          <t>https://www.pricecharting.com/game/pokemon-boundaries-crossed/blister-pack</t>
        </is>
      </c>
    </row>
    <row r="2700">
      <c r="A2700" s="2" t="inlineStr">
        <is>
          <t>Boundaries Crossed Booster Pack</t>
        </is>
      </c>
      <c r="B2700" s="3">
        <f>IF(I2700&lt;&gt;"",I2700,IF(J2700&lt;&gt;"",J2700,IF(K2700&lt;&gt;"",K2700,L2700)))</f>
        <v>230.57</v>
      </c>
      <c r="C2700" s="3">
        <f>MEDIAN(I2700:L2700)</f>
        <v>230.57</v>
      </c>
      <c r="D2700" s="3">
        <f>ROUND(C2700*(1-Settings!$B$2),2)</f>
        <v>161.4</v>
      </c>
      <c r="E2700" s="3">
        <f>ROUND(C2700*(1-Settings!$B$3),2)</f>
        <v>161.4</v>
      </c>
      <c r="F2700" s="2" t="inlineStr">
        <is>
          <t>Pokemon</t>
        </is>
      </c>
      <c r="G2700" s="2" t="inlineStr">
        <is>
          <t>Pack</t>
        </is>
      </c>
      <c r="H2700" s="2" t="inlineStr">
        <is>
          <t>Boundaries Crossed</t>
        </is>
      </c>
      <c r="I2700" s="3" t="n">
        <v>230.57</v>
      </c>
      <c r="J2700" s="3" t="n"/>
      <c r="K2700" s="3" t="n"/>
      <c r="L2700" s="3" t="n"/>
      <c r="M2700" s="2" t="inlineStr">
        <is>
          <t>PriceCharting</t>
        </is>
      </c>
      <c r="N2700" s="4" t="inlineStr">
        <is>
          <t>https://www.pricecharting.com/game/pokemon-boundaries-crossed/booster-pack</t>
        </is>
      </c>
    </row>
    <row r="2701">
      <c r="A2701" s="2" t="inlineStr">
        <is>
          <t>Breakpoint 3 Card Pack</t>
        </is>
      </c>
      <c r="B2701" s="3">
        <f>IF(I2701&lt;&gt;"",I2701,IF(J2701&lt;&gt;"",J2701,IF(K2701&lt;&gt;"",K2701,L2701)))</f>
        <v>9.03</v>
      </c>
      <c r="C2701" s="3">
        <f>MEDIAN(I2701:L2701)</f>
        <v>9.03</v>
      </c>
      <c r="D2701" s="3">
        <f>ROUND(C2701*(1-Settings!$B$2),2)</f>
        <v>6.32</v>
      </c>
      <c r="E2701" s="3">
        <f>ROUND(C2701*(1-Settings!$B$3),2)</f>
        <v>6.32</v>
      </c>
      <c r="F2701" s="2" t="inlineStr">
        <is>
          <t>Pokemon</t>
        </is>
      </c>
      <c r="G2701" s="2" t="inlineStr">
        <is>
          <t>Pack</t>
        </is>
      </c>
      <c r="H2701" s="2" t="inlineStr">
        <is>
          <t>Breakpoint</t>
        </is>
      </c>
      <c r="I2701" s="3" t="n">
        <v>9.029999999999999</v>
      </c>
      <c r="J2701" s="3" t="n"/>
      <c r="K2701" s="3" t="n"/>
      <c r="L2701" s="3" t="n"/>
      <c r="M2701" s="2" t="inlineStr">
        <is>
          <t>PriceCharting</t>
        </is>
      </c>
      <c r="N2701" s="4" t="inlineStr">
        <is>
          <t>https://www.pricecharting.com/game/pokemon-breakpoint/3-card-pack</t>
        </is>
      </c>
    </row>
    <row r="2702">
      <c r="A2702" s="2" t="inlineStr">
        <is>
          <t>Breakpoint Blister Pack: Pikachu</t>
        </is>
      </c>
      <c r="B2702" s="3">
        <f>IF(I2702&lt;&gt;"",I2702,IF(J2702&lt;&gt;"",J2702,IF(K2702&lt;&gt;"",K2702,L2702)))</f>
        <v>381.25</v>
      </c>
      <c r="C2702" s="3">
        <f>MEDIAN(I2702:L2702)</f>
        <v>381.25</v>
      </c>
      <c r="D2702" s="3">
        <f>ROUND(C2702*(1-Settings!$B$2),2)</f>
        <v>266.88</v>
      </c>
      <c r="E2702" s="3">
        <f>ROUND(C2702*(1-Settings!$B$3),2)</f>
        <v>266.88</v>
      </c>
      <c r="F2702" s="2" t="inlineStr">
        <is>
          <t>Pokemon</t>
        </is>
      </c>
      <c r="G2702" s="2" t="inlineStr">
        <is>
          <t>Pack</t>
        </is>
      </c>
      <c r="H2702" s="2" t="inlineStr">
        <is>
          <t>Breakpoint</t>
        </is>
      </c>
      <c r="I2702" s="3" t="n">
        <v>381.25</v>
      </c>
      <c r="J2702" s="3" t="n"/>
      <c r="K2702" s="3" t="n"/>
      <c r="L2702" s="3" t="n"/>
      <c r="M2702" s="2" t="inlineStr">
        <is>
          <t>PriceCharting</t>
        </is>
      </c>
      <c r="N2702" s="4" t="inlineStr">
        <is>
          <t>https://www.pricecharting.com/game/pokemon-breakpoint/blister-pack-pikachu</t>
        </is>
      </c>
    </row>
    <row r="2703">
      <c r="A2703" s="2" t="inlineStr">
        <is>
          <t>Breakpoint Booster Pack</t>
        </is>
      </c>
      <c r="B2703" s="3">
        <f>IF(I2703&lt;&gt;"",I2703,IF(J2703&lt;&gt;"",J2703,IF(K2703&lt;&gt;"",K2703,L2703)))</f>
        <v>48.9</v>
      </c>
      <c r="C2703" s="3">
        <f>MEDIAN(I2703:L2703)</f>
        <v>48.9</v>
      </c>
      <c r="D2703" s="3">
        <f>ROUND(C2703*(1-Settings!$B$2),2)</f>
        <v>34.23</v>
      </c>
      <c r="E2703" s="3">
        <f>ROUND(C2703*(1-Settings!$B$3),2)</f>
        <v>34.23</v>
      </c>
      <c r="F2703" s="2" t="inlineStr">
        <is>
          <t>Pokemon</t>
        </is>
      </c>
      <c r="G2703" s="2" t="inlineStr">
        <is>
          <t>Pack</t>
        </is>
      </c>
      <c r="H2703" s="2" t="inlineStr">
        <is>
          <t>Breakpoint</t>
        </is>
      </c>
      <c r="I2703" s="3" t="n">
        <v>48.9</v>
      </c>
      <c r="J2703" s="3" t="n"/>
      <c r="K2703" s="3" t="n"/>
      <c r="L2703" s="3" t="n"/>
      <c r="M2703" s="2" t="inlineStr">
        <is>
          <t>PriceCharting</t>
        </is>
      </c>
      <c r="N2703" s="4" t="inlineStr">
        <is>
          <t>https://www.pricecharting.com/game/pokemon-breakpoint/booster-pack</t>
        </is>
      </c>
    </row>
    <row r="2704">
      <c r="A2704" s="2" t="inlineStr">
        <is>
          <t>Breakpoint Sleeved Booster Pack</t>
        </is>
      </c>
      <c r="B2704" s="3">
        <f>IF(I2704&lt;&gt;"",I2704,IF(J2704&lt;&gt;"",J2704,IF(K2704&lt;&gt;"",K2704,L2704)))</f>
        <v>55.67</v>
      </c>
      <c r="C2704" s="3">
        <f>MEDIAN(I2704:L2704)</f>
        <v>55.67</v>
      </c>
      <c r="D2704" s="3">
        <f>ROUND(C2704*(1-Settings!$B$2),2)</f>
        <v>38.97</v>
      </c>
      <c r="E2704" s="3">
        <f>ROUND(C2704*(1-Settings!$B$3),2)</f>
        <v>38.97</v>
      </c>
      <c r="F2704" s="2" t="inlineStr">
        <is>
          <t>Pokemon</t>
        </is>
      </c>
      <c r="G2704" s="2" t="inlineStr">
        <is>
          <t>Pack</t>
        </is>
      </c>
      <c r="H2704" s="2" t="inlineStr">
        <is>
          <t>Breakpoint</t>
        </is>
      </c>
      <c r="I2704" s="3" t="n">
        <v>55.67</v>
      </c>
      <c r="J2704" s="3" t="n"/>
      <c r="K2704" s="3" t="n"/>
      <c r="L2704" s="3" t="n"/>
      <c r="M2704" s="2" t="inlineStr">
        <is>
          <t>PriceCharting</t>
        </is>
      </c>
      <c r="N2704" s="4" t="inlineStr">
        <is>
          <t>https://www.pricecharting.com/game/pokemon-breakpoint/sleeved-booster-pack</t>
        </is>
      </c>
    </row>
    <row r="2705">
      <c r="A2705" s="2" t="inlineStr">
        <is>
          <t>Breakthrough Sealed Booster Pack</t>
        </is>
      </c>
      <c r="B2705" s="3">
        <f>IF(I2705&lt;&gt;"",I2705,IF(J2705&lt;&gt;"",J2705,IF(K2705&lt;&gt;"",K2705,L2705)))</f>
        <v>62.88</v>
      </c>
      <c r="C2705" s="3">
        <f>MEDIAN(I2705:L2705)</f>
        <v>62.88</v>
      </c>
      <c r="D2705" s="3">
        <f>ROUND(C2705*(1-Settings!$B$2),2)</f>
        <v>44.02</v>
      </c>
      <c r="E2705" s="3">
        <f>ROUND(C2705*(1-Settings!$B$3),2)</f>
        <v>44.02</v>
      </c>
      <c r="F2705" s="2" t="inlineStr">
        <is>
          <t>Pokemon</t>
        </is>
      </c>
      <c r="G2705" s="2" t="inlineStr">
        <is>
          <t>Pack</t>
        </is>
      </c>
      <c r="H2705" s="2" t="inlineStr">
        <is>
          <t>Breakthrough</t>
        </is>
      </c>
      <c r="I2705" s="3" t="n">
        <v>62.88</v>
      </c>
      <c r="J2705" s="3" t="n"/>
      <c r="K2705" s="3" t="n"/>
      <c r="L2705" s="3" t="n"/>
      <c r="M2705" s="2" t="inlineStr">
        <is>
          <t>PriceCharting</t>
        </is>
      </c>
      <c r="N2705" s="4" t="inlineStr">
        <is>
          <t>https://www.pricecharting.com/game/pokemon-breakthrough/sealed-booster-pack</t>
        </is>
      </c>
    </row>
    <row r="2706">
      <c r="A2706" s="2" t="inlineStr">
        <is>
          <t>Brilliant Stars Salamence Premium Checklane Blister</t>
        </is>
      </c>
      <c r="B2706" s="3">
        <f>IF(I2706&lt;&gt;"",I2706,IF(J2706&lt;&gt;"",J2706,IF(K2706&lt;&gt;"",K2706,L2706)))</f>
        <v>23.28</v>
      </c>
      <c r="C2706" s="3">
        <f>MEDIAN(I2706:L2706)</f>
        <v>23.28</v>
      </c>
      <c r="D2706" s="3">
        <f>ROUND(C2706*(1-Settings!$B$2),2)</f>
        <v>16.3</v>
      </c>
      <c r="E2706" s="3">
        <f>ROUND(C2706*(1-Settings!$B$3),2)</f>
        <v>16.3</v>
      </c>
      <c r="F2706" s="2" t="inlineStr">
        <is>
          <t>Pokemon</t>
        </is>
      </c>
      <c r="G2706" s="2" t="inlineStr">
        <is>
          <t>Pack</t>
        </is>
      </c>
      <c r="H2706" s="2" t="inlineStr">
        <is>
          <t>Brilliant Stars</t>
        </is>
      </c>
      <c r="I2706" s="3" t="n">
        <v>23.28</v>
      </c>
      <c r="J2706" s="3" t="n"/>
      <c r="K2706" s="3" t="n"/>
      <c r="L2706" s="3" t="n"/>
      <c r="M2706" s="2" t="inlineStr">
        <is>
          <t>PriceCharting</t>
        </is>
      </c>
      <c r="N2706" s="4" t="inlineStr">
        <is>
          <t>https://www.pricecharting.com/game/pokemon-brilliant-stars/salamence-premium-checklane-blister</t>
        </is>
      </c>
    </row>
    <row r="2707">
      <c r="A2707" s="2" t="inlineStr">
        <is>
          <t>Burning Shadows Blister Pack</t>
        </is>
      </c>
      <c r="B2707" s="3">
        <f>IF(I2707&lt;&gt;"",I2707,IF(J2707&lt;&gt;"",J2707,IF(K2707&lt;&gt;"",K2707,L2707)))</f>
        <v>80.0</v>
      </c>
      <c r="C2707" s="3">
        <f>MEDIAN(I2707:L2707)</f>
        <v>80.0</v>
      </c>
      <c r="D2707" s="3">
        <f>ROUND(C2707*(1-Settings!$B$2),2)</f>
        <v>56.0</v>
      </c>
      <c r="E2707" s="3">
        <f>ROUND(C2707*(1-Settings!$B$3),2)</f>
        <v>56.0</v>
      </c>
      <c r="F2707" s="2" t="inlineStr">
        <is>
          <t>Pokemon</t>
        </is>
      </c>
      <c r="G2707" s="2" t="inlineStr">
        <is>
          <t>Pack</t>
        </is>
      </c>
      <c r="H2707" s="2" t="inlineStr">
        <is>
          <t>Burning Shadows</t>
        </is>
      </c>
      <c r="I2707" s="3" t="n">
        <v>80</v>
      </c>
      <c r="J2707" s="3" t="n"/>
      <c r="K2707" s="3" t="n"/>
      <c r="L2707" s="3" t="n"/>
      <c r="M2707" s="2" t="inlineStr">
        <is>
          <t>PriceCharting</t>
        </is>
      </c>
      <c r="N2707" s="4" t="inlineStr">
        <is>
          <t>https://www.pricecharting.com/game/pokemon-burning-shadows/blister-pack</t>
        </is>
      </c>
    </row>
    <row r="2708">
      <c r="A2708" s="2" t="inlineStr">
        <is>
          <t>Call Of Legends Blister Pack</t>
        </is>
      </c>
      <c r="B2708" s="3">
        <f>IF(I2708&lt;&gt;"",I2708,IF(J2708&lt;&gt;"",J2708,IF(K2708&lt;&gt;"",K2708,L2708)))</f>
        <v>1819.35</v>
      </c>
      <c r="C2708" s="3">
        <f>MEDIAN(I2708:L2708)</f>
        <v>1819.35</v>
      </c>
      <c r="D2708" s="3">
        <f>ROUND(C2708*(1-Settings!$B$2),2)</f>
        <v>1273.55</v>
      </c>
      <c r="E2708" s="3">
        <f>ROUND(C2708*(1-Settings!$B$3),2)</f>
        <v>1273.55</v>
      </c>
      <c r="F2708" s="2" t="inlineStr">
        <is>
          <t>Pokemon</t>
        </is>
      </c>
      <c r="G2708" s="2" t="inlineStr">
        <is>
          <t>Pack</t>
        </is>
      </c>
      <c r="H2708" s="2" t="inlineStr">
        <is>
          <t>Call Of Legends</t>
        </is>
      </c>
      <c r="I2708" s="3" t="n">
        <v>1819.35</v>
      </c>
      <c r="J2708" s="3" t="n"/>
      <c r="K2708" s="3" t="n"/>
      <c r="L2708" s="3" t="n"/>
      <c r="M2708" s="2" t="inlineStr">
        <is>
          <t>PriceCharting</t>
        </is>
      </c>
      <c r="N2708" s="4" t="inlineStr">
        <is>
          <t>https://www.pricecharting.com/game/pokemon-call-of-legends/blister-pack</t>
        </is>
      </c>
    </row>
    <row r="2709">
      <c r="A2709" s="2" t="inlineStr">
        <is>
          <t>Call of Legends Booster Pack</t>
        </is>
      </c>
      <c r="B2709" s="3">
        <f>IF(I2709&lt;&gt;"",I2709,IF(J2709&lt;&gt;"",J2709,IF(K2709&lt;&gt;"",K2709,L2709)))</f>
        <v>784.13</v>
      </c>
      <c r="C2709" s="3">
        <f>MEDIAN(I2709:L2709)</f>
        <v>1657.4199999999998</v>
      </c>
      <c r="D2709" s="3">
        <f>ROUND(C2709*(1-Settings!$B$2),2)</f>
        <v>1160.19</v>
      </c>
      <c r="E2709" s="3">
        <f>ROUND(C2709*(1-Settings!$B$3),2)</f>
        <v>1160.19</v>
      </c>
      <c r="F2709" s="2" t="inlineStr">
        <is>
          <t>Pokemon</t>
        </is>
      </c>
      <c r="G2709" s="2" t="inlineStr">
        <is>
          <t>Pack</t>
        </is>
      </c>
      <c r="H2709" s="2" t="inlineStr">
        <is>
          <t>Call of Legends</t>
        </is>
      </c>
      <c r="I2709" s="3" t="n">
        <v>784.13</v>
      </c>
      <c r="J2709" s="3" t="n">
        <v>1114.85</v>
      </c>
      <c r="K2709" s="3" t="n">
        <v>2199.99</v>
      </c>
      <c r="L2709" s="3" t="n">
        <v>2199.99</v>
      </c>
      <c r="M2709" s="2" t="inlineStr">
        <is>
          <t>PriceCharting + TCGplayer</t>
        </is>
      </c>
      <c r="N2709" s="4" t="inlineStr">
        <is>
          <t>https://www.pricecharting.com/game/pokemon-call-of-legends/booster-pack</t>
        </is>
      </c>
      <c r="O2709" s="4" t="inlineStr">
        <is>
          <t>https://www.tcgplayer.com/product/98515</t>
        </is>
      </c>
    </row>
    <row r="2710">
      <c r="A2710" s="2" t="inlineStr">
        <is>
          <t>Celebrations Booster Pack</t>
        </is>
      </c>
      <c r="B2710" s="3">
        <f>IF(I2710&lt;&gt;"",I2710,IF(J2710&lt;&gt;"",J2710,IF(K2710&lt;&gt;"",K2710,L2710)))</f>
        <v>32.97</v>
      </c>
      <c r="C2710" s="3">
        <f>MEDIAN(I2710:L2710)</f>
        <v>33.265</v>
      </c>
      <c r="D2710" s="3">
        <f>ROUND(C2710*(1-Settings!$B$2),2)</f>
        <v>23.29</v>
      </c>
      <c r="E2710" s="3">
        <f>ROUND(C2710*(1-Settings!$B$3),2)</f>
        <v>23.29</v>
      </c>
      <c r="F2710" s="2" t="inlineStr">
        <is>
          <t>Pokemon</t>
        </is>
      </c>
      <c r="G2710" s="2" t="inlineStr">
        <is>
          <t>Pack</t>
        </is>
      </c>
      <c r="H2710" s="2" t="inlineStr">
        <is>
          <t>Celebrations</t>
        </is>
      </c>
      <c r="I2710" s="3" t="n">
        <v>32.97</v>
      </c>
      <c r="J2710" s="3" t="n">
        <v>33.56</v>
      </c>
      <c r="K2710" s="3" t="n">
        <v>39.99</v>
      </c>
      <c r="L2710" s="3" t="n">
        <v>27</v>
      </c>
      <c r="M2710" s="2" t="inlineStr">
        <is>
          <t>PriceCharting + TCGplayer</t>
        </is>
      </c>
      <c r="N2710" s="4" t="inlineStr">
        <is>
          <t>https://www.pricecharting.com/game/pokemon-celebrations/booster-pack</t>
        </is>
      </c>
      <c r="O2710" s="4" t="inlineStr">
        <is>
          <t>https://www.tcgplayer.com/product/248577</t>
        </is>
      </c>
    </row>
    <row r="2711">
      <c r="A2711" s="2" t="inlineStr">
        <is>
          <t>Celebrations Booster Pack [General Mills]</t>
        </is>
      </c>
      <c r="B2711" s="3">
        <f>IF(I2711&lt;&gt;"",I2711,IF(J2711&lt;&gt;"",J2711,IF(K2711&lt;&gt;"",K2711,L2711)))</f>
        <v>6.38</v>
      </c>
      <c r="C2711" s="3">
        <f>MEDIAN(I2711:L2711)</f>
        <v>6.38</v>
      </c>
      <c r="D2711" s="3">
        <f>ROUND(C2711*(1-Settings!$B$2),2)</f>
        <v>4.47</v>
      </c>
      <c r="E2711" s="3">
        <f>ROUND(C2711*(1-Settings!$B$3),2)</f>
        <v>4.47</v>
      </c>
      <c r="F2711" s="2" t="inlineStr">
        <is>
          <t>Pokemon</t>
        </is>
      </c>
      <c r="G2711" s="2" t="inlineStr">
        <is>
          <t>Pack</t>
        </is>
      </c>
      <c r="H2711" s="2" t="inlineStr">
        <is>
          <t>Celebrations</t>
        </is>
      </c>
      <c r="I2711" s="3" t="n">
        <v>6.38</v>
      </c>
      <c r="J2711" s="3" t="n"/>
      <c r="K2711" s="3" t="n"/>
      <c r="L2711" s="3" t="n"/>
      <c r="M2711" s="2" t="inlineStr">
        <is>
          <t>PriceCharting</t>
        </is>
      </c>
      <c r="N2711" s="4" t="inlineStr">
        <is>
          <t>https://www.pricecharting.com/game/pokemon-celebrations/booster-pack-general-mills</t>
        </is>
      </c>
    </row>
    <row r="2712">
      <c r="A2712" s="2" t="inlineStr">
        <is>
          <t>Celebrations First Partner Pack [Alola]</t>
        </is>
      </c>
      <c r="B2712" s="3">
        <f>IF(I2712&lt;&gt;"",I2712,IF(J2712&lt;&gt;"",J2712,IF(K2712&lt;&gt;"",K2712,L2712)))</f>
        <v>21.27</v>
      </c>
      <c r="C2712" s="3">
        <f>MEDIAN(I2712:L2712)</f>
        <v>21.27</v>
      </c>
      <c r="D2712" s="3">
        <f>ROUND(C2712*(1-Settings!$B$2),2)</f>
        <v>14.89</v>
      </c>
      <c r="E2712" s="3">
        <f>ROUND(C2712*(1-Settings!$B$3),2)</f>
        <v>14.89</v>
      </c>
      <c r="F2712" s="2" t="inlineStr">
        <is>
          <t>Pokemon</t>
        </is>
      </c>
      <c r="G2712" s="2" t="inlineStr">
        <is>
          <t>Pack</t>
        </is>
      </c>
      <c r="H2712" s="2" t="inlineStr">
        <is>
          <t>Celebrations</t>
        </is>
      </c>
      <c r="I2712" s="3" t="n">
        <v>21.27</v>
      </c>
      <c r="J2712" s="3" t="n"/>
      <c r="K2712" s="3" t="n"/>
      <c r="L2712" s="3" t="n"/>
      <c r="M2712" s="2" t="inlineStr">
        <is>
          <t>PriceCharting</t>
        </is>
      </c>
      <c r="N2712" s="4" t="inlineStr">
        <is>
          <t>https://www.pricecharting.com/game/pokemon-celebrations/first-partner-pack-alola</t>
        </is>
      </c>
    </row>
    <row r="2713">
      <c r="A2713" s="2" t="inlineStr">
        <is>
          <t>Celebrations First Partner Pack [Galar]</t>
        </is>
      </c>
      <c r="B2713" s="3">
        <f>IF(I2713&lt;&gt;"",I2713,IF(J2713&lt;&gt;"",J2713,IF(K2713&lt;&gt;"",K2713,L2713)))</f>
        <v>13.81</v>
      </c>
      <c r="C2713" s="3">
        <f>MEDIAN(I2713:L2713)</f>
        <v>13.81</v>
      </c>
      <c r="D2713" s="3">
        <f>ROUND(C2713*(1-Settings!$B$2),2)</f>
        <v>9.67</v>
      </c>
      <c r="E2713" s="3">
        <f>ROUND(C2713*(1-Settings!$B$3),2)</f>
        <v>9.67</v>
      </c>
      <c r="F2713" s="2" t="inlineStr">
        <is>
          <t>Pokemon</t>
        </is>
      </c>
      <c r="G2713" s="2" t="inlineStr">
        <is>
          <t>Pack</t>
        </is>
      </c>
      <c r="H2713" s="2" t="inlineStr">
        <is>
          <t>Celebrations</t>
        </is>
      </c>
      <c r="I2713" s="3" t="n">
        <v>13.81</v>
      </c>
      <c r="J2713" s="3" t="n"/>
      <c r="K2713" s="3" t="n"/>
      <c r="L2713" s="3" t="n"/>
      <c r="M2713" s="2" t="inlineStr">
        <is>
          <t>PriceCharting</t>
        </is>
      </c>
      <c r="N2713" s="4" t="inlineStr">
        <is>
          <t>https://www.pricecharting.com/game/pokemon-celebrations/first-partner-pack-galar</t>
        </is>
      </c>
    </row>
    <row r="2714">
      <c r="A2714" s="2" t="inlineStr">
        <is>
          <t>Celebrations First Partner Pack [Hoenn]</t>
        </is>
      </c>
      <c r="B2714" s="3">
        <f>IF(I2714&lt;&gt;"",I2714,IF(J2714&lt;&gt;"",J2714,IF(K2714&lt;&gt;"",K2714,L2714)))</f>
        <v>17.99</v>
      </c>
      <c r="C2714" s="3">
        <f>MEDIAN(I2714:L2714)</f>
        <v>17.99</v>
      </c>
      <c r="D2714" s="3">
        <f>ROUND(C2714*(1-Settings!$B$2),2)</f>
        <v>12.59</v>
      </c>
      <c r="E2714" s="3">
        <f>ROUND(C2714*(1-Settings!$B$3),2)</f>
        <v>12.59</v>
      </c>
      <c r="F2714" s="2" t="inlineStr">
        <is>
          <t>Pokemon</t>
        </is>
      </c>
      <c r="G2714" s="2" t="inlineStr">
        <is>
          <t>Pack</t>
        </is>
      </c>
      <c r="H2714" s="2" t="inlineStr">
        <is>
          <t>Celebrations</t>
        </is>
      </c>
      <c r="I2714" s="3" t="n">
        <v>17.99</v>
      </c>
      <c r="J2714" s="3" t="n"/>
      <c r="K2714" s="3" t="n"/>
      <c r="L2714" s="3" t="n"/>
      <c r="M2714" s="2" t="inlineStr">
        <is>
          <t>PriceCharting</t>
        </is>
      </c>
      <c r="N2714" s="4" t="inlineStr">
        <is>
          <t>https://www.pricecharting.com/game/pokemon-celebrations/first-partner-pack-hoenn</t>
        </is>
      </c>
    </row>
    <row r="2715">
      <c r="A2715" s="2" t="inlineStr">
        <is>
          <t>Celebrations First Partner Pack [Johto]</t>
        </is>
      </c>
      <c r="B2715" s="3">
        <f>IF(I2715&lt;&gt;"",I2715,IF(J2715&lt;&gt;"",J2715,IF(K2715&lt;&gt;"",K2715,L2715)))</f>
        <v>2.47</v>
      </c>
      <c r="C2715" s="3">
        <f>MEDIAN(I2715:L2715)</f>
        <v>2.47</v>
      </c>
      <c r="D2715" s="3">
        <f>ROUND(C2715*(1-Settings!$B$2),2)</f>
        <v>1.73</v>
      </c>
      <c r="E2715" s="3">
        <f>ROUND(C2715*(1-Settings!$B$3),2)</f>
        <v>1.73</v>
      </c>
      <c r="F2715" s="2" t="inlineStr">
        <is>
          <t>Pokemon</t>
        </is>
      </c>
      <c r="G2715" s="2" t="inlineStr">
        <is>
          <t>Pack</t>
        </is>
      </c>
      <c r="H2715" s="2" t="inlineStr">
        <is>
          <t>Celebrations</t>
        </is>
      </c>
      <c r="I2715" s="3" t="n">
        <v>2.47</v>
      </c>
      <c r="J2715" s="3" t="n"/>
      <c r="K2715" s="3" t="n"/>
      <c r="L2715" s="3" t="n"/>
      <c r="M2715" s="2" t="inlineStr">
        <is>
          <t>PriceCharting</t>
        </is>
      </c>
      <c r="N2715" s="4" t="inlineStr">
        <is>
          <t>https://www.pricecharting.com/game/pokemon-celebrations/first-partner-pack-johto</t>
        </is>
      </c>
    </row>
    <row r="2716">
      <c r="A2716" s="2" t="inlineStr">
        <is>
          <t>Celebrations First Partner Pack [Kalos]</t>
        </is>
      </c>
      <c r="B2716" s="3">
        <f>IF(I2716&lt;&gt;"",I2716,IF(J2716&lt;&gt;"",J2716,IF(K2716&lt;&gt;"",K2716,L2716)))</f>
        <v>6.56</v>
      </c>
      <c r="C2716" s="3">
        <f>MEDIAN(I2716:L2716)</f>
        <v>6.56</v>
      </c>
      <c r="D2716" s="3">
        <f>ROUND(C2716*(1-Settings!$B$2),2)</f>
        <v>4.59</v>
      </c>
      <c r="E2716" s="3">
        <f>ROUND(C2716*(1-Settings!$B$3),2)</f>
        <v>4.59</v>
      </c>
      <c r="F2716" s="2" t="inlineStr">
        <is>
          <t>Pokemon</t>
        </is>
      </c>
      <c r="G2716" s="2" t="inlineStr">
        <is>
          <t>Pack</t>
        </is>
      </c>
      <c r="H2716" s="2" t="inlineStr">
        <is>
          <t>Celebrations</t>
        </is>
      </c>
      <c r="I2716" s="3" t="n">
        <v>6.56</v>
      </c>
      <c r="J2716" s="3" t="n"/>
      <c r="K2716" s="3" t="n"/>
      <c r="L2716" s="3" t="n"/>
      <c r="M2716" s="2" t="inlineStr">
        <is>
          <t>PriceCharting</t>
        </is>
      </c>
      <c r="N2716" s="4" t="inlineStr">
        <is>
          <t>https://www.pricecharting.com/game/pokemon-celebrations/first-partner-pack-kalos</t>
        </is>
      </c>
    </row>
    <row r="2717">
      <c r="A2717" s="2" t="inlineStr">
        <is>
          <t>Celebrations First Partner Pack [Kanto]</t>
        </is>
      </c>
      <c r="B2717" s="3">
        <f>IF(I2717&lt;&gt;"",I2717,IF(J2717&lt;&gt;"",J2717,IF(K2717&lt;&gt;"",K2717,L2717)))</f>
        <v>17.19</v>
      </c>
      <c r="C2717" s="3">
        <f>MEDIAN(I2717:L2717)</f>
        <v>17.19</v>
      </c>
      <c r="D2717" s="3">
        <f>ROUND(C2717*(1-Settings!$B$2),2)</f>
        <v>12.03</v>
      </c>
      <c r="E2717" s="3">
        <f>ROUND(C2717*(1-Settings!$B$3),2)</f>
        <v>12.03</v>
      </c>
      <c r="F2717" s="2" t="inlineStr">
        <is>
          <t>Pokemon</t>
        </is>
      </c>
      <c r="G2717" s="2" t="inlineStr">
        <is>
          <t>Pack</t>
        </is>
      </c>
      <c r="H2717" s="2" t="inlineStr">
        <is>
          <t>Celebrations</t>
        </is>
      </c>
      <c r="I2717" s="3" t="n">
        <v>17.19</v>
      </c>
      <c r="J2717" s="3" t="n"/>
      <c r="K2717" s="3" t="n"/>
      <c r="L2717" s="3" t="n"/>
      <c r="M2717" s="2" t="inlineStr">
        <is>
          <t>PriceCharting</t>
        </is>
      </c>
      <c r="N2717" s="4" t="inlineStr">
        <is>
          <t>https://www.pricecharting.com/game/pokemon-celebrations/first-partner-pack-kanto</t>
        </is>
      </c>
    </row>
    <row r="2718">
      <c r="A2718" s="2" t="inlineStr">
        <is>
          <t>Celebrations First Partner Pack [Sinnoh]</t>
        </is>
      </c>
      <c r="B2718" s="3">
        <f>IF(I2718&lt;&gt;"",I2718,IF(J2718&lt;&gt;"",J2718,IF(K2718&lt;&gt;"",K2718,L2718)))</f>
        <v>16.32</v>
      </c>
      <c r="C2718" s="3">
        <f>MEDIAN(I2718:L2718)</f>
        <v>16.32</v>
      </c>
      <c r="D2718" s="3">
        <f>ROUND(C2718*(1-Settings!$B$2),2)</f>
        <v>11.42</v>
      </c>
      <c r="E2718" s="3">
        <f>ROUND(C2718*(1-Settings!$B$3),2)</f>
        <v>11.42</v>
      </c>
      <c r="F2718" s="2" t="inlineStr">
        <is>
          <t>Pokemon</t>
        </is>
      </c>
      <c r="G2718" s="2" t="inlineStr">
        <is>
          <t>Pack</t>
        </is>
      </c>
      <c r="H2718" s="2" t="inlineStr">
        <is>
          <t>Celebrations</t>
        </is>
      </c>
      <c r="I2718" s="3" t="n">
        <v>16.32</v>
      </c>
      <c r="J2718" s="3" t="n"/>
      <c r="K2718" s="3" t="n"/>
      <c r="L2718" s="3" t="n"/>
      <c r="M2718" s="2" t="inlineStr">
        <is>
          <t>PriceCharting</t>
        </is>
      </c>
      <c r="N2718" s="4" t="inlineStr">
        <is>
          <t>https://www.pricecharting.com/game/pokemon-celebrations/first-partner-pack-sinnoh</t>
        </is>
      </c>
    </row>
    <row r="2719">
      <c r="A2719" s="2" t="inlineStr">
        <is>
          <t>Celebrations First Partner Pack [Unova]</t>
        </is>
      </c>
      <c r="B2719" s="3">
        <f>IF(I2719&lt;&gt;"",I2719,IF(J2719&lt;&gt;"",J2719,IF(K2719&lt;&gt;"",K2719,L2719)))</f>
        <v>22.61</v>
      </c>
      <c r="C2719" s="3">
        <f>MEDIAN(I2719:L2719)</f>
        <v>22.61</v>
      </c>
      <c r="D2719" s="3">
        <f>ROUND(C2719*(1-Settings!$B$2),2)</f>
        <v>15.83</v>
      </c>
      <c r="E2719" s="3">
        <f>ROUND(C2719*(1-Settings!$B$3),2)</f>
        <v>15.83</v>
      </c>
      <c r="F2719" s="2" t="inlineStr">
        <is>
          <t>Pokemon</t>
        </is>
      </c>
      <c r="G2719" s="2" t="inlineStr">
        <is>
          <t>Pack</t>
        </is>
      </c>
      <c r="H2719" s="2" t="inlineStr">
        <is>
          <t>Celebrations</t>
        </is>
      </c>
      <c r="I2719" s="3" t="n">
        <v>22.61</v>
      </c>
      <c r="J2719" s="3" t="n"/>
      <c r="K2719" s="3" t="n"/>
      <c r="L2719" s="3" t="n"/>
      <c r="M2719" s="2" t="inlineStr">
        <is>
          <t>PriceCharting</t>
        </is>
      </c>
      <c r="N2719" s="4" t="inlineStr">
        <is>
          <t>https://www.pricecharting.com/game/pokemon-celebrations/first-partner-pack-unova</t>
        </is>
      </c>
    </row>
    <row r="2720">
      <c r="A2720" s="2" t="inlineStr">
        <is>
          <t>Celestial Storm Mini Booster Pack</t>
        </is>
      </c>
      <c r="B2720" s="3">
        <f>IF(I2720&lt;&gt;"",I2720,IF(J2720&lt;&gt;"",J2720,IF(K2720&lt;&gt;"",K2720,L2720)))</f>
        <v>10.88</v>
      </c>
      <c r="C2720" s="3">
        <f>MEDIAN(I2720:L2720)</f>
        <v>10.88</v>
      </c>
      <c r="D2720" s="3">
        <f>ROUND(C2720*(1-Settings!$B$2),2)</f>
        <v>7.62</v>
      </c>
      <c r="E2720" s="3">
        <f>ROUND(C2720*(1-Settings!$B$3),2)</f>
        <v>7.62</v>
      </c>
      <c r="F2720" s="2" t="inlineStr">
        <is>
          <t>Pokemon</t>
        </is>
      </c>
      <c r="G2720" s="2" t="inlineStr">
        <is>
          <t>Pack</t>
        </is>
      </c>
      <c r="H2720" s="2" t="inlineStr">
        <is>
          <t>Celestial Storm</t>
        </is>
      </c>
      <c r="I2720" s="3" t="n">
        <v>10.88</v>
      </c>
      <c r="J2720" s="3" t="n"/>
      <c r="K2720" s="3" t="n"/>
      <c r="L2720" s="3" t="n"/>
      <c r="M2720" s="2" t="inlineStr">
        <is>
          <t>PriceCharting</t>
        </is>
      </c>
      <c r="N2720" s="4" t="inlineStr">
        <is>
          <t>https://www.pricecharting.com/game/pokemon-celestial-storm/mini-booster-pack</t>
        </is>
      </c>
    </row>
    <row r="2721">
      <c r="A2721" s="2" t="inlineStr">
        <is>
          <t>Champion's Path Booster Pack</t>
        </is>
      </c>
      <c r="B2721" s="3">
        <f>IF(I2721&lt;&gt;"",I2721,IF(J2721&lt;&gt;"",J2721,IF(K2721&lt;&gt;"",K2721,L2721)))</f>
        <v>19.64</v>
      </c>
      <c r="C2721" s="3">
        <f>MEDIAN(I2721:L2721)</f>
        <v>19.64</v>
      </c>
      <c r="D2721" s="3">
        <f>ROUND(C2721*(1-Settings!$B$2),2)</f>
        <v>13.75</v>
      </c>
      <c r="E2721" s="3">
        <f>ROUND(C2721*(1-Settings!$B$3),2)</f>
        <v>13.75</v>
      </c>
      <c r="F2721" s="2" t="inlineStr">
        <is>
          <t>Pokemon</t>
        </is>
      </c>
      <c r="G2721" s="2" t="inlineStr">
        <is>
          <t>Pack</t>
        </is>
      </c>
      <c r="H2721" s="2" t="inlineStr">
        <is>
          <t>Champion's Path</t>
        </is>
      </c>
      <c r="I2721" s="3" t="n"/>
      <c r="J2721" s="3" t="n">
        <v>19.64</v>
      </c>
      <c r="K2721" s="3" t="n">
        <v>20.99</v>
      </c>
      <c r="L2721" s="3" t="n">
        <v>17.99</v>
      </c>
      <c r="M2721" s="2" t="inlineStr">
        <is>
          <t>TCGplayer</t>
        </is>
      </c>
      <c r="O2721" s="4" t="inlineStr">
        <is>
          <t>https://www.tcgplayer.com/product/218789</t>
        </is>
      </c>
    </row>
    <row r="2722">
      <c r="A2722" s="2" t="inlineStr">
        <is>
          <t>Chaos Rising 3 Pack Blister: Charmeleon</t>
        </is>
      </c>
      <c r="B2722" s="3">
        <f>IF(I2722&lt;&gt;"",I2722,IF(J2722&lt;&gt;"",J2722,IF(K2722&lt;&gt;"",K2722,L2722)))</f>
        <v>21.19</v>
      </c>
      <c r="C2722" s="3">
        <f>MEDIAN(I2722:L2722)</f>
        <v>21.19</v>
      </c>
      <c r="D2722" s="3">
        <f>ROUND(C2722*(1-Settings!$B$2),2)</f>
        <v>14.83</v>
      </c>
      <c r="E2722" s="3">
        <f>ROUND(C2722*(1-Settings!$B$3),2)</f>
        <v>14.83</v>
      </c>
      <c r="F2722" s="2" t="inlineStr">
        <is>
          <t>Pokemon</t>
        </is>
      </c>
      <c r="G2722" s="2" t="inlineStr">
        <is>
          <t>Pack</t>
        </is>
      </c>
      <c r="H2722" s="2" t="inlineStr">
        <is>
          <t>Chaos Rising</t>
        </is>
      </c>
      <c r="I2722" s="3" t="n">
        <v>21.19</v>
      </c>
      <c r="J2722" s="3" t="n"/>
      <c r="K2722" s="3" t="n"/>
      <c r="L2722" s="3" t="n"/>
      <c r="M2722" s="2" t="inlineStr">
        <is>
          <t>PriceCharting</t>
        </is>
      </c>
      <c r="N2722" s="4" t="inlineStr">
        <is>
          <t>https://www.pricecharting.com/game/pokemon-chaos-rising/3-pack-blister-charmeleon</t>
        </is>
      </c>
    </row>
    <row r="2723">
      <c r="A2723" s="2" t="inlineStr">
        <is>
          <t>Chaos Rising Booster Pack</t>
        </is>
      </c>
      <c r="B2723" s="3">
        <f>IF(I2723&lt;&gt;"",I2723,IF(J2723&lt;&gt;"",J2723,IF(K2723&lt;&gt;"",K2723,L2723)))</f>
        <v>6.0</v>
      </c>
      <c r="C2723" s="3">
        <f>MEDIAN(I2723:L2723)</f>
        <v>6.0</v>
      </c>
      <c r="D2723" s="3">
        <f>ROUND(C2723*(1-Settings!$B$2),2)</f>
        <v>4.2</v>
      </c>
      <c r="E2723" s="3">
        <f>ROUND(C2723*(1-Settings!$B$3),2)</f>
        <v>4.2</v>
      </c>
      <c r="F2723" s="2" t="inlineStr">
        <is>
          <t>Pokemon</t>
        </is>
      </c>
      <c r="G2723" s="2" t="inlineStr">
        <is>
          <t>Pack</t>
        </is>
      </c>
      <c r="H2723" s="2" t="inlineStr">
        <is>
          <t>Chaos Rising</t>
        </is>
      </c>
      <c r="I2723" s="3" t="n">
        <v>6</v>
      </c>
      <c r="J2723" s="3" t="n"/>
      <c r="K2723" s="3" t="n"/>
      <c r="L2723" s="3" t="n"/>
      <c r="M2723" s="2" t="inlineStr">
        <is>
          <t>PriceCharting</t>
        </is>
      </c>
      <c r="N2723" s="4" t="inlineStr">
        <is>
          <t>https://www.pricecharting.com/game/pokemon-chaos-rising/booster-pack</t>
        </is>
      </c>
    </row>
    <row r="2724">
      <c r="A2724" s="2" t="inlineStr">
        <is>
          <t>Chaos Rising Checklane Blister: Reshiram</t>
        </is>
      </c>
      <c r="B2724" s="3">
        <f>IF(I2724&lt;&gt;"",I2724,IF(J2724&lt;&gt;"",J2724,IF(K2724&lt;&gt;"",K2724,L2724)))</f>
        <v>22.0</v>
      </c>
      <c r="C2724" s="3">
        <f>MEDIAN(I2724:L2724)</f>
        <v>22.0</v>
      </c>
      <c r="D2724" s="3">
        <f>ROUND(C2724*(1-Settings!$B$2),2)</f>
        <v>15.4</v>
      </c>
      <c r="E2724" s="3">
        <f>ROUND(C2724*(1-Settings!$B$3),2)</f>
        <v>15.4</v>
      </c>
      <c r="F2724" s="2" t="inlineStr">
        <is>
          <t>Pokemon</t>
        </is>
      </c>
      <c r="G2724" s="2" t="inlineStr">
        <is>
          <t>Pack</t>
        </is>
      </c>
      <c r="H2724" s="2" t="inlineStr">
        <is>
          <t>Chaos Rising</t>
        </is>
      </c>
      <c r="I2724" s="3" t="n">
        <v>22</v>
      </c>
      <c r="J2724" s="3" t="n"/>
      <c r="K2724" s="3" t="n"/>
      <c r="L2724" s="3" t="n"/>
      <c r="M2724" s="2" t="inlineStr">
        <is>
          <t>PriceCharting</t>
        </is>
      </c>
      <c r="N2724" s="4" t="inlineStr">
        <is>
          <t>https://www.pricecharting.com/game/pokemon-chaos-rising/checklane-blister-reshiram</t>
        </is>
      </c>
    </row>
    <row r="2725">
      <c r="A2725" s="2" t="inlineStr">
        <is>
          <t>Chaos Rising Checklane Blister: Zacian</t>
        </is>
      </c>
      <c r="B2725" s="3">
        <f>IF(I2725&lt;&gt;"",I2725,IF(J2725&lt;&gt;"",J2725,IF(K2725&lt;&gt;"",K2725,L2725)))</f>
        <v>27.42</v>
      </c>
      <c r="C2725" s="3">
        <f>MEDIAN(I2725:L2725)</f>
        <v>27.42</v>
      </c>
      <c r="D2725" s="3">
        <f>ROUND(C2725*(1-Settings!$B$2),2)</f>
        <v>19.19</v>
      </c>
      <c r="E2725" s="3">
        <f>ROUND(C2725*(1-Settings!$B$3),2)</f>
        <v>19.19</v>
      </c>
      <c r="F2725" s="2" t="inlineStr">
        <is>
          <t>Pokemon</t>
        </is>
      </c>
      <c r="G2725" s="2" t="inlineStr">
        <is>
          <t>Pack</t>
        </is>
      </c>
      <c r="H2725" s="2" t="inlineStr">
        <is>
          <t>Chaos Rising</t>
        </is>
      </c>
      <c r="I2725" s="3" t="n">
        <v>27.42</v>
      </c>
      <c r="J2725" s="3" t="n"/>
      <c r="K2725" s="3" t="n"/>
      <c r="L2725" s="3" t="n"/>
      <c r="M2725" s="2" t="inlineStr">
        <is>
          <t>PriceCharting</t>
        </is>
      </c>
      <c r="N2725" s="4" t="inlineStr">
        <is>
          <t>https://www.pricecharting.com/game/pokemon-chaos-rising/checklane-blister-zacian</t>
        </is>
      </c>
    </row>
    <row r="2726">
      <c r="A2726" s="2" t="inlineStr">
        <is>
          <t>Chaos Rising Premium Checklane Blister: Flygon</t>
        </is>
      </c>
      <c r="B2726" s="3">
        <f>IF(I2726&lt;&gt;"",I2726,IF(J2726&lt;&gt;"",J2726,IF(K2726&lt;&gt;"",K2726,L2726)))</f>
        <v>13.36</v>
      </c>
      <c r="C2726" s="3">
        <f>MEDIAN(I2726:L2726)</f>
        <v>13.36</v>
      </c>
      <c r="D2726" s="3">
        <f>ROUND(C2726*(1-Settings!$B$2),2)</f>
        <v>9.35</v>
      </c>
      <c r="E2726" s="3">
        <f>ROUND(C2726*(1-Settings!$B$3),2)</f>
        <v>9.35</v>
      </c>
      <c r="F2726" s="2" t="inlineStr">
        <is>
          <t>Pokemon</t>
        </is>
      </c>
      <c r="G2726" s="2" t="inlineStr">
        <is>
          <t>Pack</t>
        </is>
      </c>
      <c r="H2726" s="2" t="inlineStr">
        <is>
          <t>Chaos Rising</t>
        </is>
      </c>
      <c r="I2726" s="3" t="n">
        <v>13.36</v>
      </c>
      <c r="J2726" s="3" t="n"/>
      <c r="K2726" s="3" t="n"/>
      <c r="L2726" s="3" t="n"/>
      <c r="M2726" s="2" t="inlineStr">
        <is>
          <t>PriceCharting</t>
        </is>
      </c>
      <c r="N2726" s="4" t="inlineStr">
        <is>
          <t>https://www.pricecharting.com/game/pokemon-chaos-rising/premium-checklane-blister-flygon</t>
        </is>
      </c>
    </row>
    <row r="2727">
      <c r="A2727" s="2" t="inlineStr">
        <is>
          <t>Chaos Rising Premium Checklane Blister: Pawmot</t>
        </is>
      </c>
      <c r="B2727" s="3">
        <f>IF(I2727&lt;&gt;"",I2727,IF(J2727&lt;&gt;"",J2727,IF(K2727&lt;&gt;"",K2727,L2727)))</f>
        <v>13.27</v>
      </c>
      <c r="C2727" s="3">
        <f>MEDIAN(I2727:L2727)</f>
        <v>13.27</v>
      </c>
      <c r="D2727" s="3">
        <f>ROUND(C2727*(1-Settings!$B$2),2)</f>
        <v>9.29</v>
      </c>
      <c r="E2727" s="3">
        <f>ROUND(C2727*(1-Settings!$B$3),2)</f>
        <v>9.29</v>
      </c>
      <c r="F2727" s="2" t="inlineStr">
        <is>
          <t>Pokemon</t>
        </is>
      </c>
      <c r="G2727" s="2" t="inlineStr">
        <is>
          <t>Pack</t>
        </is>
      </c>
      <c r="H2727" s="2" t="inlineStr">
        <is>
          <t>Chaos Rising</t>
        </is>
      </c>
      <c r="I2727" s="3" t="n">
        <v>13.27</v>
      </c>
      <c r="J2727" s="3" t="n"/>
      <c r="K2727" s="3" t="n"/>
      <c r="L2727" s="3" t="n"/>
      <c r="M2727" s="2" t="inlineStr">
        <is>
          <t>PriceCharting</t>
        </is>
      </c>
      <c r="N2727" s="4" t="inlineStr">
        <is>
          <t>https://www.pricecharting.com/game/pokemon-chaos-rising/premium-checklane-blister-pawmot</t>
        </is>
      </c>
    </row>
    <row r="2728">
      <c r="A2728" s="2" t="inlineStr">
        <is>
          <t>Chaos Rising Single Pack Blister: Toxel</t>
        </is>
      </c>
      <c r="B2728" s="3">
        <f>IF(I2728&lt;&gt;"",I2728,IF(J2728&lt;&gt;"",J2728,IF(K2728&lt;&gt;"",K2728,L2728)))</f>
        <v>10.5</v>
      </c>
      <c r="C2728" s="3">
        <f>MEDIAN(I2728:L2728)</f>
        <v>10.5</v>
      </c>
      <c r="D2728" s="3">
        <f>ROUND(C2728*(1-Settings!$B$2),2)</f>
        <v>7.35</v>
      </c>
      <c r="E2728" s="3">
        <f>ROUND(C2728*(1-Settings!$B$3),2)</f>
        <v>7.35</v>
      </c>
      <c r="F2728" s="2" t="inlineStr">
        <is>
          <t>Pokemon</t>
        </is>
      </c>
      <c r="G2728" s="2" t="inlineStr">
        <is>
          <t>Pack</t>
        </is>
      </c>
      <c r="H2728" s="2" t="inlineStr">
        <is>
          <t>Chaos Rising</t>
        </is>
      </c>
      <c r="I2728" s="3" t="n">
        <v>10.5</v>
      </c>
      <c r="J2728" s="3" t="n"/>
      <c r="K2728" s="3" t="n"/>
      <c r="L2728" s="3" t="n"/>
      <c r="M2728" s="2" t="inlineStr">
        <is>
          <t>PriceCharting</t>
        </is>
      </c>
      <c r="N2728" s="4" t="inlineStr">
        <is>
          <t>https://www.pricecharting.com/game/pokemon-chaos-rising/single-pack-blister-toxel</t>
        </is>
      </c>
    </row>
    <row r="2729">
      <c r="A2729" s="2" t="inlineStr">
        <is>
          <t>Chaos Rising Sleeved Booster Pack</t>
        </is>
      </c>
      <c r="B2729" s="3">
        <f>IF(I2729&lt;&gt;"",I2729,IF(J2729&lt;&gt;"",J2729,IF(K2729&lt;&gt;"",K2729,L2729)))</f>
        <v>6.94</v>
      </c>
      <c r="C2729" s="3">
        <f>MEDIAN(I2729:L2729)</f>
        <v>6.94</v>
      </c>
      <c r="D2729" s="3">
        <f>ROUND(C2729*(1-Settings!$B$2),2)</f>
        <v>4.86</v>
      </c>
      <c r="E2729" s="3">
        <f>ROUND(C2729*(1-Settings!$B$3),2)</f>
        <v>4.86</v>
      </c>
      <c r="F2729" s="2" t="inlineStr">
        <is>
          <t>Pokemon</t>
        </is>
      </c>
      <c r="G2729" s="2" t="inlineStr">
        <is>
          <t>Pack</t>
        </is>
      </c>
      <c r="H2729" s="2" t="inlineStr">
        <is>
          <t>Chaos Rising</t>
        </is>
      </c>
      <c r="I2729" s="3" t="n">
        <v>6.94</v>
      </c>
      <c r="J2729" s="3" t="n"/>
      <c r="K2729" s="3" t="n"/>
      <c r="L2729" s="3" t="n"/>
      <c r="M2729" s="2" t="inlineStr">
        <is>
          <t>PriceCharting</t>
        </is>
      </c>
      <c r="N2729" s="4" t="inlineStr">
        <is>
          <t>https://www.pricecharting.com/game/pokemon-chaos-rising/sleeved-booster-pack</t>
        </is>
      </c>
    </row>
    <row r="2730">
      <c r="A2730" s="2" t="inlineStr">
        <is>
          <t>Chilling Reign 2 Pack Blister</t>
        </is>
      </c>
      <c r="B2730" s="3">
        <f>IF(I2730&lt;&gt;"",I2730,IF(J2730&lt;&gt;"",J2730,IF(K2730&lt;&gt;"",K2730,L2730)))</f>
        <v>41.5</v>
      </c>
      <c r="C2730" s="3">
        <f>MEDIAN(I2730:L2730)</f>
        <v>41.5</v>
      </c>
      <c r="D2730" s="3">
        <f>ROUND(C2730*(1-Settings!$B$2),2)</f>
        <v>29.05</v>
      </c>
      <c r="E2730" s="3">
        <f>ROUND(C2730*(1-Settings!$B$3),2)</f>
        <v>29.05</v>
      </c>
      <c r="F2730" s="2" t="inlineStr">
        <is>
          <t>Pokemon</t>
        </is>
      </c>
      <c r="G2730" s="2" t="inlineStr">
        <is>
          <t>Pack</t>
        </is>
      </c>
      <c r="H2730" s="2" t="inlineStr">
        <is>
          <t>Chilling Reign</t>
        </is>
      </c>
      <c r="I2730" s="3" t="n">
        <v>41.5</v>
      </c>
      <c r="J2730" s="3" t="n"/>
      <c r="K2730" s="3" t="n"/>
      <c r="L2730" s="3" t="n"/>
      <c r="M2730" s="2" t="inlineStr">
        <is>
          <t>PriceCharting</t>
        </is>
      </c>
      <c r="N2730" s="4" t="inlineStr">
        <is>
          <t>https://www.pricecharting.com/game/pokemon-chilling-reign/2-pack-blister</t>
        </is>
      </c>
    </row>
    <row r="2731">
      <c r="A2731" s="2" t="inlineStr">
        <is>
          <t>Chilling Reign 3 Pack Blister [Eevee]</t>
        </is>
      </c>
      <c r="B2731" s="3">
        <f>IF(I2731&lt;&gt;"",I2731,IF(J2731&lt;&gt;"",J2731,IF(K2731&lt;&gt;"",K2731,L2731)))</f>
        <v>46.38</v>
      </c>
      <c r="C2731" s="3">
        <f>MEDIAN(I2731:L2731)</f>
        <v>46.38</v>
      </c>
      <c r="D2731" s="3">
        <f>ROUND(C2731*(1-Settings!$B$2),2)</f>
        <v>32.47</v>
      </c>
      <c r="E2731" s="3">
        <f>ROUND(C2731*(1-Settings!$B$3),2)</f>
        <v>32.47</v>
      </c>
      <c r="F2731" s="2" t="inlineStr">
        <is>
          <t>Pokemon</t>
        </is>
      </c>
      <c r="G2731" s="2" t="inlineStr">
        <is>
          <t>Pack</t>
        </is>
      </c>
      <c r="H2731" s="2" t="inlineStr">
        <is>
          <t>Chilling Reign</t>
        </is>
      </c>
      <c r="I2731" s="3" t="n">
        <v>46.38</v>
      </c>
      <c r="J2731" s="3" t="n"/>
      <c r="K2731" s="3" t="n"/>
      <c r="L2731" s="3" t="n"/>
      <c r="M2731" s="2" t="inlineStr">
        <is>
          <t>PriceCharting</t>
        </is>
      </c>
      <c r="N2731" s="4" t="inlineStr">
        <is>
          <t>https://www.pricecharting.com/game/pokemon-chilling-reign/3-pack-blister-eevee</t>
        </is>
      </c>
    </row>
    <row r="2732">
      <c r="A2732" s="2" t="inlineStr">
        <is>
          <t>Chinese 151 Collect Booster Pack</t>
        </is>
      </c>
      <c r="B2732" s="3">
        <f>IF(I2732&lt;&gt;"",I2732,IF(J2732&lt;&gt;"",J2732,IF(K2732&lt;&gt;"",K2732,L2732)))</f>
        <v>15.37</v>
      </c>
      <c r="C2732" s="3">
        <f>MEDIAN(I2732:L2732)</f>
        <v>15.37</v>
      </c>
      <c r="D2732" s="3">
        <f>ROUND(C2732*(1-Settings!$B$2),2)</f>
        <v>10.76</v>
      </c>
      <c r="E2732" s="3">
        <f>ROUND(C2732*(1-Settings!$B$3),2)</f>
        <v>10.76</v>
      </c>
      <c r="F2732" s="2" t="inlineStr">
        <is>
          <t>Pokemon</t>
        </is>
      </c>
      <c r="G2732" s="2" t="inlineStr">
        <is>
          <t>Pack</t>
        </is>
      </c>
      <c r="H2732" s="2" t="inlineStr">
        <is>
          <t>Chinese 151 Collect</t>
        </is>
      </c>
      <c r="I2732" s="3" t="n">
        <v>15.37</v>
      </c>
      <c r="J2732" s="3" t="n"/>
      <c r="K2732" s="3" t="n"/>
      <c r="L2732" s="3" t="n"/>
      <c r="M2732" s="2" t="inlineStr">
        <is>
          <t>PriceCharting</t>
        </is>
      </c>
      <c r="N2732" s="4" t="inlineStr">
        <is>
          <t>https://www.pricecharting.com/game/pokemon-chinese-151-collect/booster-pack</t>
        </is>
      </c>
    </row>
    <row r="2733">
      <c r="A2733" s="2" t="inlineStr">
        <is>
          <t>Chinese 151 Collect Booster Pack [Surprise]</t>
        </is>
      </c>
      <c r="B2733" s="3">
        <f>IF(I2733&lt;&gt;"",I2733,IF(J2733&lt;&gt;"",J2733,IF(K2733&lt;&gt;"",K2733,L2733)))</f>
        <v>8.11</v>
      </c>
      <c r="C2733" s="3">
        <f>MEDIAN(I2733:L2733)</f>
        <v>8.11</v>
      </c>
      <c r="D2733" s="3">
        <f>ROUND(C2733*(1-Settings!$B$2),2)</f>
        <v>5.68</v>
      </c>
      <c r="E2733" s="3">
        <f>ROUND(C2733*(1-Settings!$B$3),2)</f>
        <v>5.68</v>
      </c>
      <c r="F2733" s="2" t="inlineStr">
        <is>
          <t>Pokemon</t>
        </is>
      </c>
      <c r="G2733" s="2" t="inlineStr">
        <is>
          <t>Pack</t>
        </is>
      </c>
      <c r="H2733" s="2" t="inlineStr">
        <is>
          <t>Chinese 151 Collect</t>
        </is>
      </c>
      <c r="I2733" s="3" t="n">
        <v>8.109999999999999</v>
      </c>
      <c r="J2733" s="3" t="n"/>
      <c r="K2733" s="3" t="n"/>
      <c r="L2733" s="3" t="n"/>
      <c r="M2733" s="2" t="inlineStr">
        <is>
          <t>PriceCharting</t>
        </is>
      </c>
      <c r="N2733" s="4" t="inlineStr">
        <is>
          <t>https://www.pricecharting.com/game/pokemon-chinese-151-collect/booster-pack-surprise</t>
        </is>
      </c>
    </row>
    <row r="2734">
      <c r="A2734" s="2" t="inlineStr">
        <is>
          <t>Chinese Csv4c Booster Pack [Slim]</t>
        </is>
      </c>
      <c r="B2734" s="3">
        <f>IF(I2734&lt;&gt;"",I2734,IF(J2734&lt;&gt;"",J2734,IF(K2734&lt;&gt;"",K2734,L2734)))</f>
        <v>6.31</v>
      </c>
      <c r="C2734" s="3">
        <f>MEDIAN(I2734:L2734)</f>
        <v>6.31</v>
      </c>
      <c r="D2734" s="3">
        <f>ROUND(C2734*(1-Settings!$B$2),2)</f>
        <v>4.42</v>
      </c>
      <c r="E2734" s="3">
        <f>ROUND(C2734*(1-Settings!$B$3),2)</f>
        <v>4.42</v>
      </c>
      <c r="F2734" s="2" t="inlineStr">
        <is>
          <t>Pokemon</t>
        </is>
      </c>
      <c r="G2734" s="2" t="inlineStr">
        <is>
          <t>Pack</t>
        </is>
      </c>
      <c r="H2734" s="2" t="inlineStr">
        <is>
          <t>Chinese Csv4c</t>
        </is>
      </c>
      <c r="I2734" s="3" t="n">
        <v>6.31</v>
      </c>
      <c r="J2734" s="3" t="n"/>
      <c r="K2734" s="3" t="n"/>
      <c r="L2734" s="3" t="n"/>
      <c r="M2734" s="2" t="inlineStr">
        <is>
          <t>PriceCharting</t>
        </is>
      </c>
      <c r="N2734" s="4" t="inlineStr">
        <is>
          <t>https://www.pricecharting.com/game/pokemon-chinese-csv4c/booster-pack-slim</t>
        </is>
      </c>
    </row>
    <row r="2735">
      <c r="A2735" s="2" t="inlineStr">
        <is>
          <t>Chinese Csv5c Booster Pack</t>
        </is>
      </c>
      <c r="B2735" s="3">
        <f>IF(I2735&lt;&gt;"",I2735,IF(J2735&lt;&gt;"",J2735,IF(K2735&lt;&gt;"",K2735,L2735)))</f>
        <v>0.01</v>
      </c>
      <c r="C2735" s="3">
        <f>MEDIAN(I2735:L2735)</f>
        <v>0.01</v>
      </c>
      <c r="D2735" s="3">
        <f>ROUND(C2735*(1-Settings!$B$2),2)</f>
        <v>0.01</v>
      </c>
      <c r="E2735" s="3">
        <f>ROUND(C2735*(1-Settings!$B$3),2)</f>
        <v>0.01</v>
      </c>
      <c r="F2735" s="2" t="inlineStr">
        <is>
          <t>Pokemon</t>
        </is>
      </c>
      <c r="G2735" s="2" t="inlineStr">
        <is>
          <t>Pack</t>
        </is>
      </c>
      <c r="H2735" s="2" t="inlineStr">
        <is>
          <t>Chinese Csv5c</t>
        </is>
      </c>
      <c r="I2735" s="3" t="n">
        <v>0.01</v>
      </c>
      <c r="J2735" s="3" t="n"/>
      <c r="K2735" s="3" t="n"/>
      <c r="L2735" s="3" t="n"/>
      <c r="M2735" s="2" t="inlineStr">
        <is>
          <t>PriceCharting</t>
        </is>
      </c>
      <c r="N2735" s="4" t="inlineStr">
        <is>
          <t>https://www.pricecharting.com/game/pokemon-chinese-csv5c/booster-pack</t>
        </is>
      </c>
    </row>
    <row r="2736">
      <c r="A2736" s="2" t="inlineStr">
        <is>
          <t>Chinese Csv6c Booster Pack</t>
        </is>
      </c>
      <c r="B2736" s="3">
        <f>IF(I2736&lt;&gt;"",I2736,IF(J2736&lt;&gt;"",J2736,IF(K2736&lt;&gt;"",K2736,L2736)))</f>
        <v>2.45</v>
      </c>
      <c r="C2736" s="3">
        <f>MEDIAN(I2736:L2736)</f>
        <v>2.45</v>
      </c>
      <c r="D2736" s="3">
        <f>ROUND(C2736*(1-Settings!$B$2),2)</f>
        <v>1.72</v>
      </c>
      <c r="E2736" s="3">
        <f>ROUND(C2736*(1-Settings!$B$3),2)</f>
        <v>1.72</v>
      </c>
      <c r="F2736" s="2" t="inlineStr">
        <is>
          <t>Pokemon</t>
        </is>
      </c>
      <c r="G2736" s="2" t="inlineStr">
        <is>
          <t>Pack</t>
        </is>
      </c>
      <c r="H2736" s="2" t="inlineStr">
        <is>
          <t>Chinese Csv6c</t>
        </is>
      </c>
      <c r="I2736" s="3" t="n">
        <v>2.45</v>
      </c>
      <c r="J2736" s="3" t="n"/>
      <c r="K2736" s="3" t="n"/>
      <c r="L2736" s="3" t="n"/>
      <c r="M2736" s="2" t="inlineStr">
        <is>
          <t>PriceCharting</t>
        </is>
      </c>
      <c r="N2736" s="4" t="inlineStr">
        <is>
          <t>https://www.pricecharting.com/game/pokemon-chinese-csv6c/booster-pack</t>
        </is>
      </c>
    </row>
    <row r="2737">
      <c r="A2737" s="2" t="inlineStr">
        <is>
          <t>Chinese Csv8c Booster Pack</t>
        </is>
      </c>
      <c r="B2737" s="3">
        <f>IF(I2737&lt;&gt;"",I2737,IF(J2737&lt;&gt;"",J2737,IF(K2737&lt;&gt;"",K2737,L2737)))</f>
        <v>3.74</v>
      </c>
      <c r="C2737" s="3">
        <f>MEDIAN(I2737:L2737)</f>
        <v>3.74</v>
      </c>
      <c r="D2737" s="3">
        <f>ROUND(C2737*(1-Settings!$B$2),2)</f>
        <v>2.62</v>
      </c>
      <c r="E2737" s="3">
        <f>ROUND(C2737*(1-Settings!$B$3),2)</f>
        <v>2.62</v>
      </c>
      <c r="F2737" s="2" t="inlineStr">
        <is>
          <t>Pokemon</t>
        </is>
      </c>
      <c r="G2737" s="2" t="inlineStr">
        <is>
          <t>Pack</t>
        </is>
      </c>
      <c r="H2737" s="2" t="inlineStr">
        <is>
          <t>Chinese Csv8c</t>
        </is>
      </c>
      <c r="I2737" s="3" t="n">
        <v>3.74</v>
      </c>
      <c r="J2737" s="3" t="n"/>
      <c r="K2737" s="3" t="n"/>
      <c r="L2737" s="3" t="n"/>
      <c r="M2737" s="2" t="inlineStr">
        <is>
          <t>PriceCharting</t>
        </is>
      </c>
      <c r="N2737" s="4" t="inlineStr">
        <is>
          <t>https://www.pricecharting.com/game/pokemon-chinese-csv8c/booster-pack</t>
        </is>
      </c>
    </row>
    <row r="2738">
      <c r="A2738" s="2" t="inlineStr">
        <is>
          <t>Chinese Csv9c Booster Pack</t>
        </is>
      </c>
      <c r="B2738" s="3">
        <f>IF(I2738&lt;&gt;"",I2738,IF(J2738&lt;&gt;"",J2738,IF(K2738&lt;&gt;"",K2738,L2738)))</f>
        <v>4.38</v>
      </c>
      <c r="C2738" s="3">
        <f>MEDIAN(I2738:L2738)</f>
        <v>4.38</v>
      </c>
      <c r="D2738" s="3">
        <f>ROUND(C2738*(1-Settings!$B$2),2)</f>
        <v>3.07</v>
      </c>
      <c r="E2738" s="3">
        <f>ROUND(C2738*(1-Settings!$B$3),2)</f>
        <v>3.07</v>
      </c>
      <c r="F2738" s="2" t="inlineStr">
        <is>
          <t>Pokemon</t>
        </is>
      </c>
      <c r="G2738" s="2" t="inlineStr">
        <is>
          <t>Pack</t>
        </is>
      </c>
      <c r="H2738" s="2" t="inlineStr">
        <is>
          <t>Chinese Csv9c</t>
        </is>
      </c>
      <c r="I2738" s="3" t="n">
        <v>4.38</v>
      </c>
      <c r="J2738" s="3" t="n"/>
      <c r="K2738" s="3" t="n"/>
      <c r="L2738" s="3" t="n"/>
      <c r="M2738" s="2" t="inlineStr">
        <is>
          <t>PriceCharting</t>
        </is>
      </c>
      <c r="N2738" s="4" t="inlineStr">
        <is>
          <t>https://www.pricecharting.com/game/pokemon-chinese-csv9c/booster-pack</t>
        </is>
      </c>
    </row>
    <row r="2739">
      <c r="A2739" s="2" t="inlineStr">
        <is>
          <t>Chinese Gem Pack Sealed Booster Pack</t>
        </is>
      </c>
      <c r="B2739" s="3">
        <f>IF(I2739&lt;&gt;"",I2739,IF(J2739&lt;&gt;"",J2739,IF(K2739&lt;&gt;"",K2739,L2739)))</f>
        <v>14.7</v>
      </c>
      <c r="C2739" s="3">
        <f>MEDIAN(I2739:L2739)</f>
        <v>14.7</v>
      </c>
      <c r="D2739" s="3">
        <f>ROUND(C2739*(1-Settings!$B$2),2)</f>
        <v>10.29</v>
      </c>
      <c r="E2739" s="3">
        <f>ROUND(C2739*(1-Settings!$B$3),2)</f>
        <v>10.29</v>
      </c>
      <c r="F2739" s="2" t="inlineStr">
        <is>
          <t>Pokemon</t>
        </is>
      </c>
      <c r="G2739" s="2" t="inlineStr">
        <is>
          <t>Pack</t>
        </is>
      </c>
      <c r="H2739" s="2" t="inlineStr">
        <is>
          <t>Chinese Gem Pack</t>
        </is>
      </c>
      <c r="I2739" s="3" t="n">
        <v>14.7</v>
      </c>
      <c r="J2739" s="3" t="n"/>
      <c r="K2739" s="3" t="n"/>
      <c r="L2739" s="3" t="n"/>
      <c r="M2739" s="2" t="inlineStr">
        <is>
          <t>PriceCharting</t>
        </is>
      </c>
      <c r="N2739" s="4" t="inlineStr">
        <is>
          <t>https://www.pricecharting.com/game/pokemon-chinese-gem-pack/sealed-booster-pack</t>
        </is>
      </c>
    </row>
    <row r="2740">
      <c r="A2740" s="2" t="inlineStr">
        <is>
          <t>Chinese Gem Pack 2 Booster Pack</t>
        </is>
      </c>
      <c r="B2740" s="3">
        <f>IF(I2740&lt;&gt;"",I2740,IF(J2740&lt;&gt;"",J2740,IF(K2740&lt;&gt;"",K2740,L2740)))</f>
        <v>62.88</v>
      </c>
      <c r="C2740" s="3">
        <f>MEDIAN(I2740:L2740)</f>
        <v>62.88</v>
      </c>
      <c r="D2740" s="3">
        <f>ROUND(C2740*(1-Settings!$B$2),2)</f>
        <v>44.02</v>
      </c>
      <c r="E2740" s="3">
        <f>ROUND(C2740*(1-Settings!$B$3),2)</f>
        <v>44.02</v>
      </c>
      <c r="F2740" s="2" t="inlineStr">
        <is>
          <t>Pokemon</t>
        </is>
      </c>
      <c r="G2740" s="2" t="inlineStr">
        <is>
          <t>Pack</t>
        </is>
      </c>
      <c r="H2740" s="2" t="inlineStr">
        <is>
          <t>Chinese Gem Pack 2</t>
        </is>
      </c>
      <c r="I2740" s="3" t="n">
        <v>62.88</v>
      </c>
      <c r="J2740" s="3" t="n"/>
      <c r="K2740" s="3" t="n"/>
      <c r="L2740" s="3" t="n"/>
      <c r="M2740" s="2" t="inlineStr">
        <is>
          <t>PriceCharting</t>
        </is>
      </c>
      <c r="N2740" s="4" t="inlineStr">
        <is>
          <t>https://www.pricecharting.com/game/pokemon-chinese-gem-pack-2/booster-pack</t>
        </is>
      </c>
    </row>
    <row r="2741">
      <c r="A2741" s="2" t="inlineStr">
        <is>
          <t>Chinese Gem Pack 3 Booster Pack</t>
        </is>
      </c>
      <c r="B2741" s="3">
        <f>IF(I2741&lt;&gt;"",I2741,IF(J2741&lt;&gt;"",J2741,IF(K2741&lt;&gt;"",K2741,L2741)))</f>
        <v>22.47</v>
      </c>
      <c r="C2741" s="3">
        <f>MEDIAN(I2741:L2741)</f>
        <v>22.47</v>
      </c>
      <c r="D2741" s="3">
        <f>ROUND(C2741*(1-Settings!$B$2),2)</f>
        <v>15.73</v>
      </c>
      <c r="E2741" s="3">
        <f>ROUND(C2741*(1-Settings!$B$3),2)</f>
        <v>15.73</v>
      </c>
      <c r="F2741" s="2" t="inlineStr">
        <is>
          <t>Pokemon</t>
        </is>
      </c>
      <c r="G2741" s="2" t="inlineStr">
        <is>
          <t>Pack</t>
        </is>
      </c>
      <c r="H2741" s="2" t="inlineStr">
        <is>
          <t>Chinese Gem Pack 3</t>
        </is>
      </c>
      <c r="I2741" s="3" t="n">
        <v>22.47</v>
      </c>
      <c r="J2741" s="3" t="n"/>
      <c r="K2741" s="3" t="n"/>
      <c r="L2741" s="3" t="n"/>
      <c r="M2741" s="2" t="inlineStr">
        <is>
          <t>PriceCharting</t>
        </is>
      </c>
      <c r="N2741" s="4" t="inlineStr">
        <is>
          <t>https://www.pricecharting.com/game/pokemon-chinese-gem-pack-3/booster-pack</t>
        </is>
      </c>
    </row>
    <row r="2742">
      <c r="A2742" s="2" t="inlineStr">
        <is>
          <t>Chinese Gem Pack 4 Booster Pack</t>
        </is>
      </c>
      <c r="B2742" s="3">
        <f>IF(I2742&lt;&gt;"",I2742,IF(J2742&lt;&gt;"",J2742,IF(K2742&lt;&gt;"",K2742,L2742)))</f>
        <v>2.75</v>
      </c>
      <c r="C2742" s="3">
        <f>MEDIAN(I2742:L2742)</f>
        <v>2.75</v>
      </c>
      <c r="D2742" s="3">
        <f>ROUND(C2742*(1-Settings!$B$2),2)</f>
        <v>1.93</v>
      </c>
      <c r="E2742" s="3">
        <f>ROUND(C2742*(1-Settings!$B$3),2)</f>
        <v>1.93</v>
      </c>
      <c r="F2742" s="2" t="inlineStr">
        <is>
          <t>Pokemon</t>
        </is>
      </c>
      <c r="G2742" s="2" t="inlineStr">
        <is>
          <t>Pack</t>
        </is>
      </c>
      <c r="H2742" s="2" t="inlineStr">
        <is>
          <t>Chinese Gem Pack 4</t>
        </is>
      </c>
      <c r="I2742" s="3" t="n">
        <v>2.75</v>
      </c>
      <c r="J2742" s="3" t="n"/>
      <c r="K2742" s="3" t="n"/>
      <c r="L2742" s="3" t="n"/>
      <c r="M2742" s="2" t="inlineStr">
        <is>
          <t>PriceCharting</t>
        </is>
      </c>
      <c r="N2742" s="4" t="inlineStr">
        <is>
          <t>https://www.pricecharting.com/game/pokemon-chinese-gem-pack-4/booster-pack</t>
        </is>
      </c>
    </row>
    <row r="2743">
      <c r="A2743" s="2" t="inlineStr">
        <is>
          <t>Chinese Gem Pack 5 Booster Pack</t>
        </is>
      </c>
      <c r="B2743" s="3">
        <f>IF(I2743&lt;&gt;"",I2743,IF(J2743&lt;&gt;"",J2743,IF(K2743&lt;&gt;"",K2743,L2743)))</f>
        <v>3.06</v>
      </c>
      <c r="C2743" s="3">
        <f>MEDIAN(I2743:L2743)</f>
        <v>3.06</v>
      </c>
      <c r="D2743" s="3">
        <f>ROUND(C2743*(1-Settings!$B$2),2)</f>
        <v>2.14</v>
      </c>
      <c r="E2743" s="3">
        <f>ROUND(C2743*(1-Settings!$B$3),2)</f>
        <v>2.14</v>
      </c>
      <c r="F2743" s="2" t="inlineStr">
        <is>
          <t>Pokemon</t>
        </is>
      </c>
      <c r="G2743" s="2" t="inlineStr">
        <is>
          <t>Pack</t>
        </is>
      </c>
      <c r="H2743" s="2" t="inlineStr">
        <is>
          <t>Chinese Gem Pack 5</t>
        </is>
      </c>
      <c r="I2743" s="3" t="n">
        <v>3.06</v>
      </c>
      <c r="J2743" s="3" t="n"/>
      <c r="K2743" s="3" t="n"/>
      <c r="L2743" s="3" t="n"/>
      <c r="M2743" s="2" t="inlineStr">
        <is>
          <t>PriceCharting</t>
        </is>
      </c>
      <c r="N2743" s="4" t="inlineStr">
        <is>
          <t>https://www.pricecharting.com/game/pokemon-chinese-gem-pack-5/booster-pack</t>
        </is>
      </c>
    </row>
    <row r="2744">
      <c r="A2744" s="2" t="inlineStr">
        <is>
          <t>Chinese Gem Pack 6 Booster Pack</t>
        </is>
      </c>
      <c r="B2744" s="3">
        <f>IF(I2744&lt;&gt;"",I2744,IF(J2744&lt;&gt;"",J2744,IF(K2744&lt;&gt;"",K2744,L2744)))</f>
        <v>3.99</v>
      </c>
      <c r="C2744" s="3">
        <f>MEDIAN(I2744:L2744)</f>
        <v>3.99</v>
      </c>
      <c r="D2744" s="3">
        <f>ROUND(C2744*(1-Settings!$B$2),2)</f>
        <v>2.79</v>
      </c>
      <c r="E2744" s="3">
        <f>ROUND(C2744*(1-Settings!$B$3),2)</f>
        <v>2.79</v>
      </c>
      <c r="F2744" s="2" t="inlineStr">
        <is>
          <t>Pokemon</t>
        </is>
      </c>
      <c r="G2744" s="2" t="inlineStr">
        <is>
          <t>Pack</t>
        </is>
      </c>
      <c r="H2744" s="2" t="inlineStr">
        <is>
          <t>Chinese Gem Pack 6</t>
        </is>
      </c>
      <c r="I2744" s="3" t="n">
        <v>3.99</v>
      </c>
      <c r="J2744" s="3" t="n"/>
      <c r="K2744" s="3" t="n"/>
      <c r="L2744" s="3" t="n"/>
      <c r="M2744" s="2" t="inlineStr">
        <is>
          <t>PriceCharting</t>
        </is>
      </c>
      <c r="N2744" s="4" t="inlineStr">
        <is>
          <t>https://www.pricecharting.com/game/pokemon-chinese-gem-pack-6/booster-pack</t>
        </is>
      </c>
    </row>
    <row r="2745">
      <c r="A2745" s="2" t="inlineStr">
        <is>
          <t>Chinese Promo 2024 Lunar New Year Red Pack</t>
        </is>
      </c>
      <c r="B2745" s="3">
        <f>IF(I2745&lt;&gt;"",I2745,IF(J2745&lt;&gt;"",J2745,IF(K2745&lt;&gt;"",K2745,L2745)))</f>
        <v>20.21</v>
      </c>
      <c r="C2745" s="3">
        <f>MEDIAN(I2745:L2745)</f>
        <v>20.21</v>
      </c>
      <c r="D2745" s="3">
        <f>ROUND(C2745*(1-Settings!$B$2),2)</f>
        <v>14.15</v>
      </c>
      <c r="E2745" s="3">
        <f>ROUND(C2745*(1-Settings!$B$3),2)</f>
        <v>14.15</v>
      </c>
      <c r="F2745" s="2" t="inlineStr">
        <is>
          <t>Pokemon</t>
        </is>
      </c>
      <c r="G2745" s="2" t="inlineStr">
        <is>
          <t>Pack</t>
        </is>
      </c>
      <c r="H2745" s="2" t="inlineStr">
        <is>
          <t>Chinese Promo</t>
        </is>
      </c>
      <c r="I2745" s="3" t="n">
        <v>20.21</v>
      </c>
      <c r="J2745" s="3" t="n"/>
      <c r="K2745" s="3" t="n"/>
      <c r="L2745" s="3" t="n"/>
      <c r="M2745" s="2" t="inlineStr">
        <is>
          <t>PriceCharting</t>
        </is>
      </c>
      <c r="N2745" s="4" t="inlineStr">
        <is>
          <t>https://www.pricecharting.com/game/pokemon-chinese-promo/2024-lunar-new-year-red-pack</t>
        </is>
      </c>
    </row>
    <row r="2746">
      <c r="A2746" s="2" t="inlineStr">
        <is>
          <t>Chinese Promo Pizza Hut Promo Pack</t>
        </is>
      </c>
      <c r="B2746" s="3">
        <f>IF(I2746&lt;&gt;"",I2746,IF(J2746&lt;&gt;"",J2746,IF(K2746&lt;&gt;"",K2746,L2746)))</f>
        <v>68.55</v>
      </c>
      <c r="C2746" s="3">
        <f>MEDIAN(I2746:L2746)</f>
        <v>68.55</v>
      </c>
      <c r="D2746" s="3">
        <f>ROUND(C2746*(1-Settings!$B$2),2)</f>
        <v>47.99</v>
      </c>
      <c r="E2746" s="3">
        <f>ROUND(C2746*(1-Settings!$B$3),2)</f>
        <v>47.99</v>
      </c>
      <c r="F2746" s="2" t="inlineStr">
        <is>
          <t>Pokemon</t>
        </is>
      </c>
      <c r="G2746" s="2" t="inlineStr">
        <is>
          <t>Pack</t>
        </is>
      </c>
      <c r="H2746" s="2" t="inlineStr">
        <is>
          <t>Chinese Promo</t>
        </is>
      </c>
      <c r="I2746" s="3" t="n">
        <v>68.55</v>
      </c>
      <c r="J2746" s="3" t="n"/>
      <c r="K2746" s="3" t="n"/>
      <c r="L2746" s="3" t="n"/>
      <c r="M2746" s="2" t="inlineStr">
        <is>
          <t>PriceCharting</t>
        </is>
      </c>
      <c r="N2746" s="4" t="inlineStr">
        <is>
          <t>https://www.pricecharting.com/game/pokemon-chinese-promo/pizza-hut-promo-pack</t>
        </is>
      </c>
    </row>
    <row r="2747">
      <c r="A2747" s="2" t="inlineStr">
        <is>
          <t>Chinese Promo Pokemon Center Taipei Foil Pack</t>
        </is>
      </c>
      <c r="B2747" s="3">
        <f>IF(I2747&lt;&gt;"",I2747,IF(J2747&lt;&gt;"",J2747,IF(K2747&lt;&gt;"",K2747,L2747)))</f>
        <v>158.7</v>
      </c>
      <c r="C2747" s="3">
        <f>MEDIAN(I2747:L2747)</f>
        <v>158.7</v>
      </c>
      <c r="D2747" s="3">
        <f>ROUND(C2747*(1-Settings!$B$2),2)</f>
        <v>111.09</v>
      </c>
      <c r="E2747" s="3">
        <f>ROUND(C2747*(1-Settings!$B$3),2)</f>
        <v>111.09</v>
      </c>
      <c r="F2747" s="2" t="inlineStr">
        <is>
          <t>Pokemon</t>
        </is>
      </c>
      <c r="G2747" s="2" t="inlineStr">
        <is>
          <t>Pack</t>
        </is>
      </c>
      <c r="H2747" s="2" t="inlineStr">
        <is>
          <t>Chinese Promo</t>
        </is>
      </c>
      <c r="I2747" s="3" t="n">
        <v>158.7</v>
      </c>
      <c r="J2747" s="3" t="n"/>
      <c r="K2747" s="3" t="n"/>
      <c r="L2747" s="3" t="n"/>
      <c r="M2747" s="2" t="inlineStr">
        <is>
          <t>PriceCharting</t>
        </is>
      </c>
      <c r="N2747" s="4" t="inlineStr">
        <is>
          <t>https://www.pricecharting.com/game/pokemon-chinese-promo/pokemon-center-taipei-foil-pack</t>
        </is>
      </c>
    </row>
    <row r="2748">
      <c r="A2748" s="2" t="inlineStr">
        <is>
          <t>Chinese Promo Pokemon Taiwan FamilyMart Promo Pack</t>
        </is>
      </c>
      <c r="B2748" s="3">
        <f>IF(I2748&lt;&gt;"",I2748,IF(J2748&lt;&gt;"",J2748,IF(K2748&lt;&gt;"",K2748,L2748)))</f>
        <v>24.01</v>
      </c>
      <c r="C2748" s="3">
        <f>MEDIAN(I2748:L2748)</f>
        <v>24.01</v>
      </c>
      <c r="D2748" s="3">
        <f>ROUND(C2748*(1-Settings!$B$2),2)</f>
        <v>16.81</v>
      </c>
      <c r="E2748" s="3">
        <f>ROUND(C2748*(1-Settings!$B$3),2)</f>
        <v>16.81</v>
      </c>
      <c r="F2748" s="2" t="inlineStr">
        <is>
          <t>Pokemon</t>
        </is>
      </c>
      <c r="G2748" s="2" t="inlineStr">
        <is>
          <t>Pack</t>
        </is>
      </c>
      <c r="H2748" s="2" t="inlineStr">
        <is>
          <t>Chinese Promo</t>
        </is>
      </c>
      <c r="I2748" s="3" t="n">
        <v>24.01</v>
      </c>
      <c r="J2748" s="3" t="n"/>
      <c r="K2748" s="3" t="n"/>
      <c r="L2748" s="3" t="n"/>
      <c r="M2748" s="2" t="inlineStr">
        <is>
          <t>PriceCharting</t>
        </is>
      </c>
      <c r="N2748" s="4" t="inlineStr">
        <is>
          <t>https://www.pricecharting.com/game/pokemon-chinese-promo/pokemon-taiwan-familymart-promo-pack</t>
        </is>
      </c>
    </row>
    <row r="2749">
      <c r="A2749" s="2" t="inlineStr">
        <is>
          <t>Cosmic Eclipse Blister Pack</t>
        </is>
      </c>
      <c r="B2749" s="3">
        <f>IF(I2749&lt;&gt;"",I2749,IF(J2749&lt;&gt;"",J2749,IF(K2749&lt;&gt;"",K2749,L2749)))</f>
        <v>210.53</v>
      </c>
      <c r="C2749" s="3">
        <f>MEDIAN(I2749:L2749)</f>
        <v>210.53</v>
      </c>
      <c r="D2749" s="3">
        <f>ROUND(C2749*(1-Settings!$B$2),2)</f>
        <v>147.37</v>
      </c>
      <c r="E2749" s="3">
        <f>ROUND(C2749*(1-Settings!$B$3),2)</f>
        <v>147.37</v>
      </c>
      <c r="F2749" s="2" t="inlineStr">
        <is>
          <t>Pokemon</t>
        </is>
      </c>
      <c r="G2749" s="2" t="inlineStr">
        <is>
          <t>Pack</t>
        </is>
      </c>
      <c r="H2749" s="2" t="inlineStr">
        <is>
          <t>Cosmic Eclipse</t>
        </is>
      </c>
      <c r="I2749" s="3" t="n">
        <v>210.53</v>
      </c>
      <c r="J2749" s="3" t="n"/>
      <c r="K2749" s="3" t="n"/>
      <c r="L2749" s="3" t="n"/>
      <c r="M2749" s="2" t="inlineStr">
        <is>
          <t>PriceCharting</t>
        </is>
      </c>
      <c r="N2749" s="4" t="inlineStr">
        <is>
          <t>https://www.pricecharting.com/game/pokemon-cosmic-eclipse/blister-pack</t>
        </is>
      </c>
    </row>
    <row r="2750">
      <c r="A2750" s="2" t="inlineStr">
        <is>
          <t>Cosmic Eclipse Mini Booster Pack</t>
        </is>
      </c>
      <c r="B2750" s="3">
        <f>IF(I2750&lt;&gt;"",I2750,IF(J2750&lt;&gt;"",J2750,IF(K2750&lt;&gt;"",K2750,L2750)))</f>
        <v>34.25</v>
      </c>
      <c r="C2750" s="3">
        <f>MEDIAN(I2750:L2750)</f>
        <v>34.25</v>
      </c>
      <c r="D2750" s="3">
        <f>ROUND(C2750*(1-Settings!$B$2),2)</f>
        <v>23.98</v>
      </c>
      <c r="E2750" s="3">
        <f>ROUND(C2750*(1-Settings!$B$3),2)</f>
        <v>23.98</v>
      </c>
      <c r="F2750" s="2" t="inlineStr">
        <is>
          <t>Pokemon</t>
        </is>
      </c>
      <c r="G2750" s="2" t="inlineStr">
        <is>
          <t>Pack</t>
        </is>
      </c>
      <c r="H2750" s="2" t="inlineStr">
        <is>
          <t>Cosmic Eclipse</t>
        </is>
      </c>
      <c r="I2750" s="3" t="n">
        <v>34.25</v>
      </c>
      <c r="J2750" s="3" t="n"/>
      <c r="K2750" s="3" t="n"/>
      <c r="L2750" s="3" t="n"/>
      <c r="M2750" s="2" t="inlineStr">
        <is>
          <t>PriceCharting</t>
        </is>
      </c>
      <c r="N2750" s="4" t="inlineStr">
        <is>
          <t>https://www.pricecharting.com/game/pokemon-cosmic-eclipse/mini-booster-pack</t>
        </is>
      </c>
    </row>
    <row r="2751">
      <c r="A2751" s="2" t="inlineStr">
        <is>
          <t>Cosmic Eclipse Sleeved Booster Pack</t>
        </is>
      </c>
      <c r="B2751" s="3">
        <f>IF(I2751&lt;&gt;"",I2751,IF(J2751&lt;&gt;"",J2751,IF(K2751&lt;&gt;"",K2751,L2751)))</f>
        <v>115.0</v>
      </c>
      <c r="C2751" s="3">
        <f>MEDIAN(I2751:L2751)</f>
        <v>115.0</v>
      </c>
      <c r="D2751" s="3">
        <f>ROUND(C2751*(1-Settings!$B$2),2)</f>
        <v>80.5</v>
      </c>
      <c r="E2751" s="3">
        <f>ROUND(C2751*(1-Settings!$B$3),2)</f>
        <v>80.5</v>
      </c>
      <c r="F2751" s="2" t="inlineStr">
        <is>
          <t>Pokemon</t>
        </is>
      </c>
      <c r="G2751" s="2" t="inlineStr">
        <is>
          <t>Pack</t>
        </is>
      </c>
      <c r="H2751" s="2" t="inlineStr">
        <is>
          <t>Cosmic Eclipse</t>
        </is>
      </c>
      <c r="I2751" s="3" t="n">
        <v>115</v>
      </c>
      <c r="J2751" s="3" t="n"/>
      <c r="K2751" s="3" t="n"/>
      <c r="L2751" s="3" t="n"/>
      <c r="M2751" s="2" t="inlineStr">
        <is>
          <t>PriceCharting</t>
        </is>
      </c>
      <c r="N2751" s="4" t="inlineStr">
        <is>
          <t>https://www.pricecharting.com/game/pokemon-cosmic-eclipse/sleeved-booster-pack</t>
        </is>
      </c>
    </row>
    <row r="2752">
      <c r="A2752" s="2" t="inlineStr">
        <is>
          <t>Crystal Guardians Blister Pack</t>
        </is>
      </c>
      <c r="B2752" s="3">
        <f>IF(I2752&lt;&gt;"",I2752,IF(J2752&lt;&gt;"",J2752,IF(K2752&lt;&gt;"",K2752,L2752)))</f>
        <v>40.0</v>
      </c>
      <c r="C2752" s="3">
        <f>MEDIAN(I2752:L2752)</f>
        <v>40.0</v>
      </c>
      <c r="D2752" s="3">
        <f>ROUND(C2752*(1-Settings!$B$2),2)</f>
        <v>28.0</v>
      </c>
      <c r="E2752" s="3">
        <f>ROUND(C2752*(1-Settings!$B$3),2)</f>
        <v>28.0</v>
      </c>
      <c r="F2752" s="2" t="inlineStr">
        <is>
          <t>Pokemon</t>
        </is>
      </c>
      <c r="G2752" s="2" t="inlineStr">
        <is>
          <t>Pack</t>
        </is>
      </c>
      <c r="H2752" s="2" t="inlineStr">
        <is>
          <t>Crystal Guardians</t>
        </is>
      </c>
      <c r="I2752" s="3" t="n">
        <v>40</v>
      </c>
      <c r="J2752" s="3" t="n"/>
      <c r="K2752" s="3" t="n"/>
      <c r="L2752" s="3" t="n"/>
      <c r="M2752" s="2" t="inlineStr">
        <is>
          <t>PriceCharting</t>
        </is>
      </c>
      <c r="N2752" s="4" t="inlineStr">
        <is>
          <t>https://www.pricecharting.com/game/pokemon-crystal-guardians/blister-pack</t>
        </is>
      </c>
    </row>
    <row r="2753">
      <c r="A2753" s="2" t="inlineStr">
        <is>
          <t>Dark Explorers Blister Pack</t>
        </is>
      </c>
      <c r="B2753" s="3">
        <f>IF(I2753&lt;&gt;"",I2753,IF(J2753&lt;&gt;"",J2753,IF(K2753&lt;&gt;"",K2753,L2753)))</f>
        <v>565.0</v>
      </c>
      <c r="C2753" s="3">
        <f>MEDIAN(I2753:L2753)</f>
        <v>565.0</v>
      </c>
      <c r="D2753" s="3">
        <f>ROUND(C2753*(1-Settings!$B$2),2)</f>
        <v>395.5</v>
      </c>
      <c r="E2753" s="3">
        <f>ROUND(C2753*(1-Settings!$B$3),2)</f>
        <v>395.5</v>
      </c>
      <c r="F2753" s="2" t="inlineStr">
        <is>
          <t>Pokemon</t>
        </is>
      </c>
      <c r="G2753" s="2" t="inlineStr">
        <is>
          <t>Pack</t>
        </is>
      </c>
      <c r="H2753" s="2" t="inlineStr">
        <is>
          <t>Dark Explorers</t>
        </is>
      </c>
      <c r="I2753" s="3" t="n">
        <v>565</v>
      </c>
      <c r="J2753" s="3" t="n"/>
      <c r="K2753" s="3" t="n"/>
      <c r="L2753" s="3" t="n"/>
      <c r="M2753" s="2" t="inlineStr">
        <is>
          <t>PriceCharting</t>
        </is>
      </c>
      <c r="N2753" s="4" t="inlineStr">
        <is>
          <t>https://www.pricecharting.com/game/pokemon-dark-explorers/blister-pack</t>
        </is>
      </c>
    </row>
    <row r="2754">
      <c r="A2754" s="2" t="inlineStr">
        <is>
          <t>Dark Explorers Booster Pack</t>
        </is>
      </c>
      <c r="B2754" s="3">
        <f>IF(I2754&lt;&gt;"",I2754,IF(J2754&lt;&gt;"",J2754,IF(K2754&lt;&gt;"",K2754,L2754)))</f>
        <v>395.88</v>
      </c>
      <c r="C2754" s="3">
        <f>MEDIAN(I2754:L2754)</f>
        <v>395.88</v>
      </c>
      <c r="D2754" s="3">
        <f>ROUND(C2754*(1-Settings!$B$2),2)</f>
        <v>277.12</v>
      </c>
      <c r="E2754" s="3">
        <f>ROUND(C2754*(1-Settings!$B$3),2)</f>
        <v>277.12</v>
      </c>
      <c r="F2754" s="2" t="inlineStr">
        <is>
          <t>Pokemon</t>
        </is>
      </c>
      <c r="G2754" s="2" t="inlineStr">
        <is>
          <t>Pack</t>
        </is>
      </c>
      <c r="H2754" s="2" t="inlineStr">
        <is>
          <t>Dark Explorers</t>
        </is>
      </c>
      <c r="I2754" s="3" t="n">
        <v>395.88</v>
      </c>
      <c r="J2754" s="3" t="n"/>
      <c r="K2754" s="3" t="n">
        <v>396.62</v>
      </c>
      <c r="L2754" s="3" t="n">
        <v>394</v>
      </c>
      <c r="M2754" s="2" t="inlineStr">
        <is>
          <t>PriceCharting + TCGplayer</t>
        </is>
      </c>
      <c r="N2754" s="4" t="inlineStr">
        <is>
          <t>https://www.pricecharting.com/game/pokemon-dark-explorers/booster-pack</t>
        </is>
      </c>
      <c r="O2754" s="4" t="inlineStr">
        <is>
          <t>https://www.tcgplayer.com/product/98521</t>
        </is>
      </c>
    </row>
    <row r="2755">
      <c r="A2755" s="2" t="inlineStr">
        <is>
          <t>Dark Explorers Sampling Pack</t>
        </is>
      </c>
      <c r="B2755" s="3">
        <f>IF(I2755&lt;&gt;"",I2755,IF(J2755&lt;&gt;"",J2755,IF(K2755&lt;&gt;"",K2755,L2755)))</f>
        <v>99.99</v>
      </c>
      <c r="C2755" s="3">
        <f>MEDIAN(I2755:L2755)</f>
        <v>105.0</v>
      </c>
      <c r="D2755" s="3">
        <f>ROUND(C2755*(1-Settings!$B$2),2)</f>
        <v>73.5</v>
      </c>
      <c r="E2755" s="3">
        <f>ROUND(C2755*(1-Settings!$B$3),2)</f>
        <v>73.5</v>
      </c>
      <c r="F2755" s="2" t="inlineStr">
        <is>
          <t>Pokemon</t>
        </is>
      </c>
      <c r="G2755" s="2" t="inlineStr">
        <is>
          <t>Pack</t>
        </is>
      </c>
      <c r="H2755" s="2" t="inlineStr">
        <is>
          <t>Dark Explorers</t>
        </is>
      </c>
      <c r="I2755" s="3" t="n">
        <v>99.98999999999999</v>
      </c>
      <c r="J2755" s="3" t="n"/>
      <c r="K2755" s="3" t="n">
        <v>107.5</v>
      </c>
      <c r="L2755" s="3" t="n">
        <v>105</v>
      </c>
      <c r="M2755" s="2" t="inlineStr">
        <is>
          <t>PriceCharting + TCGplayer</t>
        </is>
      </c>
      <c r="N2755" s="4" t="inlineStr">
        <is>
          <t>https://www.pricecharting.com/game/pokemon-dark-explorers/sampling-pack</t>
        </is>
      </c>
      <c r="O2755" s="4" t="inlineStr">
        <is>
          <t>https://www.tcgplayer.com/product/647766</t>
        </is>
      </c>
    </row>
    <row r="2756">
      <c r="A2756" s="2" t="inlineStr">
        <is>
          <t>Darkness Ablaze 2 Pack Blister</t>
        </is>
      </c>
      <c r="B2756" s="3">
        <f>IF(I2756&lt;&gt;"",I2756,IF(J2756&lt;&gt;"",J2756,IF(K2756&lt;&gt;"",K2756,L2756)))</f>
        <v>20.51</v>
      </c>
      <c r="C2756" s="3">
        <f>MEDIAN(I2756:L2756)</f>
        <v>20.51</v>
      </c>
      <c r="D2756" s="3">
        <f>ROUND(C2756*(1-Settings!$B$2),2)</f>
        <v>14.36</v>
      </c>
      <c r="E2756" s="3">
        <f>ROUND(C2756*(1-Settings!$B$3),2)</f>
        <v>14.36</v>
      </c>
      <c r="F2756" s="2" t="inlineStr">
        <is>
          <t>Pokemon</t>
        </is>
      </c>
      <c r="G2756" s="2" t="inlineStr">
        <is>
          <t>Pack</t>
        </is>
      </c>
      <c r="H2756" s="2" t="inlineStr">
        <is>
          <t>Darkness Ablaze</t>
        </is>
      </c>
      <c r="I2756" s="3" t="n">
        <v>20.51</v>
      </c>
      <c r="J2756" s="3" t="n"/>
      <c r="K2756" s="3" t="n"/>
      <c r="L2756" s="3" t="n"/>
      <c r="M2756" s="2" t="inlineStr">
        <is>
          <t>PriceCharting</t>
        </is>
      </c>
      <c r="N2756" s="4" t="inlineStr">
        <is>
          <t>https://www.pricecharting.com/game/pokemon-darkness-ablaze/2-pack-blister</t>
        </is>
      </c>
    </row>
    <row r="2757">
      <c r="A2757" s="2" t="inlineStr">
        <is>
          <t>Darkness Ablaze Checklane Blister: Pikachu</t>
        </is>
      </c>
      <c r="B2757" s="3">
        <f>IF(I2757&lt;&gt;"",I2757,IF(J2757&lt;&gt;"",J2757,IF(K2757&lt;&gt;"",K2757,L2757)))</f>
        <v>39.95</v>
      </c>
      <c r="C2757" s="3">
        <f>MEDIAN(I2757:L2757)</f>
        <v>39.95</v>
      </c>
      <c r="D2757" s="3">
        <f>ROUND(C2757*(1-Settings!$B$2),2)</f>
        <v>27.97</v>
      </c>
      <c r="E2757" s="3">
        <f>ROUND(C2757*(1-Settings!$B$3),2)</f>
        <v>27.97</v>
      </c>
      <c r="F2757" s="2" t="inlineStr">
        <is>
          <t>Pokemon</t>
        </is>
      </c>
      <c r="G2757" s="2" t="inlineStr">
        <is>
          <t>Pack</t>
        </is>
      </c>
      <c r="H2757" s="2" t="inlineStr">
        <is>
          <t>Darkness Ablaze</t>
        </is>
      </c>
      <c r="I2757" s="3" t="n">
        <v>39.95</v>
      </c>
      <c r="J2757" s="3" t="n"/>
      <c r="K2757" s="3" t="n"/>
      <c r="L2757" s="3" t="n"/>
      <c r="M2757" s="2" t="inlineStr">
        <is>
          <t>PriceCharting</t>
        </is>
      </c>
      <c r="N2757" s="4" t="inlineStr">
        <is>
          <t>https://www.pricecharting.com/game/pokemon-darkness-ablaze/checklane-blister-pikachu</t>
        </is>
      </c>
    </row>
    <row r="2758">
      <c r="A2758" s="2" t="inlineStr">
        <is>
          <t>Delta Species Blister Pack</t>
        </is>
      </c>
      <c r="B2758" s="3">
        <f>IF(I2758&lt;&gt;"",I2758,IF(J2758&lt;&gt;"",J2758,IF(K2758&lt;&gt;"",K2758,L2758)))</f>
        <v>1801.0</v>
      </c>
      <c r="C2758" s="3">
        <f>MEDIAN(I2758:L2758)</f>
        <v>1801.0</v>
      </c>
      <c r="D2758" s="3">
        <f>ROUND(C2758*(1-Settings!$B$2),2)</f>
        <v>1260.7</v>
      </c>
      <c r="E2758" s="3">
        <f>ROUND(C2758*(1-Settings!$B$3),2)</f>
        <v>1260.7</v>
      </c>
      <c r="F2758" s="2" t="inlineStr">
        <is>
          <t>Pokemon</t>
        </is>
      </c>
      <c r="G2758" s="2" t="inlineStr">
        <is>
          <t>Pack</t>
        </is>
      </c>
      <c r="H2758" s="2" t="inlineStr">
        <is>
          <t>Delta Species</t>
        </is>
      </c>
      <c r="I2758" s="3" t="n">
        <v>1801</v>
      </c>
      <c r="J2758" s="3" t="n"/>
      <c r="K2758" s="3" t="n"/>
      <c r="L2758" s="3" t="n"/>
      <c r="M2758" s="2" t="inlineStr">
        <is>
          <t>PriceCharting</t>
        </is>
      </c>
      <c r="N2758" s="4" t="inlineStr">
        <is>
          <t>https://www.pricecharting.com/game/pokemon-delta-species/blister-pack</t>
        </is>
      </c>
    </row>
    <row r="2759">
      <c r="A2759" s="2" t="inlineStr">
        <is>
          <t>Deoxys Booster Pack</t>
        </is>
      </c>
      <c r="B2759" s="3">
        <f>IF(I2759&lt;&gt;"",I2759,IF(J2759&lt;&gt;"",J2759,IF(K2759&lt;&gt;"",K2759,L2759)))</f>
        <v>1525.0</v>
      </c>
      <c r="C2759" s="3">
        <f>MEDIAN(I2759:L2759)</f>
        <v>1525.0</v>
      </c>
      <c r="D2759" s="3">
        <f>ROUND(C2759*(1-Settings!$B$2),2)</f>
        <v>1067.5</v>
      </c>
      <c r="E2759" s="3">
        <f>ROUND(C2759*(1-Settings!$B$3),2)</f>
        <v>1067.5</v>
      </c>
      <c r="F2759" s="2" t="inlineStr">
        <is>
          <t>Pokemon</t>
        </is>
      </c>
      <c r="G2759" s="2" t="inlineStr">
        <is>
          <t>Pack</t>
        </is>
      </c>
      <c r="H2759" s="2" t="inlineStr">
        <is>
          <t>Deoxys</t>
        </is>
      </c>
      <c r="I2759" s="3" t="n">
        <v>1525</v>
      </c>
      <c r="J2759" s="3" t="n"/>
      <c r="K2759" s="3" t="n"/>
      <c r="L2759" s="3" t="n"/>
      <c r="M2759" s="2" t="inlineStr">
        <is>
          <t>PriceCharting</t>
        </is>
      </c>
      <c r="N2759" s="4" t="inlineStr">
        <is>
          <t>https://www.pricecharting.com/game/pokemon-deoxys/booster-pack</t>
        </is>
      </c>
    </row>
    <row r="2760">
      <c r="A2760" s="2" t="inlineStr">
        <is>
          <t>Destined Rivals Blister Pack: Eevee</t>
        </is>
      </c>
      <c r="B2760" s="3">
        <f>IF(I2760&lt;&gt;"",I2760,IF(J2760&lt;&gt;"",J2760,IF(K2760&lt;&gt;"",K2760,L2760)))</f>
        <v>19.99</v>
      </c>
      <c r="C2760" s="3">
        <f>MEDIAN(I2760:L2760)</f>
        <v>19.99</v>
      </c>
      <c r="D2760" s="3">
        <f>ROUND(C2760*(1-Settings!$B$2),2)</f>
        <v>13.99</v>
      </c>
      <c r="E2760" s="3">
        <f>ROUND(C2760*(1-Settings!$B$3),2)</f>
        <v>13.99</v>
      </c>
      <c r="F2760" s="2" t="inlineStr">
        <is>
          <t>Pokemon</t>
        </is>
      </c>
      <c r="G2760" s="2" t="inlineStr">
        <is>
          <t>Pack</t>
        </is>
      </c>
      <c r="H2760" s="2" t="inlineStr">
        <is>
          <t>Destined Rivals</t>
        </is>
      </c>
      <c r="I2760" s="3" t="n">
        <v>19.99</v>
      </c>
      <c r="J2760" s="3" t="n"/>
      <c r="K2760" s="3" t="n"/>
      <c r="L2760" s="3" t="n"/>
      <c r="M2760" s="2" t="inlineStr">
        <is>
          <t>PriceCharting</t>
        </is>
      </c>
      <c r="N2760" s="4" t="inlineStr">
        <is>
          <t>https://www.pricecharting.com/game/pokemon-destined-rivals/blister-pack-eevee</t>
        </is>
      </c>
    </row>
    <row r="2761">
      <c r="A2761" s="2" t="inlineStr">
        <is>
          <t>Destined Rivals Blister Pack: Zarude</t>
        </is>
      </c>
      <c r="B2761" s="3">
        <f>IF(I2761&lt;&gt;"",I2761,IF(J2761&lt;&gt;"",J2761,IF(K2761&lt;&gt;"",K2761,L2761)))</f>
        <v>13.29</v>
      </c>
      <c r="C2761" s="3">
        <f>MEDIAN(I2761:L2761)</f>
        <v>13.29</v>
      </c>
      <c r="D2761" s="3">
        <f>ROUND(C2761*(1-Settings!$B$2),2)</f>
        <v>9.3</v>
      </c>
      <c r="E2761" s="3">
        <f>ROUND(C2761*(1-Settings!$B$3),2)</f>
        <v>9.3</v>
      </c>
      <c r="F2761" s="2" t="inlineStr">
        <is>
          <t>Pokemon</t>
        </is>
      </c>
      <c r="G2761" s="2" t="inlineStr">
        <is>
          <t>Pack</t>
        </is>
      </c>
      <c r="H2761" s="2" t="inlineStr">
        <is>
          <t>Destined Rivals</t>
        </is>
      </c>
      <c r="I2761" s="3" t="n">
        <v>13.29</v>
      </c>
      <c r="J2761" s="3" t="n"/>
      <c r="K2761" s="3" t="n"/>
      <c r="L2761" s="3" t="n"/>
      <c r="M2761" s="2" t="inlineStr">
        <is>
          <t>PriceCharting</t>
        </is>
      </c>
      <c r="N2761" s="4" t="inlineStr">
        <is>
          <t>https://www.pricecharting.com/game/pokemon-destined-rivals/blister-pack-zarude</t>
        </is>
      </c>
    </row>
    <row r="2762">
      <c r="A2762" s="2" t="inlineStr">
        <is>
          <t>Detective Pikachu Booster Pack</t>
        </is>
      </c>
      <c r="B2762" s="3">
        <f>IF(I2762&lt;&gt;"",I2762,IF(J2762&lt;&gt;"",J2762,IF(K2762&lt;&gt;"",K2762,L2762)))</f>
        <v>16.75</v>
      </c>
      <c r="C2762" s="3">
        <f>MEDIAN(I2762:L2762)</f>
        <v>22.305</v>
      </c>
      <c r="D2762" s="3">
        <f>ROUND(C2762*(1-Settings!$B$2),2)</f>
        <v>15.61</v>
      </c>
      <c r="E2762" s="3">
        <f>ROUND(C2762*(1-Settings!$B$3),2)</f>
        <v>15.61</v>
      </c>
      <c r="F2762" s="2" t="inlineStr">
        <is>
          <t>Pokemon</t>
        </is>
      </c>
      <c r="G2762" s="2" t="inlineStr">
        <is>
          <t>Pack</t>
        </is>
      </c>
      <c r="H2762" s="2" t="inlineStr">
        <is>
          <t>Detective Pikachu</t>
        </is>
      </c>
      <c r="I2762" s="3" t="n">
        <v>16.75</v>
      </c>
      <c r="J2762" s="3" t="n">
        <v>24.61</v>
      </c>
      <c r="K2762" s="3" t="n">
        <v>24.98</v>
      </c>
      <c r="L2762" s="3" t="n">
        <v>20</v>
      </c>
      <c r="M2762" s="2" t="inlineStr">
        <is>
          <t>PriceCharting + TCGplayer</t>
        </is>
      </c>
      <c r="N2762" s="4" t="inlineStr">
        <is>
          <t>https://www.pricecharting.com/game/pokemon-detective-pikachu/booster-pack</t>
        </is>
      </c>
      <c r="O2762" s="4" t="inlineStr">
        <is>
          <t>https://www.tcgplayer.com/product/187239</t>
        </is>
      </c>
    </row>
    <row r="2763">
      <c r="A2763" s="2" t="inlineStr">
        <is>
          <t>Detective Pikachu Booster Pack [2-Card]</t>
        </is>
      </c>
      <c r="B2763" s="3">
        <f>IF(I2763&lt;&gt;"",I2763,IF(J2763&lt;&gt;"",J2763,IF(K2763&lt;&gt;"",K2763,L2763)))</f>
        <v>19.98</v>
      </c>
      <c r="C2763" s="3">
        <f>MEDIAN(I2763:L2763)</f>
        <v>19.98</v>
      </c>
      <c r="D2763" s="3">
        <f>ROUND(C2763*(1-Settings!$B$2),2)</f>
        <v>13.99</v>
      </c>
      <c r="E2763" s="3">
        <f>ROUND(C2763*(1-Settings!$B$3),2)</f>
        <v>13.99</v>
      </c>
      <c r="F2763" s="2" t="inlineStr">
        <is>
          <t>Pokemon</t>
        </is>
      </c>
      <c r="G2763" s="2" t="inlineStr">
        <is>
          <t>Pack</t>
        </is>
      </c>
      <c r="H2763" s="2" t="inlineStr">
        <is>
          <t>Detective Pikachu</t>
        </is>
      </c>
      <c r="I2763" s="3" t="n">
        <v>19.98</v>
      </c>
      <c r="J2763" s="3" t="n"/>
      <c r="K2763" s="3" t="n"/>
      <c r="L2763" s="3" t="n"/>
      <c r="M2763" s="2" t="inlineStr">
        <is>
          <t>PriceCharting</t>
        </is>
      </c>
      <c r="N2763" s="4" t="inlineStr">
        <is>
          <t>https://www.pricecharting.com/game/pokemon-detective-pikachu/booster-pack-2-card</t>
        </is>
      </c>
    </row>
    <row r="2764">
      <c r="A2764" s="2" t="inlineStr">
        <is>
          <t>Detective Pikachu Special Promo Booster Pack</t>
        </is>
      </c>
      <c r="B2764" s="3">
        <f>IF(I2764&lt;&gt;"",I2764,IF(J2764&lt;&gt;"",J2764,IF(K2764&lt;&gt;"",K2764,L2764)))</f>
        <v>19.93</v>
      </c>
      <c r="C2764" s="3">
        <f>MEDIAN(I2764:L2764)</f>
        <v>19.93</v>
      </c>
      <c r="D2764" s="3">
        <f>ROUND(C2764*(1-Settings!$B$2),2)</f>
        <v>13.95</v>
      </c>
      <c r="E2764" s="3">
        <f>ROUND(C2764*(1-Settings!$B$3),2)</f>
        <v>13.95</v>
      </c>
      <c r="F2764" s="2" t="inlineStr">
        <is>
          <t>Pokemon</t>
        </is>
      </c>
      <c r="G2764" s="2" t="inlineStr">
        <is>
          <t>Pack</t>
        </is>
      </c>
      <c r="H2764" s="2" t="inlineStr">
        <is>
          <t>Detective Pikachu</t>
        </is>
      </c>
      <c r="I2764" s="3" t="n"/>
      <c r="J2764" s="3" t="n">
        <v>19.93</v>
      </c>
      <c r="K2764" s="3" t="n">
        <v>20</v>
      </c>
      <c r="L2764" s="3" t="n">
        <v>19.93</v>
      </c>
      <c r="M2764" s="2" t="inlineStr">
        <is>
          <t>TCGplayer</t>
        </is>
      </c>
      <c r="O2764" s="4" t="inlineStr">
        <is>
          <t>https://www.tcgplayer.com/product/189810</t>
        </is>
      </c>
    </row>
    <row r="2765">
      <c r="A2765" s="2" t="inlineStr">
        <is>
          <t>Detective Pikachu Two Pack Blister</t>
        </is>
      </c>
      <c r="B2765" s="3">
        <f>IF(I2765&lt;&gt;"",I2765,IF(J2765&lt;&gt;"",J2765,IF(K2765&lt;&gt;"",K2765,L2765)))</f>
        <v>99.99</v>
      </c>
      <c r="C2765" s="3">
        <f>MEDIAN(I2765:L2765)</f>
        <v>150.0</v>
      </c>
      <c r="D2765" s="3">
        <f>ROUND(C2765*(1-Settings!$B$2),2)</f>
        <v>105.0</v>
      </c>
      <c r="E2765" s="3">
        <f>ROUND(C2765*(1-Settings!$B$3),2)</f>
        <v>105.0</v>
      </c>
      <c r="F2765" s="2" t="inlineStr">
        <is>
          <t>Pokemon</t>
        </is>
      </c>
      <c r="G2765" s="2" t="inlineStr">
        <is>
          <t>Pack</t>
        </is>
      </c>
      <c r="H2765" s="2" t="inlineStr">
        <is>
          <t>Detective Pikachu</t>
        </is>
      </c>
      <c r="I2765" s="3" t="n"/>
      <c r="J2765" s="3" t="n">
        <v>99.98999999999999</v>
      </c>
      <c r="K2765" s="3" t="n">
        <v>150</v>
      </c>
      <c r="L2765" s="3" t="n">
        <v>150</v>
      </c>
      <c r="M2765" s="2" t="inlineStr">
        <is>
          <t>TCGplayer</t>
        </is>
      </c>
      <c r="O2765" s="4" t="inlineStr">
        <is>
          <t>https://www.tcgplayer.com/product/264258</t>
        </is>
      </c>
    </row>
    <row r="2766">
      <c r="A2766" s="2" t="inlineStr">
        <is>
          <t>Diamond and Pearl Booster Pack</t>
        </is>
      </c>
      <c r="B2766" s="3">
        <f>IF(I2766&lt;&gt;"",I2766,IF(J2766&lt;&gt;"",J2766,IF(K2766&lt;&gt;"",K2766,L2766)))</f>
        <v>267.72</v>
      </c>
      <c r="C2766" s="3">
        <f>MEDIAN(I2766:L2766)</f>
        <v>375.0</v>
      </c>
      <c r="D2766" s="3">
        <f>ROUND(C2766*(1-Settings!$B$2),2)</f>
        <v>262.5</v>
      </c>
      <c r="E2766" s="3">
        <f>ROUND(C2766*(1-Settings!$B$3),2)</f>
        <v>262.5</v>
      </c>
      <c r="F2766" s="2" t="inlineStr">
        <is>
          <t>Pokemon</t>
        </is>
      </c>
      <c r="G2766" s="2" t="inlineStr">
        <is>
          <t>Pack</t>
        </is>
      </c>
      <c r="H2766" s="2" t="inlineStr">
        <is>
          <t>Diamond and Pearl</t>
        </is>
      </c>
      <c r="I2766" s="3" t="n"/>
      <c r="J2766" s="3" t="n">
        <v>267.72</v>
      </c>
      <c r="K2766" s="3" t="n">
        <v>375</v>
      </c>
      <c r="L2766" s="3" t="n">
        <v>375</v>
      </c>
      <c r="M2766" s="2" t="inlineStr">
        <is>
          <t>TCGplayer</t>
        </is>
      </c>
      <c r="O2766" s="4" t="inlineStr">
        <is>
          <t>https://www.tcgplayer.com/product/98525</t>
        </is>
      </c>
    </row>
    <row r="2767">
      <c r="A2767" s="2" t="inlineStr">
        <is>
          <t>Double Crisis Booster Pack</t>
        </is>
      </c>
      <c r="B2767" s="3">
        <f>IF(I2767&lt;&gt;"",I2767,IF(J2767&lt;&gt;"",J2767,IF(K2767&lt;&gt;"",K2767,L2767)))</f>
        <v>395.95</v>
      </c>
      <c r="C2767" s="3">
        <f>MEDIAN(I2767:L2767)</f>
        <v>462.435</v>
      </c>
      <c r="D2767" s="3">
        <f>ROUND(C2767*(1-Settings!$B$2),2)</f>
        <v>323.7</v>
      </c>
      <c r="E2767" s="3">
        <f>ROUND(C2767*(1-Settings!$B$3),2)</f>
        <v>323.7</v>
      </c>
      <c r="F2767" s="2" t="inlineStr">
        <is>
          <t>Pokemon</t>
        </is>
      </c>
      <c r="G2767" s="2" t="inlineStr">
        <is>
          <t>Pack</t>
        </is>
      </c>
      <c r="H2767" s="2" t="inlineStr">
        <is>
          <t>Double Crisis</t>
        </is>
      </c>
      <c r="I2767" s="3" t="n">
        <v>395.95</v>
      </c>
      <c r="J2767" s="3" t="n">
        <v>428.88</v>
      </c>
      <c r="K2767" s="3" t="n">
        <v>498</v>
      </c>
      <c r="L2767" s="3" t="n">
        <v>495.99</v>
      </c>
      <c r="M2767" s="2" t="inlineStr">
        <is>
          <t>PriceCharting + TCGplayer</t>
        </is>
      </c>
      <c r="N2767" s="4" t="inlineStr">
        <is>
          <t>https://www.pricecharting.com/game/pokemon-double-crisis/booster-pack</t>
        </is>
      </c>
      <c r="O2767" s="4" t="inlineStr">
        <is>
          <t>https://www.tcgplayer.com/product/229226</t>
        </is>
      </c>
    </row>
    <row r="2768">
      <c r="A2768" s="2" t="inlineStr">
        <is>
          <t>Double Crisis: Team Aqua Blister</t>
        </is>
      </c>
      <c r="B2768" s="3">
        <f>IF(I2768&lt;&gt;"",I2768,IF(J2768&lt;&gt;"",J2768,IF(K2768&lt;&gt;"",K2768,L2768)))</f>
        <v>2399.99</v>
      </c>
      <c r="C2768" s="3">
        <f>MEDIAN(I2768:L2768)</f>
        <v>2399.99</v>
      </c>
      <c r="D2768" s="3">
        <f>ROUND(C2768*(1-Settings!$B$2),2)</f>
        <v>1679.99</v>
      </c>
      <c r="E2768" s="3">
        <f>ROUND(C2768*(1-Settings!$B$3),2)</f>
        <v>1679.99</v>
      </c>
      <c r="F2768" s="2" t="inlineStr">
        <is>
          <t>Pokemon</t>
        </is>
      </c>
      <c r="G2768" s="2" t="inlineStr">
        <is>
          <t>Pack</t>
        </is>
      </c>
      <c r="H2768" s="2" t="inlineStr">
        <is>
          <t>Double Crisis</t>
        </is>
      </c>
      <c r="I2768" s="3" t="n"/>
      <c r="J2768" s="3" t="n"/>
      <c r="K2768" s="3" t="n">
        <v>2399.99</v>
      </c>
      <c r="L2768" s="3" t="n">
        <v>2399.99</v>
      </c>
      <c r="M2768" s="2" t="inlineStr">
        <is>
          <t>TCGplayer</t>
        </is>
      </c>
      <c r="O2768" s="4" t="inlineStr">
        <is>
          <t>https://www.tcgplayer.com/product/97765</t>
        </is>
      </c>
    </row>
    <row r="2769">
      <c r="A2769" s="2" t="inlineStr">
        <is>
          <t>Double Crisis: Team Magma Blister</t>
        </is>
      </c>
      <c r="B2769" s="3">
        <f>IF(I2769&lt;&gt;"",I2769,IF(J2769&lt;&gt;"",J2769,IF(K2769&lt;&gt;"",K2769,L2769)))</f>
        <v>1999.0</v>
      </c>
      <c r="C2769" s="3">
        <f>MEDIAN(I2769:L2769)</f>
        <v>2399.99</v>
      </c>
      <c r="D2769" s="3">
        <f>ROUND(C2769*(1-Settings!$B$2),2)</f>
        <v>1679.99</v>
      </c>
      <c r="E2769" s="3">
        <f>ROUND(C2769*(1-Settings!$B$3),2)</f>
        <v>1679.99</v>
      </c>
      <c r="F2769" s="2" t="inlineStr">
        <is>
          <t>Pokemon</t>
        </is>
      </c>
      <c r="G2769" s="2" t="inlineStr">
        <is>
          <t>Pack</t>
        </is>
      </c>
      <c r="H2769" s="2" t="inlineStr">
        <is>
          <t>Double Crisis</t>
        </is>
      </c>
      <c r="I2769" s="3" t="n"/>
      <c r="J2769" s="3" t="n">
        <v>1999</v>
      </c>
      <c r="K2769" s="3" t="n">
        <v>2399.99</v>
      </c>
      <c r="L2769" s="3" t="n">
        <v>2399.99</v>
      </c>
      <c r="M2769" s="2" t="inlineStr">
        <is>
          <t>TCGplayer</t>
        </is>
      </c>
      <c r="O2769" s="4" t="inlineStr">
        <is>
          <t>https://www.tcgplayer.com/product/97764</t>
        </is>
      </c>
    </row>
    <row r="2770">
      <c r="A2770" s="2" t="inlineStr">
        <is>
          <t>Dragon Blister Pack</t>
        </is>
      </c>
      <c r="B2770" s="3">
        <f>IF(I2770&lt;&gt;"",I2770,IF(J2770&lt;&gt;"",J2770,IF(K2770&lt;&gt;"",K2770,L2770)))</f>
        <v>1178.63</v>
      </c>
      <c r="C2770" s="3">
        <f>MEDIAN(I2770:L2770)</f>
        <v>1178.63</v>
      </c>
      <c r="D2770" s="3">
        <f>ROUND(C2770*(1-Settings!$B$2),2)</f>
        <v>825.04</v>
      </c>
      <c r="E2770" s="3">
        <f>ROUND(C2770*(1-Settings!$B$3),2)</f>
        <v>825.04</v>
      </c>
      <c r="F2770" s="2" t="inlineStr">
        <is>
          <t>Pokemon</t>
        </is>
      </c>
      <c r="G2770" s="2" t="inlineStr">
        <is>
          <t>Pack</t>
        </is>
      </c>
      <c r="H2770" s="2" t="inlineStr">
        <is>
          <t>Dragon</t>
        </is>
      </c>
      <c r="I2770" s="3" t="n">
        <v>1178.63</v>
      </c>
      <c r="J2770" s="3" t="n"/>
      <c r="K2770" s="3" t="n"/>
      <c r="L2770" s="3" t="n"/>
      <c r="M2770" s="2" t="inlineStr">
        <is>
          <t>PriceCharting</t>
        </is>
      </c>
      <c r="N2770" s="4" t="inlineStr">
        <is>
          <t>https://www.pricecharting.com/game/pokemon-dragon/blister-pack</t>
        </is>
      </c>
    </row>
    <row r="2771">
      <c r="A2771" s="2" t="inlineStr">
        <is>
          <t>Dragon Booster Pack</t>
        </is>
      </c>
      <c r="B2771" s="3">
        <f>IF(I2771&lt;&gt;"",I2771,IF(J2771&lt;&gt;"",J2771,IF(K2771&lt;&gt;"",K2771,L2771)))</f>
        <v>750.0</v>
      </c>
      <c r="C2771" s="3">
        <f>MEDIAN(I2771:L2771)</f>
        <v>750.0</v>
      </c>
      <c r="D2771" s="3">
        <f>ROUND(C2771*(1-Settings!$B$2),2)</f>
        <v>525.0</v>
      </c>
      <c r="E2771" s="3">
        <f>ROUND(C2771*(1-Settings!$B$3),2)</f>
        <v>525.0</v>
      </c>
      <c r="F2771" s="2" t="inlineStr">
        <is>
          <t>Pokemon</t>
        </is>
      </c>
      <c r="G2771" s="2" t="inlineStr">
        <is>
          <t>Pack</t>
        </is>
      </c>
      <c r="H2771" s="2" t="inlineStr">
        <is>
          <t>Dragon</t>
        </is>
      </c>
      <c r="I2771" s="3" t="n">
        <v>750</v>
      </c>
      <c r="J2771" s="3" t="n"/>
      <c r="K2771" s="3" t="n"/>
      <c r="L2771" s="3" t="n"/>
      <c r="M2771" s="2" t="inlineStr">
        <is>
          <t>PriceCharting</t>
        </is>
      </c>
      <c r="N2771" s="4" t="inlineStr">
        <is>
          <t>https://www.pricecharting.com/game/pokemon-dragon/booster-pack</t>
        </is>
      </c>
    </row>
    <row r="2772">
      <c r="A2772" s="2" t="inlineStr">
        <is>
          <t>Dragon Frontiers Blister Pack</t>
        </is>
      </c>
      <c r="B2772" s="3">
        <f>IF(I2772&lt;&gt;"",I2772,IF(J2772&lt;&gt;"",J2772,IF(K2772&lt;&gt;"",K2772,L2772)))</f>
        <v>2399.99</v>
      </c>
      <c r="C2772" s="3">
        <f>MEDIAN(I2772:L2772)</f>
        <v>2399.99</v>
      </c>
      <c r="D2772" s="3">
        <f>ROUND(C2772*(1-Settings!$B$2),2)</f>
        <v>1679.99</v>
      </c>
      <c r="E2772" s="3">
        <f>ROUND(C2772*(1-Settings!$B$3),2)</f>
        <v>1679.99</v>
      </c>
      <c r="F2772" s="2" t="inlineStr">
        <is>
          <t>Pokemon</t>
        </is>
      </c>
      <c r="G2772" s="2" t="inlineStr">
        <is>
          <t>Pack</t>
        </is>
      </c>
      <c r="H2772" s="2" t="inlineStr">
        <is>
          <t>Dragon Frontiers</t>
        </is>
      </c>
      <c r="I2772" s="3" t="n">
        <v>2399.99</v>
      </c>
      <c r="J2772" s="3" t="n"/>
      <c r="K2772" s="3" t="n"/>
      <c r="L2772" s="3" t="n"/>
      <c r="M2772" s="2" t="inlineStr">
        <is>
          <t>PriceCharting</t>
        </is>
      </c>
      <c r="N2772" s="4" t="inlineStr">
        <is>
          <t>https://www.pricecharting.com/game/pokemon-dragon-frontiers/blister-pack</t>
        </is>
      </c>
    </row>
    <row r="2773">
      <c r="A2773" s="2" t="inlineStr">
        <is>
          <t>Dragon Frontiers Booster Pack</t>
        </is>
      </c>
      <c r="B2773" s="3">
        <f>IF(I2773&lt;&gt;"",I2773,IF(J2773&lt;&gt;"",J2773,IF(K2773&lt;&gt;"",K2773,L2773)))</f>
        <v>1801.5</v>
      </c>
      <c r="C2773" s="3">
        <f>MEDIAN(I2773:L2773)</f>
        <v>1801.5</v>
      </c>
      <c r="D2773" s="3">
        <f>ROUND(C2773*(1-Settings!$B$2),2)</f>
        <v>1261.05</v>
      </c>
      <c r="E2773" s="3">
        <f>ROUND(C2773*(1-Settings!$B$3),2)</f>
        <v>1261.05</v>
      </c>
      <c r="F2773" s="2" t="inlineStr">
        <is>
          <t>Pokemon</t>
        </is>
      </c>
      <c r="G2773" s="2" t="inlineStr">
        <is>
          <t>Pack</t>
        </is>
      </c>
      <c r="H2773" s="2" t="inlineStr">
        <is>
          <t>Dragon Frontiers</t>
        </is>
      </c>
      <c r="I2773" s="3" t="n">
        <v>1801.5</v>
      </c>
      <c r="J2773" s="3" t="n"/>
      <c r="K2773" s="3" t="n"/>
      <c r="L2773" s="3" t="n"/>
      <c r="M2773" s="2" t="inlineStr">
        <is>
          <t>PriceCharting</t>
        </is>
      </c>
      <c r="N2773" s="4" t="inlineStr">
        <is>
          <t>https://www.pricecharting.com/game/pokemon-dragon-frontiers/booster-pack</t>
        </is>
      </c>
    </row>
    <row r="2774">
      <c r="A2774" s="2" t="inlineStr">
        <is>
          <t>Dragon Majesty Booster Pack</t>
        </is>
      </c>
      <c r="B2774" s="3">
        <f>IF(I2774&lt;&gt;"",I2774,IF(J2774&lt;&gt;"",J2774,IF(K2774&lt;&gt;"",K2774,L2774)))</f>
        <v>120.99</v>
      </c>
      <c r="C2774" s="3">
        <f>MEDIAN(I2774:L2774)</f>
        <v>120.99</v>
      </c>
      <c r="D2774" s="3">
        <f>ROUND(C2774*(1-Settings!$B$2),2)</f>
        <v>84.69</v>
      </c>
      <c r="E2774" s="3">
        <f>ROUND(C2774*(1-Settings!$B$3),2)</f>
        <v>84.69</v>
      </c>
      <c r="F2774" s="2" t="inlineStr">
        <is>
          <t>Pokemon</t>
        </is>
      </c>
      <c r="G2774" s="2" t="inlineStr">
        <is>
          <t>Pack</t>
        </is>
      </c>
      <c r="H2774" s="2" t="inlineStr">
        <is>
          <t>Dragon Majesty</t>
        </is>
      </c>
      <c r="I2774" s="3" t="n">
        <v>120.99</v>
      </c>
      <c r="J2774" s="3" t="n"/>
      <c r="K2774" s="3" t="n"/>
      <c r="L2774" s="3" t="n"/>
      <c r="M2774" s="2" t="inlineStr">
        <is>
          <t>PriceCharting</t>
        </is>
      </c>
      <c r="N2774" s="4" t="inlineStr">
        <is>
          <t>https://www.pricecharting.com/game/pokemon-dragon-majesty/booster-pack</t>
        </is>
      </c>
    </row>
    <row r="2775">
      <c r="A2775" s="2" t="inlineStr">
        <is>
          <t>Dragon Vault Booster Pack</t>
        </is>
      </c>
      <c r="B2775" s="3">
        <f>IF(I2775&lt;&gt;"",I2775,IF(J2775&lt;&gt;"",J2775,IF(K2775&lt;&gt;"",K2775,L2775)))</f>
        <v>255.54</v>
      </c>
      <c r="C2775" s="3">
        <f>MEDIAN(I2775:L2775)</f>
        <v>260.395</v>
      </c>
      <c r="D2775" s="3">
        <f>ROUND(C2775*(1-Settings!$B$2),2)</f>
        <v>182.28</v>
      </c>
      <c r="E2775" s="3">
        <f>ROUND(C2775*(1-Settings!$B$3),2)</f>
        <v>182.28</v>
      </c>
      <c r="F2775" s="2" t="inlineStr">
        <is>
          <t>Pokemon</t>
        </is>
      </c>
      <c r="G2775" s="2" t="inlineStr">
        <is>
          <t>Pack</t>
        </is>
      </c>
      <c r="H2775" s="2" t="inlineStr">
        <is>
          <t>Dragon Vault</t>
        </is>
      </c>
      <c r="I2775" s="3" t="n">
        <v>255.54</v>
      </c>
      <c r="J2775" s="3" t="n">
        <v>265.25</v>
      </c>
      <c r="K2775" s="3" t="n"/>
      <c r="L2775" s="3" t="n"/>
      <c r="M2775" s="2" t="inlineStr">
        <is>
          <t>PriceCharting + TCGplayer</t>
        </is>
      </c>
      <c r="N2775" s="4" t="inlineStr">
        <is>
          <t>https://www.pricecharting.com/game/pokemon-dragon-vault/booster-pack</t>
        </is>
      </c>
      <c r="O2775" s="4" t="inlineStr">
        <is>
          <t>https://www.tcgplayer.com/product/98948</t>
        </is>
      </c>
    </row>
    <row r="2776">
      <c r="A2776" s="2" t="inlineStr">
        <is>
          <t>Dragons Exalted Booster Pack</t>
        </is>
      </c>
      <c r="B2776" s="3">
        <f>IF(I2776&lt;&gt;"",I2776,IF(J2776&lt;&gt;"",J2776,IF(K2776&lt;&gt;"",K2776,L2776)))</f>
        <v>370.1</v>
      </c>
      <c r="C2776" s="3">
        <f>MEDIAN(I2776:L2776)</f>
        <v>362.75</v>
      </c>
      <c r="D2776" s="3">
        <f>ROUND(C2776*(1-Settings!$B$2),2)</f>
        <v>253.93</v>
      </c>
      <c r="E2776" s="3">
        <f>ROUND(C2776*(1-Settings!$B$3),2)</f>
        <v>253.93</v>
      </c>
      <c r="F2776" s="2" t="inlineStr">
        <is>
          <t>Pokemon</t>
        </is>
      </c>
      <c r="G2776" s="2" t="inlineStr">
        <is>
          <t>Pack</t>
        </is>
      </c>
      <c r="H2776" s="2" t="inlineStr">
        <is>
          <t>Dragons Exalted</t>
        </is>
      </c>
      <c r="I2776" s="3" t="n">
        <v>370.1</v>
      </c>
      <c r="J2776" s="3" t="n">
        <v>355.4</v>
      </c>
      <c r="K2776" s="3" t="n">
        <v>399.95</v>
      </c>
      <c r="L2776" s="3" t="n">
        <v>355.34</v>
      </c>
      <c r="M2776" s="2" t="inlineStr">
        <is>
          <t>PriceCharting + TCGplayer</t>
        </is>
      </c>
      <c r="N2776" s="4" t="inlineStr">
        <is>
          <t>https://www.pricecharting.com/game/pokemon-dragons-exalted/booster-pack</t>
        </is>
      </c>
      <c r="O2776" s="4" t="inlineStr">
        <is>
          <t>https://www.tcgplayer.com/product/98541</t>
        </is>
      </c>
    </row>
    <row r="2777">
      <c r="A2777" s="2" t="inlineStr">
        <is>
          <t>Emerald Blister Pack</t>
        </is>
      </c>
      <c r="B2777" s="3">
        <f>IF(I2777&lt;&gt;"",I2777,IF(J2777&lt;&gt;"",J2777,IF(K2777&lt;&gt;"",K2777,L2777)))</f>
        <v>2000.0</v>
      </c>
      <c r="C2777" s="3">
        <f>MEDIAN(I2777:L2777)</f>
        <v>2000.0</v>
      </c>
      <c r="D2777" s="3">
        <f>ROUND(C2777*(1-Settings!$B$2),2)</f>
        <v>1400.0</v>
      </c>
      <c r="E2777" s="3">
        <f>ROUND(C2777*(1-Settings!$B$3),2)</f>
        <v>1400.0</v>
      </c>
      <c r="F2777" s="2" t="inlineStr">
        <is>
          <t>Pokemon</t>
        </is>
      </c>
      <c r="G2777" s="2" t="inlineStr">
        <is>
          <t>Pack</t>
        </is>
      </c>
      <c r="H2777" s="2" t="inlineStr">
        <is>
          <t>Emerald</t>
        </is>
      </c>
      <c r="I2777" s="3" t="n">
        <v>2000</v>
      </c>
      <c r="J2777" s="3" t="n"/>
      <c r="K2777" s="3" t="n"/>
      <c r="L2777" s="3" t="n"/>
      <c r="M2777" s="2" t="inlineStr">
        <is>
          <t>PriceCharting</t>
        </is>
      </c>
      <c r="N2777" s="4" t="inlineStr">
        <is>
          <t>https://www.pricecharting.com/game/pokemon-emerald/blister-pack</t>
        </is>
      </c>
    </row>
    <row r="2778">
      <c r="A2778" s="2" t="inlineStr">
        <is>
          <t>Emerging Powers Booster Pack</t>
        </is>
      </c>
      <c r="B2778" s="3">
        <f>IF(I2778&lt;&gt;"",I2778,IF(J2778&lt;&gt;"",J2778,IF(K2778&lt;&gt;"",K2778,L2778)))</f>
        <v>104.04</v>
      </c>
      <c r="C2778" s="3">
        <f>MEDIAN(I2778:L2778)</f>
        <v>144.99</v>
      </c>
      <c r="D2778" s="3">
        <f>ROUND(C2778*(1-Settings!$B$2),2)</f>
        <v>101.49</v>
      </c>
      <c r="E2778" s="3">
        <f>ROUND(C2778*(1-Settings!$B$3),2)</f>
        <v>101.49</v>
      </c>
      <c r="F2778" s="2" t="inlineStr">
        <is>
          <t>Pokemon</t>
        </is>
      </c>
      <c r="G2778" s="2" t="inlineStr">
        <is>
          <t>Pack</t>
        </is>
      </c>
      <c r="H2778" s="2" t="inlineStr">
        <is>
          <t>Emerging Powers</t>
        </is>
      </c>
      <c r="I2778" s="3" t="n"/>
      <c r="J2778" s="3" t="n">
        <v>104.04</v>
      </c>
      <c r="K2778" s="3" t="n">
        <v>159.84</v>
      </c>
      <c r="L2778" s="3" t="n">
        <v>144.99</v>
      </c>
      <c r="M2778" s="2" t="inlineStr">
        <is>
          <t>TCGplayer</t>
        </is>
      </c>
      <c r="O2778" s="4" t="inlineStr">
        <is>
          <t>https://www.tcgplayer.com/product/98549</t>
        </is>
      </c>
    </row>
    <row r="2779">
      <c r="A2779" s="2" t="inlineStr">
        <is>
          <t>Evolutions 3 Card Booster Pack</t>
        </is>
      </c>
      <c r="B2779" s="3">
        <f>IF(I2779&lt;&gt;"",I2779,IF(J2779&lt;&gt;"",J2779,IF(K2779&lt;&gt;"",K2779,L2779)))</f>
        <v>25.0</v>
      </c>
      <c r="C2779" s="3">
        <f>MEDIAN(I2779:L2779)</f>
        <v>25.0</v>
      </c>
      <c r="D2779" s="3">
        <f>ROUND(C2779*(1-Settings!$B$2),2)</f>
        <v>17.5</v>
      </c>
      <c r="E2779" s="3">
        <f>ROUND(C2779*(1-Settings!$B$3),2)</f>
        <v>17.5</v>
      </c>
      <c r="F2779" s="2" t="inlineStr">
        <is>
          <t>Pokemon</t>
        </is>
      </c>
      <c r="G2779" s="2" t="inlineStr">
        <is>
          <t>Pack</t>
        </is>
      </c>
      <c r="H2779" s="2" t="inlineStr">
        <is>
          <t>Evolutions</t>
        </is>
      </c>
      <c r="I2779" s="3" t="n">
        <v>25</v>
      </c>
      <c r="J2779" s="3" t="n"/>
      <c r="K2779" s="3" t="n"/>
      <c r="L2779" s="3" t="n"/>
      <c r="M2779" s="2" t="inlineStr">
        <is>
          <t>PriceCharting</t>
        </is>
      </c>
      <c r="N2779" s="4" t="inlineStr">
        <is>
          <t>https://www.pricecharting.com/game/pokemon-evolutions/3-card-booster-pack</t>
        </is>
      </c>
    </row>
    <row r="2780">
      <c r="A2780" s="2" t="inlineStr">
        <is>
          <t>Evolutions 3 Pack Blister [Black Kyurem]</t>
        </is>
      </c>
      <c r="B2780" s="3">
        <f>IF(I2780&lt;&gt;"",I2780,IF(J2780&lt;&gt;"",J2780,IF(K2780&lt;&gt;"",K2780,L2780)))</f>
        <v>320.0</v>
      </c>
      <c r="C2780" s="3">
        <f>MEDIAN(I2780:L2780)</f>
        <v>320.0</v>
      </c>
      <c r="D2780" s="3">
        <f>ROUND(C2780*(1-Settings!$B$2),2)</f>
        <v>224.0</v>
      </c>
      <c r="E2780" s="3">
        <f>ROUND(C2780*(1-Settings!$B$3),2)</f>
        <v>224.0</v>
      </c>
      <c r="F2780" s="2" t="inlineStr">
        <is>
          <t>Pokemon</t>
        </is>
      </c>
      <c r="G2780" s="2" t="inlineStr">
        <is>
          <t>Pack</t>
        </is>
      </c>
      <c r="H2780" s="2" t="inlineStr">
        <is>
          <t>Evolutions</t>
        </is>
      </c>
      <c r="I2780" s="3" t="n">
        <v>320</v>
      </c>
      <c r="J2780" s="3" t="n"/>
      <c r="K2780" s="3" t="n"/>
      <c r="L2780" s="3" t="n"/>
      <c r="M2780" s="2" t="inlineStr">
        <is>
          <t>PriceCharting</t>
        </is>
      </c>
      <c r="N2780" s="4" t="inlineStr">
        <is>
          <t>https://www.pricecharting.com/game/pokemon-evolutions/3-pack-blister-black-kyurem</t>
        </is>
      </c>
    </row>
    <row r="2781">
      <c r="A2781" s="2" t="inlineStr">
        <is>
          <t>Evolutions 3 Pack Blister [Braixen]</t>
        </is>
      </c>
      <c r="B2781" s="3">
        <f>IF(I2781&lt;&gt;"",I2781,IF(J2781&lt;&gt;"",J2781,IF(K2781&lt;&gt;"",K2781,L2781)))</f>
        <v>234.34</v>
      </c>
      <c r="C2781" s="3">
        <f>MEDIAN(I2781:L2781)</f>
        <v>234.34</v>
      </c>
      <c r="D2781" s="3">
        <f>ROUND(C2781*(1-Settings!$B$2),2)</f>
        <v>164.04</v>
      </c>
      <c r="E2781" s="3">
        <f>ROUND(C2781*(1-Settings!$B$3),2)</f>
        <v>164.04</v>
      </c>
      <c r="F2781" s="2" t="inlineStr">
        <is>
          <t>Pokemon</t>
        </is>
      </c>
      <c r="G2781" s="2" t="inlineStr">
        <is>
          <t>Pack</t>
        </is>
      </c>
      <c r="H2781" s="2" t="inlineStr">
        <is>
          <t>Evolutions</t>
        </is>
      </c>
      <c r="I2781" s="3" t="n">
        <v>234.34</v>
      </c>
      <c r="J2781" s="3" t="n"/>
      <c r="K2781" s="3" t="n"/>
      <c r="L2781" s="3" t="n"/>
      <c r="M2781" s="2" t="inlineStr">
        <is>
          <t>PriceCharting</t>
        </is>
      </c>
      <c r="N2781" s="4" t="inlineStr">
        <is>
          <t>https://www.pricecharting.com/game/pokemon-evolutions/3-pack-blister-braixen</t>
        </is>
      </c>
    </row>
    <row r="2782">
      <c r="A2782" s="2" t="inlineStr">
        <is>
          <t>Evolutions Mini Booster Pack</t>
        </is>
      </c>
      <c r="B2782" s="3">
        <f>IF(I2782&lt;&gt;"",I2782,IF(J2782&lt;&gt;"",J2782,IF(K2782&lt;&gt;"",K2782,L2782)))</f>
        <v>77.7</v>
      </c>
      <c r="C2782" s="3">
        <f>MEDIAN(I2782:L2782)</f>
        <v>77.7</v>
      </c>
      <c r="D2782" s="3">
        <f>ROUND(C2782*(1-Settings!$B$2),2)</f>
        <v>54.39</v>
      </c>
      <c r="E2782" s="3">
        <f>ROUND(C2782*(1-Settings!$B$3),2)</f>
        <v>54.39</v>
      </c>
      <c r="F2782" s="2" t="inlineStr">
        <is>
          <t>Pokemon</t>
        </is>
      </c>
      <c r="G2782" s="2" t="inlineStr">
        <is>
          <t>Pack</t>
        </is>
      </c>
      <c r="H2782" s="2" t="inlineStr">
        <is>
          <t>Evolutions</t>
        </is>
      </c>
      <c r="I2782" s="3" t="n">
        <v>77.7</v>
      </c>
      <c r="J2782" s="3" t="n"/>
      <c r="K2782" s="3" t="n"/>
      <c r="L2782" s="3" t="n"/>
      <c r="M2782" s="2" t="inlineStr">
        <is>
          <t>PriceCharting</t>
        </is>
      </c>
      <c r="N2782" s="4" t="inlineStr">
        <is>
          <t>https://www.pricecharting.com/game/pokemon-evolutions/mini-booster-pack</t>
        </is>
      </c>
    </row>
    <row r="2783">
      <c r="A2783" s="2" t="inlineStr">
        <is>
          <t>Evolutions Sampling Pack</t>
        </is>
      </c>
      <c r="B2783" s="3">
        <f>IF(I2783&lt;&gt;"",I2783,IF(J2783&lt;&gt;"",J2783,IF(K2783&lt;&gt;"",K2783,L2783)))</f>
        <v>16.36</v>
      </c>
      <c r="C2783" s="3">
        <f>MEDIAN(I2783:L2783)</f>
        <v>16.36</v>
      </c>
      <c r="D2783" s="3">
        <f>ROUND(C2783*(1-Settings!$B$2),2)</f>
        <v>11.45</v>
      </c>
      <c r="E2783" s="3">
        <f>ROUND(C2783*(1-Settings!$B$3),2)</f>
        <v>11.45</v>
      </c>
      <c r="F2783" s="2" t="inlineStr">
        <is>
          <t>Pokemon</t>
        </is>
      </c>
      <c r="G2783" s="2" t="inlineStr">
        <is>
          <t>Pack</t>
        </is>
      </c>
      <c r="H2783" s="2" t="inlineStr">
        <is>
          <t>Evolutions</t>
        </is>
      </c>
      <c r="I2783" s="3" t="n">
        <v>16.36</v>
      </c>
      <c r="J2783" s="3" t="n"/>
      <c r="K2783" s="3" t="n"/>
      <c r="L2783" s="3" t="n"/>
      <c r="M2783" s="2" t="inlineStr">
        <is>
          <t>PriceCharting</t>
        </is>
      </c>
      <c r="N2783" s="4" t="inlineStr">
        <is>
          <t>https://www.pricecharting.com/game/pokemon-evolutions/sampling-pack</t>
        </is>
      </c>
    </row>
    <row r="2784">
      <c r="A2784" s="2" t="inlineStr">
        <is>
          <t>Evolutions Single Pack Blister</t>
        </is>
      </c>
      <c r="B2784" s="3">
        <f>IF(I2784&lt;&gt;"",I2784,IF(J2784&lt;&gt;"",J2784,IF(K2784&lt;&gt;"",K2784,L2784)))</f>
        <v>94.02</v>
      </c>
      <c r="C2784" s="3">
        <f>MEDIAN(I2784:L2784)</f>
        <v>94.02</v>
      </c>
      <c r="D2784" s="3">
        <f>ROUND(C2784*(1-Settings!$B$2),2)</f>
        <v>65.81</v>
      </c>
      <c r="E2784" s="3">
        <f>ROUND(C2784*(1-Settings!$B$3),2)</f>
        <v>65.81</v>
      </c>
      <c r="F2784" s="2" t="inlineStr">
        <is>
          <t>Pokemon</t>
        </is>
      </c>
      <c r="G2784" s="2" t="inlineStr">
        <is>
          <t>Pack</t>
        </is>
      </c>
      <c r="H2784" s="2" t="inlineStr">
        <is>
          <t>Evolutions</t>
        </is>
      </c>
      <c r="I2784" s="3" t="n">
        <v>94.02</v>
      </c>
      <c r="J2784" s="3" t="n"/>
      <c r="K2784" s="3" t="n"/>
      <c r="L2784" s="3" t="n"/>
      <c r="M2784" s="2" t="inlineStr">
        <is>
          <t>PriceCharting</t>
        </is>
      </c>
      <c r="N2784" s="4" t="inlineStr">
        <is>
          <t>https://www.pricecharting.com/game/pokemon-evolutions/single-pack-blister</t>
        </is>
      </c>
    </row>
    <row r="2785">
      <c r="A2785" s="2" t="inlineStr">
        <is>
          <t>Evolving Skies Blister Pack: Octillery</t>
        </is>
      </c>
      <c r="B2785" s="3">
        <f>IF(I2785&lt;&gt;"",I2785,IF(J2785&lt;&gt;"",J2785,IF(K2785&lt;&gt;"",K2785,L2785)))</f>
        <v>77.38</v>
      </c>
      <c r="C2785" s="3">
        <f>MEDIAN(I2785:L2785)</f>
        <v>77.38</v>
      </c>
      <c r="D2785" s="3">
        <f>ROUND(C2785*(1-Settings!$B$2),2)</f>
        <v>54.17</v>
      </c>
      <c r="E2785" s="3">
        <f>ROUND(C2785*(1-Settings!$B$3),2)</f>
        <v>54.17</v>
      </c>
      <c r="F2785" s="2" t="inlineStr">
        <is>
          <t>Pokemon</t>
        </is>
      </c>
      <c r="G2785" s="2" t="inlineStr">
        <is>
          <t>Pack</t>
        </is>
      </c>
      <c r="H2785" s="2" t="inlineStr">
        <is>
          <t>Evolving Skies</t>
        </is>
      </c>
      <c r="I2785" s="3" t="n">
        <v>77.38</v>
      </c>
      <c r="J2785" s="3" t="n"/>
      <c r="K2785" s="3" t="n"/>
      <c r="L2785" s="3" t="n"/>
      <c r="M2785" s="2" t="inlineStr">
        <is>
          <t>PriceCharting</t>
        </is>
      </c>
      <c r="N2785" s="4" t="inlineStr">
        <is>
          <t>https://www.pricecharting.com/game/pokemon-evolving-skies/blister-pack-octillery</t>
        </is>
      </c>
    </row>
    <row r="2786">
      <c r="A2786" s="2" t="inlineStr">
        <is>
          <t>Evolving Skies Booster Pack [Heavy]</t>
        </is>
      </c>
      <c r="B2786" s="3">
        <f>IF(I2786&lt;&gt;"",I2786,IF(J2786&lt;&gt;"",J2786,IF(K2786&lt;&gt;"",K2786,L2786)))</f>
        <v>48.1</v>
      </c>
      <c r="C2786" s="3">
        <f>MEDIAN(I2786:L2786)</f>
        <v>48.1</v>
      </c>
      <c r="D2786" s="3">
        <f>ROUND(C2786*(1-Settings!$B$2),2)</f>
        <v>33.67</v>
      </c>
      <c r="E2786" s="3">
        <f>ROUND(C2786*(1-Settings!$B$3),2)</f>
        <v>33.67</v>
      </c>
      <c r="F2786" s="2" t="inlineStr">
        <is>
          <t>Pokemon</t>
        </is>
      </c>
      <c r="G2786" s="2" t="inlineStr">
        <is>
          <t>Pack</t>
        </is>
      </c>
      <c r="H2786" s="2" t="inlineStr">
        <is>
          <t>Evolving Skies</t>
        </is>
      </c>
      <c r="I2786" s="3" t="n">
        <v>48.1</v>
      </c>
      <c r="J2786" s="3" t="n"/>
      <c r="K2786" s="3" t="n"/>
      <c r="L2786" s="3" t="n"/>
      <c r="M2786" s="2" t="inlineStr">
        <is>
          <t>PriceCharting</t>
        </is>
      </c>
      <c r="N2786" s="4" t="inlineStr">
        <is>
          <t>https://www.pricecharting.com/game/pokemon-evolving-skies/booster-pack-heavy</t>
        </is>
      </c>
    </row>
    <row r="2787">
      <c r="A2787" s="2" t="inlineStr">
        <is>
          <t>Evolving Skies Checklane Blister: Eevee</t>
        </is>
      </c>
      <c r="B2787" s="3">
        <f>IF(I2787&lt;&gt;"",I2787,IF(J2787&lt;&gt;"",J2787,IF(K2787&lt;&gt;"",K2787,L2787)))</f>
        <v>78.5</v>
      </c>
      <c r="C2787" s="3">
        <f>MEDIAN(I2787:L2787)</f>
        <v>78.5</v>
      </c>
      <c r="D2787" s="3">
        <f>ROUND(C2787*(1-Settings!$B$2),2)</f>
        <v>54.95</v>
      </c>
      <c r="E2787" s="3">
        <f>ROUND(C2787*(1-Settings!$B$3),2)</f>
        <v>54.95</v>
      </c>
      <c r="F2787" s="2" t="inlineStr">
        <is>
          <t>Pokemon</t>
        </is>
      </c>
      <c r="G2787" s="2" t="inlineStr">
        <is>
          <t>Pack</t>
        </is>
      </c>
      <c r="H2787" s="2" t="inlineStr">
        <is>
          <t>Evolving Skies</t>
        </is>
      </c>
      <c r="I2787" s="3" t="n">
        <v>78.5</v>
      </c>
      <c r="J2787" s="3" t="n"/>
      <c r="K2787" s="3" t="n"/>
      <c r="L2787" s="3" t="n"/>
      <c r="M2787" s="2" t="inlineStr">
        <is>
          <t>PriceCharting</t>
        </is>
      </c>
      <c r="N2787" s="4" t="inlineStr">
        <is>
          <t>https://www.pricecharting.com/game/pokemon-evolving-skies/checklane-blister-eevee</t>
        </is>
      </c>
    </row>
    <row r="2788">
      <c r="A2788" s="2" t="inlineStr">
        <is>
          <t>Evolving Skies Checklane Blister: Galarian Slowpoke</t>
        </is>
      </c>
      <c r="B2788" s="3">
        <f>IF(I2788&lt;&gt;"",I2788,IF(J2788&lt;&gt;"",J2788,IF(K2788&lt;&gt;"",K2788,L2788)))</f>
        <v>69.81</v>
      </c>
      <c r="C2788" s="3">
        <f>MEDIAN(I2788:L2788)</f>
        <v>69.81</v>
      </c>
      <c r="D2788" s="3">
        <f>ROUND(C2788*(1-Settings!$B$2),2)</f>
        <v>48.87</v>
      </c>
      <c r="E2788" s="3">
        <f>ROUND(C2788*(1-Settings!$B$3),2)</f>
        <v>48.87</v>
      </c>
      <c r="F2788" s="2" t="inlineStr">
        <is>
          <t>Pokemon</t>
        </is>
      </c>
      <c r="G2788" s="2" t="inlineStr">
        <is>
          <t>Pack</t>
        </is>
      </c>
      <c r="H2788" s="2" t="inlineStr">
        <is>
          <t>Evolving Skies</t>
        </is>
      </c>
      <c r="I2788" s="3" t="n">
        <v>69.81</v>
      </c>
      <c r="J2788" s="3" t="n"/>
      <c r="K2788" s="3" t="n"/>
      <c r="L2788" s="3" t="n"/>
      <c r="M2788" s="2" t="inlineStr">
        <is>
          <t>PriceCharting</t>
        </is>
      </c>
      <c r="N2788" s="4" t="inlineStr">
        <is>
          <t>https://www.pricecharting.com/game/pokemon-evolving-skies/checklane-blister-galarian-slowpoke</t>
        </is>
      </c>
    </row>
    <row r="2789">
      <c r="A2789" s="2" t="inlineStr">
        <is>
          <t>Crystal Guardians Booster Pack</t>
        </is>
      </c>
      <c r="B2789" s="3">
        <f>IF(I2789&lt;&gt;"",I2789,IF(J2789&lt;&gt;"",J2789,IF(K2789&lt;&gt;"",K2789,L2789)))</f>
        <v>967.08</v>
      </c>
      <c r="C2789" s="3">
        <f>MEDIAN(I2789:L2789)</f>
        <v>1799.9899999999998</v>
      </c>
      <c r="D2789" s="3">
        <f>ROUND(C2789*(1-Settings!$B$2),2)</f>
        <v>1259.99</v>
      </c>
      <c r="E2789" s="3">
        <f>ROUND(C2789*(1-Settings!$B$3),2)</f>
        <v>1259.99</v>
      </c>
      <c r="F2789" s="2" t="inlineStr">
        <is>
          <t>Pokemon</t>
        </is>
      </c>
      <c r="G2789" s="2" t="inlineStr">
        <is>
          <t>Pack</t>
        </is>
      </c>
      <c r="H2789" s="2" t="inlineStr">
        <is>
          <t>EX Crystal Guardians</t>
        </is>
      </c>
      <c r="I2789" s="3" t="n">
        <v>967.08</v>
      </c>
      <c r="J2789" s="3" t="n">
        <v>1299.99</v>
      </c>
      <c r="K2789" s="3" t="n">
        <v>3149.99</v>
      </c>
      <c r="L2789" s="3" t="n">
        <v>2299.99</v>
      </c>
      <c r="M2789" s="2" t="inlineStr">
        <is>
          <t>PriceCharting + TCGplayer</t>
        </is>
      </c>
      <c r="N2789" s="4" t="inlineStr">
        <is>
          <t>https://www.pricecharting.com/game/pokemon-crystal-guardians/booster-pack</t>
        </is>
      </c>
      <c r="O2789" s="4" t="inlineStr">
        <is>
          <t>https://www.tcgplayer.com/product/98566</t>
        </is>
      </c>
    </row>
    <row r="2790">
      <c r="A2790" s="2" t="inlineStr">
        <is>
          <t>Delta Species Booster Pack</t>
        </is>
      </c>
      <c r="B2790" s="3">
        <f>IF(I2790&lt;&gt;"",I2790,IF(J2790&lt;&gt;"",J2790,IF(K2790&lt;&gt;"",K2790,L2790)))</f>
        <v>1400.0</v>
      </c>
      <c r="C2790" s="3">
        <f>MEDIAN(I2790:L2790)</f>
        <v>1400.0</v>
      </c>
      <c r="D2790" s="3">
        <f>ROUND(C2790*(1-Settings!$B$2),2)</f>
        <v>980.0</v>
      </c>
      <c r="E2790" s="3">
        <f>ROUND(C2790*(1-Settings!$B$3),2)</f>
        <v>980.0</v>
      </c>
      <c r="F2790" s="2" t="inlineStr">
        <is>
          <t>Pokemon</t>
        </is>
      </c>
      <c r="G2790" s="2" t="inlineStr">
        <is>
          <t>Pack</t>
        </is>
      </c>
      <c r="H2790" s="2" t="inlineStr">
        <is>
          <t>EX Delta Species</t>
        </is>
      </c>
      <c r="I2790" s="3" t="n">
        <v>1400</v>
      </c>
      <c r="J2790" s="3" t="n"/>
      <c r="K2790" s="3" t="n"/>
      <c r="L2790" s="3" t="n"/>
      <c r="M2790" s="2" t="inlineStr">
        <is>
          <t>PriceCharting + TCGplayer</t>
        </is>
      </c>
      <c r="N2790" s="4" t="inlineStr">
        <is>
          <t>https://www.pricecharting.com/game/pokemon-delta-species/booster-pack</t>
        </is>
      </c>
      <c r="O2790" s="4" t="inlineStr">
        <is>
          <t>https://www.tcgplayer.com/product/98944</t>
        </is>
      </c>
    </row>
    <row r="2791">
      <c r="A2791" s="2" t="inlineStr">
        <is>
          <t>Emerald Booster Pack</t>
        </is>
      </c>
      <c r="B2791" s="3">
        <f>IF(I2791&lt;&gt;"",I2791,IF(J2791&lt;&gt;"",J2791,IF(K2791&lt;&gt;"",K2791,L2791)))</f>
        <v>1235.1</v>
      </c>
      <c r="C2791" s="3">
        <f>MEDIAN(I2791:L2791)</f>
        <v>1617.55</v>
      </c>
      <c r="D2791" s="3">
        <f>ROUND(C2791*(1-Settings!$B$2),2)</f>
        <v>1132.29</v>
      </c>
      <c r="E2791" s="3">
        <f>ROUND(C2791*(1-Settings!$B$3),2)</f>
        <v>1132.29</v>
      </c>
      <c r="F2791" s="2" t="inlineStr">
        <is>
          <t>Pokemon</t>
        </is>
      </c>
      <c r="G2791" s="2" t="inlineStr">
        <is>
          <t>Pack</t>
        </is>
      </c>
      <c r="H2791" s="2" t="inlineStr">
        <is>
          <t>EX Emerald</t>
        </is>
      </c>
      <c r="I2791" s="3" t="n">
        <v>1235.1</v>
      </c>
      <c r="J2791" s="3" t="n">
        <v>1000</v>
      </c>
      <c r="K2791" s="3" t="n">
        <v>3000</v>
      </c>
      <c r="L2791" s="3" t="n">
        <v>2000</v>
      </c>
      <c r="M2791" s="2" t="inlineStr">
        <is>
          <t>PriceCharting + TCGplayer</t>
        </is>
      </c>
      <c r="N2791" s="4" t="inlineStr">
        <is>
          <t>https://www.pricecharting.com/game/pokemon-emerald/booster-pack</t>
        </is>
      </c>
      <c r="O2791" s="4" t="inlineStr">
        <is>
          <t>https://www.tcgplayer.com/product/98546</t>
        </is>
      </c>
    </row>
    <row r="2792">
      <c r="A2792" s="2" t="inlineStr">
        <is>
          <t>Hidden Legends Booster Pack</t>
        </is>
      </c>
      <c r="B2792" s="3">
        <f>IF(I2792&lt;&gt;"",I2792,IF(J2792&lt;&gt;"",J2792,IF(K2792&lt;&gt;"",K2792,L2792)))</f>
        <v>529.87</v>
      </c>
      <c r="C2792" s="3">
        <f>MEDIAN(I2792:L2792)</f>
        <v>1400.0</v>
      </c>
      <c r="D2792" s="3">
        <f>ROUND(C2792*(1-Settings!$B$2),2)</f>
        <v>980.0</v>
      </c>
      <c r="E2792" s="3">
        <f>ROUND(C2792*(1-Settings!$B$3),2)</f>
        <v>980.0</v>
      </c>
      <c r="F2792" s="2" t="inlineStr">
        <is>
          <t>Pokemon</t>
        </is>
      </c>
      <c r="G2792" s="2" t="inlineStr">
        <is>
          <t>Pack</t>
        </is>
      </c>
      <c r="H2792" s="2" t="inlineStr">
        <is>
          <t>EX Hidden Legends</t>
        </is>
      </c>
      <c r="I2792" s="3" t="n">
        <v>529.87</v>
      </c>
      <c r="J2792" s="3" t="n">
        <v>800</v>
      </c>
      <c r="K2792" s="3" t="n">
        <v>2000</v>
      </c>
      <c r="L2792" s="3" t="n">
        <v>2000</v>
      </c>
      <c r="M2792" s="2" t="inlineStr">
        <is>
          <t>PriceCharting + TCGplayer</t>
        </is>
      </c>
      <c r="N2792" s="4" t="inlineStr">
        <is>
          <t>https://www.pricecharting.com/game/pokemon-hidden-legends/booster-pack</t>
        </is>
      </c>
      <c r="O2792" s="4" t="inlineStr">
        <is>
          <t>https://www.tcgplayer.com/product/98595</t>
        </is>
      </c>
    </row>
    <row r="2793">
      <c r="A2793" s="2" t="inlineStr">
        <is>
          <t>Legend Maker Booster Pack</t>
        </is>
      </c>
      <c r="B2793" s="3">
        <f>IF(I2793&lt;&gt;"",I2793,IF(J2793&lt;&gt;"",J2793,IF(K2793&lt;&gt;"",K2793,L2793)))</f>
        <v>1400.83</v>
      </c>
      <c r="C2793" s="3">
        <f>MEDIAN(I2793:L2793)</f>
        <v>1600.0</v>
      </c>
      <c r="D2793" s="3">
        <f>ROUND(C2793*(1-Settings!$B$2),2)</f>
        <v>1120.0</v>
      </c>
      <c r="E2793" s="3">
        <f>ROUND(C2793*(1-Settings!$B$3),2)</f>
        <v>1120.0</v>
      </c>
      <c r="F2793" s="2" t="inlineStr">
        <is>
          <t>Pokemon</t>
        </is>
      </c>
      <c r="G2793" s="2" t="inlineStr">
        <is>
          <t>Pack</t>
        </is>
      </c>
      <c r="H2793" s="2" t="inlineStr">
        <is>
          <t>EX Legend Maker</t>
        </is>
      </c>
      <c r="I2793" s="3" t="n">
        <v>1400.83</v>
      </c>
      <c r="J2793" s="3" t="n"/>
      <c r="K2793" s="3" t="n">
        <v>2299.99</v>
      </c>
      <c r="L2793" s="3" t="n">
        <v>1600</v>
      </c>
      <c r="M2793" s="2" t="inlineStr">
        <is>
          <t>PriceCharting + TCGplayer</t>
        </is>
      </c>
      <c r="N2793" s="4" t="inlineStr">
        <is>
          <t>https://www.pricecharting.com/game/pokemon-legend-maker/booster-pack</t>
        </is>
      </c>
      <c r="O2793" s="4" t="inlineStr">
        <is>
          <t>https://www.tcgplayer.com/product/98557</t>
        </is>
      </c>
    </row>
    <row r="2794">
      <c r="A2794" s="2" t="inlineStr">
        <is>
          <t>Power Keepers Booster Pack</t>
        </is>
      </c>
      <c r="B2794" s="3">
        <f>IF(I2794&lt;&gt;"",I2794,IF(J2794&lt;&gt;"",J2794,IF(K2794&lt;&gt;"",K2794,L2794)))</f>
        <v>993.37</v>
      </c>
      <c r="C2794" s="3">
        <f>MEDIAN(I2794:L2794)</f>
        <v>1296.68</v>
      </c>
      <c r="D2794" s="3">
        <f>ROUND(C2794*(1-Settings!$B$2),2)</f>
        <v>907.68</v>
      </c>
      <c r="E2794" s="3">
        <f>ROUND(C2794*(1-Settings!$B$3),2)</f>
        <v>907.68</v>
      </c>
      <c r="F2794" s="2" t="inlineStr">
        <is>
          <t>Pokemon</t>
        </is>
      </c>
      <c r="G2794" s="2" t="inlineStr">
        <is>
          <t>Pack</t>
        </is>
      </c>
      <c r="H2794" s="2" t="inlineStr">
        <is>
          <t>EX Power Keepers</t>
        </is>
      </c>
      <c r="I2794" s="3" t="n">
        <v>993.37</v>
      </c>
      <c r="J2794" s="3" t="n">
        <v>949.99</v>
      </c>
      <c r="K2794" s="3" t="n">
        <v>1599.99</v>
      </c>
      <c r="L2794" s="3" t="n">
        <v>1599.99</v>
      </c>
      <c r="M2794" s="2" t="inlineStr">
        <is>
          <t>PriceCharting + TCGplayer</t>
        </is>
      </c>
      <c r="N2794" s="4" t="inlineStr">
        <is>
          <t>https://www.pricecharting.com/game/pokemon-power-keepers/booster-pack</t>
        </is>
      </c>
      <c r="O2794" s="4" t="inlineStr">
        <is>
          <t>https://www.tcgplayer.com/product/98529</t>
        </is>
      </c>
    </row>
    <row r="2795">
      <c r="A2795" s="2" t="inlineStr">
        <is>
          <t>Ruby and Sapphire Booster Pack</t>
        </is>
      </c>
      <c r="B2795" s="3">
        <f>IF(I2795&lt;&gt;"",I2795,IF(J2795&lt;&gt;"",J2795,IF(K2795&lt;&gt;"",K2795,L2795)))</f>
        <v>799.99</v>
      </c>
      <c r="C2795" s="3">
        <f>MEDIAN(I2795:L2795)</f>
        <v>999.99</v>
      </c>
      <c r="D2795" s="3">
        <f>ROUND(C2795*(1-Settings!$B$2),2)</f>
        <v>699.99</v>
      </c>
      <c r="E2795" s="3">
        <f>ROUND(C2795*(1-Settings!$B$3),2)</f>
        <v>699.99</v>
      </c>
      <c r="F2795" s="2" t="inlineStr">
        <is>
          <t>Pokemon</t>
        </is>
      </c>
      <c r="G2795" s="2" t="inlineStr">
        <is>
          <t>Pack</t>
        </is>
      </c>
      <c r="H2795" s="2" t="inlineStr">
        <is>
          <t>EX Ruby and Sapphire</t>
        </is>
      </c>
      <c r="I2795" s="3" t="n"/>
      <c r="J2795" s="3" t="n">
        <v>799.99</v>
      </c>
      <c r="K2795" s="3" t="n">
        <v>1049.49</v>
      </c>
      <c r="L2795" s="3" t="n">
        <v>999.99</v>
      </c>
      <c r="M2795" s="2" t="inlineStr">
        <is>
          <t>TCGplayer</t>
        </is>
      </c>
      <c r="O2795" s="4" t="inlineStr">
        <is>
          <t>https://www.tcgplayer.com/product/98558</t>
        </is>
      </c>
    </row>
    <row r="2796">
      <c r="A2796" s="2" t="inlineStr">
        <is>
          <t>Sandstorm Booster Pack</t>
        </is>
      </c>
      <c r="B2796" s="3">
        <f>IF(I2796&lt;&gt;"",I2796,IF(J2796&lt;&gt;"",J2796,IF(K2796&lt;&gt;"",K2796,L2796)))</f>
        <v>462.29</v>
      </c>
      <c r="C2796" s="3">
        <f>MEDIAN(I2796:L2796)</f>
        <v>480.52</v>
      </c>
      <c r="D2796" s="3">
        <f>ROUND(C2796*(1-Settings!$B$2),2)</f>
        <v>336.36</v>
      </c>
      <c r="E2796" s="3">
        <f>ROUND(C2796*(1-Settings!$B$3),2)</f>
        <v>336.36</v>
      </c>
      <c r="F2796" s="2" t="inlineStr">
        <is>
          <t>Pokemon</t>
        </is>
      </c>
      <c r="G2796" s="2" t="inlineStr">
        <is>
          <t>Pack</t>
        </is>
      </c>
      <c r="H2796" s="2" t="inlineStr">
        <is>
          <t>EX Sandstorm</t>
        </is>
      </c>
      <c r="I2796" s="3" t="n">
        <v>462.29</v>
      </c>
      <c r="J2796" s="3" t="n">
        <v>498.75</v>
      </c>
      <c r="K2796" s="3" t="n"/>
      <c r="L2796" s="3" t="n"/>
      <c r="M2796" s="2" t="inlineStr">
        <is>
          <t>PriceCharting + TCGplayer</t>
        </is>
      </c>
      <c r="N2796" s="4" t="inlineStr">
        <is>
          <t>https://www.pricecharting.com/game/pokemon-sandstorm/booster-pack</t>
        </is>
      </c>
      <c r="O2796" s="4" t="inlineStr">
        <is>
          <t>https://www.tcgplayer.com/product/98565</t>
        </is>
      </c>
    </row>
    <row r="2797">
      <c r="A2797" s="2" t="inlineStr">
        <is>
          <t>Team Magma vs Team Aqua Booster Pack</t>
        </is>
      </c>
      <c r="B2797" s="3">
        <f>IF(I2797&lt;&gt;"",I2797,IF(J2797&lt;&gt;"",J2797,IF(K2797&lt;&gt;"",K2797,L2797)))</f>
        <v>1600.0</v>
      </c>
      <c r="C2797" s="3">
        <f>MEDIAN(I2797:L2797)</f>
        <v>1474.995</v>
      </c>
      <c r="D2797" s="3">
        <f>ROUND(C2797*(1-Settings!$B$2),2)</f>
        <v>1032.5</v>
      </c>
      <c r="E2797" s="3">
        <f>ROUND(C2797*(1-Settings!$B$3),2)</f>
        <v>1032.5</v>
      </c>
      <c r="F2797" s="2" t="inlineStr">
        <is>
          <t>Pokemon</t>
        </is>
      </c>
      <c r="G2797" s="2" t="inlineStr">
        <is>
          <t>Pack</t>
        </is>
      </c>
      <c r="H2797" s="2" t="inlineStr">
        <is>
          <t>EX Team Magma vs Team Aqua</t>
        </is>
      </c>
      <c r="I2797" s="3" t="n"/>
      <c r="J2797" s="3" t="n"/>
      <c r="K2797" s="3" t="n">
        <v>1600</v>
      </c>
      <c r="L2797" s="3" t="n">
        <v>1349.99</v>
      </c>
      <c r="M2797" s="2" t="inlineStr">
        <is>
          <t>TCGplayer</t>
        </is>
      </c>
      <c r="O2797" s="4" t="inlineStr">
        <is>
          <t>https://www.tcgplayer.com/product/98550</t>
        </is>
      </c>
    </row>
    <row r="2798">
      <c r="A2798" s="2" t="inlineStr">
        <is>
          <t>Team Rocket Returns Booster Pack</t>
        </is>
      </c>
      <c r="B2798" s="3">
        <f>IF(I2798&lt;&gt;"",I2798,IF(J2798&lt;&gt;"",J2798,IF(K2798&lt;&gt;"",K2798,L2798)))</f>
        <v>2117.86</v>
      </c>
      <c r="C2798" s="3">
        <f>MEDIAN(I2798:L2798)</f>
        <v>2117.86</v>
      </c>
      <c r="D2798" s="3">
        <f>ROUND(C2798*(1-Settings!$B$2),2)</f>
        <v>1482.5</v>
      </c>
      <c r="E2798" s="3">
        <f>ROUND(C2798*(1-Settings!$B$3),2)</f>
        <v>1482.5</v>
      </c>
      <c r="F2798" s="2" t="inlineStr">
        <is>
          <t>Pokemon</t>
        </is>
      </c>
      <c r="G2798" s="2" t="inlineStr">
        <is>
          <t>Pack</t>
        </is>
      </c>
      <c r="H2798" s="2" t="inlineStr">
        <is>
          <t>EX Team Rocket Returns</t>
        </is>
      </c>
      <c r="I2798" s="3" t="n">
        <v>2117.86</v>
      </c>
      <c r="J2798" s="3" t="n"/>
      <c r="K2798" s="3" t="n"/>
      <c r="L2798" s="3" t="n"/>
      <c r="M2798" s="2" t="inlineStr">
        <is>
          <t>PriceCharting + TCGplayer</t>
        </is>
      </c>
      <c r="N2798" s="4" t="inlineStr">
        <is>
          <t>https://www.pricecharting.com/game/pokemon-team-rocket-returns/booster-pack</t>
        </is>
      </c>
      <c r="O2798" s="4" t="inlineStr">
        <is>
          <t>https://www.tcgplayer.com/product/98578</t>
        </is>
      </c>
    </row>
    <row r="2799">
      <c r="A2799" s="2" t="inlineStr">
        <is>
          <t>Unseen Forces Booster Pack</t>
        </is>
      </c>
      <c r="B2799" s="3">
        <f>IF(I2799&lt;&gt;"",I2799,IF(J2799&lt;&gt;"",J2799,IF(K2799&lt;&gt;"",K2799,L2799)))</f>
        <v>1301.01</v>
      </c>
      <c r="C2799" s="3">
        <f>MEDIAN(I2799:L2799)</f>
        <v>1301.01</v>
      </c>
      <c r="D2799" s="3">
        <f>ROUND(C2799*(1-Settings!$B$2),2)</f>
        <v>910.71</v>
      </c>
      <c r="E2799" s="3">
        <f>ROUND(C2799*(1-Settings!$B$3),2)</f>
        <v>910.71</v>
      </c>
      <c r="F2799" s="2" t="inlineStr">
        <is>
          <t>Pokemon</t>
        </is>
      </c>
      <c r="G2799" s="2" t="inlineStr">
        <is>
          <t>Pack</t>
        </is>
      </c>
      <c r="H2799" s="2" t="inlineStr">
        <is>
          <t>EX Unseen Forces</t>
        </is>
      </c>
      <c r="I2799" s="3" t="n">
        <v>1301.01</v>
      </c>
      <c r="J2799" s="3" t="n"/>
      <c r="K2799" s="3" t="n"/>
      <c r="L2799" s="3" t="n"/>
      <c r="M2799" s="2" t="inlineStr">
        <is>
          <t>PriceCharting + TCGplayer</t>
        </is>
      </c>
      <c r="N2799" s="4" t="inlineStr">
        <is>
          <t>https://www.pricecharting.com/game/pokemon-unseen-forces/booster-pack</t>
        </is>
      </c>
      <c r="O2799" s="4" t="inlineStr">
        <is>
          <t>https://www.tcgplayer.com/product/98577</t>
        </is>
      </c>
    </row>
    <row r="2800">
      <c r="A2800" s="2" t="inlineStr">
        <is>
          <t>Expedition Blister Pack</t>
        </is>
      </c>
      <c r="B2800" s="3">
        <f>IF(I2800&lt;&gt;"",I2800,IF(J2800&lt;&gt;"",J2800,IF(K2800&lt;&gt;"",K2800,L2800)))</f>
        <v>3500.0</v>
      </c>
      <c r="C2800" s="3">
        <f>MEDIAN(I2800:L2800)</f>
        <v>3500.0</v>
      </c>
      <c r="D2800" s="3">
        <f>ROUND(C2800*(1-Settings!$B$2),2)</f>
        <v>2450.0</v>
      </c>
      <c r="E2800" s="3">
        <f>ROUND(C2800*(1-Settings!$B$3),2)</f>
        <v>2450.0</v>
      </c>
      <c r="F2800" s="2" t="inlineStr">
        <is>
          <t>Pokemon</t>
        </is>
      </c>
      <c r="G2800" s="2" t="inlineStr">
        <is>
          <t>Pack</t>
        </is>
      </c>
      <c r="H2800" s="2" t="inlineStr">
        <is>
          <t>Expedition</t>
        </is>
      </c>
      <c r="I2800" s="3" t="n">
        <v>3500</v>
      </c>
      <c r="J2800" s="3" t="n"/>
      <c r="K2800" s="3" t="n"/>
      <c r="L2800" s="3" t="n"/>
      <c r="M2800" s="2" t="inlineStr">
        <is>
          <t>PriceCharting</t>
        </is>
      </c>
      <c r="N2800" s="4" t="inlineStr">
        <is>
          <t>https://www.pricecharting.com/game/pokemon-expedition/blister-pack</t>
        </is>
      </c>
    </row>
    <row r="2801">
      <c r="A2801" s="2" t="inlineStr">
        <is>
          <t>Expedition Booster Pack</t>
        </is>
      </c>
      <c r="B2801" s="3">
        <f>IF(I2801&lt;&gt;"",I2801,IF(J2801&lt;&gt;"",J2801,IF(K2801&lt;&gt;"",K2801,L2801)))</f>
        <v>2124.54</v>
      </c>
      <c r="C2801" s="3">
        <f>MEDIAN(I2801:L2801)</f>
        <v>2124.54</v>
      </c>
      <c r="D2801" s="3">
        <f>ROUND(C2801*(1-Settings!$B$2),2)</f>
        <v>1487.18</v>
      </c>
      <c r="E2801" s="3">
        <f>ROUND(C2801*(1-Settings!$B$3),2)</f>
        <v>1487.18</v>
      </c>
      <c r="F2801" s="2" t="inlineStr">
        <is>
          <t>Pokemon</t>
        </is>
      </c>
      <c r="G2801" s="2" t="inlineStr">
        <is>
          <t>Pack</t>
        </is>
      </c>
      <c r="H2801" s="2" t="inlineStr">
        <is>
          <t>Expedition</t>
        </is>
      </c>
      <c r="I2801" s="3" t="n">
        <v>2124.54</v>
      </c>
      <c r="J2801" s="3" t="n"/>
      <c r="K2801" s="3" t="n"/>
      <c r="L2801" s="3" t="n"/>
      <c r="M2801" s="2" t="inlineStr">
        <is>
          <t>PriceCharting</t>
        </is>
      </c>
      <c r="N2801" s="4" t="inlineStr">
        <is>
          <t>https://www.pricecharting.com/game/pokemon-expedition/booster-pack</t>
        </is>
      </c>
    </row>
    <row r="2802">
      <c r="A2802" s="2" t="inlineStr">
        <is>
          <t>Expedition Booster Pack</t>
        </is>
      </c>
      <c r="B2802" s="3">
        <f>IF(I2802&lt;&gt;"",I2802,IF(J2802&lt;&gt;"",J2802,IF(K2802&lt;&gt;"",K2802,L2802)))</f>
        <v>4800.0</v>
      </c>
      <c r="C2802" s="3">
        <f>MEDIAN(I2802:L2802)</f>
        <v>4800.0</v>
      </c>
      <c r="D2802" s="3">
        <f>ROUND(C2802*(1-Settings!$B$2),2)</f>
        <v>3360.0</v>
      </c>
      <c r="E2802" s="3">
        <f>ROUND(C2802*(1-Settings!$B$3),2)</f>
        <v>3360.0</v>
      </c>
      <c r="F2802" s="2" t="inlineStr">
        <is>
          <t>Pokemon</t>
        </is>
      </c>
      <c r="G2802" s="2" t="inlineStr">
        <is>
          <t>Pack</t>
        </is>
      </c>
      <c r="H2802" s="2" t="inlineStr">
        <is>
          <t>Expedition</t>
        </is>
      </c>
      <c r="I2802" s="3" t="n"/>
      <c r="J2802" s="3" t="n"/>
      <c r="K2802" s="3" t="n">
        <v>4800</v>
      </c>
      <c r="L2802" s="3" t="n">
        <v>4800</v>
      </c>
      <c r="M2802" s="2" t="inlineStr">
        <is>
          <t>TCGplayer</t>
        </is>
      </c>
      <c r="O2802" s="4" t="inlineStr">
        <is>
          <t>https://www.tcgplayer.com/product/138151</t>
        </is>
      </c>
    </row>
    <row r="2803">
      <c r="A2803" s="2" t="inlineStr">
        <is>
          <t>Fates Collide Blister Pack</t>
        </is>
      </c>
      <c r="B2803" s="3">
        <f>IF(I2803&lt;&gt;"",I2803,IF(J2803&lt;&gt;"",J2803,IF(K2803&lt;&gt;"",K2803,L2803)))</f>
        <v>173.09</v>
      </c>
      <c r="C2803" s="3">
        <f>MEDIAN(I2803:L2803)</f>
        <v>173.09</v>
      </c>
      <c r="D2803" s="3">
        <f>ROUND(C2803*(1-Settings!$B$2),2)</f>
        <v>121.16</v>
      </c>
      <c r="E2803" s="3">
        <f>ROUND(C2803*(1-Settings!$B$3),2)</f>
        <v>121.16</v>
      </c>
      <c r="F2803" s="2" t="inlineStr">
        <is>
          <t>Pokemon</t>
        </is>
      </c>
      <c r="G2803" s="2" t="inlineStr">
        <is>
          <t>Pack</t>
        </is>
      </c>
      <c r="H2803" s="2" t="inlineStr">
        <is>
          <t>Fates Collide</t>
        </is>
      </c>
      <c r="I2803" s="3" t="n">
        <v>173.09</v>
      </c>
      <c r="J2803" s="3" t="n"/>
      <c r="K2803" s="3" t="n"/>
      <c r="L2803" s="3" t="n"/>
      <c r="M2803" s="2" t="inlineStr">
        <is>
          <t>PriceCharting</t>
        </is>
      </c>
      <c r="N2803" s="4" t="inlineStr">
        <is>
          <t>https://www.pricecharting.com/game/pokemon-fates-collide/blister-pack</t>
        </is>
      </c>
    </row>
    <row r="2804">
      <c r="A2804" s="2" t="inlineStr">
        <is>
          <t>Fates Collide Booster Pack</t>
        </is>
      </c>
      <c r="B2804" s="3">
        <f>IF(I2804&lt;&gt;"",I2804,IF(J2804&lt;&gt;"",J2804,IF(K2804&lt;&gt;"",K2804,L2804)))</f>
        <v>42.99</v>
      </c>
      <c r="C2804" s="3">
        <f>MEDIAN(I2804:L2804)</f>
        <v>42.99</v>
      </c>
      <c r="D2804" s="3">
        <f>ROUND(C2804*(1-Settings!$B$2),2)</f>
        <v>30.09</v>
      </c>
      <c r="E2804" s="3">
        <f>ROUND(C2804*(1-Settings!$B$3),2)</f>
        <v>30.09</v>
      </c>
      <c r="F2804" s="2" t="inlineStr">
        <is>
          <t>Pokemon</t>
        </is>
      </c>
      <c r="G2804" s="2" t="inlineStr">
        <is>
          <t>Pack</t>
        </is>
      </c>
      <c r="H2804" s="2" t="inlineStr">
        <is>
          <t>Fates Collide</t>
        </is>
      </c>
      <c r="I2804" s="3" t="n">
        <v>42.99</v>
      </c>
      <c r="J2804" s="3" t="n"/>
      <c r="K2804" s="3" t="n"/>
      <c r="L2804" s="3" t="n"/>
      <c r="M2804" s="2" t="inlineStr">
        <is>
          <t>PriceCharting</t>
        </is>
      </c>
      <c r="N2804" s="4" t="inlineStr">
        <is>
          <t>https://www.pricecharting.com/game/pokemon-fates-collide/booster-pack</t>
        </is>
      </c>
    </row>
    <row r="2805">
      <c r="A2805" s="2" t="inlineStr">
        <is>
          <t>Fates Collide Mini Booster Pack</t>
        </is>
      </c>
      <c r="B2805" s="3">
        <f>IF(I2805&lt;&gt;"",I2805,IF(J2805&lt;&gt;"",J2805,IF(K2805&lt;&gt;"",K2805,L2805)))</f>
        <v>10.5</v>
      </c>
      <c r="C2805" s="3">
        <f>MEDIAN(I2805:L2805)</f>
        <v>10.5</v>
      </c>
      <c r="D2805" s="3">
        <f>ROUND(C2805*(1-Settings!$B$2),2)</f>
        <v>7.35</v>
      </c>
      <c r="E2805" s="3">
        <f>ROUND(C2805*(1-Settings!$B$3),2)</f>
        <v>7.35</v>
      </c>
      <c r="F2805" s="2" t="inlineStr">
        <is>
          <t>Pokemon</t>
        </is>
      </c>
      <c r="G2805" s="2" t="inlineStr">
        <is>
          <t>Pack</t>
        </is>
      </c>
      <c r="H2805" s="2" t="inlineStr">
        <is>
          <t>Fates Collide</t>
        </is>
      </c>
      <c r="I2805" s="3" t="n">
        <v>10.5</v>
      </c>
      <c r="J2805" s="3" t="n"/>
      <c r="K2805" s="3" t="n"/>
      <c r="L2805" s="3" t="n"/>
      <c r="M2805" s="2" t="inlineStr">
        <is>
          <t>PriceCharting</t>
        </is>
      </c>
      <c r="N2805" s="4" t="inlineStr">
        <is>
          <t>https://www.pricecharting.com/game/pokemon-fates-collide/mini-booster-pack</t>
        </is>
      </c>
    </row>
    <row r="2806">
      <c r="A2806" s="2" t="inlineStr">
        <is>
          <t>Fates Collide Sleeved Booster Pack</t>
        </is>
      </c>
      <c r="B2806" s="3">
        <f>IF(I2806&lt;&gt;"",I2806,IF(J2806&lt;&gt;"",J2806,IF(K2806&lt;&gt;"",K2806,L2806)))</f>
        <v>49.99</v>
      </c>
      <c r="C2806" s="3">
        <f>MEDIAN(I2806:L2806)</f>
        <v>49.99</v>
      </c>
      <c r="D2806" s="3">
        <f>ROUND(C2806*(1-Settings!$B$2),2)</f>
        <v>34.99</v>
      </c>
      <c r="E2806" s="3">
        <f>ROUND(C2806*(1-Settings!$B$3),2)</f>
        <v>34.99</v>
      </c>
      <c r="F2806" s="2" t="inlineStr">
        <is>
          <t>Pokemon</t>
        </is>
      </c>
      <c r="G2806" s="2" t="inlineStr">
        <is>
          <t>Pack</t>
        </is>
      </c>
      <c r="H2806" s="2" t="inlineStr">
        <is>
          <t>Fates Collide</t>
        </is>
      </c>
      <c r="I2806" s="3" t="n">
        <v>49.99</v>
      </c>
      <c r="J2806" s="3" t="n"/>
      <c r="K2806" s="3" t="n"/>
      <c r="L2806" s="3" t="n"/>
      <c r="M2806" s="2" t="inlineStr">
        <is>
          <t>PriceCharting</t>
        </is>
      </c>
      <c r="N2806" s="4" t="inlineStr">
        <is>
          <t>https://www.pricecharting.com/game/pokemon-fates-collide/sleeved-booster-pack</t>
        </is>
      </c>
    </row>
    <row r="2807">
      <c r="A2807" s="2" t="inlineStr">
        <is>
          <t>First Partner Pack (Alola)</t>
        </is>
      </c>
      <c r="B2807" s="3">
        <f>IF(I2807&lt;&gt;"",I2807,IF(J2807&lt;&gt;"",J2807,IF(K2807&lt;&gt;"",K2807,L2807)))</f>
        <v>24.71</v>
      </c>
      <c r="C2807" s="3">
        <f>MEDIAN(I2807:L2807)</f>
        <v>25.0</v>
      </c>
      <c r="D2807" s="3">
        <f>ROUND(C2807*(1-Settings!$B$2),2)</f>
        <v>17.5</v>
      </c>
      <c r="E2807" s="3">
        <f>ROUND(C2807*(1-Settings!$B$3),2)</f>
        <v>17.5</v>
      </c>
      <c r="F2807" s="2" t="inlineStr">
        <is>
          <t>Pokemon</t>
        </is>
      </c>
      <c r="G2807" s="2" t="inlineStr">
        <is>
          <t>Pack</t>
        </is>
      </c>
      <c r="H2807" s="2" t="inlineStr">
        <is>
          <t>First Partner Pack</t>
        </is>
      </c>
      <c r="I2807" s="3" t="n"/>
      <c r="J2807" s="3" t="n">
        <v>24.71</v>
      </c>
      <c r="K2807" s="3" t="n">
        <v>31.57</v>
      </c>
      <c r="L2807" s="3" t="n">
        <v>25</v>
      </c>
      <c r="M2807" s="2" t="inlineStr">
        <is>
          <t>TCGplayer</t>
        </is>
      </c>
      <c r="O2807" s="4" t="inlineStr">
        <is>
          <t>https://www.tcgplayer.com/product/231300</t>
        </is>
      </c>
    </row>
    <row r="2808">
      <c r="A2808" s="2" t="inlineStr">
        <is>
          <t>First Partner Pack (Galar)</t>
        </is>
      </c>
      <c r="B2808" s="3">
        <f>IF(I2808&lt;&gt;"",I2808,IF(J2808&lt;&gt;"",J2808,IF(K2808&lt;&gt;"",K2808,L2808)))</f>
        <v>31.5</v>
      </c>
      <c r="C2808" s="3">
        <f>MEDIAN(I2808:L2808)</f>
        <v>31.5</v>
      </c>
      <c r="D2808" s="3">
        <f>ROUND(C2808*(1-Settings!$B$2),2)</f>
        <v>22.05</v>
      </c>
      <c r="E2808" s="3">
        <f>ROUND(C2808*(1-Settings!$B$3),2)</f>
        <v>22.05</v>
      </c>
      <c r="F2808" s="2" t="inlineStr">
        <is>
          <t>Pokemon</t>
        </is>
      </c>
      <c r="G2808" s="2" t="inlineStr">
        <is>
          <t>Pack</t>
        </is>
      </c>
      <c r="H2808" s="2" t="inlineStr">
        <is>
          <t>First Partner Pack</t>
        </is>
      </c>
      <c r="I2808" s="3" t="n"/>
      <c r="J2808" s="3" t="n">
        <v>31.5</v>
      </c>
      <c r="K2808" s="3" t="n">
        <v>36.88</v>
      </c>
      <c r="L2808" s="3" t="n">
        <v>29.99</v>
      </c>
      <c r="M2808" s="2" t="inlineStr">
        <is>
          <t>TCGplayer</t>
        </is>
      </c>
      <c r="O2808" s="4" t="inlineStr">
        <is>
          <t>https://www.tcgplayer.com/product/231299</t>
        </is>
      </c>
    </row>
    <row r="2809">
      <c r="A2809" s="2" t="inlineStr">
        <is>
          <t>First Partner Pack (Hoenn)</t>
        </is>
      </c>
      <c r="B2809" s="3">
        <f>IF(I2809&lt;&gt;"",I2809,IF(J2809&lt;&gt;"",J2809,IF(K2809&lt;&gt;"",K2809,L2809)))</f>
        <v>25.01</v>
      </c>
      <c r="C2809" s="3">
        <f>MEDIAN(I2809:L2809)</f>
        <v>25.01</v>
      </c>
      <c r="D2809" s="3">
        <f>ROUND(C2809*(1-Settings!$B$2),2)</f>
        <v>17.51</v>
      </c>
      <c r="E2809" s="3">
        <f>ROUND(C2809*(1-Settings!$B$3),2)</f>
        <v>17.51</v>
      </c>
      <c r="F2809" s="2" t="inlineStr">
        <is>
          <t>Pokemon</t>
        </is>
      </c>
      <c r="G2809" s="2" t="inlineStr">
        <is>
          <t>Pack</t>
        </is>
      </c>
      <c r="H2809" s="2" t="inlineStr">
        <is>
          <t>First Partner Pack</t>
        </is>
      </c>
      <c r="I2809" s="3" t="n"/>
      <c r="J2809" s="3" t="n">
        <v>25.01</v>
      </c>
      <c r="K2809" s="3" t="n">
        <v>27.25</v>
      </c>
      <c r="L2809" s="3" t="n">
        <v>24</v>
      </c>
      <c r="M2809" s="2" t="inlineStr">
        <is>
          <t>TCGplayer</t>
        </is>
      </c>
      <c r="O2809" s="4" t="inlineStr">
        <is>
          <t>https://www.tcgplayer.com/product/231304</t>
        </is>
      </c>
    </row>
    <row r="2810">
      <c r="A2810" s="2" t="inlineStr">
        <is>
          <t>First Partner Pack (Johto)</t>
        </is>
      </c>
      <c r="B2810" s="3">
        <f>IF(I2810&lt;&gt;"",I2810,IF(J2810&lt;&gt;"",J2810,IF(K2810&lt;&gt;"",K2810,L2810)))</f>
        <v>64.84</v>
      </c>
      <c r="C2810" s="3">
        <f>MEDIAN(I2810:L2810)</f>
        <v>68.99</v>
      </c>
      <c r="D2810" s="3">
        <f>ROUND(C2810*(1-Settings!$B$2),2)</f>
        <v>48.29</v>
      </c>
      <c r="E2810" s="3">
        <f>ROUND(C2810*(1-Settings!$B$3),2)</f>
        <v>48.29</v>
      </c>
      <c r="F2810" s="2" t="inlineStr">
        <is>
          <t>Pokemon</t>
        </is>
      </c>
      <c r="G2810" s="2" t="inlineStr">
        <is>
          <t>Pack</t>
        </is>
      </c>
      <c r="H2810" s="2" t="inlineStr">
        <is>
          <t>First Partner Pack</t>
        </is>
      </c>
      <c r="I2810" s="3" t="n"/>
      <c r="J2810" s="3" t="n">
        <v>64.84</v>
      </c>
      <c r="K2810" s="3" t="n">
        <v>74.83</v>
      </c>
      <c r="L2810" s="3" t="n">
        <v>68.98999999999999</v>
      </c>
      <c r="M2810" s="2" t="inlineStr">
        <is>
          <t>TCGplayer</t>
        </is>
      </c>
      <c r="O2810" s="4" t="inlineStr">
        <is>
          <t>https://www.tcgplayer.com/product/231305</t>
        </is>
      </c>
    </row>
    <row r="2811">
      <c r="A2811" s="2" t="inlineStr">
        <is>
          <t>First Partner Pack (Kalos)</t>
        </is>
      </c>
      <c r="B2811" s="3">
        <f>IF(I2811&lt;&gt;"",I2811,IF(J2811&lt;&gt;"",J2811,IF(K2811&lt;&gt;"",K2811,L2811)))</f>
        <v>27.03</v>
      </c>
      <c r="C2811" s="3">
        <f>MEDIAN(I2811:L2811)</f>
        <v>30.9</v>
      </c>
      <c r="D2811" s="3">
        <f>ROUND(C2811*(1-Settings!$B$2),2)</f>
        <v>21.63</v>
      </c>
      <c r="E2811" s="3">
        <f>ROUND(C2811*(1-Settings!$B$3),2)</f>
        <v>21.63</v>
      </c>
      <c r="F2811" s="2" t="inlineStr">
        <is>
          <t>Pokemon</t>
        </is>
      </c>
      <c r="G2811" s="2" t="inlineStr">
        <is>
          <t>Pack</t>
        </is>
      </c>
      <c r="H2811" s="2" t="inlineStr">
        <is>
          <t>First Partner Pack</t>
        </is>
      </c>
      <c r="I2811" s="3" t="n"/>
      <c r="J2811" s="3" t="n">
        <v>27.03</v>
      </c>
      <c r="K2811" s="3" t="n">
        <v>36.49</v>
      </c>
      <c r="L2811" s="3" t="n">
        <v>30.9</v>
      </c>
      <c r="M2811" s="2" t="inlineStr">
        <is>
          <t>TCGplayer</t>
        </is>
      </c>
      <c r="O2811" s="4" t="inlineStr">
        <is>
          <t>https://www.tcgplayer.com/product/231301</t>
        </is>
      </c>
    </row>
    <row r="2812">
      <c r="A2812" s="2" t="inlineStr">
        <is>
          <t>First Partner Pack (Kanto)</t>
        </is>
      </c>
      <c r="B2812" s="3">
        <f>IF(I2812&lt;&gt;"",I2812,IF(J2812&lt;&gt;"",J2812,IF(K2812&lt;&gt;"",K2812,L2812)))</f>
        <v>69.26</v>
      </c>
      <c r="C2812" s="3">
        <f>MEDIAN(I2812:L2812)</f>
        <v>69.26</v>
      </c>
      <c r="D2812" s="3">
        <f>ROUND(C2812*(1-Settings!$B$2),2)</f>
        <v>48.48</v>
      </c>
      <c r="E2812" s="3">
        <f>ROUND(C2812*(1-Settings!$B$3),2)</f>
        <v>48.48</v>
      </c>
      <c r="F2812" s="2" t="inlineStr">
        <is>
          <t>Pokemon</t>
        </is>
      </c>
      <c r="G2812" s="2" t="inlineStr">
        <is>
          <t>Pack</t>
        </is>
      </c>
      <c r="H2812" s="2" t="inlineStr">
        <is>
          <t>First Partner Pack</t>
        </is>
      </c>
      <c r="I2812" s="3" t="n"/>
      <c r="J2812" s="3" t="n">
        <v>69.26000000000001</v>
      </c>
      <c r="K2812" s="3" t="n">
        <v>74.34</v>
      </c>
      <c r="L2812" s="3" t="n">
        <v>61.92</v>
      </c>
      <c r="M2812" s="2" t="inlineStr">
        <is>
          <t>TCGplayer</t>
        </is>
      </c>
      <c r="O2812" s="4" t="inlineStr">
        <is>
          <t>https://www.tcgplayer.com/product/231306</t>
        </is>
      </c>
    </row>
    <row r="2813">
      <c r="A2813" s="2" t="inlineStr">
        <is>
          <t>First Partner Pack (Sinnoh)</t>
        </is>
      </c>
      <c r="B2813" s="3">
        <f>IF(I2813&lt;&gt;"",I2813,IF(J2813&lt;&gt;"",J2813,IF(K2813&lt;&gt;"",K2813,L2813)))</f>
        <v>23.43</v>
      </c>
      <c r="C2813" s="3">
        <f>MEDIAN(I2813:L2813)</f>
        <v>24.0</v>
      </c>
      <c r="D2813" s="3">
        <f>ROUND(C2813*(1-Settings!$B$2),2)</f>
        <v>16.8</v>
      </c>
      <c r="E2813" s="3">
        <f>ROUND(C2813*(1-Settings!$B$3),2)</f>
        <v>16.8</v>
      </c>
      <c r="F2813" s="2" t="inlineStr">
        <is>
          <t>Pokemon</t>
        </is>
      </c>
      <c r="G2813" s="2" t="inlineStr">
        <is>
          <t>Pack</t>
        </is>
      </c>
      <c r="H2813" s="2" t="inlineStr">
        <is>
          <t>First Partner Pack</t>
        </is>
      </c>
      <c r="I2813" s="3" t="n"/>
      <c r="J2813" s="3" t="n">
        <v>23.43</v>
      </c>
      <c r="K2813" s="3" t="n">
        <v>30</v>
      </c>
      <c r="L2813" s="3" t="n">
        <v>24</v>
      </c>
      <c r="M2813" s="2" t="inlineStr">
        <is>
          <t>TCGplayer</t>
        </is>
      </c>
      <c r="O2813" s="4" t="inlineStr">
        <is>
          <t>https://www.tcgplayer.com/product/231303</t>
        </is>
      </c>
    </row>
    <row r="2814">
      <c r="A2814" s="2" t="inlineStr">
        <is>
          <t>First Partner Pack (Unova)</t>
        </is>
      </c>
      <c r="B2814" s="3">
        <f>IF(I2814&lt;&gt;"",I2814,IF(J2814&lt;&gt;"",J2814,IF(K2814&lt;&gt;"",K2814,L2814)))</f>
        <v>22.97</v>
      </c>
      <c r="C2814" s="3">
        <f>MEDIAN(I2814:L2814)</f>
        <v>22.97</v>
      </c>
      <c r="D2814" s="3">
        <f>ROUND(C2814*(1-Settings!$B$2),2)</f>
        <v>16.08</v>
      </c>
      <c r="E2814" s="3">
        <f>ROUND(C2814*(1-Settings!$B$3),2)</f>
        <v>16.08</v>
      </c>
      <c r="F2814" s="2" t="inlineStr">
        <is>
          <t>Pokemon</t>
        </is>
      </c>
      <c r="G2814" s="2" t="inlineStr">
        <is>
          <t>Pack</t>
        </is>
      </c>
      <c r="H2814" s="2" t="inlineStr">
        <is>
          <t>First Partner Pack</t>
        </is>
      </c>
      <c r="I2814" s="3" t="n"/>
      <c r="J2814" s="3" t="n">
        <v>22.97</v>
      </c>
      <c r="K2814" s="3" t="n">
        <v>25.69</v>
      </c>
      <c r="L2814" s="3" t="n">
        <v>20.31</v>
      </c>
      <c r="M2814" s="2" t="inlineStr">
        <is>
          <t>TCGplayer</t>
        </is>
      </c>
      <c r="O2814" s="4" t="inlineStr">
        <is>
          <t>https://www.tcgplayer.com/product/231302</t>
        </is>
      </c>
    </row>
    <row r="2815">
      <c r="A2815" s="2" t="inlineStr">
        <is>
          <t>Flashfire Blister Pack</t>
        </is>
      </c>
      <c r="B2815" s="3">
        <f>IF(I2815&lt;&gt;"",I2815,IF(J2815&lt;&gt;"",J2815,IF(K2815&lt;&gt;"",K2815,L2815)))</f>
        <v>463.45</v>
      </c>
      <c r="C2815" s="3">
        <f>MEDIAN(I2815:L2815)</f>
        <v>463.45</v>
      </c>
      <c r="D2815" s="3">
        <f>ROUND(C2815*(1-Settings!$B$2),2)</f>
        <v>324.42</v>
      </c>
      <c r="E2815" s="3">
        <f>ROUND(C2815*(1-Settings!$B$3),2)</f>
        <v>324.42</v>
      </c>
      <c r="F2815" s="2" t="inlineStr">
        <is>
          <t>Pokemon</t>
        </is>
      </c>
      <c r="G2815" s="2" t="inlineStr">
        <is>
          <t>Pack</t>
        </is>
      </c>
      <c r="H2815" s="2" t="inlineStr">
        <is>
          <t>Flashfire</t>
        </is>
      </c>
      <c r="I2815" s="3" t="n">
        <v>463.45</v>
      </c>
      <c r="J2815" s="3" t="n"/>
      <c r="K2815" s="3" t="n"/>
      <c r="L2815" s="3" t="n"/>
      <c r="M2815" s="2" t="inlineStr">
        <is>
          <t>PriceCharting</t>
        </is>
      </c>
      <c r="N2815" s="4" t="inlineStr">
        <is>
          <t>https://www.pricecharting.com/game/pokemon-flashfire/blister-pack</t>
        </is>
      </c>
    </row>
    <row r="2816">
      <c r="A2816" s="2" t="inlineStr">
        <is>
          <t>Flashfire Mini Booster Pack</t>
        </is>
      </c>
      <c r="B2816" s="3">
        <f>IF(I2816&lt;&gt;"",I2816,IF(J2816&lt;&gt;"",J2816,IF(K2816&lt;&gt;"",K2816,L2816)))</f>
        <v>29.25</v>
      </c>
      <c r="C2816" s="3">
        <f>MEDIAN(I2816:L2816)</f>
        <v>29.25</v>
      </c>
      <c r="D2816" s="3">
        <f>ROUND(C2816*(1-Settings!$B$2),2)</f>
        <v>20.48</v>
      </c>
      <c r="E2816" s="3">
        <f>ROUND(C2816*(1-Settings!$B$3),2)</f>
        <v>20.48</v>
      </c>
      <c r="F2816" s="2" t="inlineStr">
        <is>
          <t>Pokemon</t>
        </is>
      </c>
      <c r="G2816" s="2" t="inlineStr">
        <is>
          <t>Pack</t>
        </is>
      </c>
      <c r="H2816" s="2" t="inlineStr">
        <is>
          <t>Flashfire</t>
        </is>
      </c>
      <c r="I2816" s="3" t="n">
        <v>29.25</v>
      </c>
      <c r="J2816" s="3" t="n"/>
      <c r="K2816" s="3" t="n"/>
      <c r="L2816" s="3" t="n"/>
      <c r="M2816" s="2" t="inlineStr">
        <is>
          <t>PriceCharting</t>
        </is>
      </c>
      <c r="N2816" s="4" t="inlineStr">
        <is>
          <t>https://www.pricecharting.com/game/pokemon-flashfire/mini-booster-pack</t>
        </is>
      </c>
    </row>
    <row r="2817">
      <c r="A2817" s="2" t="inlineStr">
        <is>
          <t>Forbidden Light Blister Pack</t>
        </is>
      </c>
      <c r="B2817" s="3">
        <f>IF(I2817&lt;&gt;"",I2817,IF(J2817&lt;&gt;"",J2817,IF(K2817&lt;&gt;"",K2817,L2817)))</f>
        <v>75.0</v>
      </c>
      <c r="C2817" s="3">
        <f>MEDIAN(I2817:L2817)</f>
        <v>75.0</v>
      </c>
      <c r="D2817" s="3">
        <f>ROUND(C2817*(1-Settings!$B$2),2)</f>
        <v>52.5</v>
      </c>
      <c r="E2817" s="3">
        <f>ROUND(C2817*(1-Settings!$B$3),2)</f>
        <v>52.5</v>
      </c>
      <c r="F2817" s="2" t="inlineStr">
        <is>
          <t>Pokemon</t>
        </is>
      </c>
      <c r="G2817" s="2" t="inlineStr">
        <is>
          <t>Pack</t>
        </is>
      </c>
      <c r="H2817" s="2" t="inlineStr">
        <is>
          <t>Forbidden Light</t>
        </is>
      </c>
      <c r="I2817" s="3" t="n">
        <v>75</v>
      </c>
      <c r="J2817" s="3" t="n"/>
      <c r="K2817" s="3" t="n"/>
      <c r="L2817" s="3" t="n"/>
      <c r="M2817" s="2" t="inlineStr">
        <is>
          <t>PriceCharting</t>
        </is>
      </c>
      <c r="N2817" s="4" t="inlineStr">
        <is>
          <t>https://www.pricecharting.com/game/pokemon-forbidden-light/blister-pack</t>
        </is>
      </c>
    </row>
    <row r="2818">
      <c r="A2818" s="2" t="inlineStr">
        <is>
          <t>Forbidden Light Mini Booster Pack</t>
        </is>
      </c>
      <c r="B2818" s="3">
        <f>IF(I2818&lt;&gt;"",I2818,IF(J2818&lt;&gt;"",J2818,IF(K2818&lt;&gt;"",K2818,L2818)))</f>
        <v>52.0</v>
      </c>
      <c r="C2818" s="3">
        <f>MEDIAN(I2818:L2818)</f>
        <v>52.0</v>
      </c>
      <c r="D2818" s="3">
        <f>ROUND(C2818*(1-Settings!$B$2),2)</f>
        <v>36.4</v>
      </c>
      <c r="E2818" s="3">
        <f>ROUND(C2818*(1-Settings!$B$3),2)</f>
        <v>36.4</v>
      </c>
      <c r="F2818" s="2" t="inlineStr">
        <is>
          <t>Pokemon</t>
        </is>
      </c>
      <c r="G2818" s="2" t="inlineStr">
        <is>
          <t>Pack</t>
        </is>
      </c>
      <c r="H2818" s="2" t="inlineStr">
        <is>
          <t>Forbidden Light</t>
        </is>
      </c>
      <c r="I2818" s="3" t="n">
        <v>52</v>
      </c>
      <c r="J2818" s="3" t="n"/>
      <c r="K2818" s="3" t="n"/>
      <c r="L2818" s="3" t="n"/>
      <c r="M2818" s="2" t="inlineStr">
        <is>
          <t>PriceCharting</t>
        </is>
      </c>
      <c r="N2818" s="4" t="inlineStr">
        <is>
          <t>https://www.pricecharting.com/game/pokemon-forbidden-light/mini-booster-pack</t>
        </is>
      </c>
    </row>
    <row r="2819">
      <c r="A2819" s="2" t="inlineStr">
        <is>
          <t>Forbidden Light Mini Portfolio Double Pack</t>
        </is>
      </c>
      <c r="B2819" s="3">
        <f>IF(I2819&lt;&gt;"",I2819,IF(J2819&lt;&gt;"",J2819,IF(K2819&lt;&gt;"",K2819,L2819)))</f>
        <v>32.33</v>
      </c>
      <c r="C2819" s="3">
        <f>MEDIAN(I2819:L2819)</f>
        <v>32.33</v>
      </c>
      <c r="D2819" s="3">
        <f>ROUND(C2819*(1-Settings!$B$2),2)</f>
        <v>22.63</v>
      </c>
      <c r="E2819" s="3">
        <f>ROUND(C2819*(1-Settings!$B$3),2)</f>
        <v>22.63</v>
      </c>
      <c r="F2819" s="2" t="inlineStr">
        <is>
          <t>Pokemon</t>
        </is>
      </c>
      <c r="G2819" s="2" t="inlineStr">
        <is>
          <t>Pack</t>
        </is>
      </c>
      <c r="H2819" s="2" t="inlineStr">
        <is>
          <t>Forbidden Light</t>
        </is>
      </c>
      <c r="I2819" s="3" t="n">
        <v>32.33</v>
      </c>
      <c r="J2819" s="3" t="n"/>
      <c r="K2819" s="3" t="n"/>
      <c r="L2819" s="3" t="n"/>
      <c r="M2819" s="2" t="inlineStr">
        <is>
          <t>PriceCharting</t>
        </is>
      </c>
      <c r="N2819" s="4" t="inlineStr">
        <is>
          <t>https://www.pricecharting.com/game/pokemon-forbidden-light/mini-portfolio-double-pack</t>
        </is>
      </c>
    </row>
    <row r="2820">
      <c r="A2820" s="2" t="inlineStr">
        <is>
          <t>Forbidden Light Sampling Pack</t>
        </is>
      </c>
      <c r="B2820" s="3">
        <f>IF(I2820&lt;&gt;"",I2820,IF(J2820&lt;&gt;"",J2820,IF(K2820&lt;&gt;"",K2820,L2820)))</f>
        <v>9.27</v>
      </c>
      <c r="C2820" s="3">
        <f>MEDIAN(I2820:L2820)</f>
        <v>9.27</v>
      </c>
      <c r="D2820" s="3">
        <f>ROUND(C2820*(1-Settings!$B$2),2)</f>
        <v>6.49</v>
      </c>
      <c r="E2820" s="3">
        <f>ROUND(C2820*(1-Settings!$B$3),2)</f>
        <v>6.49</v>
      </c>
      <c r="F2820" s="2" t="inlineStr">
        <is>
          <t>Pokemon</t>
        </is>
      </c>
      <c r="G2820" s="2" t="inlineStr">
        <is>
          <t>Pack</t>
        </is>
      </c>
      <c r="H2820" s="2" t="inlineStr">
        <is>
          <t>Forbidden Light</t>
        </is>
      </c>
      <c r="I2820" s="3" t="n">
        <v>9.27</v>
      </c>
      <c r="J2820" s="3" t="n"/>
      <c r="K2820" s="3" t="n"/>
      <c r="L2820" s="3" t="n"/>
      <c r="M2820" s="2" t="inlineStr">
        <is>
          <t>PriceCharting</t>
        </is>
      </c>
      <c r="N2820" s="4" t="inlineStr">
        <is>
          <t>https://www.pricecharting.com/game/pokemon-forbidden-light/sampling-pack</t>
        </is>
      </c>
    </row>
    <row r="2821">
      <c r="A2821" s="2" t="inlineStr">
        <is>
          <t>Fossil Blister Pack</t>
        </is>
      </c>
      <c r="B2821" s="3">
        <f>IF(I2821&lt;&gt;"",I2821,IF(J2821&lt;&gt;"",J2821,IF(K2821&lt;&gt;"",K2821,L2821)))</f>
        <v>633.69</v>
      </c>
      <c r="C2821" s="3">
        <f>MEDIAN(I2821:L2821)</f>
        <v>633.69</v>
      </c>
      <c r="D2821" s="3">
        <f>ROUND(C2821*(1-Settings!$B$2),2)</f>
        <v>443.58</v>
      </c>
      <c r="E2821" s="3">
        <f>ROUND(C2821*(1-Settings!$B$3),2)</f>
        <v>443.58</v>
      </c>
      <c r="F2821" s="2" t="inlineStr">
        <is>
          <t>Pokemon</t>
        </is>
      </c>
      <c r="G2821" s="2" t="inlineStr">
        <is>
          <t>Pack</t>
        </is>
      </c>
      <c r="H2821" s="2" t="inlineStr">
        <is>
          <t>Fossil</t>
        </is>
      </c>
      <c r="I2821" s="3" t="n">
        <v>633.6900000000001</v>
      </c>
      <c r="J2821" s="3" t="n"/>
      <c r="K2821" s="3" t="n"/>
      <c r="L2821" s="3" t="n"/>
      <c r="M2821" s="2" t="inlineStr">
        <is>
          <t>PriceCharting + TCGplayer</t>
        </is>
      </c>
      <c r="N2821" s="4" t="inlineStr">
        <is>
          <t>https://www.pricecharting.com/game/pokemon-fossil/blister-pack</t>
        </is>
      </c>
      <c r="O2821" s="4" t="inlineStr">
        <is>
          <t>https://www.tcgplayer.com/product/692399</t>
        </is>
      </c>
    </row>
    <row r="2822">
      <c r="A2822" s="2" t="inlineStr">
        <is>
          <t>Fossil Booster Pack</t>
        </is>
      </c>
      <c r="B2822" s="3">
        <f>IF(I2822&lt;&gt;"",I2822,IF(J2822&lt;&gt;"",J2822,IF(K2822&lt;&gt;"",K2822,L2822)))</f>
        <v>306.17</v>
      </c>
      <c r="C2822" s="3">
        <f>MEDIAN(I2822:L2822)</f>
        <v>306.17</v>
      </c>
      <c r="D2822" s="3">
        <f>ROUND(C2822*(1-Settings!$B$2),2)</f>
        <v>214.32</v>
      </c>
      <c r="E2822" s="3">
        <f>ROUND(C2822*(1-Settings!$B$3),2)</f>
        <v>214.32</v>
      </c>
      <c r="F2822" s="2" t="inlineStr">
        <is>
          <t>Pokemon</t>
        </is>
      </c>
      <c r="G2822" s="2" t="inlineStr">
        <is>
          <t>Pack</t>
        </is>
      </c>
      <c r="H2822" s="2" t="inlineStr">
        <is>
          <t>Fossil</t>
        </is>
      </c>
      <c r="I2822" s="3" t="n">
        <v>306.17</v>
      </c>
      <c r="J2822" s="3" t="n"/>
      <c r="K2822" s="3" t="n"/>
      <c r="L2822" s="3" t="n"/>
      <c r="M2822" s="2" t="inlineStr">
        <is>
          <t>PriceCharting</t>
        </is>
      </c>
      <c r="N2822" s="4" t="inlineStr">
        <is>
          <t>https://www.pricecharting.com/game/pokemon-fossil/booster-pack</t>
        </is>
      </c>
    </row>
    <row r="2823">
      <c r="A2823" s="2" t="inlineStr">
        <is>
          <t>Fossil Booster Pack [1st Edition]</t>
        </is>
      </c>
      <c r="B2823" s="3">
        <f>IF(I2823&lt;&gt;"",I2823,IF(J2823&lt;&gt;"",J2823,IF(K2823&lt;&gt;"",K2823,L2823)))</f>
        <v>515.42</v>
      </c>
      <c r="C2823" s="3">
        <f>MEDIAN(I2823:L2823)</f>
        <v>686.78</v>
      </c>
      <c r="D2823" s="3">
        <f>ROUND(C2823*(1-Settings!$B$2),2)</f>
        <v>480.75</v>
      </c>
      <c r="E2823" s="3">
        <f>ROUND(C2823*(1-Settings!$B$3),2)</f>
        <v>480.75</v>
      </c>
      <c r="F2823" s="2" t="inlineStr">
        <is>
          <t>Pokemon</t>
        </is>
      </c>
      <c r="G2823" s="2" t="inlineStr">
        <is>
          <t>Pack</t>
        </is>
      </c>
      <c r="H2823" s="2" t="inlineStr">
        <is>
          <t>Fossil</t>
        </is>
      </c>
      <c r="I2823" s="3" t="n">
        <v>515.42</v>
      </c>
      <c r="J2823" s="3" t="n">
        <v>669.58</v>
      </c>
      <c r="K2823" s="3" t="n">
        <v>750</v>
      </c>
      <c r="L2823" s="3" t="n">
        <v>703.98</v>
      </c>
      <c r="M2823" s="2" t="inlineStr">
        <is>
          <t>PriceCharting + TCGplayer</t>
        </is>
      </c>
      <c r="N2823" s="4" t="inlineStr">
        <is>
          <t>https://www.pricecharting.com/game/pokemon-fossil/booster-pack-1st-edition</t>
        </is>
      </c>
      <c r="O2823" s="4" t="inlineStr">
        <is>
          <t>https://www.tcgplayer.com/product/138133</t>
        </is>
      </c>
    </row>
    <row r="2824">
      <c r="A2824" s="2" t="inlineStr">
        <is>
          <t>Fossil Booster Pack [Unlimited Edition]</t>
        </is>
      </c>
      <c r="B2824" s="3">
        <f>IF(I2824&lt;&gt;"",I2824,IF(J2824&lt;&gt;"",J2824,IF(K2824&lt;&gt;"",K2824,L2824)))</f>
        <v>340.31</v>
      </c>
      <c r="C2824" s="3">
        <f>MEDIAN(I2824:L2824)</f>
        <v>340.31</v>
      </c>
      <c r="D2824" s="3">
        <f>ROUND(C2824*(1-Settings!$B$2),2)</f>
        <v>238.22</v>
      </c>
      <c r="E2824" s="3">
        <f>ROUND(C2824*(1-Settings!$B$3),2)</f>
        <v>238.22</v>
      </c>
      <c r="F2824" s="2" t="inlineStr">
        <is>
          <t>Pokemon</t>
        </is>
      </c>
      <c r="G2824" s="2" t="inlineStr">
        <is>
          <t>Pack</t>
        </is>
      </c>
      <c r="H2824" s="2" t="inlineStr">
        <is>
          <t>Fossil</t>
        </is>
      </c>
      <c r="I2824" s="3" t="n"/>
      <c r="J2824" s="3" t="n">
        <v>340.31</v>
      </c>
      <c r="K2824" s="3" t="n">
        <v>385</v>
      </c>
      <c r="L2824" s="3" t="n">
        <v>330</v>
      </c>
      <c r="M2824" s="2" t="inlineStr">
        <is>
          <t>TCGplayer</t>
        </is>
      </c>
      <c r="O2824" s="4" t="inlineStr">
        <is>
          <t>https://www.tcgplayer.com/product/138134</t>
        </is>
      </c>
    </row>
    <row r="2825">
      <c r="A2825" s="2" t="inlineStr">
        <is>
          <t>Furious Fists Blister Pack [Zoroark]</t>
        </is>
      </c>
      <c r="B2825" s="3">
        <f>IF(I2825&lt;&gt;"",I2825,IF(J2825&lt;&gt;"",J2825,IF(K2825&lt;&gt;"",K2825,L2825)))</f>
        <v>315.0</v>
      </c>
      <c r="C2825" s="3">
        <f>MEDIAN(I2825:L2825)</f>
        <v>315.0</v>
      </c>
      <c r="D2825" s="3">
        <f>ROUND(C2825*(1-Settings!$B$2),2)</f>
        <v>220.5</v>
      </c>
      <c r="E2825" s="3">
        <f>ROUND(C2825*(1-Settings!$B$3),2)</f>
        <v>220.5</v>
      </c>
      <c r="F2825" s="2" t="inlineStr">
        <is>
          <t>Pokemon</t>
        </is>
      </c>
      <c r="G2825" s="2" t="inlineStr">
        <is>
          <t>Pack</t>
        </is>
      </c>
      <c r="H2825" s="2" t="inlineStr">
        <is>
          <t>Furious Fists</t>
        </is>
      </c>
      <c r="I2825" s="3" t="n">
        <v>315</v>
      </c>
      <c r="J2825" s="3" t="n"/>
      <c r="K2825" s="3" t="n"/>
      <c r="L2825" s="3" t="n"/>
      <c r="M2825" s="2" t="inlineStr">
        <is>
          <t>PriceCharting</t>
        </is>
      </c>
      <c r="N2825" s="4" t="inlineStr">
        <is>
          <t>https://www.pricecharting.com/game/pokemon-furious-fists/blister-pack-zoroark</t>
        </is>
      </c>
    </row>
    <row r="2826">
      <c r="A2826" s="2" t="inlineStr">
        <is>
          <t>Furious Fists Mini Booster Pack</t>
        </is>
      </c>
      <c r="B2826" s="3">
        <f>IF(I2826&lt;&gt;"",I2826,IF(J2826&lt;&gt;"",J2826,IF(K2826&lt;&gt;"",K2826,L2826)))</f>
        <v>12.99</v>
      </c>
      <c r="C2826" s="3">
        <f>MEDIAN(I2826:L2826)</f>
        <v>12.99</v>
      </c>
      <c r="D2826" s="3">
        <f>ROUND(C2826*(1-Settings!$B$2),2)</f>
        <v>9.09</v>
      </c>
      <c r="E2826" s="3">
        <f>ROUND(C2826*(1-Settings!$B$3),2)</f>
        <v>9.09</v>
      </c>
      <c r="F2826" s="2" t="inlineStr">
        <is>
          <t>Pokemon</t>
        </is>
      </c>
      <c r="G2826" s="2" t="inlineStr">
        <is>
          <t>Pack</t>
        </is>
      </c>
      <c r="H2826" s="2" t="inlineStr">
        <is>
          <t>Furious Fists</t>
        </is>
      </c>
      <c r="I2826" s="3" t="n">
        <v>12.99</v>
      </c>
      <c r="J2826" s="3" t="n"/>
      <c r="K2826" s="3" t="n"/>
      <c r="L2826" s="3" t="n"/>
      <c r="M2826" s="2" t="inlineStr">
        <is>
          <t>PriceCharting</t>
        </is>
      </c>
      <c r="N2826" s="4" t="inlineStr">
        <is>
          <t>https://www.pricecharting.com/game/pokemon-furious-fists/mini-booster-pack</t>
        </is>
      </c>
    </row>
    <row r="2827">
      <c r="A2827" s="2" t="inlineStr">
        <is>
          <t>Fusion Strike Checklane Blister 2 Pack</t>
        </is>
      </c>
      <c r="B2827" s="3">
        <f>IF(I2827&lt;&gt;"",I2827,IF(J2827&lt;&gt;"",J2827,IF(K2827&lt;&gt;"",K2827,L2827)))</f>
        <v>28.63</v>
      </c>
      <c r="C2827" s="3">
        <f>MEDIAN(I2827:L2827)</f>
        <v>28.63</v>
      </c>
      <c r="D2827" s="3">
        <f>ROUND(C2827*(1-Settings!$B$2),2)</f>
        <v>20.04</v>
      </c>
      <c r="E2827" s="3">
        <f>ROUND(C2827*(1-Settings!$B$3),2)</f>
        <v>20.04</v>
      </c>
      <c r="F2827" s="2" t="inlineStr">
        <is>
          <t>Pokemon</t>
        </is>
      </c>
      <c r="G2827" s="2" t="inlineStr">
        <is>
          <t>Pack</t>
        </is>
      </c>
      <c r="H2827" s="2" t="inlineStr">
        <is>
          <t>Fusion Strike</t>
        </is>
      </c>
      <c r="I2827" s="3" t="n">
        <v>28.63</v>
      </c>
      <c r="J2827" s="3" t="n"/>
      <c r="K2827" s="3" t="n"/>
      <c r="L2827" s="3" t="n"/>
      <c r="M2827" s="2" t="inlineStr">
        <is>
          <t>PriceCharting</t>
        </is>
      </c>
      <c r="N2827" s="4" t="inlineStr">
        <is>
          <t>https://www.pricecharting.com/game/pokemon-fusion-strike/checklane-blister-2-pack</t>
        </is>
      </c>
    </row>
    <row r="2828">
      <c r="A2828" s="2" t="inlineStr">
        <is>
          <t>Generations Booster Pack</t>
        </is>
      </c>
      <c r="B2828" s="3">
        <f>IF(I2828&lt;&gt;"",I2828,IF(J2828&lt;&gt;"",J2828,IF(K2828&lt;&gt;"",K2828,L2828)))</f>
        <v>275.0</v>
      </c>
      <c r="C2828" s="3">
        <f>MEDIAN(I2828:L2828)</f>
        <v>308.21500000000003</v>
      </c>
      <c r="D2828" s="3">
        <f>ROUND(C2828*(1-Settings!$B$2),2)</f>
        <v>215.75</v>
      </c>
      <c r="E2828" s="3">
        <f>ROUND(C2828*(1-Settings!$B$3),2)</f>
        <v>215.75</v>
      </c>
      <c r="F2828" s="2" t="inlineStr">
        <is>
          <t>Pokemon</t>
        </is>
      </c>
      <c r="G2828" s="2" t="inlineStr">
        <is>
          <t>Pack</t>
        </is>
      </c>
      <c r="H2828" s="2" t="inlineStr">
        <is>
          <t>Generations</t>
        </is>
      </c>
      <c r="I2828" s="3" t="n">
        <v>275</v>
      </c>
      <c r="J2828" s="3" t="n">
        <v>311.42</v>
      </c>
      <c r="K2828" s="3" t="n">
        <v>346.5</v>
      </c>
      <c r="L2828" s="3" t="n">
        <v>305.01</v>
      </c>
      <c r="M2828" s="2" t="inlineStr">
        <is>
          <t>PriceCharting + TCGplayer</t>
        </is>
      </c>
      <c r="N2828" s="4" t="inlineStr">
        <is>
          <t>https://www.pricecharting.com/game/pokemon-generations/booster-pack</t>
        </is>
      </c>
      <c r="O2828" s="4" t="inlineStr">
        <is>
          <t>https://www.tcgplayer.com/product/187238</t>
        </is>
      </c>
    </row>
    <row r="2829">
      <c r="A2829" s="2" t="inlineStr">
        <is>
          <t>Go Booster Pack</t>
        </is>
      </c>
      <c r="B2829" s="3">
        <f>IF(I2829&lt;&gt;"",I2829,IF(J2829&lt;&gt;"",J2829,IF(K2829&lt;&gt;"",K2829,L2829)))</f>
        <v>14.39</v>
      </c>
      <c r="C2829" s="3">
        <f>MEDIAN(I2829:L2829)</f>
        <v>14.39</v>
      </c>
      <c r="D2829" s="3">
        <f>ROUND(C2829*(1-Settings!$B$2),2)</f>
        <v>10.07</v>
      </c>
      <c r="E2829" s="3">
        <f>ROUND(C2829*(1-Settings!$B$3),2)</f>
        <v>10.07</v>
      </c>
      <c r="F2829" s="2" t="inlineStr">
        <is>
          <t>Pokemon</t>
        </is>
      </c>
      <c r="G2829" s="2" t="inlineStr">
        <is>
          <t>Pack</t>
        </is>
      </c>
      <c r="H2829" s="2" t="inlineStr">
        <is>
          <t>Go</t>
        </is>
      </c>
      <c r="I2829" s="3" t="n">
        <v>14.39</v>
      </c>
      <c r="J2829" s="3" t="n"/>
      <c r="K2829" s="3" t="n"/>
      <c r="L2829" s="3" t="n"/>
      <c r="M2829" s="2" t="inlineStr">
        <is>
          <t>PriceCharting</t>
        </is>
      </c>
      <c r="N2829" s="4" t="inlineStr">
        <is>
          <t>https://www.pricecharting.com/game/pokemon-go/booster-pack</t>
        </is>
      </c>
    </row>
    <row r="2830">
      <c r="A2830" s="2" t="inlineStr">
        <is>
          <t>Great Encounters Blister Pack</t>
        </is>
      </c>
      <c r="B2830" s="3">
        <f>IF(I2830&lt;&gt;"",I2830,IF(J2830&lt;&gt;"",J2830,IF(K2830&lt;&gt;"",K2830,L2830)))</f>
        <v>907.42</v>
      </c>
      <c r="C2830" s="3">
        <f>MEDIAN(I2830:L2830)</f>
        <v>907.42</v>
      </c>
      <c r="D2830" s="3">
        <f>ROUND(C2830*(1-Settings!$B$2),2)</f>
        <v>635.19</v>
      </c>
      <c r="E2830" s="3">
        <f>ROUND(C2830*(1-Settings!$B$3),2)</f>
        <v>635.19</v>
      </c>
      <c r="F2830" s="2" t="inlineStr">
        <is>
          <t>Pokemon</t>
        </is>
      </c>
      <c r="G2830" s="2" t="inlineStr">
        <is>
          <t>Pack</t>
        </is>
      </c>
      <c r="H2830" s="2" t="inlineStr">
        <is>
          <t>Great Encounters</t>
        </is>
      </c>
      <c r="I2830" s="3" t="n">
        <v>907.42</v>
      </c>
      <c r="J2830" s="3" t="n"/>
      <c r="K2830" s="3" t="n"/>
      <c r="L2830" s="3" t="n"/>
      <c r="M2830" s="2" t="inlineStr">
        <is>
          <t>PriceCharting</t>
        </is>
      </c>
      <c r="N2830" s="4" t="inlineStr">
        <is>
          <t>https://www.pricecharting.com/game/pokemon-great-encounters/blister-pack</t>
        </is>
      </c>
    </row>
    <row r="2831">
      <c r="A2831" s="2" t="inlineStr">
        <is>
          <t>Great Encounters Booster Pack</t>
        </is>
      </c>
      <c r="B2831" s="3">
        <f>IF(I2831&lt;&gt;"",I2831,IF(J2831&lt;&gt;"",J2831,IF(K2831&lt;&gt;"",K2831,L2831)))</f>
        <v>225.76</v>
      </c>
      <c r="C2831" s="3">
        <f>MEDIAN(I2831:L2831)</f>
        <v>319.15999999999997</v>
      </c>
      <c r="D2831" s="3">
        <f>ROUND(C2831*(1-Settings!$B$2),2)</f>
        <v>223.41</v>
      </c>
      <c r="E2831" s="3">
        <f>ROUND(C2831*(1-Settings!$B$3),2)</f>
        <v>223.41</v>
      </c>
      <c r="F2831" s="2" t="inlineStr">
        <is>
          <t>Pokemon</t>
        </is>
      </c>
      <c r="G2831" s="2" t="inlineStr">
        <is>
          <t>Pack</t>
        </is>
      </c>
      <c r="H2831" s="2" t="inlineStr">
        <is>
          <t>Great Encounters</t>
        </is>
      </c>
      <c r="I2831" s="3" t="n">
        <v>225.76</v>
      </c>
      <c r="J2831" s="3" t="n">
        <v>323.33</v>
      </c>
      <c r="K2831" s="3" t="n">
        <v>599.99</v>
      </c>
      <c r="L2831" s="3" t="n">
        <v>314.99</v>
      </c>
      <c r="M2831" s="2" t="inlineStr">
        <is>
          <t>PriceCharting + TCGplayer</t>
        </is>
      </c>
      <c r="N2831" s="4" t="inlineStr">
        <is>
          <t>https://www.pricecharting.com/game/pokemon-great-encounters/booster-pack</t>
        </is>
      </c>
      <c r="O2831" s="4" t="inlineStr">
        <is>
          <t>https://www.tcgplayer.com/product/98545</t>
        </is>
      </c>
    </row>
    <row r="2832">
      <c r="A2832" s="2" t="inlineStr">
        <is>
          <t>Guardians Rising Blister Pack [Tsareena]</t>
        </is>
      </c>
      <c r="B2832" s="3">
        <f>IF(I2832&lt;&gt;"",I2832,IF(J2832&lt;&gt;"",J2832,IF(K2832&lt;&gt;"",K2832,L2832)))</f>
        <v>24.5</v>
      </c>
      <c r="C2832" s="3">
        <f>MEDIAN(I2832:L2832)</f>
        <v>24.5</v>
      </c>
      <c r="D2832" s="3">
        <f>ROUND(C2832*(1-Settings!$B$2),2)</f>
        <v>17.15</v>
      </c>
      <c r="E2832" s="3">
        <f>ROUND(C2832*(1-Settings!$B$3),2)</f>
        <v>17.15</v>
      </c>
      <c r="F2832" s="2" t="inlineStr">
        <is>
          <t>Pokemon</t>
        </is>
      </c>
      <c r="G2832" s="2" t="inlineStr">
        <is>
          <t>Pack</t>
        </is>
      </c>
      <c r="H2832" s="2" t="inlineStr">
        <is>
          <t>Guardians Rising</t>
        </is>
      </c>
      <c r="I2832" s="3" t="n">
        <v>24.5</v>
      </c>
      <c r="J2832" s="3" t="n"/>
      <c r="K2832" s="3" t="n"/>
      <c r="L2832" s="3" t="n"/>
      <c r="M2832" s="2" t="inlineStr">
        <is>
          <t>PriceCharting</t>
        </is>
      </c>
      <c r="N2832" s="4" t="inlineStr">
        <is>
          <t>https://www.pricecharting.com/game/pokemon-guardians-rising/blister-pack-tsareena</t>
        </is>
      </c>
    </row>
    <row r="2833">
      <c r="A2833" s="2" t="inlineStr">
        <is>
          <t>Guardians Rising Mini Booster Pack</t>
        </is>
      </c>
      <c r="B2833" s="3">
        <f>IF(I2833&lt;&gt;"",I2833,IF(J2833&lt;&gt;"",J2833,IF(K2833&lt;&gt;"",K2833,L2833)))</f>
        <v>9.5</v>
      </c>
      <c r="C2833" s="3">
        <f>MEDIAN(I2833:L2833)</f>
        <v>9.5</v>
      </c>
      <c r="D2833" s="3">
        <f>ROUND(C2833*(1-Settings!$B$2),2)</f>
        <v>6.65</v>
      </c>
      <c r="E2833" s="3">
        <f>ROUND(C2833*(1-Settings!$B$3),2)</f>
        <v>6.65</v>
      </c>
      <c r="F2833" s="2" t="inlineStr">
        <is>
          <t>Pokemon</t>
        </is>
      </c>
      <c r="G2833" s="2" t="inlineStr">
        <is>
          <t>Pack</t>
        </is>
      </c>
      <c r="H2833" s="2" t="inlineStr">
        <is>
          <t>Guardians Rising</t>
        </is>
      </c>
      <c r="I2833" s="3" t="n">
        <v>9.5</v>
      </c>
      <c r="J2833" s="3" t="n"/>
      <c r="K2833" s="3" t="n"/>
      <c r="L2833" s="3" t="n"/>
      <c r="M2833" s="2" t="inlineStr">
        <is>
          <t>PriceCharting</t>
        </is>
      </c>
      <c r="N2833" s="4" t="inlineStr">
        <is>
          <t>https://www.pricecharting.com/game/pokemon-guardians-rising/mini-booster-pack</t>
        </is>
      </c>
    </row>
    <row r="2834">
      <c r="A2834" s="2" t="inlineStr">
        <is>
          <t>Gym Challenge Booster Pack</t>
        </is>
      </c>
      <c r="B2834" s="3">
        <f>IF(I2834&lt;&gt;"",I2834,IF(J2834&lt;&gt;"",J2834,IF(K2834&lt;&gt;"",K2834,L2834)))</f>
        <v>462.5</v>
      </c>
      <c r="C2834" s="3">
        <f>MEDIAN(I2834:L2834)</f>
        <v>462.5</v>
      </c>
      <c r="D2834" s="3">
        <f>ROUND(C2834*(1-Settings!$B$2),2)</f>
        <v>323.75</v>
      </c>
      <c r="E2834" s="3">
        <f>ROUND(C2834*(1-Settings!$B$3),2)</f>
        <v>323.75</v>
      </c>
      <c r="F2834" s="2" t="inlineStr">
        <is>
          <t>Pokemon</t>
        </is>
      </c>
      <c r="G2834" s="2" t="inlineStr">
        <is>
          <t>Pack</t>
        </is>
      </c>
      <c r="H2834" s="2" t="inlineStr">
        <is>
          <t>Gym Challenge</t>
        </is>
      </c>
      <c r="I2834" s="3" t="n">
        <v>462.5</v>
      </c>
      <c r="J2834" s="3" t="n"/>
      <c r="K2834" s="3" t="n"/>
      <c r="L2834" s="3" t="n"/>
      <c r="M2834" s="2" t="inlineStr">
        <is>
          <t>PriceCharting</t>
        </is>
      </c>
      <c r="N2834" s="4" t="inlineStr">
        <is>
          <t>https://www.pricecharting.com/game/pokemon-gym-challenge/booster-pack</t>
        </is>
      </c>
    </row>
    <row r="2835">
      <c r="A2835" s="2" t="inlineStr">
        <is>
          <t>Gym Challenge Booster Pack [1st Edition]</t>
        </is>
      </c>
      <c r="B2835" s="3">
        <f>IF(I2835&lt;&gt;"",I2835,IF(J2835&lt;&gt;"",J2835,IF(K2835&lt;&gt;"",K2835,L2835)))</f>
        <v>778.75</v>
      </c>
      <c r="C2835" s="3">
        <f>MEDIAN(I2835:L2835)</f>
        <v>820.835</v>
      </c>
      <c r="D2835" s="3">
        <f>ROUND(C2835*(1-Settings!$B$2),2)</f>
        <v>574.58</v>
      </c>
      <c r="E2835" s="3">
        <f>ROUND(C2835*(1-Settings!$B$3),2)</f>
        <v>574.58</v>
      </c>
      <c r="F2835" s="2" t="inlineStr">
        <is>
          <t>Pokemon</t>
        </is>
      </c>
      <c r="G2835" s="2" t="inlineStr">
        <is>
          <t>Pack</t>
        </is>
      </c>
      <c r="H2835" s="2" t="inlineStr">
        <is>
          <t>Gym Challenge</t>
        </is>
      </c>
      <c r="I2835" s="3" t="n">
        <v>778.75</v>
      </c>
      <c r="J2835" s="3" t="n">
        <v>816.67</v>
      </c>
      <c r="K2835" s="3" t="n">
        <v>825</v>
      </c>
      <c r="L2835" s="3" t="n">
        <v>825</v>
      </c>
      <c r="M2835" s="2" t="inlineStr">
        <is>
          <t>PriceCharting + TCGplayer</t>
        </is>
      </c>
      <c r="N2835" s="4" t="inlineStr">
        <is>
          <t>https://www.pricecharting.com/game/pokemon-gym-challenge/booster-pack-1st-edition</t>
        </is>
      </c>
      <c r="O2835" s="4" t="inlineStr">
        <is>
          <t>https://www.tcgplayer.com/product/138140</t>
        </is>
      </c>
    </row>
    <row r="2836">
      <c r="A2836" s="2" t="inlineStr">
        <is>
          <t>Gym Challenge Booster Pack [Unlimited Edition]</t>
        </is>
      </c>
      <c r="B2836" s="3">
        <f>IF(I2836&lt;&gt;"",I2836,IF(J2836&lt;&gt;"",J2836,IF(K2836&lt;&gt;"",K2836,L2836)))</f>
        <v>419.99</v>
      </c>
      <c r="C2836" s="3">
        <f>MEDIAN(I2836:L2836)</f>
        <v>425.0</v>
      </c>
      <c r="D2836" s="3">
        <f>ROUND(C2836*(1-Settings!$B$2),2)</f>
        <v>297.5</v>
      </c>
      <c r="E2836" s="3">
        <f>ROUND(C2836*(1-Settings!$B$3),2)</f>
        <v>297.5</v>
      </c>
      <c r="F2836" s="2" t="inlineStr">
        <is>
          <t>Pokemon</t>
        </is>
      </c>
      <c r="G2836" s="2" t="inlineStr">
        <is>
          <t>Pack</t>
        </is>
      </c>
      <c r="H2836" s="2" t="inlineStr">
        <is>
          <t>Gym Challenge</t>
        </is>
      </c>
      <c r="I2836" s="3" t="n"/>
      <c r="J2836" s="3" t="n">
        <v>419.99</v>
      </c>
      <c r="K2836" s="3" t="n">
        <v>437.5</v>
      </c>
      <c r="L2836" s="3" t="n">
        <v>425</v>
      </c>
      <c r="M2836" s="2" t="inlineStr">
        <is>
          <t>TCGplayer</t>
        </is>
      </c>
      <c r="O2836" s="4" t="inlineStr">
        <is>
          <t>https://www.tcgplayer.com/product/138139</t>
        </is>
      </c>
    </row>
    <row r="2837">
      <c r="A2837" s="2" t="inlineStr">
        <is>
          <t>Gym Heroes Booster Pack</t>
        </is>
      </c>
      <c r="B2837" s="3">
        <f>IF(I2837&lt;&gt;"",I2837,IF(J2837&lt;&gt;"",J2837,IF(K2837&lt;&gt;"",K2837,L2837)))</f>
        <v>299.69</v>
      </c>
      <c r="C2837" s="3">
        <f>MEDIAN(I2837:L2837)</f>
        <v>299.69</v>
      </c>
      <c r="D2837" s="3">
        <f>ROUND(C2837*(1-Settings!$B$2),2)</f>
        <v>209.78</v>
      </c>
      <c r="E2837" s="3">
        <f>ROUND(C2837*(1-Settings!$B$3),2)</f>
        <v>209.78</v>
      </c>
      <c r="F2837" s="2" t="inlineStr">
        <is>
          <t>Pokemon</t>
        </is>
      </c>
      <c r="G2837" s="2" t="inlineStr">
        <is>
          <t>Pack</t>
        </is>
      </c>
      <c r="H2837" s="2" t="inlineStr">
        <is>
          <t>Gym Heroes</t>
        </is>
      </c>
      <c r="I2837" s="3" t="n">
        <v>299.69</v>
      </c>
      <c r="J2837" s="3" t="n"/>
      <c r="K2837" s="3" t="n"/>
      <c r="L2837" s="3" t="n"/>
      <c r="M2837" s="2" t="inlineStr">
        <is>
          <t>PriceCharting</t>
        </is>
      </c>
      <c r="N2837" s="4" t="inlineStr">
        <is>
          <t>https://www.pricecharting.com/game/pokemon-gym-heroes/booster-pack</t>
        </is>
      </c>
    </row>
    <row r="2838">
      <c r="A2838" s="2" t="inlineStr">
        <is>
          <t>Gym Heroes Booster Pack [1st Edition]</t>
        </is>
      </c>
      <c r="B2838" s="3">
        <f>IF(I2838&lt;&gt;"",I2838,IF(J2838&lt;&gt;"",J2838,IF(K2838&lt;&gt;"",K2838,L2838)))</f>
        <v>453.95</v>
      </c>
      <c r="C2838" s="3">
        <f>MEDIAN(I2838:L2838)</f>
        <v>453.95</v>
      </c>
      <c r="D2838" s="3">
        <f>ROUND(C2838*(1-Settings!$B$2),2)</f>
        <v>317.77</v>
      </c>
      <c r="E2838" s="3">
        <f>ROUND(C2838*(1-Settings!$B$3),2)</f>
        <v>317.77</v>
      </c>
      <c r="F2838" s="2" t="inlineStr">
        <is>
          <t>Pokemon</t>
        </is>
      </c>
      <c r="G2838" s="2" t="inlineStr">
        <is>
          <t>Pack</t>
        </is>
      </c>
      <c r="H2838" s="2" t="inlineStr">
        <is>
          <t>Gym Heroes</t>
        </is>
      </c>
      <c r="I2838" s="3" t="n">
        <v>453.95</v>
      </c>
      <c r="J2838" s="3" t="n"/>
      <c r="K2838" s="3" t="n"/>
      <c r="L2838" s="3" t="n"/>
      <c r="M2838" s="2" t="inlineStr">
        <is>
          <t>PriceCharting</t>
        </is>
      </c>
      <c r="N2838" s="4" t="inlineStr">
        <is>
          <t>https://www.pricecharting.com/game/pokemon-gym-heroes/booster-pack-1st-edition</t>
        </is>
      </c>
    </row>
    <row r="2839">
      <c r="A2839" s="2" t="inlineStr">
        <is>
          <t>Gym Heroes Booster Pack [Unlimited Edition]</t>
        </is>
      </c>
      <c r="B2839" s="3">
        <f>IF(I2839&lt;&gt;"",I2839,IF(J2839&lt;&gt;"",J2839,IF(K2839&lt;&gt;"",K2839,L2839)))</f>
        <v>269.72</v>
      </c>
      <c r="C2839" s="3">
        <f>MEDIAN(I2839:L2839)</f>
        <v>350.0</v>
      </c>
      <c r="D2839" s="3">
        <f>ROUND(C2839*(1-Settings!$B$2),2)</f>
        <v>245.0</v>
      </c>
      <c r="E2839" s="3">
        <f>ROUND(C2839*(1-Settings!$B$3),2)</f>
        <v>245.0</v>
      </c>
      <c r="F2839" s="2" t="inlineStr">
        <is>
          <t>Pokemon</t>
        </is>
      </c>
      <c r="G2839" s="2" t="inlineStr">
        <is>
          <t>Pack</t>
        </is>
      </c>
      <c r="H2839" s="2" t="inlineStr">
        <is>
          <t>Gym Heroes</t>
        </is>
      </c>
      <c r="I2839" s="3" t="n"/>
      <c r="J2839" s="3" t="n">
        <v>269.72</v>
      </c>
      <c r="K2839" s="3" t="n">
        <v>400</v>
      </c>
      <c r="L2839" s="3" t="n">
        <v>350</v>
      </c>
      <c r="M2839" s="2" t="inlineStr">
        <is>
          <t>TCGplayer</t>
        </is>
      </c>
      <c r="O2839" s="4" t="inlineStr">
        <is>
          <t>https://www.tcgplayer.com/product/138138</t>
        </is>
      </c>
    </row>
    <row r="2840">
      <c r="A2840" s="2" t="inlineStr">
        <is>
          <t>HeartGold SoulSilver Booster Pack</t>
        </is>
      </c>
      <c r="B2840" s="3">
        <f>IF(I2840&lt;&gt;"",I2840,IF(J2840&lt;&gt;"",J2840,IF(K2840&lt;&gt;"",K2840,L2840)))</f>
        <v>466.66</v>
      </c>
      <c r="C2840" s="3">
        <f>MEDIAN(I2840:L2840)</f>
        <v>750.0</v>
      </c>
      <c r="D2840" s="3">
        <f>ROUND(C2840*(1-Settings!$B$2),2)</f>
        <v>525.0</v>
      </c>
      <c r="E2840" s="3">
        <f>ROUND(C2840*(1-Settings!$B$3),2)</f>
        <v>525.0</v>
      </c>
      <c r="F2840" s="2" t="inlineStr">
        <is>
          <t>Pokemon</t>
        </is>
      </c>
      <c r="G2840" s="2" t="inlineStr">
        <is>
          <t>Pack</t>
        </is>
      </c>
      <c r="H2840" s="2" t="inlineStr">
        <is>
          <t>HeartGold SoulSilver</t>
        </is>
      </c>
      <c r="I2840" s="3" t="n"/>
      <c r="J2840" s="3" t="n">
        <v>466.66</v>
      </c>
      <c r="K2840" s="3" t="n">
        <v>851.49</v>
      </c>
      <c r="L2840" s="3" t="n">
        <v>750</v>
      </c>
      <c r="M2840" s="2" t="inlineStr">
        <is>
          <t>TCGplayer</t>
        </is>
      </c>
      <c r="O2840" s="4" t="inlineStr">
        <is>
          <t>https://www.tcgplayer.com/product/98530</t>
        </is>
      </c>
    </row>
    <row r="2841">
      <c r="A2841" s="2" t="inlineStr">
        <is>
          <t>Hidden Fates Booster Pack</t>
        </is>
      </c>
      <c r="B2841" s="3">
        <f>IF(I2841&lt;&gt;"",I2841,IF(J2841&lt;&gt;"",J2841,IF(K2841&lt;&gt;"",K2841,L2841)))</f>
        <v>47.94</v>
      </c>
      <c r="C2841" s="3">
        <f>MEDIAN(I2841:L2841)</f>
        <v>47.955</v>
      </c>
      <c r="D2841" s="3">
        <f>ROUND(C2841*(1-Settings!$B$2),2)</f>
        <v>33.57</v>
      </c>
      <c r="E2841" s="3">
        <f>ROUND(C2841*(1-Settings!$B$3),2)</f>
        <v>33.57</v>
      </c>
      <c r="F2841" s="2" t="inlineStr">
        <is>
          <t>Pokemon</t>
        </is>
      </c>
      <c r="G2841" s="2" t="inlineStr">
        <is>
          <t>Pack</t>
        </is>
      </c>
      <c r="H2841" s="2" t="inlineStr">
        <is>
          <t>Hidden Fates</t>
        </is>
      </c>
      <c r="I2841" s="3" t="n">
        <v>47.94</v>
      </c>
      <c r="J2841" s="3" t="n">
        <v>47.97</v>
      </c>
      <c r="K2841" s="3" t="n">
        <v>48.99</v>
      </c>
      <c r="L2841" s="3" t="n">
        <v>46.96</v>
      </c>
      <c r="M2841" s="2" t="inlineStr">
        <is>
          <t>PriceCharting + TCGplayer</t>
        </is>
      </c>
      <c r="N2841" s="4" t="inlineStr">
        <is>
          <t>https://www.pricecharting.com/game/pokemon-hidden-fates/booster-pack</t>
        </is>
      </c>
      <c r="O2841" s="4" t="inlineStr">
        <is>
          <t>https://www.tcgplayer.com/product/198634</t>
        </is>
      </c>
    </row>
    <row r="2842">
      <c r="A2842" s="2" t="inlineStr">
        <is>
          <t>Hidden Legends Blister Pack</t>
        </is>
      </c>
      <c r="B2842" s="3">
        <f>IF(I2842&lt;&gt;"",I2842,IF(J2842&lt;&gt;"",J2842,IF(K2842&lt;&gt;"",K2842,L2842)))</f>
        <v>1200.0</v>
      </c>
      <c r="C2842" s="3">
        <f>MEDIAN(I2842:L2842)</f>
        <v>1200.0</v>
      </c>
      <c r="D2842" s="3">
        <f>ROUND(C2842*(1-Settings!$B$2),2)</f>
        <v>840.0</v>
      </c>
      <c r="E2842" s="3">
        <f>ROUND(C2842*(1-Settings!$B$3),2)</f>
        <v>840.0</v>
      </c>
      <c r="F2842" s="2" t="inlineStr">
        <is>
          <t>Pokemon</t>
        </is>
      </c>
      <c r="G2842" s="2" t="inlineStr">
        <is>
          <t>Pack</t>
        </is>
      </c>
      <c r="H2842" s="2" t="inlineStr">
        <is>
          <t>Hidden Legends</t>
        </is>
      </c>
      <c r="I2842" s="3" t="n">
        <v>1200</v>
      </c>
      <c r="J2842" s="3" t="n"/>
      <c r="K2842" s="3" t="n"/>
      <c r="L2842" s="3" t="n"/>
      <c r="M2842" s="2" t="inlineStr">
        <is>
          <t>PriceCharting</t>
        </is>
      </c>
      <c r="N2842" s="4" t="inlineStr">
        <is>
          <t>https://www.pricecharting.com/game/pokemon-hidden-legends/blister-pack</t>
        </is>
      </c>
    </row>
    <row r="2843">
      <c r="A2843" s="2" t="inlineStr">
        <is>
          <t>Holon Phantoms Blister Pack</t>
        </is>
      </c>
      <c r="B2843" s="3">
        <f>IF(I2843&lt;&gt;"",I2843,IF(J2843&lt;&gt;"",J2843,IF(K2843&lt;&gt;"",K2843,L2843)))</f>
        <v>2897.0</v>
      </c>
      <c r="C2843" s="3">
        <f>MEDIAN(I2843:L2843)</f>
        <v>2897.0</v>
      </c>
      <c r="D2843" s="3">
        <f>ROUND(C2843*(1-Settings!$B$2),2)</f>
        <v>2027.9</v>
      </c>
      <c r="E2843" s="3">
        <f>ROUND(C2843*(1-Settings!$B$3),2)</f>
        <v>2027.9</v>
      </c>
      <c r="F2843" s="2" t="inlineStr">
        <is>
          <t>Pokemon</t>
        </is>
      </c>
      <c r="G2843" s="2" t="inlineStr">
        <is>
          <t>Pack</t>
        </is>
      </c>
      <c r="H2843" s="2" t="inlineStr">
        <is>
          <t>Holon Phantoms</t>
        </is>
      </c>
      <c r="I2843" s="3" t="n">
        <v>2897</v>
      </c>
      <c r="J2843" s="3" t="n"/>
      <c r="K2843" s="3" t="n"/>
      <c r="L2843" s="3" t="n"/>
      <c r="M2843" s="2" t="inlineStr">
        <is>
          <t>PriceCharting</t>
        </is>
      </c>
      <c r="N2843" s="4" t="inlineStr">
        <is>
          <t>https://www.pricecharting.com/game/pokemon-holon-phantoms/blister-pack</t>
        </is>
      </c>
    </row>
    <row r="2844">
      <c r="A2844" s="2" t="inlineStr">
        <is>
          <t>Holon Phantoms Booster Pack</t>
        </is>
      </c>
      <c r="B2844" s="3">
        <f>IF(I2844&lt;&gt;"",I2844,IF(J2844&lt;&gt;"",J2844,IF(K2844&lt;&gt;"",K2844,L2844)))</f>
        <v>1859.77</v>
      </c>
      <c r="C2844" s="3">
        <f>MEDIAN(I2844:L2844)</f>
        <v>1859.77</v>
      </c>
      <c r="D2844" s="3">
        <f>ROUND(C2844*(1-Settings!$B$2),2)</f>
        <v>1301.84</v>
      </c>
      <c r="E2844" s="3">
        <f>ROUND(C2844*(1-Settings!$B$3),2)</f>
        <v>1301.84</v>
      </c>
      <c r="F2844" s="2" t="inlineStr">
        <is>
          <t>Pokemon</t>
        </is>
      </c>
      <c r="G2844" s="2" t="inlineStr">
        <is>
          <t>Pack</t>
        </is>
      </c>
      <c r="H2844" s="2" t="inlineStr">
        <is>
          <t>Holon Phantoms</t>
        </is>
      </c>
      <c r="I2844" s="3" t="n">
        <v>1859.77</v>
      </c>
      <c r="J2844" s="3" t="n"/>
      <c r="K2844" s="3" t="n"/>
      <c r="L2844" s="3" t="n"/>
      <c r="M2844" s="2" t="inlineStr">
        <is>
          <t>PriceCharting</t>
        </is>
      </c>
      <c r="N2844" s="4" t="inlineStr">
        <is>
          <t>https://www.pricecharting.com/game/pokemon-holon-phantoms/booster-pack</t>
        </is>
      </c>
    </row>
    <row r="2845">
      <c r="A2845" s="2" t="inlineStr">
        <is>
          <t>Japanese 20th Anniversary Booster Pack</t>
        </is>
      </c>
      <c r="B2845" s="3">
        <f>IF(I2845&lt;&gt;"",I2845,IF(J2845&lt;&gt;"",J2845,IF(K2845&lt;&gt;"",K2845,L2845)))</f>
        <v>440.0</v>
      </c>
      <c r="C2845" s="3">
        <f>MEDIAN(I2845:L2845)</f>
        <v>440.0</v>
      </c>
      <c r="D2845" s="3">
        <f>ROUND(C2845*(1-Settings!$B$2),2)</f>
        <v>308.0</v>
      </c>
      <c r="E2845" s="3">
        <f>ROUND(C2845*(1-Settings!$B$3),2)</f>
        <v>308.0</v>
      </c>
      <c r="F2845" s="2" t="inlineStr">
        <is>
          <t>Pokemon</t>
        </is>
      </c>
      <c r="G2845" s="2" t="inlineStr">
        <is>
          <t>Pack</t>
        </is>
      </c>
      <c r="H2845" s="2" t="inlineStr">
        <is>
          <t>Japanese 20th Anniversary</t>
        </is>
      </c>
      <c r="I2845" s="3" t="n">
        <v>440</v>
      </c>
      <c r="J2845" s="3" t="n"/>
      <c r="K2845" s="3" t="n"/>
      <c r="L2845" s="3" t="n"/>
      <c r="M2845" s="2" t="inlineStr">
        <is>
          <t>PriceCharting</t>
        </is>
      </c>
      <c r="N2845" s="4" t="inlineStr">
        <is>
          <t>https://www.pricecharting.com/game/pokemon-japanese-20th-anniversary/booster-pack</t>
        </is>
      </c>
    </row>
    <row r="2846">
      <c r="A2846" s="2" t="inlineStr">
        <is>
          <t>Japanese 25th Anniversary Collection Booster Pack</t>
        </is>
      </c>
      <c r="B2846" s="3">
        <f>IF(I2846&lt;&gt;"",I2846,IF(J2846&lt;&gt;"",J2846,IF(K2846&lt;&gt;"",K2846,L2846)))</f>
        <v>27.37</v>
      </c>
      <c r="C2846" s="3">
        <f>MEDIAN(I2846:L2846)</f>
        <v>27.37</v>
      </c>
      <c r="D2846" s="3">
        <f>ROUND(C2846*(1-Settings!$B$2),2)</f>
        <v>19.16</v>
      </c>
      <c r="E2846" s="3">
        <f>ROUND(C2846*(1-Settings!$B$3),2)</f>
        <v>19.16</v>
      </c>
      <c r="F2846" s="2" t="inlineStr">
        <is>
          <t>Pokemon</t>
        </is>
      </c>
      <c r="G2846" s="2" t="inlineStr">
        <is>
          <t>Pack</t>
        </is>
      </c>
      <c r="H2846" s="2" t="inlineStr">
        <is>
          <t>Japanese 25th Anniversary Collection</t>
        </is>
      </c>
      <c r="I2846" s="3" t="n">
        <v>27.37</v>
      </c>
      <c r="J2846" s="3" t="n"/>
      <c r="K2846" s="3" t="n"/>
      <c r="L2846" s="3" t="n"/>
      <c r="M2846" s="2" t="inlineStr">
        <is>
          <t>PriceCharting</t>
        </is>
      </c>
      <c r="N2846" s="4" t="inlineStr">
        <is>
          <t>https://www.pricecharting.com/game/pokemon-japanese-25th-anniversary-collection/booster-pack</t>
        </is>
      </c>
    </row>
    <row r="2847">
      <c r="A2847" s="2" t="inlineStr">
        <is>
          <t>Japanese 25th Anniversary Promo Booster Pack</t>
        </is>
      </c>
      <c r="B2847" s="3">
        <f>IF(I2847&lt;&gt;"",I2847,IF(J2847&lt;&gt;"",J2847,IF(K2847&lt;&gt;"",K2847,L2847)))</f>
        <v>149.99</v>
      </c>
      <c r="C2847" s="3">
        <f>MEDIAN(I2847:L2847)</f>
        <v>149.99</v>
      </c>
      <c r="D2847" s="3">
        <f>ROUND(C2847*(1-Settings!$B$2),2)</f>
        <v>104.99</v>
      </c>
      <c r="E2847" s="3">
        <f>ROUND(C2847*(1-Settings!$B$3),2)</f>
        <v>104.99</v>
      </c>
      <c r="F2847" s="2" t="inlineStr">
        <is>
          <t>Pokemon</t>
        </is>
      </c>
      <c r="G2847" s="2" t="inlineStr">
        <is>
          <t>Pack</t>
        </is>
      </c>
      <c r="H2847" s="2" t="inlineStr">
        <is>
          <t>Japanese 25th Anniversary Promo</t>
        </is>
      </c>
      <c r="I2847" s="3" t="n">
        <v>149.99</v>
      </c>
      <c r="J2847" s="3" t="n"/>
      <c r="K2847" s="3" t="n"/>
      <c r="L2847" s="3" t="n"/>
      <c r="M2847" s="2" t="inlineStr">
        <is>
          <t>PriceCharting</t>
        </is>
      </c>
      <c r="N2847" s="4" t="inlineStr">
        <is>
          <t>https://www.pricecharting.com/game/pokemon-japanese-25th-anniversary-promo/booster-pack</t>
        </is>
      </c>
    </row>
    <row r="2848">
      <c r="A2848" s="2" t="inlineStr">
        <is>
          <t>Japanese 30th Celebration Booster Pack</t>
        </is>
      </c>
      <c r="B2848" s="3">
        <f>IF(I2848&lt;&gt;"",I2848,IF(J2848&lt;&gt;"",J2848,IF(K2848&lt;&gt;"",K2848,L2848)))</f>
        <v>11.16</v>
      </c>
      <c r="C2848" s="3">
        <f>MEDIAN(I2848:L2848)</f>
        <v>11.16</v>
      </c>
      <c r="D2848" s="3">
        <f>ROUND(C2848*(1-Settings!$B$2),2)</f>
        <v>7.81</v>
      </c>
      <c r="E2848" s="3">
        <f>ROUND(C2848*(1-Settings!$B$3),2)</f>
        <v>7.81</v>
      </c>
      <c r="F2848" s="2" t="inlineStr">
        <is>
          <t>Pokemon</t>
        </is>
      </c>
      <c r="G2848" s="2" t="inlineStr">
        <is>
          <t>Pack</t>
        </is>
      </c>
      <c r="H2848" s="2" t="inlineStr">
        <is>
          <t>Japanese 30th Celebration</t>
        </is>
      </c>
      <c r="I2848" s="3" t="n">
        <v>11.16</v>
      </c>
      <c r="J2848" s="3" t="n"/>
      <c r="K2848" s="3" t="n"/>
      <c r="L2848" s="3" t="n"/>
      <c r="M2848" s="2" t="inlineStr">
        <is>
          <t>PriceCharting</t>
        </is>
      </c>
      <c r="N2848" s="4" t="inlineStr">
        <is>
          <t>https://www.pricecharting.com/game/pokemon-japanese-30th-celebration/booster-pack</t>
        </is>
      </c>
    </row>
    <row r="2849">
      <c r="A2849" s="2" t="inlineStr">
        <is>
          <t>Japanese Abyss Eye Booster Pack</t>
        </is>
      </c>
      <c r="B2849" s="3">
        <f>IF(I2849&lt;&gt;"",I2849,IF(J2849&lt;&gt;"",J2849,IF(K2849&lt;&gt;"",K2849,L2849)))</f>
        <v>2.74</v>
      </c>
      <c r="C2849" s="3">
        <f>MEDIAN(I2849:L2849)</f>
        <v>2.74</v>
      </c>
      <c r="D2849" s="3">
        <f>ROUND(C2849*(1-Settings!$B$2),2)</f>
        <v>1.92</v>
      </c>
      <c r="E2849" s="3">
        <f>ROUND(C2849*(1-Settings!$B$3),2)</f>
        <v>1.92</v>
      </c>
      <c r="F2849" s="2" t="inlineStr">
        <is>
          <t>Pokemon</t>
        </is>
      </c>
      <c r="G2849" s="2" t="inlineStr">
        <is>
          <t>Pack</t>
        </is>
      </c>
      <c r="H2849" s="2" t="inlineStr">
        <is>
          <t>Japanese Abyss Eye</t>
        </is>
      </c>
      <c r="I2849" s="3" t="n">
        <v>2.74</v>
      </c>
      <c r="J2849" s="3" t="n"/>
      <c r="K2849" s="3" t="n"/>
      <c r="L2849" s="3" t="n"/>
      <c r="M2849" s="2" t="inlineStr">
        <is>
          <t>PriceCharting</t>
        </is>
      </c>
      <c r="N2849" s="4" t="inlineStr">
        <is>
          <t>https://www.pricecharting.com/game/pokemon-japanese-abyss-eye/booster-pack</t>
        </is>
      </c>
    </row>
    <row r="2850">
      <c r="A2850" s="2" t="inlineStr">
        <is>
          <t>Japanese Advent Of Arceus Booster Pack</t>
        </is>
      </c>
      <c r="B2850" s="3">
        <f>IF(I2850&lt;&gt;"",I2850,IF(J2850&lt;&gt;"",J2850,IF(K2850&lt;&gt;"",K2850,L2850)))</f>
        <v>632.55</v>
      </c>
      <c r="C2850" s="3">
        <f>MEDIAN(I2850:L2850)</f>
        <v>632.55</v>
      </c>
      <c r="D2850" s="3">
        <f>ROUND(C2850*(1-Settings!$B$2),2)</f>
        <v>442.79</v>
      </c>
      <c r="E2850" s="3">
        <f>ROUND(C2850*(1-Settings!$B$3),2)</f>
        <v>442.79</v>
      </c>
      <c r="F2850" s="2" t="inlineStr">
        <is>
          <t>Pokemon</t>
        </is>
      </c>
      <c r="G2850" s="2" t="inlineStr">
        <is>
          <t>Pack</t>
        </is>
      </c>
      <c r="H2850" s="2" t="inlineStr">
        <is>
          <t>Japanese Advent Of Arceus</t>
        </is>
      </c>
      <c r="I2850" s="3" t="n">
        <v>632.55</v>
      </c>
      <c r="J2850" s="3" t="n"/>
      <c r="K2850" s="3" t="n"/>
      <c r="L2850" s="3" t="n"/>
      <c r="M2850" s="2" t="inlineStr">
        <is>
          <t>PriceCharting</t>
        </is>
      </c>
      <c r="N2850" s="4" t="inlineStr">
        <is>
          <t>https://www.pricecharting.com/game/pokemon-japanese-advent-of-arceus/booster-pack</t>
        </is>
      </c>
    </row>
    <row r="2851">
      <c r="A2851" s="2" t="inlineStr">
        <is>
          <t>Japanese Alolan Moonlight Booster Pack</t>
        </is>
      </c>
      <c r="B2851" s="3">
        <f>IF(I2851&lt;&gt;"",I2851,IF(J2851&lt;&gt;"",J2851,IF(K2851&lt;&gt;"",K2851,L2851)))</f>
        <v>29.99</v>
      </c>
      <c r="C2851" s="3">
        <f>MEDIAN(I2851:L2851)</f>
        <v>29.99</v>
      </c>
      <c r="D2851" s="3">
        <f>ROUND(C2851*(1-Settings!$B$2),2)</f>
        <v>20.99</v>
      </c>
      <c r="E2851" s="3">
        <f>ROUND(C2851*(1-Settings!$B$3),2)</f>
        <v>20.99</v>
      </c>
      <c r="F2851" s="2" t="inlineStr">
        <is>
          <t>Pokemon</t>
        </is>
      </c>
      <c r="G2851" s="2" t="inlineStr">
        <is>
          <t>Pack</t>
        </is>
      </c>
      <c r="H2851" s="2" t="inlineStr">
        <is>
          <t>Japanese Alolan Moonlight</t>
        </is>
      </c>
      <c r="I2851" s="3" t="n">
        <v>29.99</v>
      </c>
      <c r="J2851" s="3" t="n"/>
      <c r="K2851" s="3" t="n"/>
      <c r="L2851" s="3" t="n"/>
      <c r="M2851" s="2" t="inlineStr">
        <is>
          <t>PriceCharting</t>
        </is>
      </c>
      <c r="N2851" s="4" t="inlineStr">
        <is>
          <t>https://www.pricecharting.com/game/pokemon-japanese-alolan-moonlight/booster-pack</t>
        </is>
      </c>
    </row>
    <row r="2852">
      <c r="A2852" s="2" t="inlineStr">
        <is>
          <t>Japanese Alter Genesis Booster Pack</t>
        </is>
      </c>
      <c r="B2852" s="3">
        <f>IF(I2852&lt;&gt;"",I2852,IF(J2852&lt;&gt;"",J2852,IF(K2852&lt;&gt;"",K2852,L2852)))</f>
        <v>20.51</v>
      </c>
      <c r="C2852" s="3">
        <f>MEDIAN(I2852:L2852)</f>
        <v>20.51</v>
      </c>
      <c r="D2852" s="3">
        <f>ROUND(C2852*(1-Settings!$B$2),2)</f>
        <v>14.36</v>
      </c>
      <c r="E2852" s="3">
        <f>ROUND(C2852*(1-Settings!$B$3),2)</f>
        <v>14.36</v>
      </c>
      <c r="F2852" s="2" t="inlineStr">
        <is>
          <t>Pokemon</t>
        </is>
      </c>
      <c r="G2852" s="2" t="inlineStr">
        <is>
          <t>Pack</t>
        </is>
      </c>
      <c r="H2852" s="2" t="inlineStr">
        <is>
          <t>Japanese Alter Genesis</t>
        </is>
      </c>
      <c r="I2852" s="3" t="n">
        <v>20.51</v>
      </c>
      <c r="J2852" s="3" t="n"/>
      <c r="K2852" s="3" t="n"/>
      <c r="L2852" s="3" t="n"/>
      <c r="M2852" s="2" t="inlineStr">
        <is>
          <t>PriceCharting</t>
        </is>
      </c>
      <c r="N2852" s="4" t="inlineStr">
        <is>
          <t>https://www.pricecharting.com/game/pokemon-japanese-alter-genesis/booster-pack</t>
        </is>
      </c>
    </row>
    <row r="2853">
      <c r="A2853" s="2" t="inlineStr">
        <is>
          <t>Japanese Amazing Volt Tackle Booster Pack</t>
        </is>
      </c>
      <c r="B2853" s="3">
        <f>IF(I2853&lt;&gt;"",I2853,IF(J2853&lt;&gt;"",J2853,IF(K2853&lt;&gt;"",K2853,L2853)))</f>
        <v>39.23</v>
      </c>
      <c r="C2853" s="3">
        <f>MEDIAN(I2853:L2853)</f>
        <v>39.23</v>
      </c>
      <c r="D2853" s="3">
        <f>ROUND(C2853*(1-Settings!$B$2),2)</f>
        <v>27.46</v>
      </c>
      <c r="E2853" s="3">
        <f>ROUND(C2853*(1-Settings!$B$3),2)</f>
        <v>27.46</v>
      </c>
      <c r="F2853" s="2" t="inlineStr">
        <is>
          <t>Pokemon</t>
        </is>
      </c>
      <c r="G2853" s="2" t="inlineStr">
        <is>
          <t>Pack</t>
        </is>
      </c>
      <c r="H2853" s="2" t="inlineStr">
        <is>
          <t>Japanese Amazing Volt Tackle</t>
        </is>
      </c>
      <c r="I2853" s="3" t="n">
        <v>39.23</v>
      </c>
      <c r="J2853" s="3" t="n"/>
      <c r="K2853" s="3" t="n"/>
      <c r="L2853" s="3" t="n"/>
      <c r="M2853" s="2" t="inlineStr">
        <is>
          <t>PriceCharting</t>
        </is>
      </c>
      <c r="N2853" s="4" t="inlineStr">
        <is>
          <t>https://www.pricecharting.com/game/pokemon-japanese-amazing-volt-tackle/booster-pack</t>
        </is>
      </c>
    </row>
    <row r="2854">
      <c r="A2854" s="2" t="inlineStr">
        <is>
          <t>Japanese Ancient Roar Booster Pack</t>
        </is>
      </c>
      <c r="B2854" s="3">
        <f>IF(I2854&lt;&gt;"",I2854,IF(J2854&lt;&gt;"",J2854,IF(K2854&lt;&gt;"",K2854,L2854)))</f>
        <v>4.0</v>
      </c>
      <c r="C2854" s="3">
        <f>MEDIAN(I2854:L2854)</f>
        <v>4.0</v>
      </c>
      <c r="D2854" s="3">
        <f>ROUND(C2854*(1-Settings!$B$2),2)</f>
        <v>2.8</v>
      </c>
      <c r="E2854" s="3">
        <f>ROUND(C2854*(1-Settings!$B$3),2)</f>
        <v>2.8</v>
      </c>
      <c r="F2854" s="2" t="inlineStr">
        <is>
          <t>Pokemon</t>
        </is>
      </c>
      <c r="G2854" s="2" t="inlineStr">
        <is>
          <t>Pack</t>
        </is>
      </c>
      <c r="H2854" s="2" t="inlineStr">
        <is>
          <t>Japanese Ancient Roar</t>
        </is>
      </c>
      <c r="I2854" s="3" t="n">
        <v>4</v>
      </c>
      <c r="J2854" s="3" t="n"/>
      <c r="K2854" s="3" t="n"/>
      <c r="L2854" s="3" t="n"/>
      <c r="M2854" s="2" t="inlineStr">
        <is>
          <t>PriceCharting</t>
        </is>
      </c>
      <c r="N2854" s="4" t="inlineStr">
        <is>
          <t>https://www.pricecharting.com/game/pokemon-japanese-ancient-roar/booster-pack</t>
        </is>
      </c>
    </row>
    <row r="2855">
      <c r="A2855" s="2" t="inlineStr">
        <is>
          <t>Japanese Awakening Legends Booster Pack</t>
        </is>
      </c>
      <c r="B2855" s="3">
        <f>IF(I2855&lt;&gt;"",I2855,IF(J2855&lt;&gt;"",J2855,IF(K2855&lt;&gt;"",K2855,L2855)))</f>
        <v>1574.0</v>
      </c>
      <c r="C2855" s="3">
        <f>MEDIAN(I2855:L2855)</f>
        <v>1574.0</v>
      </c>
      <c r="D2855" s="3">
        <f>ROUND(C2855*(1-Settings!$B$2),2)</f>
        <v>1101.8</v>
      </c>
      <c r="E2855" s="3">
        <f>ROUND(C2855*(1-Settings!$B$3),2)</f>
        <v>1101.8</v>
      </c>
      <c r="F2855" s="2" t="inlineStr">
        <is>
          <t>Pokemon</t>
        </is>
      </c>
      <c r="G2855" s="2" t="inlineStr">
        <is>
          <t>Pack</t>
        </is>
      </c>
      <c r="H2855" s="2" t="inlineStr">
        <is>
          <t>Japanese Awakening Legends</t>
        </is>
      </c>
      <c r="I2855" s="3" t="n">
        <v>1574</v>
      </c>
      <c r="J2855" s="3" t="n"/>
      <c r="K2855" s="3" t="n"/>
      <c r="L2855" s="3" t="n"/>
      <c r="M2855" s="2" t="inlineStr">
        <is>
          <t>PriceCharting</t>
        </is>
      </c>
      <c r="N2855" s="4" t="inlineStr">
        <is>
          <t>https://www.pricecharting.com/game/pokemon-japanese-awakening-legends/booster-pack</t>
        </is>
      </c>
    </row>
    <row r="2856">
      <c r="A2856" s="2" t="inlineStr">
        <is>
          <t>Japanese Bandit Ring Booster Pack</t>
        </is>
      </c>
      <c r="B2856" s="3">
        <f>IF(I2856&lt;&gt;"",I2856,IF(J2856&lt;&gt;"",J2856,IF(K2856&lt;&gt;"",K2856,L2856)))</f>
        <v>53.17</v>
      </c>
      <c r="C2856" s="3">
        <f>MEDIAN(I2856:L2856)</f>
        <v>53.17</v>
      </c>
      <c r="D2856" s="3">
        <f>ROUND(C2856*(1-Settings!$B$2),2)</f>
        <v>37.22</v>
      </c>
      <c r="E2856" s="3">
        <f>ROUND(C2856*(1-Settings!$B$3),2)</f>
        <v>37.22</v>
      </c>
      <c r="F2856" s="2" t="inlineStr">
        <is>
          <t>Pokemon</t>
        </is>
      </c>
      <c r="G2856" s="2" t="inlineStr">
        <is>
          <t>Pack</t>
        </is>
      </c>
      <c r="H2856" s="2" t="inlineStr">
        <is>
          <t>Japanese Bandit Ring</t>
        </is>
      </c>
      <c r="I2856" s="3" t="n">
        <v>53.17</v>
      </c>
      <c r="J2856" s="3" t="n"/>
      <c r="K2856" s="3" t="n"/>
      <c r="L2856" s="3" t="n"/>
      <c r="M2856" s="2" t="inlineStr">
        <is>
          <t>PriceCharting</t>
        </is>
      </c>
      <c r="N2856" s="4" t="inlineStr">
        <is>
          <t>https://www.pricecharting.com/game/pokemon-japanese-bandit-ring/booster-pack</t>
        </is>
      </c>
    </row>
    <row r="2857">
      <c r="A2857" s="2" t="inlineStr">
        <is>
          <t>Japanese Battle Partners Booster Pack</t>
        </is>
      </c>
      <c r="B2857" s="3">
        <f>IF(I2857&lt;&gt;"",I2857,IF(J2857&lt;&gt;"",J2857,IF(K2857&lt;&gt;"",K2857,L2857)))</f>
        <v>8.12</v>
      </c>
      <c r="C2857" s="3">
        <f>MEDIAN(I2857:L2857)</f>
        <v>8.12</v>
      </c>
      <c r="D2857" s="3">
        <f>ROUND(C2857*(1-Settings!$B$2),2)</f>
        <v>5.68</v>
      </c>
      <c r="E2857" s="3">
        <f>ROUND(C2857*(1-Settings!$B$3),2)</f>
        <v>5.68</v>
      </c>
      <c r="F2857" s="2" t="inlineStr">
        <is>
          <t>Pokemon</t>
        </is>
      </c>
      <c r="G2857" s="2" t="inlineStr">
        <is>
          <t>Pack</t>
        </is>
      </c>
      <c r="H2857" s="2" t="inlineStr">
        <is>
          <t>Japanese Battle Partners</t>
        </is>
      </c>
      <c r="I2857" s="3" t="n">
        <v>8.119999999999999</v>
      </c>
      <c r="J2857" s="3" t="n"/>
      <c r="K2857" s="3" t="n"/>
      <c r="L2857" s="3" t="n"/>
      <c r="M2857" s="2" t="inlineStr">
        <is>
          <t>PriceCharting</t>
        </is>
      </c>
      <c r="N2857" s="4" t="inlineStr">
        <is>
          <t>https://www.pricecharting.com/game/pokemon-japanese-battle-partners/booster-pack</t>
        </is>
      </c>
    </row>
    <row r="2858">
      <c r="A2858" s="2" t="inlineStr">
        <is>
          <t>Japanese Battle Region Booster Pack</t>
        </is>
      </c>
      <c r="B2858" s="3">
        <f>IF(I2858&lt;&gt;"",I2858,IF(J2858&lt;&gt;"",J2858,IF(K2858&lt;&gt;"",K2858,L2858)))</f>
        <v>9.41</v>
      </c>
      <c r="C2858" s="3">
        <f>MEDIAN(I2858:L2858)</f>
        <v>9.41</v>
      </c>
      <c r="D2858" s="3">
        <f>ROUND(C2858*(1-Settings!$B$2),2)</f>
        <v>6.59</v>
      </c>
      <c r="E2858" s="3">
        <f>ROUND(C2858*(1-Settings!$B$3),2)</f>
        <v>6.59</v>
      </c>
      <c r="F2858" s="2" t="inlineStr">
        <is>
          <t>Pokemon</t>
        </is>
      </c>
      <c r="G2858" s="2" t="inlineStr">
        <is>
          <t>Pack</t>
        </is>
      </c>
      <c r="H2858" s="2" t="inlineStr">
        <is>
          <t>Japanese Battle Region</t>
        </is>
      </c>
      <c r="I2858" s="3" t="n">
        <v>9.41</v>
      </c>
      <c r="J2858" s="3" t="n"/>
      <c r="K2858" s="3" t="n"/>
      <c r="L2858" s="3" t="n"/>
      <c r="M2858" s="2" t="inlineStr">
        <is>
          <t>PriceCharting</t>
        </is>
      </c>
      <c r="N2858" s="4" t="inlineStr">
        <is>
          <t>https://www.pricecharting.com/game/pokemon-japanese-battle-region/booster-pack</t>
        </is>
      </c>
    </row>
    <row r="2859">
      <c r="A2859" s="2" t="inlineStr">
        <is>
          <t>Japanese Beat Of The Frontier Booster Pack</t>
        </is>
      </c>
      <c r="B2859" s="3">
        <f>IF(I2859&lt;&gt;"",I2859,IF(J2859&lt;&gt;"",J2859,IF(K2859&lt;&gt;"",K2859,L2859)))</f>
        <v>452.59</v>
      </c>
      <c r="C2859" s="3">
        <f>MEDIAN(I2859:L2859)</f>
        <v>452.59</v>
      </c>
      <c r="D2859" s="3">
        <f>ROUND(C2859*(1-Settings!$B$2),2)</f>
        <v>316.81</v>
      </c>
      <c r="E2859" s="3">
        <f>ROUND(C2859*(1-Settings!$B$3),2)</f>
        <v>316.81</v>
      </c>
      <c r="F2859" s="2" t="inlineStr">
        <is>
          <t>Pokemon</t>
        </is>
      </c>
      <c r="G2859" s="2" t="inlineStr">
        <is>
          <t>Pack</t>
        </is>
      </c>
      <c r="H2859" s="2" t="inlineStr">
        <is>
          <t>Japanese Beat Of The Frontier</t>
        </is>
      </c>
      <c r="I2859" s="3" t="n">
        <v>452.59</v>
      </c>
      <c r="J2859" s="3" t="n"/>
      <c r="K2859" s="3" t="n"/>
      <c r="L2859" s="3" t="n"/>
      <c r="M2859" s="2" t="inlineStr">
        <is>
          <t>PriceCharting</t>
        </is>
      </c>
      <c r="N2859" s="4" t="inlineStr">
        <is>
          <t>https://www.pricecharting.com/game/pokemon-japanese-beat-of-the-frontier/booster-pack</t>
        </is>
      </c>
    </row>
    <row r="2860">
      <c r="A2860" s="2" t="inlineStr">
        <is>
          <t>Japanese Best Of Xy Booster Pack</t>
        </is>
      </c>
      <c r="B2860" s="3">
        <f>IF(I2860&lt;&gt;"",I2860,IF(J2860&lt;&gt;"",J2860,IF(K2860&lt;&gt;"",K2860,L2860)))</f>
        <v>300.0</v>
      </c>
      <c r="C2860" s="3">
        <f>MEDIAN(I2860:L2860)</f>
        <v>300.0</v>
      </c>
      <c r="D2860" s="3">
        <f>ROUND(C2860*(1-Settings!$B$2),2)</f>
        <v>210.0</v>
      </c>
      <c r="E2860" s="3">
        <f>ROUND(C2860*(1-Settings!$B$3),2)</f>
        <v>210.0</v>
      </c>
      <c r="F2860" s="2" t="inlineStr">
        <is>
          <t>Pokemon</t>
        </is>
      </c>
      <c r="G2860" s="2" t="inlineStr">
        <is>
          <t>Pack</t>
        </is>
      </c>
      <c r="H2860" s="2" t="inlineStr">
        <is>
          <t>Japanese Best Of Xy</t>
        </is>
      </c>
      <c r="I2860" s="3" t="n">
        <v>300</v>
      </c>
      <c r="J2860" s="3" t="n"/>
      <c r="K2860" s="3" t="n"/>
      <c r="L2860" s="3" t="n"/>
      <c r="M2860" s="2" t="inlineStr">
        <is>
          <t>PriceCharting</t>
        </is>
      </c>
      <c r="N2860" s="4" t="inlineStr">
        <is>
          <t>https://www.pricecharting.com/game/pokemon-japanese-best-of-xy/booster-pack</t>
        </is>
      </c>
    </row>
    <row r="2861">
      <c r="A2861" s="2" t="inlineStr">
        <is>
          <t>Japanese Black Bolt Booster Pack</t>
        </is>
      </c>
      <c r="B2861" s="3">
        <f>IF(I2861&lt;&gt;"",I2861,IF(J2861&lt;&gt;"",J2861,IF(K2861&lt;&gt;"",K2861,L2861)))</f>
        <v>3.25</v>
      </c>
      <c r="C2861" s="3">
        <f>MEDIAN(I2861:L2861)</f>
        <v>3.25</v>
      </c>
      <c r="D2861" s="3">
        <f>ROUND(C2861*(1-Settings!$B$2),2)</f>
        <v>2.28</v>
      </c>
      <c r="E2861" s="3">
        <f>ROUND(C2861*(1-Settings!$B$3),2)</f>
        <v>2.28</v>
      </c>
      <c r="F2861" s="2" t="inlineStr">
        <is>
          <t>Pokemon</t>
        </is>
      </c>
      <c r="G2861" s="2" t="inlineStr">
        <is>
          <t>Pack</t>
        </is>
      </c>
      <c r="H2861" s="2" t="inlineStr">
        <is>
          <t>Japanese Black Bolt</t>
        </is>
      </c>
      <c r="I2861" s="3" t="n">
        <v>3.25</v>
      </c>
      <c r="J2861" s="3" t="n"/>
      <c r="K2861" s="3" t="n"/>
      <c r="L2861" s="3" t="n"/>
      <c r="M2861" s="2" t="inlineStr">
        <is>
          <t>PriceCharting</t>
        </is>
      </c>
      <c r="N2861" s="4" t="inlineStr">
        <is>
          <t>https://www.pricecharting.com/game/pokemon-japanese-black-bolt/booster-pack</t>
        </is>
      </c>
    </row>
    <row r="2862">
      <c r="A2862" s="2" t="inlineStr">
        <is>
          <t>Japanese Black Bolt Deluxe Booster Pack</t>
        </is>
      </c>
      <c r="B2862" s="3">
        <f>IF(I2862&lt;&gt;"",I2862,IF(J2862&lt;&gt;"",J2862,IF(K2862&lt;&gt;"",K2862,L2862)))</f>
        <v>135.81</v>
      </c>
      <c r="C2862" s="3">
        <f>MEDIAN(I2862:L2862)</f>
        <v>135.81</v>
      </c>
      <c r="D2862" s="3">
        <f>ROUND(C2862*(1-Settings!$B$2),2)</f>
        <v>95.07</v>
      </c>
      <c r="E2862" s="3">
        <f>ROUND(C2862*(1-Settings!$B$3),2)</f>
        <v>95.07</v>
      </c>
      <c r="F2862" s="2" t="inlineStr">
        <is>
          <t>Pokemon</t>
        </is>
      </c>
      <c r="G2862" s="2" t="inlineStr">
        <is>
          <t>Pack</t>
        </is>
      </c>
      <c r="H2862" s="2" t="inlineStr">
        <is>
          <t>Japanese Black Bolt</t>
        </is>
      </c>
      <c r="I2862" s="3" t="n">
        <v>135.81</v>
      </c>
      <c r="J2862" s="3" t="n"/>
      <c r="K2862" s="3" t="n"/>
      <c r="L2862" s="3" t="n"/>
      <c r="M2862" s="2" t="inlineStr">
        <is>
          <t>PriceCharting</t>
        </is>
      </c>
      <c r="N2862" s="4" t="inlineStr">
        <is>
          <t>https://www.pricecharting.com/game/pokemon-japanese-black-bolt/deluxe-booster-pack</t>
        </is>
      </c>
    </row>
    <row r="2863">
      <c r="A2863" s="2" t="inlineStr">
        <is>
          <t>Japanese Blue Sky Stream Booster Pack</t>
        </is>
      </c>
      <c r="B2863" s="3">
        <f>IF(I2863&lt;&gt;"",I2863,IF(J2863&lt;&gt;"",J2863,IF(K2863&lt;&gt;"",K2863,L2863)))</f>
        <v>13.66</v>
      </c>
      <c r="C2863" s="3">
        <f>MEDIAN(I2863:L2863)</f>
        <v>13.66</v>
      </c>
      <c r="D2863" s="3">
        <f>ROUND(C2863*(1-Settings!$B$2),2)</f>
        <v>9.56</v>
      </c>
      <c r="E2863" s="3">
        <f>ROUND(C2863*(1-Settings!$B$3),2)</f>
        <v>9.56</v>
      </c>
      <c r="F2863" s="2" t="inlineStr">
        <is>
          <t>Pokemon</t>
        </is>
      </c>
      <c r="G2863" s="2" t="inlineStr">
        <is>
          <t>Pack</t>
        </is>
      </c>
      <c r="H2863" s="2" t="inlineStr">
        <is>
          <t>Japanese Blue Sky Stream</t>
        </is>
      </c>
      <c r="I2863" s="3" t="n">
        <v>13.66</v>
      </c>
      <c r="J2863" s="3" t="n"/>
      <c r="K2863" s="3" t="n"/>
      <c r="L2863" s="3" t="n"/>
      <c r="M2863" s="2" t="inlineStr">
        <is>
          <t>PriceCharting</t>
        </is>
      </c>
      <c r="N2863" s="4" t="inlineStr">
        <is>
          <t>https://www.pricecharting.com/game/pokemon-japanese-blue-sky-stream/booster-pack</t>
        </is>
      </c>
    </row>
    <row r="2864">
      <c r="A2864" s="2" t="inlineStr">
        <is>
          <t>Japanese Challenge From The Darkness Booster Pack</t>
        </is>
      </c>
      <c r="B2864" s="3">
        <f>IF(I2864&lt;&gt;"",I2864,IF(J2864&lt;&gt;"",J2864,IF(K2864&lt;&gt;"",K2864,L2864)))</f>
        <v>1169.2</v>
      </c>
      <c r="C2864" s="3">
        <f>MEDIAN(I2864:L2864)</f>
        <v>1169.2</v>
      </c>
      <c r="D2864" s="3">
        <f>ROUND(C2864*(1-Settings!$B$2),2)</f>
        <v>818.44</v>
      </c>
      <c r="E2864" s="3">
        <f>ROUND(C2864*(1-Settings!$B$3),2)</f>
        <v>818.44</v>
      </c>
      <c r="F2864" s="2" t="inlineStr">
        <is>
          <t>Pokemon</t>
        </is>
      </c>
      <c r="G2864" s="2" t="inlineStr">
        <is>
          <t>Pack</t>
        </is>
      </c>
      <c r="H2864" s="2" t="inlineStr">
        <is>
          <t>Japanese Challenge From The Darkness</t>
        </is>
      </c>
      <c r="I2864" s="3" t="n">
        <v>1169.2</v>
      </c>
      <c r="J2864" s="3" t="n"/>
      <c r="K2864" s="3" t="n"/>
      <c r="L2864" s="3" t="n"/>
      <c r="M2864" s="2" t="inlineStr">
        <is>
          <t>PriceCharting</t>
        </is>
      </c>
      <c r="N2864" s="4" t="inlineStr">
        <is>
          <t>https://www.pricecharting.com/game/pokemon-japanese-challenge-from-the-darkness/booster-pack</t>
        </is>
      </c>
    </row>
    <row r="2865">
      <c r="A2865" s="2" t="inlineStr">
        <is>
          <t>Japanese Clay Burst Booster Pack</t>
        </is>
      </c>
      <c r="B2865" s="3">
        <f>IF(I2865&lt;&gt;"",I2865,IF(J2865&lt;&gt;"",J2865,IF(K2865&lt;&gt;"",K2865,L2865)))</f>
        <v>3.63</v>
      </c>
      <c r="C2865" s="3">
        <f>MEDIAN(I2865:L2865)</f>
        <v>3.63</v>
      </c>
      <c r="D2865" s="3">
        <f>ROUND(C2865*(1-Settings!$B$2),2)</f>
        <v>2.54</v>
      </c>
      <c r="E2865" s="3">
        <f>ROUND(C2865*(1-Settings!$B$3),2)</f>
        <v>2.54</v>
      </c>
      <c r="F2865" s="2" t="inlineStr">
        <is>
          <t>Pokemon</t>
        </is>
      </c>
      <c r="G2865" s="2" t="inlineStr">
        <is>
          <t>Pack</t>
        </is>
      </c>
      <c r="H2865" s="2" t="inlineStr">
        <is>
          <t>Japanese Clay Burst</t>
        </is>
      </c>
      <c r="I2865" s="3" t="n">
        <v>3.63</v>
      </c>
      <c r="J2865" s="3" t="n"/>
      <c r="K2865" s="3" t="n"/>
      <c r="L2865" s="3" t="n"/>
      <c r="M2865" s="2" t="inlineStr">
        <is>
          <t>PriceCharting</t>
        </is>
      </c>
      <c r="N2865" s="4" t="inlineStr">
        <is>
          <t>https://www.pricecharting.com/game/pokemon-japanese-clay-burst/booster-pack</t>
        </is>
      </c>
    </row>
    <row r="2866">
      <c r="A2866" s="2" t="inlineStr">
        <is>
          <t>Japanese Crimson Haze Booster Pack</t>
        </is>
      </c>
      <c r="B2866" s="3">
        <f>IF(I2866&lt;&gt;"",I2866,IF(J2866&lt;&gt;"",J2866,IF(K2866&lt;&gt;"",K2866,L2866)))</f>
        <v>5.3</v>
      </c>
      <c r="C2866" s="3">
        <f>MEDIAN(I2866:L2866)</f>
        <v>5.3</v>
      </c>
      <c r="D2866" s="3">
        <f>ROUND(C2866*(1-Settings!$B$2),2)</f>
        <v>3.71</v>
      </c>
      <c r="E2866" s="3">
        <f>ROUND(C2866*(1-Settings!$B$3),2)</f>
        <v>3.71</v>
      </c>
      <c r="F2866" s="2" t="inlineStr">
        <is>
          <t>Pokemon</t>
        </is>
      </c>
      <c r="G2866" s="2" t="inlineStr">
        <is>
          <t>Pack</t>
        </is>
      </c>
      <c r="H2866" s="2" t="inlineStr">
        <is>
          <t>Japanese Crimson Haze</t>
        </is>
      </c>
      <c r="I2866" s="3" t="n">
        <v>5.3</v>
      </c>
      <c r="J2866" s="3" t="n"/>
      <c r="K2866" s="3" t="n"/>
      <c r="L2866" s="3" t="n"/>
      <c r="M2866" s="2" t="inlineStr">
        <is>
          <t>PriceCharting</t>
        </is>
      </c>
      <c r="N2866" s="4" t="inlineStr">
        <is>
          <t>https://www.pricecharting.com/game/pokemon-japanese-crimson-haze/booster-pack</t>
        </is>
      </c>
    </row>
    <row r="2867">
      <c r="A2867" s="2" t="inlineStr">
        <is>
          <t>Japanese Crossing The Ruins Booster Pack</t>
        </is>
      </c>
      <c r="B2867" s="3">
        <f>IF(I2867&lt;&gt;"",I2867,IF(J2867&lt;&gt;"",J2867,IF(K2867&lt;&gt;"",K2867,L2867)))</f>
        <v>965.8</v>
      </c>
      <c r="C2867" s="3">
        <f>MEDIAN(I2867:L2867)</f>
        <v>965.8</v>
      </c>
      <c r="D2867" s="3">
        <f>ROUND(C2867*(1-Settings!$B$2),2)</f>
        <v>676.06</v>
      </c>
      <c r="E2867" s="3">
        <f>ROUND(C2867*(1-Settings!$B$3),2)</f>
        <v>676.06</v>
      </c>
      <c r="F2867" s="2" t="inlineStr">
        <is>
          <t>Pokemon</t>
        </is>
      </c>
      <c r="G2867" s="2" t="inlineStr">
        <is>
          <t>Pack</t>
        </is>
      </c>
      <c r="H2867" s="2" t="inlineStr">
        <is>
          <t>Japanese Crossing The Ruins</t>
        </is>
      </c>
      <c r="I2867" s="3" t="n">
        <v>965.8</v>
      </c>
      <c r="J2867" s="3" t="n"/>
      <c r="K2867" s="3" t="n"/>
      <c r="L2867" s="3" t="n"/>
      <c r="M2867" s="2" t="inlineStr">
        <is>
          <t>PriceCharting</t>
        </is>
      </c>
      <c r="N2867" s="4" t="inlineStr">
        <is>
          <t>https://www.pricecharting.com/game/pokemon-japanese-crossing-the-ruins/booster-pack</t>
        </is>
      </c>
    </row>
    <row r="2868">
      <c r="A2868" s="2" t="inlineStr">
        <is>
          <t>Japanese Cyber Judge Booster Pack</t>
        </is>
      </c>
      <c r="B2868" s="3">
        <f>IF(I2868&lt;&gt;"",I2868,IF(J2868&lt;&gt;"",J2868,IF(K2868&lt;&gt;"",K2868,L2868)))</f>
        <v>3.99</v>
      </c>
      <c r="C2868" s="3">
        <f>MEDIAN(I2868:L2868)</f>
        <v>3.99</v>
      </c>
      <c r="D2868" s="3">
        <f>ROUND(C2868*(1-Settings!$B$2),2)</f>
        <v>2.79</v>
      </c>
      <c r="E2868" s="3">
        <f>ROUND(C2868*(1-Settings!$B$3),2)</f>
        <v>2.79</v>
      </c>
      <c r="F2868" s="2" t="inlineStr">
        <is>
          <t>Pokemon</t>
        </is>
      </c>
      <c r="G2868" s="2" t="inlineStr">
        <is>
          <t>Pack</t>
        </is>
      </c>
      <c r="H2868" s="2" t="inlineStr">
        <is>
          <t>Japanese Cyber Judge</t>
        </is>
      </c>
      <c r="I2868" s="3" t="n">
        <v>3.99</v>
      </c>
      <c r="J2868" s="3" t="n"/>
      <c r="K2868" s="3" t="n"/>
      <c r="L2868" s="3" t="n"/>
      <c r="M2868" s="2" t="inlineStr">
        <is>
          <t>PriceCharting</t>
        </is>
      </c>
      <c r="N2868" s="4" t="inlineStr">
        <is>
          <t>https://www.pricecharting.com/game/pokemon-japanese-cyber-judge/booster-pack</t>
        </is>
      </c>
    </row>
    <row r="2869">
      <c r="A2869" s="2" t="inlineStr">
        <is>
          <t>Japanese Dark Phantasma Booster Pack</t>
        </is>
      </c>
      <c r="B2869" s="3">
        <f>IF(I2869&lt;&gt;"",I2869,IF(J2869&lt;&gt;"",J2869,IF(K2869&lt;&gt;"",K2869,L2869)))</f>
        <v>27.05</v>
      </c>
      <c r="C2869" s="3">
        <f>MEDIAN(I2869:L2869)</f>
        <v>27.05</v>
      </c>
      <c r="D2869" s="3">
        <f>ROUND(C2869*(1-Settings!$B$2),2)</f>
        <v>18.94</v>
      </c>
      <c r="E2869" s="3">
        <f>ROUND(C2869*(1-Settings!$B$3),2)</f>
        <v>18.94</v>
      </c>
      <c r="F2869" s="2" t="inlineStr">
        <is>
          <t>Pokemon</t>
        </is>
      </c>
      <c r="G2869" s="2" t="inlineStr">
        <is>
          <t>Pack</t>
        </is>
      </c>
      <c r="H2869" s="2" t="inlineStr">
        <is>
          <t>Japanese Dark Phantasma</t>
        </is>
      </c>
      <c r="I2869" s="3" t="n">
        <v>27.05</v>
      </c>
      <c r="J2869" s="3" t="n"/>
      <c r="K2869" s="3" t="n"/>
      <c r="L2869" s="3" t="n"/>
      <c r="M2869" s="2" t="inlineStr">
        <is>
          <t>PriceCharting</t>
        </is>
      </c>
      <c r="N2869" s="4" t="inlineStr">
        <is>
          <t>https://www.pricecharting.com/game/pokemon-japanese-dark-phantasma/booster-pack</t>
        </is>
      </c>
    </row>
    <row r="2870">
      <c r="A2870" s="2" t="inlineStr">
        <is>
          <t>Japanese Darkness And To Light Booster Pack</t>
        </is>
      </c>
      <c r="B2870" s="3">
        <f>IF(I2870&lt;&gt;"",I2870,IF(J2870&lt;&gt;"",J2870,IF(K2870&lt;&gt;"",K2870,L2870)))</f>
        <v>2731.1</v>
      </c>
      <c r="C2870" s="3">
        <f>MEDIAN(I2870:L2870)</f>
        <v>2731.1</v>
      </c>
      <c r="D2870" s="3">
        <f>ROUND(C2870*(1-Settings!$B$2),2)</f>
        <v>1911.77</v>
      </c>
      <c r="E2870" s="3">
        <f>ROUND(C2870*(1-Settings!$B$3),2)</f>
        <v>1911.77</v>
      </c>
      <c r="F2870" s="2" t="inlineStr">
        <is>
          <t>Pokemon</t>
        </is>
      </c>
      <c r="G2870" s="2" t="inlineStr">
        <is>
          <t>Pack</t>
        </is>
      </c>
      <c r="H2870" s="2" t="inlineStr">
        <is>
          <t>Japanese Darkness And To Light</t>
        </is>
      </c>
      <c r="I2870" s="3" t="n">
        <v>2731.1</v>
      </c>
      <c r="J2870" s="3" t="n"/>
      <c r="K2870" s="3" t="n"/>
      <c r="L2870" s="3" t="n"/>
      <c r="M2870" s="2" t="inlineStr">
        <is>
          <t>PriceCharting</t>
        </is>
      </c>
      <c r="N2870" s="4" t="inlineStr">
        <is>
          <t>https://www.pricecharting.com/game/pokemon-japanese-darkness-and-to-light/booster-pack</t>
        </is>
      </c>
    </row>
    <row r="2871">
      <c r="A2871" s="2" t="inlineStr">
        <is>
          <t>Japanese Double Blaze Booster Pack</t>
        </is>
      </c>
      <c r="B2871" s="3">
        <f>IF(I2871&lt;&gt;"",I2871,IF(J2871&lt;&gt;"",J2871,IF(K2871&lt;&gt;"",K2871,L2871)))</f>
        <v>13.07</v>
      </c>
      <c r="C2871" s="3">
        <f>MEDIAN(I2871:L2871)</f>
        <v>13.07</v>
      </c>
      <c r="D2871" s="3">
        <f>ROUND(C2871*(1-Settings!$B$2),2)</f>
        <v>9.15</v>
      </c>
      <c r="E2871" s="3">
        <f>ROUND(C2871*(1-Settings!$B$3),2)</f>
        <v>9.15</v>
      </c>
      <c r="F2871" s="2" t="inlineStr">
        <is>
          <t>Pokemon</t>
        </is>
      </c>
      <c r="G2871" s="2" t="inlineStr">
        <is>
          <t>Pack</t>
        </is>
      </c>
      <c r="H2871" s="2" t="inlineStr">
        <is>
          <t>Japanese Double Blaze</t>
        </is>
      </c>
      <c r="I2871" s="3" t="n">
        <v>13.07</v>
      </c>
      <c r="J2871" s="3" t="n"/>
      <c r="K2871" s="3" t="n"/>
      <c r="L2871" s="3" t="n"/>
      <c r="M2871" s="2" t="inlineStr">
        <is>
          <t>PriceCharting</t>
        </is>
      </c>
      <c r="N2871" s="4" t="inlineStr">
        <is>
          <t>https://www.pricecharting.com/game/pokemon-japanese-double-blaze/booster-pack</t>
        </is>
      </c>
    </row>
    <row r="2872">
      <c r="A2872" s="2" t="inlineStr">
        <is>
          <t>Japanese Dream League Booster Pack</t>
        </is>
      </c>
      <c r="B2872" s="3">
        <f>IF(I2872&lt;&gt;"",I2872,IF(J2872&lt;&gt;"",J2872,IF(K2872&lt;&gt;"",K2872,L2872)))</f>
        <v>140.53</v>
      </c>
      <c r="C2872" s="3">
        <f>MEDIAN(I2872:L2872)</f>
        <v>140.53</v>
      </c>
      <c r="D2872" s="3">
        <f>ROUND(C2872*(1-Settings!$B$2),2)</f>
        <v>98.37</v>
      </c>
      <c r="E2872" s="3">
        <f>ROUND(C2872*(1-Settings!$B$3),2)</f>
        <v>98.37</v>
      </c>
      <c r="F2872" s="2" t="inlineStr">
        <is>
          <t>Pokemon</t>
        </is>
      </c>
      <c r="G2872" s="2" t="inlineStr">
        <is>
          <t>Pack</t>
        </is>
      </c>
      <c r="H2872" s="2" t="inlineStr">
        <is>
          <t>Japanese Dream League</t>
        </is>
      </c>
      <c r="I2872" s="3" t="n">
        <v>140.53</v>
      </c>
      <c r="J2872" s="3" t="n"/>
      <c r="K2872" s="3" t="n"/>
      <c r="L2872" s="3" t="n"/>
      <c r="M2872" s="2" t="inlineStr">
        <is>
          <t>PriceCharting</t>
        </is>
      </c>
      <c r="N2872" s="4" t="inlineStr">
        <is>
          <t>https://www.pricecharting.com/game/pokemon-japanese-dream-league/booster-pack</t>
        </is>
      </c>
    </row>
    <row r="2873">
      <c r="A2873" s="2" t="inlineStr">
        <is>
          <t>Japanese Dream Shine Collection Booster Pack</t>
        </is>
      </c>
      <c r="B2873" s="3">
        <f>IF(I2873&lt;&gt;"",I2873,IF(J2873&lt;&gt;"",J2873,IF(K2873&lt;&gt;"",K2873,L2873)))</f>
        <v>600.0</v>
      </c>
      <c r="C2873" s="3">
        <f>MEDIAN(I2873:L2873)</f>
        <v>600.0</v>
      </c>
      <c r="D2873" s="3">
        <f>ROUND(C2873*(1-Settings!$B$2),2)</f>
        <v>420.0</v>
      </c>
      <c r="E2873" s="3">
        <f>ROUND(C2873*(1-Settings!$B$3),2)</f>
        <v>420.0</v>
      </c>
      <c r="F2873" s="2" t="inlineStr">
        <is>
          <t>Pokemon</t>
        </is>
      </c>
      <c r="G2873" s="2" t="inlineStr">
        <is>
          <t>Pack</t>
        </is>
      </c>
      <c r="H2873" s="2" t="inlineStr">
        <is>
          <t>Japanese Dream Shine Collection</t>
        </is>
      </c>
      <c r="I2873" s="3" t="n">
        <v>600</v>
      </c>
      <c r="J2873" s="3" t="n"/>
      <c r="K2873" s="3" t="n"/>
      <c r="L2873" s="3" t="n"/>
      <c r="M2873" s="2" t="inlineStr">
        <is>
          <t>PriceCharting</t>
        </is>
      </c>
      <c r="N2873" s="4" t="inlineStr">
        <is>
          <t>https://www.pricecharting.com/game/pokemon-japanese-dream-shine-collection/booster-pack</t>
        </is>
      </c>
    </row>
    <row r="2874">
      <c r="A2874" s="2" t="inlineStr">
        <is>
          <t>Japanese Eevee Heroes Booster Pack</t>
        </is>
      </c>
      <c r="B2874" s="3">
        <f>IF(I2874&lt;&gt;"",I2874,IF(J2874&lt;&gt;"",J2874,IF(K2874&lt;&gt;"",K2874,L2874)))</f>
        <v>81.72</v>
      </c>
      <c r="C2874" s="3">
        <f>MEDIAN(I2874:L2874)</f>
        <v>81.72</v>
      </c>
      <c r="D2874" s="3">
        <f>ROUND(C2874*(1-Settings!$B$2),2)</f>
        <v>57.2</v>
      </c>
      <c r="E2874" s="3">
        <f>ROUND(C2874*(1-Settings!$B$3),2)</f>
        <v>57.2</v>
      </c>
      <c r="F2874" s="2" t="inlineStr">
        <is>
          <t>Pokemon</t>
        </is>
      </c>
      <c r="G2874" s="2" t="inlineStr">
        <is>
          <t>Pack</t>
        </is>
      </c>
      <c r="H2874" s="2" t="inlineStr">
        <is>
          <t>Japanese Eevee Heroes</t>
        </is>
      </c>
      <c r="I2874" s="3" t="n">
        <v>81.72</v>
      </c>
      <c r="J2874" s="3" t="n"/>
      <c r="K2874" s="3" t="n"/>
      <c r="L2874" s="3" t="n"/>
      <c r="M2874" s="2" t="inlineStr">
        <is>
          <t>PriceCharting</t>
        </is>
      </c>
      <c r="N2874" s="4" t="inlineStr">
        <is>
          <t>https://www.pricecharting.com/game/pokemon-japanese-eevee-heroes/booster-pack</t>
        </is>
      </c>
    </row>
    <row r="2875">
      <c r="A2875" s="2" t="inlineStr">
        <is>
          <t>Japanese Expansion Pack Booster Pack</t>
        </is>
      </c>
      <c r="B2875" s="3">
        <f>IF(I2875&lt;&gt;"",I2875,IF(J2875&lt;&gt;"",J2875,IF(K2875&lt;&gt;"",K2875,L2875)))</f>
        <v>1625.0</v>
      </c>
      <c r="C2875" s="3">
        <f>MEDIAN(I2875:L2875)</f>
        <v>1625.0</v>
      </c>
      <c r="D2875" s="3">
        <f>ROUND(C2875*(1-Settings!$B$2),2)</f>
        <v>1137.5</v>
      </c>
      <c r="E2875" s="3">
        <f>ROUND(C2875*(1-Settings!$B$3),2)</f>
        <v>1137.5</v>
      </c>
      <c r="F2875" s="2" t="inlineStr">
        <is>
          <t>Pokemon</t>
        </is>
      </c>
      <c r="G2875" s="2" t="inlineStr">
        <is>
          <t>Pack</t>
        </is>
      </c>
      <c r="H2875" s="2" t="inlineStr">
        <is>
          <t>Japanese Expansion Pack</t>
        </is>
      </c>
      <c r="I2875" s="3" t="n">
        <v>1625</v>
      </c>
      <c r="J2875" s="3" t="n"/>
      <c r="K2875" s="3" t="n"/>
      <c r="L2875" s="3" t="n"/>
      <c r="M2875" s="2" t="inlineStr">
        <is>
          <t>PriceCharting</t>
        </is>
      </c>
      <c r="N2875" s="4" t="inlineStr">
        <is>
          <t>https://www.pricecharting.com/game/pokemon-japanese-expansion-pack/booster-pack</t>
        </is>
      </c>
    </row>
    <row r="2876">
      <c r="A2876" s="2" t="inlineStr">
        <is>
          <t>Japanese Expansion Pack Booster Pack [Short]</t>
        </is>
      </c>
      <c r="B2876" s="3">
        <f>IF(I2876&lt;&gt;"",I2876,IF(J2876&lt;&gt;"",J2876,IF(K2876&lt;&gt;"",K2876,L2876)))</f>
        <v>1742.5</v>
      </c>
      <c r="C2876" s="3">
        <f>MEDIAN(I2876:L2876)</f>
        <v>1742.5</v>
      </c>
      <c r="D2876" s="3">
        <f>ROUND(C2876*(1-Settings!$B$2),2)</f>
        <v>1219.75</v>
      </c>
      <c r="E2876" s="3">
        <f>ROUND(C2876*(1-Settings!$B$3),2)</f>
        <v>1219.75</v>
      </c>
      <c r="F2876" s="2" t="inlineStr">
        <is>
          <t>Pokemon</t>
        </is>
      </c>
      <c r="G2876" s="2" t="inlineStr">
        <is>
          <t>Pack</t>
        </is>
      </c>
      <c r="H2876" s="2" t="inlineStr">
        <is>
          <t>Japanese Expansion Pack</t>
        </is>
      </c>
      <c r="I2876" s="3" t="n">
        <v>1742.5</v>
      </c>
      <c r="J2876" s="3" t="n"/>
      <c r="K2876" s="3" t="n"/>
      <c r="L2876" s="3" t="n"/>
      <c r="M2876" s="2" t="inlineStr">
        <is>
          <t>PriceCharting</t>
        </is>
      </c>
      <c r="N2876" s="4" t="inlineStr">
        <is>
          <t>https://www.pricecharting.com/game/pokemon-japanese-expansion-pack/booster-pack-short</t>
        </is>
      </c>
    </row>
    <row r="2877">
      <c r="A2877" s="2" t="inlineStr">
        <is>
          <t>Japanese Fusion Arts Booster Pack</t>
        </is>
      </c>
      <c r="B2877" s="3">
        <f>IF(I2877&lt;&gt;"",I2877,IF(J2877&lt;&gt;"",J2877,IF(K2877&lt;&gt;"",K2877,L2877)))</f>
        <v>11.7</v>
      </c>
      <c r="C2877" s="3">
        <f>MEDIAN(I2877:L2877)</f>
        <v>11.7</v>
      </c>
      <c r="D2877" s="3">
        <f>ROUND(C2877*(1-Settings!$B$2),2)</f>
        <v>8.19</v>
      </c>
      <c r="E2877" s="3">
        <f>ROUND(C2877*(1-Settings!$B$3),2)</f>
        <v>8.19</v>
      </c>
      <c r="F2877" s="2" t="inlineStr">
        <is>
          <t>Pokemon</t>
        </is>
      </c>
      <c r="G2877" s="2" t="inlineStr">
        <is>
          <t>Pack</t>
        </is>
      </c>
      <c r="H2877" s="2" t="inlineStr">
        <is>
          <t>Japanese Fusion Arts</t>
        </is>
      </c>
      <c r="I2877" s="3" t="n">
        <v>11.7</v>
      </c>
      <c r="J2877" s="3" t="n"/>
      <c r="K2877" s="3" t="n"/>
      <c r="L2877" s="3" t="n"/>
      <c r="M2877" s="2" t="inlineStr">
        <is>
          <t>PriceCharting</t>
        </is>
      </c>
      <c r="N2877" s="4" t="inlineStr">
        <is>
          <t>https://www.pricecharting.com/game/pokemon-japanese-fusion-arts/booster-pack</t>
        </is>
      </c>
    </row>
    <row r="2878">
      <c r="A2878" s="2" t="inlineStr">
        <is>
          <t>Japanese Future Flash Booster Pack</t>
        </is>
      </c>
      <c r="B2878" s="3">
        <f>IF(I2878&lt;&gt;"",I2878,IF(J2878&lt;&gt;"",J2878,IF(K2878&lt;&gt;"",K2878,L2878)))</f>
        <v>5.0</v>
      </c>
      <c r="C2878" s="3">
        <f>MEDIAN(I2878:L2878)</f>
        <v>5.0</v>
      </c>
      <c r="D2878" s="3">
        <f>ROUND(C2878*(1-Settings!$B$2),2)</f>
        <v>3.5</v>
      </c>
      <c r="E2878" s="3">
        <f>ROUND(C2878*(1-Settings!$B$3),2)</f>
        <v>3.5</v>
      </c>
      <c r="F2878" s="2" t="inlineStr">
        <is>
          <t>Pokemon</t>
        </is>
      </c>
      <c r="G2878" s="2" t="inlineStr">
        <is>
          <t>Pack</t>
        </is>
      </c>
      <c r="H2878" s="2" t="inlineStr">
        <is>
          <t>Japanese Future Flash</t>
        </is>
      </c>
      <c r="I2878" s="3" t="n">
        <v>5</v>
      </c>
      <c r="J2878" s="3" t="n"/>
      <c r="K2878" s="3" t="n"/>
      <c r="L2878" s="3" t="n"/>
      <c r="M2878" s="2" t="inlineStr">
        <is>
          <t>PriceCharting</t>
        </is>
      </c>
      <c r="N2878" s="4" t="inlineStr">
        <is>
          <t>https://www.pricecharting.com/game/pokemon-japanese-future-flash/booster-pack</t>
        </is>
      </c>
    </row>
    <row r="2879">
      <c r="A2879" s="2" t="inlineStr">
        <is>
          <t>Japanese Glory Of Team Rocket Booster Pack</t>
        </is>
      </c>
      <c r="B2879" s="3">
        <f>IF(I2879&lt;&gt;"",I2879,IF(J2879&lt;&gt;"",J2879,IF(K2879&lt;&gt;"",K2879,L2879)))</f>
        <v>3.92</v>
      </c>
      <c r="C2879" s="3">
        <f>MEDIAN(I2879:L2879)</f>
        <v>3.92</v>
      </c>
      <c r="D2879" s="3">
        <f>ROUND(C2879*(1-Settings!$B$2),2)</f>
        <v>2.74</v>
      </c>
      <c r="E2879" s="3">
        <f>ROUND(C2879*(1-Settings!$B$3),2)</f>
        <v>2.74</v>
      </c>
      <c r="F2879" s="2" t="inlineStr">
        <is>
          <t>Pokemon</t>
        </is>
      </c>
      <c r="G2879" s="2" t="inlineStr">
        <is>
          <t>Pack</t>
        </is>
      </c>
      <c r="H2879" s="2" t="inlineStr">
        <is>
          <t>Japanese Glory Of Team Rocket</t>
        </is>
      </c>
      <c r="I2879" s="3" t="n">
        <v>3.92</v>
      </c>
      <c r="J2879" s="3" t="n"/>
      <c r="K2879" s="3" t="n"/>
      <c r="L2879" s="3" t="n"/>
      <c r="M2879" s="2" t="inlineStr">
        <is>
          <t>PriceCharting</t>
        </is>
      </c>
      <c r="N2879" s="4" t="inlineStr">
        <is>
          <t>https://www.pricecharting.com/game/pokemon-japanese-glory-of-team-rocket/booster-pack</t>
        </is>
      </c>
    </row>
    <row r="2880">
      <c r="A2880" s="2" t="inlineStr">
        <is>
          <t>Japanese Go Booster Pack</t>
        </is>
      </c>
      <c r="B2880" s="3">
        <f>IF(I2880&lt;&gt;"",I2880,IF(J2880&lt;&gt;"",J2880,IF(K2880&lt;&gt;"",K2880,L2880)))</f>
        <v>9.95</v>
      </c>
      <c r="C2880" s="3">
        <f>MEDIAN(I2880:L2880)</f>
        <v>9.95</v>
      </c>
      <c r="D2880" s="3">
        <f>ROUND(C2880*(1-Settings!$B$2),2)</f>
        <v>6.97</v>
      </c>
      <c r="E2880" s="3">
        <f>ROUND(C2880*(1-Settings!$B$3),2)</f>
        <v>6.97</v>
      </c>
      <c r="F2880" s="2" t="inlineStr">
        <is>
          <t>Pokemon</t>
        </is>
      </c>
      <c r="G2880" s="2" t="inlineStr">
        <is>
          <t>Pack</t>
        </is>
      </c>
      <c r="H2880" s="2" t="inlineStr">
        <is>
          <t>Japanese Go</t>
        </is>
      </c>
      <c r="I2880" s="3" t="n">
        <v>9.949999999999999</v>
      </c>
      <c r="J2880" s="3" t="n"/>
      <c r="K2880" s="3" t="n"/>
      <c r="L2880" s="3" t="n"/>
      <c r="M2880" s="2" t="inlineStr">
        <is>
          <t>PriceCharting</t>
        </is>
      </c>
      <c r="N2880" s="4" t="inlineStr">
        <is>
          <t>https://www.pricecharting.com/game/pokemon-japanese-go/booster-pack</t>
        </is>
      </c>
    </row>
    <row r="2881">
      <c r="A2881" s="2" t="inlineStr">
        <is>
          <t>Japanese Go Sealed 1 Card Pack</t>
        </is>
      </c>
      <c r="B2881" s="3">
        <f>IF(I2881&lt;&gt;"",I2881,IF(J2881&lt;&gt;"",J2881,IF(K2881&lt;&gt;"",K2881,L2881)))</f>
        <v>4.82</v>
      </c>
      <c r="C2881" s="3">
        <f>MEDIAN(I2881:L2881)</f>
        <v>4.82</v>
      </c>
      <c r="D2881" s="3">
        <f>ROUND(C2881*(1-Settings!$B$2),2)</f>
        <v>3.37</v>
      </c>
      <c r="E2881" s="3">
        <f>ROUND(C2881*(1-Settings!$B$3),2)</f>
        <v>3.37</v>
      </c>
      <c r="F2881" s="2" t="inlineStr">
        <is>
          <t>Pokemon</t>
        </is>
      </c>
      <c r="G2881" s="2" t="inlineStr">
        <is>
          <t>Pack</t>
        </is>
      </c>
      <c r="H2881" s="2" t="inlineStr">
        <is>
          <t>Japanese Go</t>
        </is>
      </c>
      <c r="I2881" s="3" t="n">
        <v>4.82</v>
      </c>
      <c r="J2881" s="3" t="n"/>
      <c r="K2881" s="3" t="n"/>
      <c r="L2881" s="3" t="n"/>
      <c r="M2881" s="2" t="inlineStr">
        <is>
          <t>PriceCharting</t>
        </is>
      </c>
      <c r="N2881" s="4" t="inlineStr">
        <is>
          <t>https://www.pricecharting.com/game/pokemon-japanese-go/sealed-1-card-pack</t>
        </is>
      </c>
    </row>
    <row r="2882">
      <c r="A2882" s="2" t="inlineStr">
        <is>
          <t>Japanese Gold Silver New World Booster Pack</t>
        </is>
      </c>
      <c r="B2882" s="3">
        <f>IF(I2882&lt;&gt;"",I2882,IF(J2882&lt;&gt;"",J2882,IF(K2882&lt;&gt;"",K2882,L2882)))</f>
        <v>939.01</v>
      </c>
      <c r="C2882" s="3">
        <f>MEDIAN(I2882:L2882)</f>
        <v>939.01</v>
      </c>
      <c r="D2882" s="3">
        <f>ROUND(C2882*(1-Settings!$B$2),2)</f>
        <v>657.31</v>
      </c>
      <c r="E2882" s="3">
        <f>ROUND(C2882*(1-Settings!$B$3),2)</f>
        <v>657.31</v>
      </c>
      <c r="F2882" s="2" t="inlineStr">
        <is>
          <t>Pokemon</t>
        </is>
      </c>
      <c r="G2882" s="2" t="inlineStr">
        <is>
          <t>Pack</t>
        </is>
      </c>
      <c r="H2882" s="2" t="inlineStr">
        <is>
          <t>Japanese Gold Silver New World</t>
        </is>
      </c>
      <c r="I2882" s="3" t="n">
        <v>939.01</v>
      </c>
      <c r="J2882" s="3" t="n"/>
      <c r="K2882" s="3" t="n"/>
      <c r="L2882" s="3" t="n"/>
      <c r="M2882" s="2" t="inlineStr">
        <is>
          <t>PriceCharting</t>
        </is>
      </c>
      <c r="N2882" s="4" t="inlineStr">
        <is>
          <t>https://www.pricecharting.com/game/pokemon-japanese-gold-silver-new-world/booster-pack</t>
        </is>
      </c>
    </row>
    <row r="2883">
      <c r="A2883" s="2" t="inlineStr">
        <is>
          <t>Japanese Gx Battle Boost Booster Pack</t>
        </is>
      </c>
      <c r="B2883" s="3">
        <f>IF(I2883&lt;&gt;"",I2883,IF(J2883&lt;&gt;"",J2883,IF(K2883&lt;&gt;"",K2883,L2883)))</f>
        <v>259.24</v>
      </c>
      <c r="C2883" s="3">
        <f>MEDIAN(I2883:L2883)</f>
        <v>259.24</v>
      </c>
      <c r="D2883" s="3">
        <f>ROUND(C2883*(1-Settings!$B$2),2)</f>
        <v>181.47</v>
      </c>
      <c r="E2883" s="3">
        <f>ROUND(C2883*(1-Settings!$B$3),2)</f>
        <v>181.47</v>
      </c>
      <c r="F2883" s="2" t="inlineStr">
        <is>
          <t>Pokemon</t>
        </is>
      </c>
      <c r="G2883" s="2" t="inlineStr">
        <is>
          <t>Pack</t>
        </is>
      </c>
      <c r="H2883" s="2" t="inlineStr">
        <is>
          <t>Japanese Gx Battle Boost</t>
        </is>
      </c>
      <c r="I2883" s="3" t="n">
        <v>259.24</v>
      </c>
      <c r="J2883" s="3" t="n"/>
      <c r="K2883" s="3" t="n"/>
      <c r="L2883" s="3" t="n"/>
      <c r="M2883" s="2" t="inlineStr">
        <is>
          <t>PriceCharting</t>
        </is>
      </c>
      <c r="N2883" s="4" t="inlineStr">
        <is>
          <t>https://www.pricecharting.com/game/pokemon-japanese-gx-battle-boost/booster-pack</t>
        </is>
      </c>
    </row>
    <row r="2884">
      <c r="A2884" s="2" t="inlineStr">
        <is>
          <t>Japanese Gx Ultra Shiny Booster Pack</t>
        </is>
      </c>
      <c r="B2884" s="3">
        <f>IF(I2884&lt;&gt;"",I2884,IF(J2884&lt;&gt;"",J2884,IF(K2884&lt;&gt;"",K2884,L2884)))</f>
        <v>197.49</v>
      </c>
      <c r="C2884" s="3">
        <f>MEDIAN(I2884:L2884)</f>
        <v>197.49</v>
      </c>
      <c r="D2884" s="3">
        <f>ROUND(C2884*(1-Settings!$B$2),2)</f>
        <v>138.24</v>
      </c>
      <c r="E2884" s="3">
        <f>ROUND(C2884*(1-Settings!$B$3),2)</f>
        <v>138.24</v>
      </c>
      <c r="F2884" s="2" t="inlineStr">
        <is>
          <t>Pokemon</t>
        </is>
      </c>
      <c r="G2884" s="2" t="inlineStr">
        <is>
          <t>Pack</t>
        </is>
      </c>
      <c r="H2884" s="2" t="inlineStr">
        <is>
          <t>Japanese Gx Ultra Shiny</t>
        </is>
      </c>
      <c r="I2884" s="3" t="n">
        <v>197.49</v>
      </c>
      <c r="J2884" s="3" t="n"/>
      <c r="K2884" s="3" t="n"/>
      <c r="L2884" s="3" t="n"/>
      <c r="M2884" s="2" t="inlineStr">
        <is>
          <t>PriceCharting</t>
        </is>
      </c>
      <c r="N2884" s="4" t="inlineStr">
        <is>
          <t>https://www.pricecharting.com/game/pokemon-japanese-gx-ultra-shiny/booster-pack</t>
        </is>
      </c>
    </row>
    <row r="2885">
      <c r="A2885" s="2" t="inlineStr">
        <is>
          <t>Japanese Heat Wave Arena Booster Pack</t>
        </is>
      </c>
      <c r="B2885" s="3">
        <f>IF(I2885&lt;&gt;"",I2885,IF(J2885&lt;&gt;"",J2885,IF(K2885&lt;&gt;"",K2885,L2885)))</f>
        <v>5.5</v>
      </c>
      <c r="C2885" s="3">
        <f>MEDIAN(I2885:L2885)</f>
        <v>5.5</v>
      </c>
      <c r="D2885" s="3">
        <f>ROUND(C2885*(1-Settings!$B$2),2)</f>
        <v>3.85</v>
      </c>
      <c r="E2885" s="3">
        <f>ROUND(C2885*(1-Settings!$B$3),2)</f>
        <v>3.85</v>
      </c>
      <c r="F2885" s="2" t="inlineStr">
        <is>
          <t>Pokemon</t>
        </is>
      </c>
      <c r="G2885" s="2" t="inlineStr">
        <is>
          <t>Pack</t>
        </is>
      </c>
      <c r="H2885" s="2" t="inlineStr">
        <is>
          <t>Japanese Heat Wave Arena</t>
        </is>
      </c>
      <c r="I2885" s="3" t="n">
        <v>5.5</v>
      </c>
      <c r="J2885" s="3" t="n"/>
      <c r="K2885" s="3" t="n"/>
      <c r="L2885" s="3" t="n"/>
      <c r="M2885" s="2" t="inlineStr">
        <is>
          <t>PriceCharting</t>
        </is>
      </c>
      <c r="N2885" s="4" t="inlineStr">
        <is>
          <t>https://www.pricecharting.com/game/pokemon-japanese-heat-wave-arena/booster-pack</t>
        </is>
      </c>
    </row>
    <row r="2886">
      <c r="A2886" s="2" t="inlineStr">
        <is>
          <t>Japanese Incandescent Arcana Booster Pack</t>
        </is>
      </c>
      <c r="B2886" s="3">
        <f>IF(I2886&lt;&gt;"",I2886,IF(J2886&lt;&gt;"",J2886,IF(K2886&lt;&gt;"",K2886,L2886)))</f>
        <v>7.96</v>
      </c>
      <c r="C2886" s="3">
        <f>MEDIAN(I2886:L2886)</f>
        <v>7.96</v>
      </c>
      <c r="D2886" s="3">
        <f>ROUND(C2886*(1-Settings!$B$2),2)</f>
        <v>5.57</v>
      </c>
      <c r="E2886" s="3">
        <f>ROUND(C2886*(1-Settings!$B$3),2)</f>
        <v>5.57</v>
      </c>
      <c r="F2886" s="2" t="inlineStr">
        <is>
          <t>Pokemon</t>
        </is>
      </c>
      <c r="G2886" s="2" t="inlineStr">
        <is>
          <t>Pack</t>
        </is>
      </c>
      <c r="H2886" s="2" t="inlineStr">
        <is>
          <t>Japanese Incandescent Arcana</t>
        </is>
      </c>
      <c r="I2886" s="3" t="n">
        <v>7.96</v>
      </c>
      <c r="J2886" s="3" t="n"/>
      <c r="K2886" s="3" t="n"/>
      <c r="L2886" s="3" t="n"/>
      <c r="M2886" s="2" t="inlineStr">
        <is>
          <t>PriceCharting</t>
        </is>
      </c>
      <c r="N2886" s="4" t="inlineStr">
        <is>
          <t>https://www.pricecharting.com/game/pokemon-japanese-incandescent-arcana/booster-pack</t>
        </is>
      </c>
    </row>
    <row r="2887">
      <c r="A2887" s="2" t="inlineStr">
        <is>
          <t>Japanese Inferno X Booster Pack</t>
        </is>
      </c>
      <c r="B2887" s="3">
        <f>IF(I2887&lt;&gt;"",I2887,IF(J2887&lt;&gt;"",J2887,IF(K2887&lt;&gt;"",K2887,L2887)))</f>
        <v>5.85</v>
      </c>
      <c r="C2887" s="3">
        <f>MEDIAN(I2887:L2887)</f>
        <v>5.85</v>
      </c>
      <c r="D2887" s="3">
        <f>ROUND(C2887*(1-Settings!$B$2),2)</f>
        <v>4.1</v>
      </c>
      <c r="E2887" s="3">
        <f>ROUND(C2887*(1-Settings!$B$3),2)</f>
        <v>4.1</v>
      </c>
      <c r="F2887" s="2" t="inlineStr">
        <is>
          <t>Pokemon</t>
        </is>
      </c>
      <c r="G2887" s="2" t="inlineStr">
        <is>
          <t>Pack</t>
        </is>
      </c>
      <c r="H2887" s="2" t="inlineStr">
        <is>
          <t>Japanese Inferno X</t>
        </is>
      </c>
      <c r="I2887" s="3" t="n">
        <v>5.85</v>
      </c>
      <c r="J2887" s="3" t="n"/>
      <c r="K2887" s="3" t="n"/>
      <c r="L2887" s="3" t="n"/>
      <c r="M2887" s="2" t="inlineStr">
        <is>
          <t>PriceCharting</t>
        </is>
      </c>
      <c r="N2887" s="4" t="inlineStr">
        <is>
          <t>https://www.pricecharting.com/game/pokemon-japanese-inferno-x/booster-pack</t>
        </is>
      </c>
    </row>
    <row r="2888">
      <c r="A2888" s="2" t="inlineStr">
        <is>
          <t>Japanese Jungle Booster Pack</t>
        </is>
      </c>
      <c r="B2888" s="3">
        <f>IF(I2888&lt;&gt;"",I2888,IF(J2888&lt;&gt;"",J2888,IF(K2888&lt;&gt;"",K2888,L2888)))</f>
        <v>741.25</v>
      </c>
      <c r="C2888" s="3">
        <f>MEDIAN(I2888:L2888)</f>
        <v>741.25</v>
      </c>
      <c r="D2888" s="3">
        <f>ROUND(C2888*(1-Settings!$B$2),2)</f>
        <v>518.88</v>
      </c>
      <c r="E2888" s="3">
        <f>ROUND(C2888*(1-Settings!$B$3),2)</f>
        <v>518.88</v>
      </c>
      <c r="F2888" s="2" t="inlineStr">
        <is>
          <t>Pokemon</t>
        </is>
      </c>
      <c r="G2888" s="2" t="inlineStr">
        <is>
          <t>Pack</t>
        </is>
      </c>
      <c r="H2888" s="2" t="inlineStr">
        <is>
          <t>Japanese Jungle</t>
        </is>
      </c>
      <c r="I2888" s="3" t="n">
        <v>741.25</v>
      </c>
      <c r="J2888" s="3" t="n"/>
      <c r="K2888" s="3" t="n"/>
      <c r="L2888" s="3" t="n"/>
      <c r="M2888" s="2" t="inlineStr">
        <is>
          <t>PriceCharting</t>
        </is>
      </c>
      <c r="N2888" s="4" t="inlineStr">
        <is>
          <t>https://www.pricecharting.com/game/pokemon-japanese-jungle/booster-pack</t>
        </is>
      </c>
    </row>
    <row r="2889">
      <c r="A2889" s="2" t="inlineStr">
        <is>
          <t>Japanese Legendary Shine Collection Booster Pack</t>
        </is>
      </c>
      <c r="B2889" s="3">
        <f>IF(I2889&lt;&gt;"",I2889,IF(J2889&lt;&gt;"",J2889,IF(K2889&lt;&gt;"",K2889,L2889)))</f>
        <v>256.29</v>
      </c>
      <c r="C2889" s="3">
        <f>MEDIAN(I2889:L2889)</f>
        <v>256.29</v>
      </c>
      <c r="D2889" s="3">
        <f>ROUND(C2889*(1-Settings!$B$2),2)</f>
        <v>179.4</v>
      </c>
      <c r="E2889" s="3">
        <f>ROUND(C2889*(1-Settings!$B$3),2)</f>
        <v>179.4</v>
      </c>
      <c r="F2889" s="2" t="inlineStr">
        <is>
          <t>Pokemon</t>
        </is>
      </c>
      <c r="G2889" s="2" t="inlineStr">
        <is>
          <t>Pack</t>
        </is>
      </c>
      <c r="H2889" s="2" t="inlineStr">
        <is>
          <t>Japanese Legendary Shine Collection</t>
        </is>
      </c>
      <c r="I2889" s="3" t="n">
        <v>256.29</v>
      </c>
      <c r="J2889" s="3" t="n"/>
      <c r="K2889" s="3" t="n"/>
      <c r="L2889" s="3" t="n"/>
      <c r="M2889" s="2" t="inlineStr">
        <is>
          <t>PriceCharting</t>
        </is>
      </c>
      <c r="N2889" s="4" t="inlineStr">
        <is>
          <t>https://www.pricecharting.com/game/pokemon-japanese-legendary-shine-collection/booster-pack</t>
        </is>
      </c>
    </row>
    <row r="2890">
      <c r="A2890" s="2" t="inlineStr">
        <is>
          <t>Japanese Lost Abyss Booster Pack</t>
        </is>
      </c>
      <c r="B2890" s="3">
        <f>IF(I2890&lt;&gt;"",I2890,IF(J2890&lt;&gt;"",J2890,IF(K2890&lt;&gt;"",K2890,L2890)))</f>
        <v>9.49</v>
      </c>
      <c r="C2890" s="3">
        <f>MEDIAN(I2890:L2890)</f>
        <v>9.49</v>
      </c>
      <c r="D2890" s="3">
        <f>ROUND(C2890*(1-Settings!$B$2),2)</f>
        <v>6.64</v>
      </c>
      <c r="E2890" s="3">
        <f>ROUND(C2890*(1-Settings!$B$3),2)</f>
        <v>6.64</v>
      </c>
      <c r="F2890" s="2" t="inlineStr">
        <is>
          <t>Pokemon</t>
        </is>
      </c>
      <c r="G2890" s="2" t="inlineStr">
        <is>
          <t>Pack</t>
        </is>
      </c>
      <c r="H2890" s="2" t="inlineStr">
        <is>
          <t>Japanese Lost Abyss</t>
        </is>
      </c>
      <c r="I2890" s="3" t="n">
        <v>9.49</v>
      </c>
      <c r="J2890" s="3" t="n"/>
      <c r="K2890" s="3" t="n"/>
      <c r="L2890" s="3" t="n"/>
      <c r="M2890" s="2" t="inlineStr">
        <is>
          <t>PriceCharting</t>
        </is>
      </c>
      <c r="N2890" s="4" t="inlineStr">
        <is>
          <t>https://www.pricecharting.com/game/pokemon-japanese-lost-abyss/booster-pack</t>
        </is>
      </c>
    </row>
    <row r="2891">
      <c r="A2891" s="2" t="inlineStr">
        <is>
          <t>Japanese Mask Of Change Booster Pack</t>
        </is>
      </c>
      <c r="B2891" s="3">
        <f>IF(I2891&lt;&gt;"",I2891,IF(J2891&lt;&gt;"",J2891,IF(K2891&lt;&gt;"",K2891,L2891)))</f>
        <v>4.75</v>
      </c>
      <c r="C2891" s="3">
        <f>MEDIAN(I2891:L2891)</f>
        <v>4.75</v>
      </c>
      <c r="D2891" s="3">
        <f>ROUND(C2891*(1-Settings!$B$2),2)</f>
        <v>3.33</v>
      </c>
      <c r="E2891" s="3">
        <f>ROUND(C2891*(1-Settings!$B$3),2)</f>
        <v>3.33</v>
      </c>
      <c r="F2891" s="2" t="inlineStr">
        <is>
          <t>Pokemon</t>
        </is>
      </c>
      <c r="G2891" s="2" t="inlineStr">
        <is>
          <t>Pack</t>
        </is>
      </c>
      <c r="H2891" s="2" t="inlineStr">
        <is>
          <t>Japanese Mask Of Change</t>
        </is>
      </c>
      <c r="I2891" s="3" t="n">
        <v>4.75</v>
      </c>
      <c r="J2891" s="3" t="n"/>
      <c r="K2891" s="3" t="n"/>
      <c r="L2891" s="3" t="n"/>
      <c r="M2891" s="2" t="inlineStr">
        <is>
          <t>PriceCharting</t>
        </is>
      </c>
      <c r="N2891" s="4" t="inlineStr">
        <is>
          <t>https://www.pricecharting.com/game/pokemon-japanese-mask-of-change/booster-pack</t>
        </is>
      </c>
    </row>
    <row r="2892">
      <c r="A2892" s="2" t="inlineStr">
        <is>
          <t>Japanese Mega Brave Booster Pack</t>
        </is>
      </c>
      <c r="B2892" s="3">
        <f>IF(I2892&lt;&gt;"",I2892,IF(J2892&lt;&gt;"",J2892,IF(K2892&lt;&gt;"",K2892,L2892)))</f>
        <v>2.98</v>
      </c>
      <c r="C2892" s="3">
        <f>MEDIAN(I2892:L2892)</f>
        <v>2.98</v>
      </c>
      <c r="D2892" s="3">
        <f>ROUND(C2892*(1-Settings!$B$2),2)</f>
        <v>2.09</v>
      </c>
      <c r="E2892" s="3">
        <f>ROUND(C2892*(1-Settings!$B$3),2)</f>
        <v>2.09</v>
      </c>
      <c r="F2892" s="2" t="inlineStr">
        <is>
          <t>Pokemon</t>
        </is>
      </c>
      <c r="G2892" s="2" t="inlineStr">
        <is>
          <t>Pack</t>
        </is>
      </c>
      <c r="H2892" s="2" t="inlineStr">
        <is>
          <t>Japanese Mega Brave</t>
        </is>
      </c>
      <c r="I2892" s="3" t="n">
        <v>2.98</v>
      </c>
      <c r="J2892" s="3" t="n"/>
      <c r="K2892" s="3" t="n"/>
      <c r="L2892" s="3" t="n"/>
      <c r="M2892" s="2" t="inlineStr">
        <is>
          <t>PriceCharting</t>
        </is>
      </c>
      <c r="N2892" s="4" t="inlineStr">
        <is>
          <t>https://www.pricecharting.com/game/pokemon-japanese-mega-brave/booster-pack</t>
        </is>
      </c>
    </row>
    <row r="2893">
      <c r="A2893" s="2" t="inlineStr">
        <is>
          <t>Japanese Mega Dream Ex Booster Pack</t>
        </is>
      </c>
      <c r="B2893" s="3">
        <f>IF(I2893&lt;&gt;"",I2893,IF(J2893&lt;&gt;"",J2893,IF(K2893&lt;&gt;"",K2893,L2893)))</f>
        <v>15.8</v>
      </c>
      <c r="C2893" s="3">
        <f>MEDIAN(I2893:L2893)</f>
        <v>15.8</v>
      </c>
      <c r="D2893" s="3">
        <f>ROUND(C2893*(1-Settings!$B$2),2)</f>
        <v>11.06</v>
      </c>
      <c r="E2893" s="3">
        <f>ROUND(C2893*(1-Settings!$B$3),2)</f>
        <v>11.06</v>
      </c>
      <c r="F2893" s="2" t="inlineStr">
        <is>
          <t>Pokemon</t>
        </is>
      </c>
      <c r="G2893" s="2" t="inlineStr">
        <is>
          <t>Pack</t>
        </is>
      </c>
      <c r="H2893" s="2" t="inlineStr">
        <is>
          <t>Japanese Mega Dream Ex</t>
        </is>
      </c>
      <c r="I2893" s="3" t="n">
        <v>15.8</v>
      </c>
      <c r="J2893" s="3" t="n"/>
      <c r="K2893" s="3" t="n"/>
      <c r="L2893" s="3" t="n"/>
      <c r="M2893" s="2" t="inlineStr">
        <is>
          <t>PriceCharting</t>
        </is>
      </c>
      <c r="N2893" s="4" t="inlineStr">
        <is>
          <t>https://www.pricecharting.com/game/pokemon-japanese-mega-dream-ex/booster-pack</t>
        </is>
      </c>
    </row>
    <row r="2894">
      <c r="A2894" s="2" t="inlineStr">
        <is>
          <t>Japanese Mega Symphonia Booster Pack</t>
        </is>
      </c>
      <c r="B2894" s="3">
        <f>IF(I2894&lt;&gt;"",I2894,IF(J2894&lt;&gt;"",J2894,IF(K2894&lt;&gt;"",K2894,L2894)))</f>
        <v>2.49</v>
      </c>
      <c r="C2894" s="3">
        <f>MEDIAN(I2894:L2894)</f>
        <v>2.49</v>
      </c>
      <c r="D2894" s="3">
        <f>ROUND(C2894*(1-Settings!$B$2),2)</f>
        <v>1.74</v>
      </c>
      <c r="E2894" s="3">
        <f>ROUND(C2894*(1-Settings!$B$3),2)</f>
        <v>1.74</v>
      </c>
      <c r="F2894" s="2" t="inlineStr">
        <is>
          <t>Pokemon</t>
        </is>
      </c>
      <c r="G2894" s="2" t="inlineStr">
        <is>
          <t>Pack</t>
        </is>
      </c>
      <c r="H2894" s="2" t="inlineStr">
        <is>
          <t>Japanese Mega Symphonia</t>
        </is>
      </c>
      <c r="I2894" s="3" t="n">
        <v>2.49</v>
      </c>
      <c r="J2894" s="3" t="n"/>
      <c r="K2894" s="3" t="n"/>
      <c r="L2894" s="3" t="n"/>
      <c r="M2894" s="2" t="inlineStr">
        <is>
          <t>PriceCharting</t>
        </is>
      </c>
      <c r="N2894" s="4" t="inlineStr">
        <is>
          <t>https://www.pricecharting.com/game/pokemon-japanese-mega-symphonia/booster-pack</t>
        </is>
      </c>
    </row>
    <row r="2895">
      <c r="A2895" s="2" t="inlineStr">
        <is>
          <t>Japanese Miracle Twins Booster Pack</t>
        </is>
      </c>
      <c r="B2895" s="3">
        <f>IF(I2895&lt;&gt;"",I2895,IF(J2895&lt;&gt;"",J2895,IF(K2895&lt;&gt;"",K2895,L2895)))</f>
        <v>18.2</v>
      </c>
      <c r="C2895" s="3">
        <f>MEDIAN(I2895:L2895)</f>
        <v>18.2</v>
      </c>
      <c r="D2895" s="3">
        <f>ROUND(C2895*(1-Settings!$B$2),2)</f>
        <v>12.74</v>
      </c>
      <c r="E2895" s="3">
        <f>ROUND(C2895*(1-Settings!$B$3),2)</f>
        <v>12.74</v>
      </c>
      <c r="F2895" s="2" t="inlineStr">
        <is>
          <t>Pokemon</t>
        </is>
      </c>
      <c r="G2895" s="2" t="inlineStr">
        <is>
          <t>Pack</t>
        </is>
      </c>
      <c r="H2895" s="2" t="inlineStr">
        <is>
          <t>Japanese Miracle Twins</t>
        </is>
      </c>
      <c r="I2895" s="3" t="n">
        <v>18.2</v>
      </c>
      <c r="J2895" s="3" t="n"/>
      <c r="K2895" s="3" t="n"/>
      <c r="L2895" s="3" t="n"/>
      <c r="M2895" s="2" t="inlineStr">
        <is>
          <t>PriceCharting</t>
        </is>
      </c>
      <c r="N2895" s="4" t="inlineStr">
        <is>
          <t>https://www.pricecharting.com/game/pokemon-japanese-miracle-twins/booster-pack</t>
        </is>
      </c>
    </row>
    <row r="2896">
      <c r="A2896" s="2" t="inlineStr">
        <is>
          <t>Japanese Mysterious Mountains Booster Pack</t>
        </is>
      </c>
      <c r="B2896" s="3">
        <f>IF(I2896&lt;&gt;"",I2896,IF(J2896&lt;&gt;"",J2896,IF(K2896&lt;&gt;"",K2896,L2896)))</f>
        <v>612.32</v>
      </c>
      <c r="C2896" s="3">
        <f>MEDIAN(I2896:L2896)</f>
        <v>612.32</v>
      </c>
      <c r="D2896" s="3">
        <f>ROUND(C2896*(1-Settings!$B$2),2)</f>
        <v>428.62</v>
      </c>
      <c r="E2896" s="3">
        <f>ROUND(C2896*(1-Settings!$B$3),2)</f>
        <v>428.62</v>
      </c>
      <c r="F2896" s="2" t="inlineStr">
        <is>
          <t>Pokemon</t>
        </is>
      </c>
      <c r="G2896" s="2" t="inlineStr">
        <is>
          <t>Pack</t>
        </is>
      </c>
      <c r="H2896" s="2" t="inlineStr">
        <is>
          <t>Japanese Mysterious Mountains</t>
        </is>
      </c>
      <c r="I2896" s="3" t="n">
        <v>612.3200000000001</v>
      </c>
      <c r="J2896" s="3" t="n"/>
      <c r="K2896" s="3" t="n"/>
      <c r="L2896" s="3" t="n"/>
      <c r="M2896" s="2" t="inlineStr">
        <is>
          <t>PriceCharting</t>
        </is>
      </c>
      <c r="N2896" s="4" t="inlineStr">
        <is>
          <t>https://www.pricecharting.com/game/pokemon-japanese-mysterious-mountains/booster-pack</t>
        </is>
      </c>
    </row>
    <row r="2897">
      <c r="A2897" s="2" t="inlineStr">
        <is>
          <t>Japanese Mystery Of The Fossils Booster Pack</t>
        </is>
      </c>
      <c r="B2897" s="3">
        <f>IF(I2897&lt;&gt;"",I2897,IF(J2897&lt;&gt;"",J2897,IF(K2897&lt;&gt;"",K2897,L2897)))</f>
        <v>1026.38</v>
      </c>
      <c r="C2897" s="3">
        <f>MEDIAN(I2897:L2897)</f>
        <v>1026.38</v>
      </c>
      <c r="D2897" s="3">
        <f>ROUND(C2897*(1-Settings!$B$2),2)</f>
        <v>718.47</v>
      </c>
      <c r="E2897" s="3">
        <f>ROUND(C2897*(1-Settings!$B$3),2)</f>
        <v>718.47</v>
      </c>
      <c r="F2897" s="2" t="inlineStr">
        <is>
          <t>Pokemon</t>
        </is>
      </c>
      <c r="G2897" s="2" t="inlineStr">
        <is>
          <t>Pack</t>
        </is>
      </c>
      <c r="H2897" s="2" t="inlineStr">
        <is>
          <t>Japanese Mystery Of The Fossils</t>
        </is>
      </c>
      <c r="I2897" s="3" t="n">
        <v>1026.38</v>
      </c>
      <c r="J2897" s="3" t="n"/>
      <c r="K2897" s="3" t="n"/>
      <c r="L2897" s="3" t="n"/>
      <c r="M2897" s="2" t="inlineStr">
        <is>
          <t>PriceCharting</t>
        </is>
      </c>
      <c r="N2897" s="4" t="inlineStr">
        <is>
          <t>https://www.pricecharting.com/game/pokemon-japanese-mystery-of-the-fossils/booster-pack</t>
        </is>
      </c>
    </row>
    <row r="2898">
      <c r="A2898" s="2" t="inlineStr">
        <is>
          <t>Japanese Night Wanderer Booster Pack</t>
        </is>
      </c>
      <c r="B2898" s="3">
        <f>IF(I2898&lt;&gt;"",I2898,IF(J2898&lt;&gt;"",J2898,IF(K2898&lt;&gt;"",K2898,L2898)))</f>
        <v>4.0</v>
      </c>
      <c r="C2898" s="3">
        <f>MEDIAN(I2898:L2898)</f>
        <v>4.0</v>
      </c>
      <c r="D2898" s="3">
        <f>ROUND(C2898*(1-Settings!$B$2),2)</f>
        <v>2.8</v>
      </c>
      <c r="E2898" s="3">
        <f>ROUND(C2898*(1-Settings!$B$3),2)</f>
        <v>2.8</v>
      </c>
      <c r="F2898" s="2" t="inlineStr">
        <is>
          <t>Pokemon</t>
        </is>
      </c>
      <c r="G2898" s="2" t="inlineStr">
        <is>
          <t>Pack</t>
        </is>
      </c>
      <c r="H2898" s="2" t="inlineStr">
        <is>
          <t>Japanese Night Wanderer</t>
        </is>
      </c>
      <c r="I2898" s="3" t="n">
        <v>4</v>
      </c>
      <c r="J2898" s="3" t="n"/>
      <c r="K2898" s="3" t="n"/>
      <c r="L2898" s="3" t="n"/>
      <c r="M2898" s="2" t="inlineStr">
        <is>
          <t>PriceCharting</t>
        </is>
      </c>
      <c r="N2898" s="4" t="inlineStr">
        <is>
          <t>https://www.pricecharting.com/game/pokemon-japanese-night-wanderer/booster-pack</t>
        </is>
      </c>
    </row>
    <row r="2899">
      <c r="A2899" s="2" t="inlineStr">
        <is>
          <t>Japanese Nihil Zero Booster Pack</t>
        </is>
      </c>
      <c r="B2899" s="3">
        <f>IF(I2899&lt;&gt;"",I2899,IF(J2899&lt;&gt;"",J2899,IF(K2899&lt;&gt;"",K2899,L2899)))</f>
        <v>5.31</v>
      </c>
      <c r="C2899" s="3">
        <f>MEDIAN(I2899:L2899)</f>
        <v>5.31</v>
      </c>
      <c r="D2899" s="3">
        <f>ROUND(C2899*(1-Settings!$B$2),2)</f>
        <v>3.72</v>
      </c>
      <c r="E2899" s="3">
        <f>ROUND(C2899*(1-Settings!$B$3),2)</f>
        <v>3.72</v>
      </c>
      <c r="F2899" s="2" t="inlineStr">
        <is>
          <t>Pokemon</t>
        </is>
      </c>
      <c r="G2899" s="2" t="inlineStr">
        <is>
          <t>Pack</t>
        </is>
      </c>
      <c r="H2899" s="2" t="inlineStr">
        <is>
          <t>Japanese Nihil Zero</t>
        </is>
      </c>
      <c r="I2899" s="3" t="n">
        <v>5.31</v>
      </c>
      <c r="J2899" s="3" t="n"/>
      <c r="K2899" s="3" t="n"/>
      <c r="L2899" s="3" t="n"/>
      <c r="M2899" s="2" t="inlineStr">
        <is>
          <t>PriceCharting</t>
        </is>
      </c>
      <c r="N2899" s="4" t="inlineStr">
        <is>
          <t>https://www.pricecharting.com/game/pokemon-japanese-nihil-zero/booster-pack</t>
        </is>
      </c>
    </row>
    <row r="2900">
      <c r="A2900" s="2" t="inlineStr">
        <is>
          <t>Japanese Ninja Spinner Booster Pack</t>
        </is>
      </c>
      <c r="B2900" s="3">
        <f>IF(I2900&lt;&gt;"",I2900,IF(J2900&lt;&gt;"",J2900,IF(K2900&lt;&gt;"",K2900,L2900)))</f>
        <v>3.94</v>
      </c>
      <c r="C2900" s="3">
        <f>MEDIAN(I2900:L2900)</f>
        <v>3.94</v>
      </c>
      <c r="D2900" s="3">
        <f>ROUND(C2900*(1-Settings!$B$2),2)</f>
        <v>2.76</v>
      </c>
      <c r="E2900" s="3">
        <f>ROUND(C2900*(1-Settings!$B$3),2)</f>
        <v>2.76</v>
      </c>
      <c r="F2900" s="2" t="inlineStr">
        <is>
          <t>Pokemon</t>
        </is>
      </c>
      <c r="G2900" s="2" t="inlineStr">
        <is>
          <t>Pack</t>
        </is>
      </c>
      <c r="H2900" s="2" t="inlineStr">
        <is>
          <t>Japanese Ninja Spinner</t>
        </is>
      </c>
      <c r="I2900" s="3" t="n">
        <v>3.94</v>
      </c>
      <c r="J2900" s="3" t="n"/>
      <c r="K2900" s="3" t="n"/>
      <c r="L2900" s="3" t="n"/>
      <c r="M2900" s="2" t="inlineStr">
        <is>
          <t>PriceCharting</t>
        </is>
      </c>
      <c r="N2900" s="4" t="inlineStr">
        <is>
          <t>https://www.pricecharting.com/game/pokemon-japanese-ninja-spinner/booster-pack</t>
        </is>
      </c>
    </row>
    <row r="2901">
      <c r="A2901" s="2" t="inlineStr">
        <is>
          <t>Japanese Paradigm Trigger Booster Pack</t>
        </is>
      </c>
      <c r="B2901" s="3">
        <f>IF(I2901&lt;&gt;"",I2901,IF(J2901&lt;&gt;"",J2901,IF(K2901&lt;&gt;"",K2901,L2901)))</f>
        <v>8.8</v>
      </c>
      <c r="C2901" s="3">
        <f>MEDIAN(I2901:L2901)</f>
        <v>8.8</v>
      </c>
      <c r="D2901" s="3">
        <f>ROUND(C2901*(1-Settings!$B$2),2)</f>
        <v>6.16</v>
      </c>
      <c r="E2901" s="3">
        <f>ROUND(C2901*(1-Settings!$B$3),2)</f>
        <v>6.16</v>
      </c>
      <c r="F2901" s="2" t="inlineStr">
        <is>
          <t>Pokemon</t>
        </is>
      </c>
      <c r="G2901" s="2" t="inlineStr">
        <is>
          <t>Pack</t>
        </is>
      </c>
      <c r="H2901" s="2" t="inlineStr">
        <is>
          <t>Japanese Paradigm Trigger</t>
        </is>
      </c>
      <c r="I2901" s="3" t="n">
        <v>8.800000000000001</v>
      </c>
      <c r="J2901" s="3" t="n"/>
      <c r="K2901" s="3" t="n"/>
      <c r="L2901" s="3" t="n"/>
      <c r="M2901" s="2" t="inlineStr">
        <is>
          <t>PriceCharting</t>
        </is>
      </c>
      <c r="N2901" s="4" t="inlineStr">
        <is>
          <t>https://www.pricecharting.com/game/pokemon-japanese-paradigm-trigger/booster-pack</t>
        </is>
      </c>
    </row>
    <row r="2902">
      <c r="A2902" s="2" t="inlineStr">
        <is>
          <t>Japanese Paradise Dragona Booster Pack</t>
        </is>
      </c>
      <c r="B2902" s="3">
        <f>IF(I2902&lt;&gt;"",I2902,IF(J2902&lt;&gt;"",J2902,IF(K2902&lt;&gt;"",K2902,L2902)))</f>
        <v>4.13</v>
      </c>
      <c r="C2902" s="3">
        <f>MEDIAN(I2902:L2902)</f>
        <v>4.13</v>
      </c>
      <c r="D2902" s="3">
        <f>ROUND(C2902*(1-Settings!$B$2),2)</f>
        <v>2.89</v>
      </c>
      <c r="E2902" s="3">
        <f>ROUND(C2902*(1-Settings!$B$3),2)</f>
        <v>2.89</v>
      </c>
      <c r="F2902" s="2" t="inlineStr">
        <is>
          <t>Pokemon</t>
        </is>
      </c>
      <c r="G2902" s="2" t="inlineStr">
        <is>
          <t>Pack</t>
        </is>
      </c>
      <c r="H2902" s="2" t="inlineStr">
        <is>
          <t>Japanese Paradise Dragona</t>
        </is>
      </c>
      <c r="I2902" s="3" t="n">
        <v>4.13</v>
      </c>
      <c r="J2902" s="3" t="n"/>
      <c r="K2902" s="3" t="n"/>
      <c r="L2902" s="3" t="n"/>
      <c r="M2902" s="2" t="inlineStr">
        <is>
          <t>PriceCharting</t>
        </is>
      </c>
      <c r="N2902" s="4" t="inlineStr">
        <is>
          <t>https://www.pricecharting.com/game/pokemon-japanese-paradise-dragona/booster-pack</t>
        </is>
      </c>
    </row>
    <row r="2903">
      <c r="A2903" s="2" t="inlineStr">
        <is>
          <t>Japanese Pokekyun Collection Booster Pack</t>
        </is>
      </c>
      <c r="B2903" s="3">
        <f>IF(I2903&lt;&gt;"",I2903,IF(J2903&lt;&gt;"",J2903,IF(K2903&lt;&gt;"",K2903,L2903)))</f>
        <v>1200.0</v>
      </c>
      <c r="C2903" s="3">
        <f>MEDIAN(I2903:L2903)</f>
        <v>1200.0</v>
      </c>
      <c r="D2903" s="3">
        <f>ROUND(C2903*(1-Settings!$B$2),2)</f>
        <v>840.0</v>
      </c>
      <c r="E2903" s="3">
        <f>ROUND(C2903*(1-Settings!$B$3),2)</f>
        <v>840.0</v>
      </c>
      <c r="F2903" s="2" t="inlineStr">
        <is>
          <t>Pokemon</t>
        </is>
      </c>
      <c r="G2903" s="2" t="inlineStr">
        <is>
          <t>Pack</t>
        </is>
      </c>
      <c r="H2903" s="2" t="inlineStr">
        <is>
          <t>Japanese Pokekyun Collection</t>
        </is>
      </c>
      <c r="I2903" s="3" t="n">
        <v>1200</v>
      </c>
      <c r="J2903" s="3" t="n"/>
      <c r="K2903" s="3" t="n"/>
      <c r="L2903" s="3" t="n"/>
      <c r="M2903" s="2" t="inlineStr">
        <is>
          <t>PriceCharting</t>
        </is>
      </c>
      <c r="N2903" s="4" t="inlineStr">
        <is>
          <t>https://www.pricecharting.com/game/pokemon-japanese-pokekyun-collection/booster-pack</t>
        </is>
      </c>
    </row>
    <row r="2904">
      <c r="A2904" s="2" t="inlineStr">
        <is>
          <t>Japanese Promo 2024 Summer Promo Pack</t>
        </is>
      </c>
      <c r="B2904" s="3">
        <f>IF(I2904&lt;&gt;"",I2904,IF(J2904&lt;&gt;"",J2904,IF(K2904&lt;&gt;"",K2904,L2904)))</f>
        <v>24.99</v>
      </c>
      <c r="C2904" s="3">
        <f>MEDIAN(I2904:L2904)</f>
        <v>24.99</v>
      </c>
      <c r="D2904" s="3">
        <f>ROUND(C2904*(1-Settings!$B$2),2)</f>
        <v>17.49</v>
      </c>
      <c r="E2904" s="3">
        <f>ROUND(C2904*(1-Settings!$B$3),2)</f>
        <v>17.49</v>
      </c>
      <c r="F2904" s="2" t="inlineStr">
        <is>
          <t>Pokemon</t>
        </is>
      </c>
      <c r="G2904" s="2" t="inlineStr">
        <is>
          <t>Pack</t>
        </is>
      </c>
      <c r="H2904" s="2" t="inlineStr">
        <is>
          <t>Japanese Promo</t>
        </is>
      </c>
      <c r="I2904" s="3" t="n">
        <v>24.99</v>
      </c>
      <c r="J2904" s="3" t="n"/>
      <c r="K2904" s="3" t="n"/>
      <c r="L2904" s="3" t="n"/>
      <c r="M2904" s="2" t="inlineStr">
        <is>
          <t>PriceCharting</t>
        </is>
      </c>
      <c r="N2904" s="4" t="inlineStr">
        <is>
          <t>https://www.pricecharting.com/game/pokemon-japanese-promo/2024-summer-promo-pack</t>
        </is>
      </c>
    </row>
    <row r="2905">
      <c r="A2905" s="2" t="inlineStr">
        <is>
          <t>Japanese Promo Booster Pack [2016 Staff Event Organizer]</t>
        </is>
      </c>
      <c r="B2905" s="3">
        <f>IF(I2905&lt;&gt;"",I2905,IF(J2905&lt;&gt;"",J2905,IF(K2905&lt;&gt;"",K2905,L2905)))</f>
        <v>118.14</v>
      </c>
      <c r="C2905" s="3">
        <f>MEDIAN(I2905:L2905)</f>
        <v>118.14</v>
      </c>
      <c r="D2905" s="3">
        <f>ROUND(C2905*(1-Settings!$B$2),2)</f>
        <v>82.7</v>
      </c>
      <c r="E2905" s="3">
        <f>ROUND(C2905*(1-Settings!$B$3),2)</f>
        <v>82.7</v>
      </c>
      <c r="F2905" s="2" t="inlineStr">
        <is>
          <t>Pokemon</t>
        </is>
      </c>
      <c r="G2905" s="2" t="inlineStr">
        <is>
          <t>Pack</t>
        </is>
      </c>
      <c r="H2905" s="2" t="inlineStr">
        <is>
          <t>Japanese Promo</t>
        </is>
      </c>
      <c r="I2905" s="3" t="n">
        <v>118.14</v>
      </c>
      <c r="J2905" s="3" t="n"/>
      <c r="K2905" s="3" t="n"/>
      <c r="L2905" s="3" t="n"/>
      <c r="M2905" s="2" t="inlineStr">
        <is>
          <t>PriceCharting</t>
        </is>
      </c>
      <c r="N2905" s="4" t="inlineStr">
        <is>
          <t>https://www.pricecharting.com/game/pokemon-japanese-promo/booster-pack-2016-staff-event-organizer</t>
        </is>
      </c>
    </row>
    <row r="2906">
      <c r="A2906" s="2" t="inlineStr">
        <is>
          <t>Japanese Promo Booster Pack [2017 Staff Event Organizer]</t>
        </is>
      </c>
      <c r="B2906" s="3">
        <f>IF(I2906&lt;&gt;"",I2906,IF(J2906&lt;&gt;"",J2906,IF(K2906&lt;&gt;"",K2906,L2906)))</f>
        <v>75.2</v>
      </c>
      <c r="C2906" s="3">
        <f>MEDIAN(I2906:L2906)</f>
        <v>75.2</v>
      </c>
      <c r="D2906" s="3">
        <f>ROUND(C2906*(1-Settings!$B$2),2)</f>
        <v>52.64</v>
      </c>
      <c r="E2906" s="3">
        <f>ROUND(C2906*(1-Settings!$B$3),2)</f>
        <v>52.64</v>
      </c>
      <c r="F2906" s="2" t="inlineStr">
        <is>
          <t>Pokemon</t>
        </is>
      </c>
      <c r="G2906" s="2" t="inlineStr">
        <is>
          <t>Pack</t>
        </is>
      </c>
      <c r="H2906" s="2" t="inlineStr">
        <is>
          <t>Japanese Promo</t>
        </is>
      </c>
      <c r="I2906" s="3" t="n">
        <v>75.2</v>
      </c>
      <c r="J2906" s="3" t="n"/>
      <c r="K2906" s="3" t="n"/>
      <c r="L2906" s="3" t="n"/>
      <c r="M2906" s="2" t="inlineStr">
        <is>
          <t>PriceCharting</t>
        </is>
      </c>
      <c r="N2906" s="4" t="inlineStr">
        <is>
          <t>https://www.pricecharting.com/game/pokemon-japanese-promo/booster-pack-2017-staff-event-organizer</t>
        </is>
      </c>
    </row>
    <row r="2907">
      <c r="A2907" s="2" t="inlineStr">
        <is>
          <t>Japanese Promo Booster Pack [2025 Staff Event Organizer]</t>
        </is>
      </c>
      <c r="B2907" s="3">
        <f>IF(I2907&lt;&gt;"",I2907,IF(J2907&lt;&gt;"",J2907,IF(K2907&lt;&gt;"",K2907,L2907)))</f>
        <v>8.94</v>
      </c>
      <c r="C2907" s="3">
        <f>MEDIAN(I2907:L2907)</f>
        <v>8.94</v>
      </c>
      <c r="D2907" s="3">
        <f>ROUND(C2907*(1-Settings!$B$2),2)</f>
        <v>6.26</v>
      </c>
      <c r="E2907" s="3">
        <f>ROUND(C2907*(1-Settings!$B$3),2)</f>
        <v>6.26</v>
      </c>
      <c r="F2907" s="2" t="inlineStr">
        <is>
          <t>Pokemon</t>
        </is>
      </c>
      <c r="G2907" s="2" t="inlineStr">
        <is>
          <t>Pack</t>
        </is>
      </c>
      <c r="H2907" s="2" t="inlineStr">
        <is>
          <t>Japanese Promo</t>
        </is>
      </c>
      <c r="I2907" s="3" t="n">
        <v>8.94</v>
      </c>
      <c r="J2907" s="3" t="n"/>
      <c r="K2907" s="3" t="n"/>
      <c r="L2907" s="3" t="n"/>
      <c r="M2907" s="2" t="inlineStr">
        <is>
          <t>PriceCharting</t>
        </is>
      </c>
      <c r="N2907" s="4" t="inlineStr">
        <is>
          <t>https://www.pricecharting.com/game/pokemon-japanese-promo/booster-pack-2025-staff-event-organizer</t>
        </is>
      </c>
    </row>
    <row r="2908">
      <c r="A2908" s="2" t="inlineStr">
        <is>
          <t>Japanese Promo Booster Pack [Dragon Pokemon V Get Challenge]</t>
        </is>
      </c>
      <c r="B2908" s="3">
        <f>IF(I2908&lt;&gt;"",I2908,IF(J2908&lt;&gt;"",J2908,IF(K2908&lt;&gt;"",K2908,L2908)))</f>
        <v>63.93</v>
      </c>
      <c r="C2908" s="3">
        <f>MEDIAN(I2908:L2908)</f>
        <v>63.93</v>
      </c>
      <c r="D2908" s="3">
        <f>ROUND(C2908*(1-Settings!$B$2),2)</f>
        <v>44.75</v>
      </c>
      <c r="E2908" s="3">
        <f>ROUND(C2908*(1-Settings!$B$3),2)</f>
        <v>44.75</v>
      </c>
      <c r="F2908" s="2" t="inlineStr">
        <is>
          <t>Pokemon</t>
        </is>
      </c>
      <c r="G2908" s="2" t="inlineStr">
        <is>
          <t>Pack</t>
        </is>
      </c>
      <c r="H2908" s="2" t="inlineStr">
        <is>
          <t>Japanese Promo</t>
        </is>
      </c>
      <c r="I2908" s="3" t="n">
        <v>63.93</v>
      </c>
      <c r="J2908" s="3" t="n"/>
      <c r="K2908" s="3" t="n"/>
      <c r="L2908" s="3" t="n"/>
      <c r="M2908" s="2" t="inlineStr">
        <is>
          <t>PriceCharting</t>
        </is>
      </c>
      <c r="N2908" s="4" t="inlineStr">
        <is>
          <t>https://www.pricecharting.com/game/pokemon-japanese-promo/booster-pack-dragon-pokemon-v-get-challenge</t>
        </is>
      </c>
    </row>
    <row r="2909">
      <c r="A2909" s="2" t="inlineStr">
        <is>
          <t>Japanese Promo Illustration Contest 2024 Sealed Pack</t>
        </is>
      </c>
      <c r="B2909" s="3">
        <f>IF(I2909&lt;&gt;"",I2909,IF(J2909&lt;&gt;"",J2909,IF(K2909&lt;&gt;"",K2909,L2909)))</f>
        <v>24.73</v>
      </c>
      <c r="C2909" s="3">
        <f>MEDIAN(I2909:L2909)</f>
        <v>24.73</v>
      </c>
      <c r="D2909" s="3">
        <f>ROUND(C2909*(1-Settings!$B$2),2)</f>
        <v>17.31</v>
      </c>
      <c r="E2909" s="3">
        <f>ROUND(C2909*(1-Settings!$B$3),2)</f>
        <v>17.31</v>
      </c>
      <c r="F2909" s="2" t="inlineStr">
        <is>
          <t>Pokemon</t>
        </is>
      </c>
      <c r="G2909" s="2" t="inlineStr">
        <is>
          <t>Pack</t>
        </is>
      </c>
      <c r="H2909" s="2" t="inlineStr">
        <is>
          <t>Japanese Promo</t>
        </is>
      </c>
      <c r="I2909" s="3" t="n">
        <v>24.73</v>
      </c>
      <c r="J2909" s="3" t="n"/>
      <c r="K2909" s="3" t="n"/>
      <c r="L2909" s="3" t="n"/>
      <c r="M2909" s="2" t="inlineStr">
        <is>
          <t>PriceCharting</t>
        </is>
      </c>
      <c r="N2909" s="4" t="inlineStr">
        <is>
          <t>https://www.pricecharting.com/game/pokemon-japanese-promo/illustration-contest-2024-sealed-pack</t>
        </is>
      </c>
    </row>
    <row r="2910">
      <c r="A2910" s="2" t="inlineStr">
        <is>
          <t>Japanese Promo Masked Pikachu Special Pack</t>
        </is>
      </c>
      <c r="B2910" s="3">
        <f>IF(I2910&lt;&gt;"",I2910,IF(J2910&lt;&gt;"",J2910,IF(K2910&lt;&gt;"",K2910,L2910)))</f>
        <v>2753.0</v>
      </c>
      <c r="C2910" s="3">
        <f>MEDIAN(I2910:L2910)</f>
        <v>2753.0</v>
      </c>
      <c r="D2910" s="3">
        <f>ROUND(C2910*(1-Settings!$B$2),2)</f>
        <v>1927.1</v>
      </c>
      <c r="E2910" s="3">
        <f>ROUND(C2910*(1-Settings!$B$3),2)</f>
        <v>1927.1</v>
      </c>
      <c r="F2910" s="2" t="inlineStr">
        <is>
          <t>Pokemon</t>
        </is>
      </c>
      <c r="G2910" s="2" t="inlineStr">
        <is>
          <t>Pack</t>
        </is>
      </c>
      <c r="H2910" s="2" t="inlineStr">
        <is>
          <t>Japanese Promo</t>
        </is>
      </c>
      <c r="I2910" s="3" t="n">
        <v>2753</v>
      </c>
      <c r="J2910" s="3" t="n"/>
      <c r="K2910" s="3" t="n"/>
      <c r="L2910" s="3" t="n"/>
      <c r="M2910" s="2" t="inlineStr">
        <is>
          <t>PriceCharting</t>
        </is>
      </c>
      <c r="N2910" s="4" t="inlineStr">
        <is>
          <t>https://www.pricecharting.com/game/pokemon-japanese-promo/masked-pikachu-special-pack</t>
        </is>
      </c>
    </row>
    <row r="2911">
      <c r="A2911" s="2" t="inlineStr">
        <is>
          <t>Japanese Promo Mcdonald's Promo Pack</t>
        </is>
      </c>
      <c r="B2911" s="3">
        <f>IF(I2911&lt;&gt;"",I2911,IF(J2911&lt;&gt;"",J2911,IF(K2911&lt;&gt;"",K2911,L2911)))</f>
        <v>32.36</v>
      </c>
      <c r="C2911" s="3">
        <f>MEDIAN(I2911:L2911)</f>
        <v>32.36</v>
      </c>
      <c r="D2911" s="3">
        <f>ROUND(C2911*(1-Settings!$B$2),2)</f>
        <v>22.65</v>
      </c>
      <c r="E2911" s="3">
        <f>ROUND(C2911*(1-Settings!$B$3),2)</f>
        <v>22.65</v>
      </c>
      <c r="F2911" s="2" t="inlineStr">
        <is>
          <t>Pokemon</t>
        </is>
      </c>
      <c r="G2911" s="2" t="inlineStr">
        <is>
          <t>Pack</t>
        </is>
      </c>
      <c r="H2911" s="2" t="inlineStr">
        <is>
          <t>Japanese Promo</t>
        </is>
      </c>
      <c r="I2911" s="3" t="n">
        <v>32.36</v>
      </c>
      <c r="J2911" s="3" t="n"/>
      <c r="K2911" s="3" t="n"/>
      <c r="L2911" s="3" t="n"/>
      <c r="M2911" s="2" t="inlineStr">
        <is>
          <t>PriceCharting</t>
        </is>
      </c>
      <c r="N2911" s="4" t="inlineStr">
        <is>
          <t>https://www.pricecharting.com/game/pokemon-japanese-promo/mcdonald's-promo-pack</t>
        </is>
      </c>
    </row>
    <row r="2912">
      <c r="A2912" s="2" t="inlineStr">
        <is>
          <t>Japanese Promo Movie Commemoration Special Pack</t>
        </is>
      </c>
      <c r="B2912" s="3">
        <f>IF(I2912&lt;&gt;"",I2912,IF(J2912&lt;&gt;"",J2912,IF(K2912&lt;&gt;"",K2912,L2912)))</f>
        <v>30.0</v>
      </c>
      <c r="C2912" s="3">
        <f>MEDIAN(I2912:L2912)</f>
        <v>30.0</v>
      </c>
      <c r="D2912" s="3">
        <f>ROUND(C2912*(1-Settings!$B$2),2)</f>
        <v>21.0</v>
      </c>
      <c r="E2912" s="3">
        <f>ROUND(C2912*(1-Settings!$B$3),2)</f>
        <v>21.0</v>
      </c>
      <c r="F2912" s="2" t="inlineStr">
        <is>
          <t>Pokemon</t>
        </is>
      </c>
      <c r="G2912" s="2" t="inlineStr">
        <is>
          <t>Pack</t>
        </is>
      </c>
      <c r="H2912" s="2" t="inlineStr">
        <is>
          <t>Japanese Promo</t>
        </is>
      </c>
      <c r="I2912" s="3" t="n">
        <v>30</v>
      </c>
      <c r="J2912" s="3" t="n"/>
      <c r="K2912" s="3" t="n"/>
      <c r="L2912" s="3" t="n"/>
      <c r="M2912" s="2" t="inlineStr">
        <is>
          <t>PriceCharting</t>
        </is>
      </c>
      <c r="N2912" s="4" t="inlineStr">
        <is>
          <t>https://www.pricecharting.com/game/pokemon-japanese-promo/movie-commemoration-special-pack</t>
        </is>
      </c>
    </row>
    <row r="2913">
      <c r="A2913" s="2" t="inlineStr">
        <is>
          <t>Japanese Promo Nagaba Promo Pack</t>
        </is>
      </c>
      <c r="B2913" s="3">
        <f>IF(I2913&lt;&gt;"",I2913,IF(J2913&lt;&gt;"",J2913,IF(K2913&lt;&gt;"",K2913,L2913)))</f>
        <v>113.15</v>
      </c>
      <c r="C2913" s="3">
        <f>MEDIAN(I2913:L2913)</f>
        <v>113.15</v>
      </c>
      <c r="D2913" s="3">
        <f>ROUND(C2913*(1-Settings!$B$2),2)</f>
        <v>79.21</v>
      </c>
      <c r="E2913" s="3">
        <f>ROUND(C2913*(1-Settings!$B$3),2)</f>
        <v>79.21</v>
      </c>
      <c r="F2913" s="2" t="inlineStr">
        <is>
          <t>Pokemon</t>
        </is>
      </c>
      <c r="G2913" s="2" t="inlineStr">
        <is>
          <t>Pack</t>
        </is>
      </c>
      <c r="H2913" s="2" t="inlineStr">
        <is>
          <t>Japanese Promo</t>
        </is>
      </c>
      <c r="I2913" s="3" t="n">
        <v>113.15</v>
      </c>
      <c r="J2913" s="3" t="n"/>
      <c r="K2913" s="3" t="n"/>
      <c r="L2913" s="3" t="n"/>
      <c r="M2913" s="2" t="inlineStr">
        <is>
          <t>PriceCharting</t>
        </is>
      </c>
      <c r="N2913" s="4" t="inlineStr">
        <is>
          <t>https://www.pricecharting.com/game/pokemon-japanese-promo/nagaba-promo-pack</t>
        </is>
      </c>
    </row>
    <row r="2914">
      <c r="A2914" s="2" t="inlineStr">
        <is>
          <t>Japanese Promo Scarlet &amp; Violet GYM Promo Pack Vol.1</t>
        </is>
      </c>
      <c r="B2914" s="3">
        <f>IF(I2914&lt;&gt;"",I2914,IF(J2914&lt;&gt;"",J2914,IF(K2914&lt;&gt;"",K2914,L2914)))</f>
        <v>3.99</v>
      </c>
      <c r="C2914" s="3">
        <f>MEDIAN(I2914:L2914)</f>
        <v>3.99</v>
      </c>
      <c r="D2914" s="3">
        <f>ROUND(C2914*(1-Settings!$B$2),2)</f>
        <v>2.79</v>
      </c>
      <c r="E2914" s="3">
        <f>ROUND(C2914*(1-Settings!$B$3),2)</f>
        <v>2.79</v>
      </c>
      <c r="F2914" s="2" t="inlineStr">
        <is>
          <t>Pokemon</t>
        </is>
      </c>
      <c r="G2914" s="2" t="inlineStr">
        <is>
          <t>Pack</t>
        </is>
      </c>
      <c r="H2914" s="2" t="inlineStr">
        <is>
          <t>Japanese Promo</t>
        </is>
      </c>
      <c r="I2914" s="3" t="n">
        <v>3.99</v>
      </c>
      <c r="J2914" s="3" t="n"/>
      <c r="K2914" s="3" t="n"/>
      <c r="L2914" s="3" t="n"/>
      <c r="M2914" s="2" t="inlineStr">
        <is>
          <t>PriceCharting</t>
        </is>
      </c>
      <c r="N2914" s="4" t="inlineStr">
        <is>
          <t>https://www.pricecharting.com/game/pokemon-japanese-promo/scarlet-&amp;-violet-gym-promo-pack-vol1</t>
        </is>
      </c>
    </row>
    <row r="2915">
      <c r="A2915" s="2" t="inlineStr">
        <is>
          <t>Japanese Promo Scarlet &amp; Violet GYM Promo Pack Vol.2</t>
        </is>
      </c>
      <c r="B2915" s="3">
        <f>IF(I2915&lt;&gt;"",I2915,IF(J2915&lt;&gt;"",J2915,IF(K2915&lt;&gt;"",K2915,L2915)))</f>
        <v>4.64</v>
      </c>
      <c r="C2915" s="3">
        <f>MEDIAN(I2915:L2915)</f>
        <v>4.64</v>
      </c>
      <c r="D2915" s="3">
        <f>ROUND(C2915*(1-Settings!$B$2),2)</f>
        <v>3.25</v>
      </c>
      <c r="E2915" s="3">
        <f>ROUND(C2915*(1-Settings!$B$3),2)</f>
        <v>3.25</v>
      </c>
      <c r="F2915" s="2" t="inlineStr">
        <is>
          <t>Pokemon</t>
        </is>
      </c>
      <c r="G2915" s="2" t="inlineStr">
        <is>
          <t>Pack</t>
        </is>
      </c>
      <c r="H2915" s="2" t="inlineStr">
        <is>
          <t>Japanese Promo</t>
        </is>
      </c>
      <c r="I2915" s="3" t="n">
        <v>4.64</v>
      </c>
      <c r="J2915" s="3" t="n"/>
      <c r="K2915" s="3" t="n"/>
      <c r="L2915" s="3" t="n"/>
      <c r="M2915" s="2" t="inlineStr">
        <is>
          <t>PriceCharting</t>
        </is>
      </c>
      <c r="N2915" s="4" t="inlineStr">
        <is>
          <t>https://www.pricecharting.com/game/pokemon-japanese-promo/scarlet-&amp;-violet-gym-promo-pack-vol2</t>
        </is>
      </c>
    </row>
    <row r="2916">
      <c r="A2916" s="2" t="inlineStr">
        <is>
          <t>Japanese Promo Scarlet &amp; Violet GYM Promo Pack Vol.3</t>
        </is>
      </c>
      <c r="B2916" s="3">
        <f>IF(I2916&lt;&gt;"",I2916,IF(J2916&lt;&gt;"",J2916,IF(K2916&lt;&gt;"",K2916,L2916)))</f>
        <v>9.97</v>
      </c>
      <c r="C2916" s="3">
        <f>MEDIAN(I2916:L2916)</f>
        <v>9.97</v>
      </c>
      <c r="D2916" s="3">
        <f>ROUND(C2916*(1-Settings!$B$2),2)</f>
        <v>6.98</v>
      </c>
      <c r="E2916" s="3">
        <f>ROUND(C2916*(1-Settings!$B$3),2)</f>
        <v>6.98</v>
      </c>
      <c r="F2916" s="2" t="inlineStr">
        <is>
          <t>Pokemon</t>
        </is>
      </c>
      <c r="G2916" s="2" t="inlineStr">
        <is>
          <t>Pack</t>
        </is>
      </c>
      <c r="H2916" s="2" t="inlineStr">
        <is>
          <t>Japanese Promo</t>
        </is>
      </c>
      <c r="I2916" s="3" t="n">
        <v>9.970000000000001</v>
      </c>
      <c r="J2916" s="3" t="n"/>
      <c r="K2916" s="3" t="n"/>
      <c r="L2916" s="3" t="n"/>
      <c r="M2916" s="2" t="inlineStr">
        <is>
          <t>PriceCharting</t>
        </is>
      </c>
      <c r="N2916" s="4" t="inlineStr">
        <is>
          <t>https://www.pricecharting.com/game/pokemon-japanese-promo/scarlet-&amp;-violet-gym-promo-pack-vol3</t>
        </is>
      </c>
    </row>
    <row r="2917">
      <c r="A2917" s="2" t="inlineStr">
        <is>
          <t>Japanese Promo Scarlet &amp; Violet GYM Promo Pack Vol.4</t>
        </is>
      </c>
      <c r="B2917" s="3">
        <f>IF(I2917&lt;&gt;"",I2917,IF(J2917&lt;&gt;"",J2917,IF(K2917&lt;&gt;"",K2917,L2917)))</f>
        <v>3.99</v>
      </c>
      <c r="C2917" s="3">
        <f>MEDIAN(I2917:L2917)</f>
        <v>3.99</v>
      </c>
      <c r="D2917" s="3">
        <f>ROUND(C2917*(1-Settings!$B$2),2)</f>
        <v>2.79</v>
      </c>
      <c r="E2917" s="3">
        <f>ROUND(C2917*(1-Settings!$B$3),2)</f>
        <v>2.79</v>
      </c>
      <c r="F2917" s="2" t="inlineStr">
        <is>
          <t>Pokemon</t>
        </is>
      </c>
      <c r="G2917" s="2" t="inlineStr">
        <is>
          <t>Pack</t>
        </is>
      </c>
      <c r="H2917" s="2" t="inlineStr">
        <is>
          <t>Japanese Promo</t>
        </is>
      </c>
      <c r="I2917" s="3" t="n">
        <v>3.99</v>
      </c>
      <c r="J2917" s="3" t="n"/>
      <c r="K2917" s="3" t="n"/>
      <c r="L2917" s="3" t="n"/>
      <c r="M2917" s="2" t="inlineStr">
        <is>
          <t>PriceCharting</t>
        </is>
      </c>
      <c r="N2917" s="4" t="inlineStr">
        <is>
          <t>https://www.pricecharting.com/game/pokemon-japanese-promo/scarlet-&amp;-violet-gym-promo-pack-vol4</t>
        </is>
      </c>
    </row>
    <row r="2918">
      <c r="A2918" s="2" t="inlineStr">
        <is>
          <t>Japanese Promo Scarlet &amp; Violet GYM Promo Pack Vol.5</t>
        </is>
      </c>
      <c r="B2918" s="3">
        <f>IF(I2918&lt;&gt;"",I2918,IF(J2918&lt;&gt;"",J2918,IF(K2918&lt;&gt;"",K2918,L2918)))</f>
        <v>5.67</v>
      </c>
      <c r="C2918" s="3">
        <f>MEDIAN(I2918:L2918)</f>
        <v>5.67</v>
      </c>
      <c r="D2918" s="3">
        <f>ROUND(C2918*(1-Settings!$B$2),2)</f>
        <v>3.97</v>
      </c>
      <c r="E2918" s="3">
        <f>ROUND(C2918*(1-Settings!$B$3),2)</f>
        <v>3.97</v>
      </c>
      <c r="F2918" s="2" t="inlineStr">
        <is>
          <t>Pokemon</t>
        </is>
      </c>
      <c r="G2918" s="2" t="inlineStr">
        <is>
          <t>Pack</t>
        </is>
      </c>
      <c r="H2918" s="2" t="inlineStr">
        <is>
          <t>Japanese Promo</t>
        </is>
      </c>
      <c r="I2918" s="3" t="n">
        <v>5.67</v>
      </c>
      <c r="J2918" s="3" t="n"/>
      <c r="K2918" s="3" t="n"/>
      <c r="L2918" s="3" t="n"/>
      <c r="M2918" s="2" t="inlineStr">
        <is>
          <t>PriceCharting</t>
        </is>
      </c>
      <c r="N2918" s="4" t="inlineStr">
        <is>
          <t>https://www.pricecharting.com/game/pokemon-japanese-promo/scarlet-&amp;-violet-gym-promo-pack-vol5</t>
        </is>
      </c>
    </row>
    <row r="2919">
      <c r="A2919" s="2" t="inlineStr">
        <is>
          <t>Japanese Promo Scarlet &amp; Violet GYM Promo Pack Vol.6</t>
        </is>
      </c>
      <c r="B2919" s="3">
        <f>IF(I2919&lt;&gt;"",I2919,IF(J2919&lt;&gt;"",J2919,IF(K2919&lt;&gt;"",K2919,L2919)))</f>
        <v>3.99</v>
      </c>
      <c r="C2919" s="3">
        <f>MEDIAN(I2919:L2919)</f>
        <v>3.99</v>
      </c>
      <c r="D2919" s="3">
        <f>ROUND(C2919*(1-Settings!$B$2),2)</f>
        <v>2.79</v>
      </c>
      <c r="E2919" s="3">
        <f>ROUND(C2919*(1-Settings!$B$3),2)</f>
        <v>2.79</v>
      </c>
      <c r="F2919" s="2" t="inlineStr">
        <is>
          <t>Pokemon</t>
        </is>
      </c>
      <c r="G2919" s="2" t="inlineStr">
        <is>
          <t>Pack</t>
        </is>
      </c>
      <c r="H2919" s="2" t="inlineStr">
        <is>
          <t>Japanese Promo</t>
        </is>
      </c>
      <c r="I2919" s="3" t="n">
        <v>3.99</v>
      </c>
      <c r="J2919" s="3" t="n"/>
      <c r="K2919" s="3" t="n"/>
      <c r="L2919" s="3" t="n"/>
      <c r="M2919" s="2" t="inlineStr">
        <is>
          <t>PriceCharting</t>
        </is>
      </c>
      <c r="N2919" s="4" t="inlineStr">
        <is>
          <t>https://www.pricecharting.com/game/pokemon-japanese-promo/scarlet-&amp;-violet-gym-promo-pack-vol6</t>
        </is>
      </c>
    </row>
    <row r="2920">
      <c r="A2920" s="2" t="inlineStr">
        <is>
          <t>Japanese Promo Scarlet &amp; Violet GYM Promo Pack Vol.7</t>
        </is>
      </c>
      <c r="B2920" s="3">
        <f>IF(I2920&lt;&gt;"",I2920,IF(J2920&lt;&gt;"",J2920,IF(K2920&lt;&gt;"",K2920,L2920)))</f>
        <v>6.5</v>
      </c>
      <c r="C2920" s="3">
        <f>MEDIAN(I2920:L2920)</f>
        <v>6.5</v>
      </c>
      <c r="D2920" s="3">
        <f>ROUND(C2920*(1-Settings!$B$2),2)</f>
        <v>4.55</v>
      </c>
      <c r="E2920" s="3">
        <f>ROUND(C2920*(1-Settings!$B$3),2)</f>
        <v>4.55</v>
      </c>
      <c r="F2920" s="2" t="inlineStr">
        <is>
          <t>Pokemon</t>
        </is>
      </c>
      <c r="G2920" s="2" t="inlineStr">
        <is>
          <t>Pack</t>
        </is>
      </c>
      <c r="H2920" s="2" t="inlineStr">
        <is>
          <t>Japanese Promo</t>
        </is>
      </c>
      <c r="I2920" s="3" t="n">
        <v>6.5</v>
      </c>
      <c r="J2920" s="3" t="n"/>
      <c r="K2920" s="3" t="n"/>
      <c r="L2920" s="3" t="n"/>
      <c r="M2920" s="2" t="inlineStr">
        <is>
          <t>PriceCharting</t>
        </is>
      </c>
      <c r="N2920" s="4" t="inlineStr">
        <is>
          <t>https://www.pricecharting.com/game/pokemon-japanese-promo/scarlet-&amp;-violet-gym-promo-pack-vol7</t>
        </is>
      </c>
    </row>
    <row r="2921">
      <c r="A2921" s="2" t="inlineStr">
        <is>
          <t>Japanese Promo Scarlet &amp; Violet GYM Promo Pack Vol.8</t>
        </is>
      </c>
      <c r="B2921" s="3">
        <f>IF(I2921&lt;&gt;"",I2921,IF(J2921&lt;&gt;"",J2921,IF(K2921&lt;&gt;"",K2921,L2921)))</f>
        <v>8.68</v>
      </c>
      <c r="C2921" s="3">
        <f>MEDIAN(I2921:L2921)</f>
        <v>8.68</v>
      </c>
      <c r="D2921" s="3">
        <f>ROUND(C2921*(1-Settings!$B$2),2)</f>
        <v>6.08</v>
      </c>
      <c r="E2921" s="3">
        <f>ROUND(C2921*(1-Settings!$B$3),2)</f>
        <v>6.08</v>
      </c>
      <c r="F2921" s="2" t="inlineStr">
        <is>
          <t>Pokemon</t>
        </is>
      </c>
      <c r="G2921" s="2" t="inlineStr">
        <is>
          <t>Pack</t>
        </is>
      </c>
      <c r="H2921" s="2" t="inlineStr">
        <is>
          <t>Japanese Promo</t>
        </is>
      </c>
      <c r="I2921" s="3" t="n">
        <v>8.68</v>
      </c>
      <c r="J2921" s="3" t="n"/>
      <c r="K2921" s="3" t="n"/>
      <c r="L2921" s="3" t="n"/>
      <c r="M2921" s="2" t="inlineStr">
        <is>
          <t>PriceCharting</t>
        </is>
      </c>
      <c r="N2921" s="4" t="inlineStr">
        <is>
          <t>https://www.pricecharting.com/game/pokemon-japanese-promo/scarlet-&amp;-violet-gym-promo-pack-vol8</t>
        </is>
      </c>
    </row>
    <row r="2922">
      <c r="A2922" s="2" t="inlineStr">
        <is>
          <t>Japanese Promo Scarlet &amp; Violet GYM Promo Pack Vol.9</t>
        </is>
      </c>
      <c r="B2922" s="3">
        <f>IF(I2922&lt;&gt;"",I2922,IF(J2922&lt;&gt;"",J2922,IF(K2922&lt;&gt;"",K2922,L2922)))</f>
        <v>7.38</v>
      </c>
      <c r="C2922" s="3">
        <f>MEDIAN(I2922:L2922)</f>
        <v>7.38</v>
      </c>
      <c r="D2922" s="3">
        <f>ROUND(C2922*(1-Settings!$B$2),2)</f>
        <v>5.17</v>
      </c>
      <c r="E2922" s="3">
        <f>ROUND(C2922*(1-Settings!$B$3),2)</f>
        <v>5.17</v>
      </c>
      <c r="F2922" s="2" t="inlineStr">
        <is>
          <t>Pokemon</t>
        </is>
      </c>
      <c r="G2922" s="2" t="inlineStr">
        <is>
          <t>Pack</t>
        </is>
      </c>
      <c r="H2922" s="2" t="inlineStr">
        <is>
          <t>Japanese Promo</t>
        </is>
      </c>
      <c r="I2922" s="3" t="n">
        <v>7.38</v>
      </c>
      <c r="J2922" s="3" t="n"/>
      <c r="K2922" s="3" t="n"/>
      <c r="L2922" s="3" t="n"/>
      <c r="M2922" s="2" t="inlineStr">
        <is>
          <t>PriceCharting</t>
        </is>
      </c>
      <c r="N2922" s="4" t="inlineStr">
        <is>
          <t>https://www.pricecharting.com/game/pokemon-japanese-promo/scarlet-&amp;-violet-gym-promo-pack-vol9</t>
        </is>
      </c>
    </row>
    <row r="2923">
      <c r="A2923" s="2" t="inlineStr">
        <is>
          <t>Japanese Promo Sealed Pack [2020 Staff Event Organizer]</t>
        </is>
      </c>
      <c r="B2923" s="3">
        <f>IF(I2923&lt;&gt;"",I2923,IF(J2923&lt;&gt;"",J2923,IF(K2923&lt;&gt;"",K2923,L2923)))</f>
        <v>52.23</v>
      </c>
      <c r="C2923" s="3">
        <f>MEDIAN(I2923:L2923)</f>
        <v>52.23</v>
      </c>
      <c r="D2923" s="3">
        <f>ROUND(C2923*(1-Settings!$B$2),2)</f>
        <v>36.56</v>
      </c>
      <c r="E2923" s="3">
        <f>ROUND(C2923*(1-Settings!$B$3),2)</f>
        <v>36.56</v>
      </c>
      <c r="F2923" s="2" t="inlineStr">
        <is>
          <t>Pokemon</t>
        </is>
      </c>
      <c r="G2923" s="2" t="inlineStr">
        <is>
          <t>Pack</t>
        </is>
      </c>
      <c r="H2923" s="2" t="inlineStr">
        <is>
          <t>Japanese Promo</t>
        </is>
      </c>
      <c r="I2923" s="3" t="n">
        <v>52.23</v>
      </c>
      <c r="J2923" s="3" t="n"/>
      <c r="K2923" s="3" t="n"/>
      <c r="L2923" s="3" t="n"/>
      <c r="M2923" s="2" t="inlineStr">
        <is>
          <t>PriceCharting</t>
        </is>
      </c>
      <c r="N2923" s="4" t="inlineStr">
        <is>
          <t>https://www.pricecharting.com/game/pokemon-japanese-promo/sealed-pack-2020-staff-event-organizer</t>
        </is>
      </c>
    </row>
    <row r="2924">
      <c r="A2924" s="2" t="inlineStr">
        <is>
          <t>Japanese Promo Sword &amp; Shield Gym Promo Pack Vol.2</t>
        </is>
      </c>
      <c r="B2924" s="3">
        <f>IF(I2924&lt;&gt;"",I2924,IF(J2924&lt;&gt;"",J2924,IF(K2924&lt;&gt;"",K2924,L2924)))</f>
        <v>7.12</v>
      </c>
      <c r="C2924" s="3">
        <f>MEDIAN(I2924:L2924)</f>
        <v>7.12</v>
      </c>
      <c r="D2924" s="3">
        <f>ROUND(C2924*(1-Settings!$B$2),2)</f>
        <v>4.98</v>
      </c>
      <c r="E2924" s="3">
        <f>ROUND(C2924*(1-Settings!$B$3),2)</f>
        <v>4.98</v>
      </c>
      <c r="F2924" s="2" t="inlineStr">
        <is>
          <t>Pokemon</t>
        </is>
      </c>
      <c r="G2924" s="2" t="inlineStr">
        <is>
          <t>Pack</t>
        </is>
      </c>
      <c r="H2924" s="2" t="inlineStr">
        <is>
          <t>Japanese Promo</t>
        </is>
      </c>
      <c r="I2924" s="3" t="n">
        <v>7.12</v>
      </c>
      <c r="J2924" s="3" t="n"/>
      <c r="K2924" s="3" t="n"/>
      <c r="L2924" s="3" t="n"/>
      <c r="M2924" s="2" t="inlineStr">
        <is>
          <t>PriceCharting</t>
        </is>
      </c>
      <c r="N2924" s="4" t="inlineStr">
        <is>
          <t>https://www.pricecharting.com/game/pokemon-japanese-promo/sword-&amp;-shield-gym-promo-pack-vol2</t>
        </is>
      </c>
    </row>
    <row r="2925">
      <c r="A2925" s="2" t="inlineStr">
        <is>
          <t>Japanese Raging Surf Booster Pack</t>
        </is>
      </c>
      <c r="B2925" s="3">
        <f>IF(I2925&lt;&gt;"",I2925,IF(J2925&lt;&gt;"",J2925,IF(K2925&lt;&gt;"",K2925,L2925)))</f>
        <v>6.75</v>
      </c>
      <c r="C2925" s="3">
        <f>MEDIAN(I2925:L2925)</f>
        <v>6.75</v>
      </c>
      <c r="D2925" s="3">
        <f>ROUND(C2925*(1-Settings!$B$2),2)</f>
        <v>4.73</v>
      </c>
      <c r="E2925" s="3">
        <f>ROUND(C2925*(1-Settings!$B$3),2)</f>
        <v>4.73</v>
      </c>
      <c r="F2925" s="2" t="inlineStr">
        <is>
          <t>Pokemon</t>
        </is>
      </c>
      <c r="G2925" s="2" t="inlineStr">
        <is>
          <t>Pack</t>
        </is>
      </c>
      <c r="H2925" s="2" t="inlineStr">
        <is>
          <t>Japanese Raging Surf</t>
        </is>
      </c>
      <c r="I2925" s="3" t="n">
        <v>6.75</v>
      </c>
      <c r="J2925" s="3" t="n"/>
      <c r="K2925" s="3" t="n"/>
      <c r="L2925" s="3" t="n"/>
      <c r="M2925" s="2" t="inlineStr">
        <is>
          <t>PriceCharting</t>
        </is>
      </c>
      <c r="N2925" s="4" t="inlineStr">
        <is>
          <t>https://www.pricecharting.com/game/pokemon-japanese-raging-surf/booster-pack</t>
        </is>
      </c>
    </row>
    <row r="2926">
      <c r="A2926" s="2" t="inlineStr">
        <is>
          <t>Japanese Remix Bout Booster Pack</t>
        </is>
      </c>
      <c r="B2926" s="3">
        <f>IF(I2926&lt;&gt;"",I2926,IF(J2926&lt;&gt;"",J2926,IF(K2926&lt;&gt;"",K2926,L2926)))</f>
        <v>40.88</v>
      </c>
      <c r="C2926" s="3">
        <f>MEDIAN(I2926:L2926)</f>
        <v>40.88</v>
      </c>
      <c r="D2926" s="3">
        <f>ROUND(C2926*(1-Settings!$B$2),2)</f>
        <v>28.62</v>
      </c>
      <c r="E2926" s="3">
        <f>ROUND(C2926*(1-Settings!$B$3),2)</f>
        <v>28.62</v>
      </c>
      <c r="F2926" s="2" t="inlineStr">
        <is>
          <t>Pokemon</t>
        </is>
      </c>
      <c r="G2926" s="2" t="inlineStr">
        <is>
          <t>Pack</t>
        </is>
      </c>
      <c r="H2926" s="2" t="inlineStr">
        <is>
          <t>Japanese Remix Bout</t>
        </is>
      </c>
      <c r="I2926" s="3" t="n">
        <v>40.88</v>
      </c>
      <c r="J2926" s="3" t="n"/>
      <c r="K2926" s="3" t="n"/>
      <c r="L2926" s="3" t="n"/>
      <c r="M2926" s="2" t="inlineStr">
        <is>
          <t>PriceCharting</t>
        </is>
      </c>
      <c r="N2926" s="4" t="inlineStr">
        <is>
          <t>https://www.pricecharting.com/game/pokemon-japanese-remix-bout/booster-pack</t>
        </is>
      </c>
    </row>
    <row r="2927">
      <c r="A2927" s="2" t="inlineStr">
        <is>
          <t>Japanese Rocket Gang Booster Pack</t>
        </is>
      </c>
      <c r="B2927" s="3">
        <f>IF(I2927&lt;&gt;"",I2927,IF(J2927&lt;&gt;"",J2927,IF(K2927&lt;&gt;"",K2927,L2927)))</f>
        <v>1093.38</v>
      </c>
      <c r="C2927" s="3">
        <f>MEDIAN(I2927:L2927)</f>
        <v>1093.38</v>
      </c>
      <c r="D2927" s="3">
        <f>ROUND(C2927*(1-Settings!$B$2),2)</f>
        <v>765.37</v>
      </c>
      <c r="E2927" s="3">
        <f>ROUND(C2927*(1-Settings!$B$3),2)</f>
        <v>765.37</v>
      </c>
      <c r="F2927" s="2" t="inlineStr">
        <is>
          <t>Pokemon</t>
        </is>
      </c>
      <c r="G2927" s="2" t="inlineStr">
        <is>
          <t>Pack</t>
        </is>
      </c>
      <c r="H2927" s="2" t="inlineStr">
        <is>
          <t>Japanese Rocket Gang</t>
        </is>
      </c>
      <c r="I2927" s="3" t="n">
        <v>1093.38</v>
      </c>
      <c r="J2927" s="3" t="n"/>
      <c r="K2927" s="3" t="n"/>
      <c r="L2927" s="3" t="n"/>
      <c r="M2927" s="2" t="inlineStr">
        <is>
          <t>PriceCharting</t>
        </is>
      </c>
      <c r="N2927" s="4" t="inlineStr">
        <is>
          <t>https://www.pricecharting.com/game/pokemon-japanese-rocket-gang/booster-pack</t>
        </is>
      </c>
    </row>
    <row r="2928">
      <c r="A2928" s="2" t="inlineStr">
        <is>
          <t>Japanese Rocket Gang Gift Pack</t>
        </is>
      </c>
      <c r="B2928" s="3">
        <f>IF(I2928&lt;&gt;"",I2928,IF(J2928&lt;&gt;"",J2928,IF(K2928&lt;&gt;"",K2928,L2928)))</f>
        <v>900.0</v>
      </c>
      <c r="C2928" s="3">
        <f>MEDIAN(I2928:L2928)</f>
        <v>900.0</v>
      </c>
      <c r="D2928" s="3">
        <f>ROUND(C2928*(1-Settings!$B$2),2)</f>
        <v>630.0</v>
      </c>
      <c r="E2928" s="3">
        <f>ROUND(C2928*(1-Settings!$B$3),2)</f>
        <v>630.0</v>
      </c>
      <c r="F2928" s="2" t="inlineStr">
        <is>
          <t>Pokemon</t>
        </is>
      </c>
      <c r="G2928" s="2" t="inlineStr">
        <is>
          <t>Pack</t>
        </is>
      </c>
      <c r="H2928" s="2" t="inlineStr">
        <is>
          <t>Japanese Rocket Gang</t>
        </is>
      </c>
      <c r="I2928" s="3" t="n">
        <v>900</v>
      </c>
      <c r="J2928" s="3" t="n"/>
      <c r="K2928" s="3" t="n"/>
      <c r="L2928" s="3" t="n"/>
      <c r="M2928" s="2" t="inlineStr">
        <is>
          <t>PriceCharting</t>
        </is>
      </c>
      <c r="N2928" s="4" t="inlineStr">
        <is>
          <t>https://www.pricecharting.com/game/pokemon-japanese-rocket-gang/gift-pack</t>
        </is>
      </c>
    </row>
    <row r="2929">
      <c r="A2929" s="2" t="inlineStr">
        <is>
          <t>Japanese Rocket Gang Strikes Back Booster Pack</t>
        </is>
      </c>
      <c r="B2929" s="3">
        <f>IF(I2929&lt;&gt;"",I2929,IF(J2929&lt;&gt;"",J2929,IF(K2929&lt;&gt;"",K2929,L2929)))</f>
        <v>4320.09</v>
      </c>
      <c r="C2929" s="3">
        <f>MEDIAN(I2929:L2929)</f>
        <v>4320.09</v>
      </c>
      <c r="D2929" s="3">
        <f>ROUND(C2929*(1-Settings!$B$2),2)</f>
        <v>3024.06</v>
      </c>
      <c r="E2929" s="3">
        <f>ROUND(C2929*(1-Settings!$B$3),2)</f>
        <v>3024.06</v>
      </c>
      <c r="F2929" s="2" t="inlineStr">
        <is>
          <t>Pokemon</t>
        </is>
      </c>
      <c r="G2929" s="2" t="inlineStr">
        <is>
          <t>Pack</t>
        </is>
      </c>
      <c r="H2929" s="2" t="inlineStr">
        <is>
          <t>Japanese Rocket Gang Strikes Back</t>
        </is>
      </c>
      <c r="I2929" s="3" t="n">
        <v>4320.09</v>
      </c>
      <c r="J2929" s="3" t="n"/>
      <c r="K2929" s="3" t="n"/>
      <c r="L2929" s="3" t="n"/>
      <c r="M2929" s="2" t="inlineStr">
        <is>
          <t>PriceCharting</t>
        </is>
      </c>
      <c r="N2929" s="4" t="inlineStr">
        <is>
          <t>https://www.pricecharting.com/game/pokemon-japanese-rocket-gang-strikes-back/booster-pack</t>
        </is>
      </c>
    </row>
    <row r="2930">
      <c r="A2930" s="2" t="inlineStr">
        <is>
          <t>Japanese Ruler Of The Black Flame Booster Pack</t>
        </is>
      </c>
      <c r="B2930" s="3">
        <f>IF(I2930&lt;&gt;"",I2930,IF(J2930&lt;&gt;"",J2930,IF(K2930&lt;&gt;"",K2930,L2930)))</f>
        <v>7.89</v>
      </c>
      <c r="C2930" s="3">
        <f>MEDIAN(I2930:L2930)</f>
        <v>7.89</v>
      </c>
      <c r="D2930" s="3">
        <f>ROUND(C2930*(1-Settings!$B$2),2)</f>
        <v>5.52</v>
      </c>
      <c r="E2930" s="3">
        <f>ROUND(C2930*(1-Settings!$B$3),2)</f>
        <v>5.52</v>
      </c>
      <c r="F2930" s="2" t="inlineStr">
        <is>
          <t>Pokemon</t>
        </is>
      </c>
      <c r="G2930" s="2" t="inlineStr">
        <is>
          <t>Pack</t>
        </is>
      </c>
      <c r="H2930" s="2" t="inlineStr">
        <is>
          <t>Japanese Ruler Of The Black Flame</t>
        </is>
      </c>
      <c r="I2930" s="3" t="n">
        <v>7.89</v>
      </c>
      <c r="J2930" s="3" t="n"/>
      <c r="K2930" s="3" t="n"/>
      <c r="L2930" s="3" t="n"/>
      <c r="M2930" s="2" t="inlineStr">
        <is>
          <t>PriceCharting</t>
        </is>
      </c>
      <c r="N2930" s="4" t="inlineStr">
        <is>
          <t>https://www.pricecharting.com/game/pokemon-japanese-ruler-of-the-black-flame/booster-pack</t>
        </is>
      </c>
    </row>
    <row r="2931">
      <c r="A2931" s="2" t="inlineStr">
        <is>
          <t>Japanese Scarlet Ex Booster Pack</t>
        </is>
      </c>
      <c r="B2931" s="3">
        <f>IF(I2931&lt;&gt;"",I2931,IF(J2931&lt;&gt;"",J2931,IF(K2931&lt;&gt;"",K2931,L2931)))</f>
        <v>5.3</v>
      </c>
      <c r="C2931" s="3">
        <f>MEDIAN(I2931:L2931)</f>
        <v>5.3</v>
      </c>
      <c r="D2931" s="3">
        <f>ROUND(C2931*(1-Settings!$B$2),2)</f>
        <v>3.71</v>
      </c>
      <c r="E2931" s="3">
        <f>ROUND(C2931*(1-Settings!$B$3),2)</f>
        <v>3.71</v>
      </c>
      <c r="F2931" s="2" t="inlineStr">
        <is>
          <t>Pokemon</t>
        </is>
      </c>
      <c r="G2931" s="2" t="inlineStr">
        <is>
          <t>Pack</t>
        </is>
      </c>
      <c r="H2931" s="2" t="inlineStr">
        <is>
          <t>Japanese Scarlet Ex</t>
        </is>
      </c>
      <c r="I2931" s="3" t="n">
        <v>5.3</v>
      </c>
      <c r="J2931" s="3" t="n"/>
      <c r="K2931" s="3" t="n"/>
      <c r="L2931" s="3" t="n"/>
      <c r="M2931" s="2" t="inlineStr">
        <is>
          <t>PriceCharting</t>
        </is>
      </c>
      <c r="N2931" s="4" t="inlineStr">
        <is>
          <t>https://www.pricecharting.com/game/pokemon-japanese-scarlet-ex/booster-pack</t>
        </is>
      </c>
    </row>
    <row r="2932">
      <c r="A2932" s="2" t="inlineStr">
        <is>
          <t>Japanese Shining Legends Booster Pack</t>
        </is>
      </c>
      <c r="B2932" s="3">
        <f>IF(I2932&lt;&gt;"",I2932,IF(J2932&lt;&gt;"",J2932,IF(K2932&lt;&gt;"",K2932,L2932)))</f>
        <v>139.65</v>
      </c>
      <c r="C2932" s="3">
        <f>MEDIAN(I2932:L2932)</f>
        <v>139.65</v>
      </c>
      <c r="D2932" s="3">
        <f>ROUND(C2932*(1-Settings!$B$2),2)</f>
        <v>97.76</v>
      </c>
      <c r="E2932" s="3">
        <f>ROUND(C2932*(1-Settings!$B$3),2)</f>
        <v>97.76</v>
      </c>
      <c r="F2932" s="2" t="inlineStr">
        <is>
          <t>Pokemon</t>
        </is>
      </c>
      <c r="G2932" s="2" t="inlineStr">
        <is>
          <t>Pack</t>
        </is>
      </c>
      <c r="H2932" s="2" t="inlineStr">
        <is>
          <t>Japanese Shining Legends</t>
        </is>
      </c>
      <c r="I2932" s="3" t="n">
        <v>139.65</v>
      </c>
      <c r="J2932" s="3" t="n"/>
      <c r="K2932" s="3" t="n"/>
      <c r="L2932" s="3" t="n"/>
      <c r="M2932" s="2" t="inlineStr">
        <is>
          <t>PriceCharting</t>
        </is>
      </c>
      <c r="N2932" s="4" t="inlineStr">
        <is>
          <t>https://www.pricecharting.com/game/pokemon-japanese-shining-legends/booster-pack</t>
        </is>
      </c>
    </row>
    <row r="2933">
      <c r="A2933" s="2" t="inlineStr">
        <is>
          <t>Japanese Shiny Collection Booster Pack</t>
        </is>
      </c>
      <c r="B2933" s="3">
        <f>IF(I2933&lt;&gt;"",I2933,IF(J2933&lt;&gt;"",J2933,IF(K2933&lt;&gt;"",K2933,L2933)))</f>
        <v>465.0</v>
      </c>
      <c r="C2933" s="3">
        <f>MEDIAN(I2933:L2933)</f>
        <v>465.0</v>
      </c>
      <c r="D2933" s="3">
        <f>ROUND(C2933*(1-Settings!$B$2),2)</f>
        <v>325.5</v>
      </c>
      <c r="E2933" s="3">
        <f>ROUND(C2933*(1-Settings!$B$3),2)</f>
        <v>325.5</v>
      </c>
      <c r="F2933" s="2" t="inlineStr">
        <is>
          <t>Pokemon</t>
        </is>
      </c>
      <c r="G2933" s="2" t="inlineStr">
        <is>
          <t>Pack</t>
        </is>
      </c>
      <c r="H2933" s="2" t="inlineStr">
        <is>
          <t>Japanese Shiny Collection</t>
        </is>
      </c>
      <c r="I2933" s="3" t="n">
        <v>465</v>
      </c>
      <c r="J2933" s="3" t="n"/>
      <c r="K2933" s="3" t="n"/>
      <c r="L2933" s="3" t="n"/>
      <c r="M2933" s="2" t="inlineStr">
        <is>
          <t>PriceCharting</t>
        </is>
      </c>
      <c r="N2933" s="4" t="inlineStr">
        <is>
          <t>https://www.pricecharting.com/game/pokemon-japanese-shiny-collection/booster-pack</t>
        </is>
      </c>
    </row>
    <row r="2934">
      <c r="A2934" s="2" t="inlineStr">
        <is>
          <t>Japanese Shiny Star V Booster Pack</t>
        </is>
      </c>
      <c r="B2934" s="3">
        <f>IF(I2934&lt;&gt;"",I2934,IF(J2934&lt;&gt;"",J2934,IF(K2934&lt;&gt;"",K2934,L2934)))</f>
        <v>10.31</v>
      </c>
      <c r="C2934" s="3">
        <f>MEDIAN(I2934:L2934)</f>
        <v>10.31</v>
      </c>
      <c r="D2934" s="3">
        <f>ROUND(C2934*(1-Settings!$B$2),2)</f>
        <v>7.22</v>
      </c>
      <c r="E2934" s="3">
        <f>ROUND(C2934*(1-Settings!$B$3),2)</f>
        <v>7.22</v>
      </c>
      <c r="F2934" s="2" t="inlineStr">
        <is>
          <t>Pokemon</t>
        </is>
      </c>
      <c r="G2934" s="2" t="inlineStr">
        <is>
          <t>Pack</t>
        </is>
      </c>
      <c r="H2934" s="2" t="inlineStr">
        <is>
          <t>Japanese Shiny Star V</t>
        </is>
      </c>
      <c r="I2934" s="3" t="n">
        <v>10.31</v>
      </c>
      <c r="J2934" s="3" t="n"/>
      <c r="K2934" s="3" t="n"/>
      <c r="L2934" s="3" t="n"/>
      <c r="M2934" s="2" t="inlineStr">
        <is>
          <t>PriceCharting</t>
        </is>
      </c>
      <c r="N2934" s="4" t="inlineStr">
        <is>
          <t>https://www.pricecharting.com/game/pokemon-japanese-shiny-star-v/booster-pack</t>
        </is>
      </c>
    </row>
    <row r="2935">
      <c r="A2935" s="2" t="inlineStr">
        <is>
          <t>Japanese Shiny Treasure Ex Booster Pack</t>
        </is>
      </c>
      <c r="B2935" s="3">
        <f>IF(I2935&lt;&gt;"",I2935,IF(J2935&lt;&gt;"",J2935,IF(K2935&lt;&gt;"",K2935,L2935)))</f>
        <v>16.0</v>
      </c>
      <c r="C2935" s="3">
        <f>MEDIAN(I2935:L2935)</f>
        <v>16.0</v>
      </c>
      <c r="D2935" s="3">
        <f>ROUND(C2935*(1-Settings!$B$2),2)</f>
        <v>11.2</v>
      </c>
      <c r="E2935" s="3">
        <f>ROUND(C2935*(1-Settings!$B$3),2)</f>
        <v>11.2</v>
      </c>
      <c r="F2935" s="2" t="inlineStr">
        <is>
          <t>Pokemon</t>
        </is>
      </c>
      <c r="G2935" s="2" t="inlineStr">
        <is>
          <t>Pack</t>
        </is>
      </c>
      <c r="H2935" s="2" t="inlineStr">
        <is>
          <t>Japanese Shiny Treasure Ex</t>
        </is>
      </c>
      <c r="I2935" s="3" t="n">
        <v>16</v>
      </c>
      <c r="J2935" s="3" t="n"/>
      <c r="K2935" s="3" t="n"/>
      <c r="L2935" s="3" t="n"/>
      <c r="M2935" s="2" t="inlineStr">
        <is>
          <t>PriceCharting</t>
        </is>
      </c>
      <c r="N2935" s="4" t="inlineStr">
        <is>
          <t>https://www.pricecharting.com/game/pokemon-japanese-shiny-treasure-ex/booster-pack</t>
        </is>
      </c>
    </row>
    <row r="2936">
      <c r="A2936" s="2" t="inlineStr">
        <is>
          <t>Japanese Snow Hazard Booster Pack</t>
        </is>
      </c>
      <c r="B2936" s="3">
        <f>IF(I2936&lt;&gt;"",I2936,IF(J2936&lt;&gt;"",J2936,IF(K2936&lt;&gt;"",K2936,L2936)))</f>
        <v>4.12</v>
      </c>
      <c r="C2936" s="3">
        <f>MEDIAN(I2936:L2936)</f>
        <v>4.12</v>
      </c>
      <c r="D2936" s="3">
        <f>ROUND(C2936*(1-Settings!$B$2),2)</f>
        <v>2.88</v>
      </c>
      <c r="E2936" s="3">
        <f>ROUND(C2936*(1-Settings!$B$3),2)</f>
        <v>2.88</v>
      </c>
      <c r="F2936" s="2" t="inlineStr">
        <is>
          <t>Pokemon</t>
        </is>
      </c>
      <c r="G2936" s="2" t="inlineStr">
        <is>
          <t>Pack</t>
        </is>
      </c>
      <c r="H2936" s="2" t="inlineStr">
        <is>
          <t>Japanese Snow Hazard</t>
        </is>
      </c>
      <c r="I2936" s="3" t="n">
        <v>4.12</v>
      </c>
      <c r="J2936" s="3" t="n"/>
      <c r="K2936" s="3" t="n"/>
      <c r="L2936" s="3" t="n"/>
      <c r="M2936" s="2" t="inlineStr">
        <is>
          <t>PriceCharting</t>
        </is>
      </c>
      <c r="N2936" s="4" t="inlineStr">
        <is>
          <t>https://www.pricecharting.com/game/pokemon-japanese-snow-hazard/booster-pack</t>
        </is>
      </c>
    </row>
    <row r="2937">
      <c r="A2937" s="2" t="inlineStr">
        <is>
          <t>Japanese Split Earth Booster Pack</t>
        </is>
      </c>
      <c r="B2937" s="3">
        <f>IF(I2937&lt;&gt;"",I2937,IF(J2937&lt;&gt;"",J2937,IF(K2937&lt;&gt;"",K2937,L2937)))</f>
        <v>2025.0</v>
      </c>
      <c r="C2937" s="3">
        <f>MEDIAN(I2937:L2937)</f>
        <v>2025.0</v>
      </c>
      <c r="D2937" s="3">
        <f>ROUND(C2937*(1-Settings!$B$2),2)</f>
        <v>1417.5</v>
      </c>
      <c r="E2937" s="3">
        <f>ROUND(C2937*(1-Settings!$B$3),2)</f>
        <v>1417.5</v>
      </c>
      <c r="F2937" s="2" t="inlineStr">
        <is>
          <t>Pokemon</t>
        </is>
      </c>
      <c r="G2937" s="2" t="inlineStr">
        <is>
          <t>Pack</t>
        </is>
      </c>
      <c r="H2937" s="2" t="inlineStr">
        <is>
          <t>Japanese Split Earth</t>
        </is>
      </c>
      <c r="I2937" s="3" t="n">
        <v>2025</v>
      </c>
      <c r="J2937" s="3" t="n"/>
      <c r="K2937" s="3" t="n"/>
      <c r="L2937" s="3" t="n"/>
      <c r="M2937" s="2" t="inlineStr">
        <is>
          <t>PriceCharting</t>
        </is>
      </c>
      <c r="N2937" s="4" t="inlineStr">
        <is>
          <t>https://www.pricecharting.com/game/pokemon-japanese-split-earth/booster-pack</t>
        </is>
      </c>
    </row>
    <row r="2938">
      <c r="A2938" s="2" t="inlineStr">
        <is>
          <t>Japanese Split Earth Booster Pack [1st Edition]</t>
        </is>
      </c>
      <c r="B2938" s="3">
        <f>IF(I2938&lt;&gt;"",I2938,IF(J2938&lt;&gt;"",J2938,IF(K2938&lt;&gt;"",K2938,L2938)))</f>
        <v>1923.57</v>
      </c>
      <c r="C2938" s="3">
        <f>MEDIAN(I2938:L2938)</f>
        <v>1923.57</v>
      </c>
      <c r="D2938" s="3">
        <f>ROUND(C2938*(1-Settings!$B$2),2)</f>
        <v>1346.5</v>
      </c>
      <c r="E2938" s="3">
        <f>ROUND(C2938*(1-Settings!$B$3),2)</f>
        <v>1346.5</v>
      </c>
      <c r="F2938" s="2" t="inlineStr">
        <is>
          <t>Pokemon</t>
        </is>
      </c>
      <c r="G2938" s="2" t="inlineStr">
        <is>
          <t>Pack</t>
        </is>
      </c>
      <c r="H2938" s="2" t="inlineStr">
        <is>
          <t>Japanese Split Earth</t>
        </is>
      </c>
      <c r="I2938" s="3" t="n">
        <v>1923.57</v>
      </c>
      <c r="J2938" s="3" t="n"/>
      <c r="K2938" s="3" t="n"/>
      <c r="L2938" s="3" t="n"/>
      <c r="M2938" s="2" t="inlineStr">
        <is>
          <t>PriceCharting</t>
        </is>
      </c>
      <c r="N2938" s="4" t="inlineStr">
        <is>
          <t>https://www.pricecharting.com/game/pokemon-japanese-split-earth/booster-pack-1st-edition</t>
        </is>
      </c>
    </row>
    <row r="2939">
      <c r="A2939" s="2" t="inlineStr">
        <is>
          <t>Japanese Star Birth Booster Pack</t>
        </is>
      </c>
      <c r="B2939" s="3">
        <f>IF(I2939&lt;&gt;"",I2939,IF(J2939&lt;&gt;"",J2939,IF(K2939&lt;&gt;"",K2939,L2939)))</f>
        <v>4.63</v>
      </c>
      <c r="C2939" s="3">
        <f>MEDIAN(I2939:L2939)</f>
        <v>4.63</v>
      </c>
      <c r="D2939" s="3">
        <f>ROUND(C2939*(1-Settings!$B$2),2)</f>
        <v>3.24</v>
      </c>
      <c r="E2939" s="3">
        <f>ROUND(C2939*(1-Settings!$B$3),2)</f>
        <v>3.24</v>
      </c>
      <c r="F2939" s="2" t="inlineStr">
        <is>
          <t>Pokemon</t>
        </is>
      </c>
      <c r="G2939" s="2" t="inlineStr">
        <is>
          <t>Pack</t>
        </is>
      </c>
      <c r="H2939" s="2" t="inlineStr">
        <is>
          <t>Japanese Star Birth</t>
        </is>
      </c>
      <c r="I2939" s="3" t="n">
        <v>4.63</v>
      </c>
      <c r="J2939" s="3" t="n"/>
      <c r="K2939" s="3" t="n"/>
      <c r="L2939" s="3" t="n"/>
      <c r="M2939" s="2" t="inlineStr">
        <is>
          <t>PriceCharting</t>
        </is>
      </c>
      <c r="N2939" s="4" t="inlineStr">
        <is>
          <t>https://www.pricecharting.com/game/pokemon-japanese-star-birth/booster-pack</t>
        </is>
      </c>
    </row>
    <row r="2940">
      <c r="A2940" s="2" t="inlineStr">
        <is>
          <t>Japanese Stellar Miracle Booster Pack</t>
        </is>
      </c>
      <c r="B2940" s="3">
        <f>IF(I2940&lt;&gt;"",I2940,IF(J2940&lt;&gt;"",J2940,IF(K2940&lt;&gt;"",K2940,L2940)))</f>
        <v>3.84</v>
      </c>
      <c r="C2940" s="3">
        <f>MEDIAN(I2940:L2940)</f>
        <v>3.84</v>
      </c>
      <c r="D2940" s="3">
        <f>ROUND(C2940*(1-Settings!$B$2),2)</f>
        <v>2.69</v>
      </c>
      <c r="E2940" s="3">
        <f>ROUND(C2940*(1-Settings!$B$3),2)</f>
        <v>2.69</v>
      </c>
      <c r="F2940" s="2" t="inlineStr">
        <is>
          <t>Pokemon</t>
        </is>
      </c>
      <c r="G2940" s="2" t="inlineStr">
        <is>
          <t>Pack</t>
        </is>
      </c>
      <c r="H2940" s="2" t="inlineStr">
        <is>
          <t>Japanese Stellar Miracle</t>
        </is>
      </c>
      <c r="I2940" s="3" t="n">
        <v>3.84</v>
      </c>
      <c r="J2940" s="3" t="n"/>
      <c r="K2940" s="3" t="n"/>
      <c r="L2940" s="3" t="n"/>
      <c r="M2940" s="2" t="inlineStr">
        <is>
          <t>PriceCharting</t>
        </is>
      </c>
      <c r="N2940" s="4" t="inlineStr">
        <is>
          <t>https://www.pricecharting.com/game/pokemon-japanese-stellar-miracle/booster-pack</t>
        </is>
      </c>
    </row>
    <row r="2941">
      <c r="A2941" s="2" t="inlineStr">
        <is>
          <t>Japanese Storm Emeralda Booster Pack</t>
        </is>
      </c>
      <c r="B2941" s="3">
        <f>IF(I2941&lt;&gt;"",I2941,IF(J2941&lt;&gt;"",J2941,IF(K2941&lt;&gt;"",K2941,L2941)))</f>
        <v>4.25</v>
      </c>
      <c r="C2941" s="3">
        <f>MEDIAN(I2941:L2941)</f>
        <v>4.25</v>
      </c>
      <c r="D2941" s="3">
        <f>ROUND(C2941*(1-Settings!$B$2),2)</f>
        <v>2.98</v>
      </c>
      <c r="E2941" s="3">
        <f>ROUND(C2941*(1-Settings!$B$3),2)</f>
        <v>2.98</v>
      </c>
      <c r="F2941" s="2" t="inlineStr">
        <is>
          <t>Pokemon</t>
        </is>
      </c>
      <c r="G2941" s="2" t="inlineStr">
        <is>
          <t>Pack</t>
        </is>
      </c>
      <c r="H2941" s="2" t="inlineStr">
        <is>
          <t>Japanese Storm Emeralda</t>
        </is>
      </c>
      <c r="I2941" s="3" t="n">
        <v>4.25</v>
      </c>
      <c r="J2941" s="3" t="n"/>
      <c r="K2941" s="3" t="n"/>
      <c r="L2941" s="3" t="n"/>
      <c r="M2941" s="2" t="inlineStr">
        <is>
          <t>PriceCharting</t>
        </is>
      </c>
      <c r="N2941" s="4" t="inlineStr">
        <is>
          <t>https://www.pricecharting.com/game/pokemon-japanese-storm-emeralda/booster-pack</t>
        </is>
      </c>
    </row>
    <row r="2942">
      <c r="A2942" s="2" t="inlineStr">
        <is>
          <t>Japanese Super Electric Breaker Booster Pack</t>
        </is>
      </c>
      <c r="B2942" s="3">
        <f>IF(I2942&lt;&gt;"",I2942,IF(J2942&lt;&gt;"",J2942,IF(K2942&lt;&gt;"",K2942,L2942)))</f>
        <v>5.63</v>
      </c>
      <c r="C2942" s="3">
        <f>MEDIAN(I2942:L2942)</f>
        <v>5.63</v>
      </c>
      <c r="D2942" s="3">
        <f>ROUND(C2942*(1-Settings!$B$2),2)</f>
        <v>3.94</v>
      </c>
      <c r="E2942" s="3">
        <f>ROUND(C2942*(1-Settings!$B$3),2)</f>
        <v>3.94</v>
      </c>
      <c r="F2942" s="2" t="inlineStr">
        <is>
          <t>Pokemon</t>
        </is>
      </c>
      <c r="G2942" s="2" t="inlineStr">
        <is>
          <t>Pack</t>
        </is>
      </c>
      <c r="H2942" s="2" t="inlineStr">
        <is>
          <t>Japanese Super Electric Breaker</t>
        </is>
      </c>
      <c r="I2942" s="3" t="n">
        <v>5.63</v>
      </c>
      <c r="J2942" s="3" t="n"/>
      <c r="K2942" s="3" t="n"/>
      <c r="L2942" s="3" t="n"/>
      <c r="M2942" s="2" t="inlineStr">
        <is>
          <t>PriceCharting</t>
        </is>
      </c>
      <c r="N2942" s="4" t="inlineStr">
        <is>
          <t>https://www.pricecharting.com/game/pokemon-japanese-super-electric-breaker/booster-pack</t>
        </is>
      </c>
    </row>
    <row r="2943">
      <c r="A2943" s="2" t="inlineStr">
        <is>
          <t>Japanese Tag All Stars Booster Pack</t>
        </is>
      </c>
      <c r="B2943" s="3">
        <f>IF(I2943&lt;&gt;"",I2943,IF(J2943&lt;&gt;"",J2943,IF(K2943&lt;&gt;"",K2943,L2943)))</f>
        <v>65.74</v>
      </c>
      <c r="C2943" s="3">
        <f>MEDIAN(I2943:L2943)</f>
        <v>65.74</v>
      </c>
      <c r="D2943" s="3">
        <f>ROUND(C2943*(1-Settings!$B$2),2)</f>
        <v>46.02</v>
      </c>
      <c r="E2943" s="3">
        <f>ROUND(C2943*(1-Settings!$B$3),2)</f>
        <v>46.02</v>
      </c>
      <c r="F2943" s="2" t="inlineStr">
        <is>
          <t>Pokemon</t>
        </is>
      </c>
      <c r="G2943" s="2" t="inlineStr">
        <is>
          <t>Pack</t>
        </is>
      </c>
      <c r="H2943" s="2" t="inlineStr">
        <is>
          <t>Japanese Tag All Stars</t>
        </is>
      </c>
      <c r="I2943" s="3" t="n">
        <v>65.73999999999999</v>
      </c>
      <c r="J2943" s="3" t="n"/>
      <c r="K2943" s="3" t="n"/>
      <c r="L2943" s="3" t="n"/>
      <c r="M2943" s="2" t="inlineStr">
        <is>
          <t>PriceCharting</t>
        </is>
      </c>
      <c r="N2943" s="4" t="inlineStr">
        <is>
          <t>https://www.pricecharting.com/game/pokemon-japanese-tag-all-stars/booster-pack</t>
        </is>
      </c>
    </row>
    <row r="2944">
      <c r="A2944" s="2" t="inlineStr">
        <is>
          <t>Japanese Tag Bolt Booster Pack</t>
        </is>
      </c>
      <c r="B2944" s="3">
        <f>IF(I2944&lt;&gt;"",I2944,IF(J2944&lt;&gt;"",J2944,IF(K2944&lt;&gt;"",K2944,L2944)))</f>
        <v>129.24</v>
      </c>
      <c r="C2944" s="3">
        <f>MEDIAN(I2944:L2944)</f>
        <v>129.24</v>
      </c>
      <c r="D2944" s="3">
        <f>ROUND(C2944*(1-Settings!$B$2),2)</f>
        <v>90.47</v>
      </c>
      <c r="E2944" s="3">
        <f>ROUND(C2944*(1-Settings!$B$3),2)</f>
        <v>90.47</v>
      </c>
      <c r="F2944" s="2" t="inlineStr">
        <is>
          <t>Pokemon</t>
        </is>
      </c>
      <c r="G2944" s="2" t="inlineStr">
        <is>
          <t>Pack</t>
        </is>
      </c>
      <c r="H2944" s="2" t="inlineStr">
        <is>
          <t>Japanese Tag Bolt</t>
        </is>
      </c>
      <c r="I2944" s="3" t="n">
        <v>129.24</v>
      </c>
      <c r="J2944" s="3" t="n"/>
      <c r="K2944" s="3" t="n"/>
      <c r="L2944" s="3" t="n"/>
      <c r="M2944" s="2" t="inlineStr">
        <is>
          <t>PriceCharting</t>
        </is>
      </c>
      <c r="N2944" s="4" t="inlineStr">
        <is>
          <t>https://www.pricecharting.com/game/pokemon-japanese-tag-bolt/booster-pack</t>
        </is>
      </c>
    </row>
    <row r="2945">
      <c r="A2945" s="2" t="inlineStr">
        <is>
          <t>Japanese Terastal Festival Booster Pack</t>
        </is>
      </c>
      <c r="B2945" s="3">
        <f>IF(I2945&lt;&gt;"",I2945,IF(J2945&lt;&gt;"",J2945,IF(K2945&lt;&gt;"",K2945,L2945)))</f>
        <v>9.93</v>
      </c>
      <c r="C2945" s="3">
        <f>MEDIAN(I2945:L2945)</f>
        <v>9.93</v>
      </c>
      <c r="D2945" s="3">
        <f>ROUND(C2945*(1-Settings!$B$2),2)</f>
        <v>6.95</v>
      </c>
      <c r="E2945" s="3">
        <f>ROUND(C2945*(1-Settings!$B$3),2)</f>
        <v>6.95</v>
      </c>
      <c r="F2945" s="2" t="inlineStr">
        <is>
          <t>Pokemon</t>
        </is>
      </c>
      <c r="G2945" s="2" t="inlineStr">
        <is>
          <t>Pack</t>
        </is>
      </c>
      <c r="H2945" s="2" t="inlineStr">
        <is>
          <t>Japanese Terastal Festival</t>
        </is>
      </c>
      <c r="I2945" s="3" t="n">
        <v>9.93</v>
      </c>
      <c r="J2945" s="3" t="n"/>
      <c r="K2945" s="3" t="n"/>
      <c r="L2945" s="3" t="n"/>
      <c r="M2945" s="2" t="inlineStr">
        <is>
          <t>PriceCharting</t>
        </is>
      </c>
      <c r="N2945" s="4" t="inlineStr">
        <is>
          <t>https://www.pricecharting.com/game/pokemon-japanese-terastal-festival/booster-pack</t>
        </is>
      </c>
    </row>
    <row r="2946">
      <c r="A2946" s="2" t="inlineStr">
        <is>
          <t>Japanese The Town On No Map Booster Pack</t>
        </is>
      </c>
      <c r="B2946" s="3">
        <f>IF(I2946&lt;&gt;"",I2946,IF(J2946&lt;&gt;"",J2946,IF(K2946&lt;&gt;"",K2946,L2946)))</f>
        <v>1587.06</v>
      </c>
      <c r="C2946" s="3">
        <f>MEDIAN(I2946:L2946)</f>
        <v>1587.06</v>
      </c>
      <c r="D2946" s="3">
        <f>ROUND(C2946*(1-Settings!$B$2),2)</f>
        <v>1110.94</v>
      </c>
      <c r="E2946" s="3">
        <f>ROUND(C2946*(1-Settings!$B$3),2)</f>
        <v>1110.94</v>
      </c>
      <c r="F2946" s="2" t="inlineStr">
        <is>
          <t>Pokemon</t>
        </is>
      </c>
      <c r="G2946" s="2" t="inlineStr">
        <is>
          <t>Pack</t>
        </is>
      </c>
      <c r="H2946" s="2" t="inlineStr">
        <is>
          <t>Japanese The Town On No Map</t>
        </is>
      </c>
      <c r="I2946" s="3" t="n">
        <v>1587.06</v>
      </c>
      <c r="J2946" s="3" t="n"/>
      <c r="K2946" s="3" t="n"/>
      <c r="L2946" s="3" t="n"/>
      <c r="M2946" s="2" t="inlineStr">
        <is>
          <t>PriceCharting</t>
        </is>
      </c>
      <c r="N2946" s="4" t="inlineStr">
        <is>
          <t>https://www.pricecharting.com/game/pokemon-japanese-the-town-on-no-map/booster-pack</t>
        </is>
      </c>
    </row>
    <row r="2947">
      <c r="A2947" s="2" t="inlineStr">
        <is>
          <t>Japanese Topsun Booster Pack</t>
        </is>
      </c>
      <c r="B2947" s="3">
        <f>IF(I2947&lt;&gt;"",I2947,IF(J2947&lt;&gt;"",J2947,IF(K2947&lt;&gt;"",K2947,L2947)))</f>
        <v>771.01</v>
      </c>
      <c r="C2947" s="3">
        <f>MEDIAN(I2947:L2947)</f>
        <v>771.01</v>
      </c>
      <c r="D2947" s="3">
        <f>ROUND(C2947*(1-Settings!$B$2),2)</f>
        <v>539.71</v>
      </c>
      <c r="E2947" s="3">
        <f>ROUND(C2947*(1-Settings!$B$3),2)</f>
        <v>539.71</v>
      </c>
      <c r="F2947" s="2" t="inlineStr">
        <is>
          <t>Pokemon</t>
        </is>
      </c>
      <c r="G2947" s="2" t="inlineStr">
        <is>
          <t>Pack</t>
        </is>
      </c>
      <c r="H2947" s="2" t="inlineStr">
        <is>
          <t>Japanese Topsun</t>
        </is>
      </c>
      <c r="I2947" s="3" t="n">
        <v>771.01</v>
      </c>
      <c r="J2947" s="3" t="n"/>
      <c r="K2947" s="3" t="n"/>
      <c r="L2947" s="3" t="n"/>
      <c r="M2947" s="2" t="inlineStr">
        <is>
          <t>PriceCharting</t>
        </is>
      </c>
      <c r="N2947" s="4" t="inlineStr">
        <is>
          <t>https://www.pricecharting.com/game/pokemon-japanese-topsun/booster-pack</t>
        </is>
      </c>
    </row>
    <row r="2948">
      <c r="A2948" s="2" t="inlineStr">
        <is>
          <t>Japanese Triplet Beat Booster Pack</t>
        </is>
      </c>
      <c r="B2948" s="3">
        <f>IF(I2948&lt;&gt;"",I2948,IF(J2948&lt;&gt;"",J2948,IF(K2948&lt;&gt;"",K2948,L2948)))</f>
        <v>7.0</v>
      </c>
      <c r="C2948" s="3">
        <f>MEDIAN(I2948:L2948)</f>
        <v>7.0</v>
      </c>
      <c r="D2948" s="3">
        <f>ROUND(C2948*(1-Settings!$B$2),2)</f>
        <v>4.9</v>
      </c>
      <c r="E2948" s="3">
        <f>ROUND(C2948*(1-Settings!$B$3),2)</f>
        <v>4.9</v>
      </c>
      <c r="F2948" s="2" t="inlineStr">
        <is>
          <t>Pokemon</t>
        </is>
      </c>
      <c r="G2948" s="2" t="inlineStr">
        <is>
          <t>Pack</t>
        </is>
      </c>
      <c r="H2948" s="2" t="inlineStr">
        <is>
          <t>Japanese Triplet Beat</t>
        </is>
      </c>
      <c r="I2948" s="3" t="n">
        <v>7</v>
      </c>
      <c r="J2948" s="3" t="n"/>
      <c r="K2948" s="3" t="n"/>
      <c r="L2948" s="3" t="n"/>
      <c r="M2948" s="2" t="inlineStr">
        <is>
          <t>PriceCharting</t>
        </is>
      </c>
      <c r="N2948" s="4" t="inlineStr">
        <is>
          <t>https://www.pricecharting.com/game/pokemon-japanese-triplet-beat/booster-pack</t>
        </is>
      </c>
    </row>
    <row r="2949">
      <c r="A2949" s="2" t="inlineStr">
        <is>
          <t>Japanese Violet Ex Booster Pack</t>
        </is>
      </c>
      <c r="B2949" s="3">
        <f>IF(I2949&lt;&gt;"",I2949,IF(J2949&lt;&gt;"",J2949,IF(K2949&lt;&gt;"",K2949,L2949)))</f>
        <v>2.61</v>
      </c>
      <c r="C2949" s="3">
        <f>MEDIAN(I2949:L2949)</f>
        <v>2.61</v>
      </c>
      <c r="D2949" s="3">
        <f>ROUND(C2949*(1-Settings!$B$2),2)</f>
        <v>1.83</v>
      </c>
      <c r="E2949" s="3">
        <f>ROUND(C2949*(1-Settings!$B$3),2)</f>
        <v>1.83</v>
      </c>
      <c r="F2949" s="2" t="inlineStr">
        <is>
          <t>Pokemon</t>
        </is>
      </c>
      <c r="G2949" s="2" t="inlineStr">
        <is>
          <t>Pack</t>
        </is>
      </c>
      <c r="H2949" s="2" t="inlineStr">
        <is>
          <t>Japanese Violet Ex</t>
        </is>
      </c>
      <c r="I2949" s="3" t="n">
        <v>2.61</v>
      </c>
      <c r="J2949" s="3" t="n"/>
      <c r="K2949" s="3" t="n"/>
      <c r="L2949" s="3" t="n"/>
      <c r="M2949" s="2" t="inlineStr">
        <is>
          <t>PriceCharting</t>
        </is>
      </c>
      <c r="N2949" s="4" t="inlineStr">
        <is>
          <t>https://www.pricecharting.com/game/pokemon-japanese-violet-ex/booster-pack</t>
        </is>
      </c>
    </row>
    <row r="2950">
      <c r="A2950" s="2" t="inlineStr">
        <is>
          <t>Japanese Vmax Climax Booster Pack</t>
        </is>
      </c>
      <c r="B2950" s="3">
        <f>IF(I2950&lt;&gt;"",I2950,IF(J2950&lt;&gt;"",J2950,IF(K2950&lt;&gt;"",K2950,L2950)))</f>
        <v>9.09</v>
      </c>
      <c r="C2950" s="3">
        <f>MEDIAN(I2950:L2950)</f>
        <v>9.09</v>
      </c>
      <c r="D2950" s="3">
        <f>ROUND(C2950*(1-Settings!$B$2),2)</f>
        <v>6.36</v>
      </c>
      <c r="E2950" s="3">
        <f>ROUND(C2950*(1-Settings!$B$3),2)</f>
        <v>6.36</v>
      </c>
      <c r="F2950" s="2" t="inlineStr">
        <is>
          <t>Pokemon</t>
        </is>
      </c>
      <c r="G2950" s="2" t="inlineStr">
        <is>
          <t>Pack</t>
        </is>
      </c>
      <c r="H2950" s="2" t="inlineStr">
        <is>
          <t>Japanese Vmax Climax</t>
        </is>
      </c>
      <c r="I2950" s="3" t="n">
        <v>9.09</v>
      </c>
      <c r="J2950" s="3" t="n"/>
      <c r="K2950" s="3" t="n"/>
      <c r="L2950" s="3" t="n"/>
      <c r="M2950" s="2" t="inlineStr">
        <is>
          <t>PriceCharting</t>
        </is>
      </c>
      <c r="N2950" s="4" t="inlineStr">
        <is>
          <t>https://www.pricecharting.com/game/pokemon-japanese-vmax-climax/booster-pack</t>
        </is>
      </c>
    </row>
    <row r="2951">
      <c r="A2951" s="2" t="inlineStr">
        <is>
          <t>Japanese Vs Booster Pack [Fighting/Psychic]</t>
        </is>
      </c>
      <c r="B2951" s="3">
        <f>IF(I2951&lt;&gt;"",I2951,IF(J2951&lt;&gt;"",J2951,IF(K2951&lt;&gt;"",K2951,L2951)))</f>
        <v>2827.0</v>
      </c>
      <c r="C2951" s="3">
        <f>MEDIAN(I2951:L2951)</f>
        <v>2827.0</v>
      </c>
      <c r="D2951" s="3">
        <f>ROUND(C2951*(1-Settings!$B$2),2)</f>
        <v>1978.9</v>
      </c>
      <c r="E2951" s="3">
        <f>ROUND(C2951*(1-Settings!$B$3),2)</f>
        <v>1978.9</v>
      </c>
      <c r="F2951" s="2" t="inlineStr">
        <is>
          <t>Pokemon</t>
        </is>
      </c>
      <c r="G2951" s="2" t="inlineStr">
        <is>
          <t>Pack</t>
        </is>
      </c>
      <c r="H2951" s="2" t="inlineStr">
        <is>
          <t>Japanese Vs</t>
        </is>
      </c>
      <c r="I2951" s="3" t="n">
        <v>2827</v>
      </c>
      <c r="J2951" s="3" t="n"/>
      <c r="K2951" s="3" t="n"/>
      <c r="L2951" s="3" t="n"/>
      <c r="M2951" s="2" t="inlineStr">
        <is>
          <t>PriceCharting</t>
        </is>
      </c>
      <c r="N2951" s="4" t="inlineStr">
        <is>
          <t>https://www.pricecharting.com/game/pokemon-japanese-vs/booster-pack-fightingpsychic</t>
        </is>
      </c>
    </row>
    <row r="2952">
      <c r="A2952" s="2" t="inlineStr">
        <is>
          <t>Japanese Vs Booster Pack [Grass/Lightning]</t>
        </is>
      </c>
      <c r="B2952" s="3">
        <f>IF(I2952&lt;&gt;"",I2952,IF(J2952&lt;&gt;"",J2952,IF(K2952&lt;&gt;"",K2952,L2952)))</f>
        <v>1874.46</v>
      </c>
      <c r="C2952" s="3">
        <f>MEDIAN(I2952:L2952)</f>
        <v>1874.46</v>
      </c>
      <c r="D2952" s="3">
        <f>ROUND(C2952*(1-Settings!$B$2),2)</f>
        <v>1312.12</v>
      </c>
      <c r="E2952" s="3">
        <f>ROUND(C2952*(1-Settings!$B$3),2)</f>
        <v>1312.12</v>
      </c>
      <c r="F2952" s="2" t="inlineStr">
        <is>
          <t>Pokemon</t>
        </is>
      </c>
      <c r="G2952" s="2" t="inlineStr">
        <is>
          <t>Pack</t>
        </is>
      </c>
      <c r="H2952" s="2" t="inlineStr">
        <is>
          <t>Japanese Vs</t>
        </is>
      </c>
      <c r="I2952" s="3" t="n">
        <v>1874.46</v>
      </c>
      <c r="J2952" s="3" t="n"/>
      <c r="K2952" s="3" t="n"/>
      <c r="L2952" s="3" t="n"/>
      <c r="M2952" s="2" t="inlineStr">
        <is>
          <t>PriceCharting</t>
        </is>
      </c>
      <c r="N2952" s="4" t="inlineStr">
        <is>
          <t>https://www.pricecharting.com/game/pokemon-japanese-vs/booster-pack-grasslightning</t>
        </is>
      </c>
    </row>
    <row r="2953">
      <c r="A2953" s="2" t="inlineStr">
        <is>
          <t>Japanese Vs Booster Pack [Water/Fire]</t>
        </is>
      </c>
      <c r="B2953" s="3">
        <f>IF(I2953&lt;&gt;"",I2953,IF(J2953&lt;&gt;"",J2953,IF(K2953&lt;&gt;"",K2953,L2953)))</f>
        <v>4800.0</v>
      </c>
      <c r="C2953" s="3">
        <f>MEDIAN(I2953:L2953)</f>
        <v>4800.0</v>
      </c>
      <c r="D2953" s="3">
        <f>ROUND(C2953*(1-Settings!$B$2),2)</f>
        <v>3360.0</v>
      </c>
      <c r="E2953" s="3">
        <f>ROUND(C2953*(1-Settings!$B$3),2)</f>
        <v>3360.0</v>
      </c>
      <c r="F2953" s="2" t="inlineStr">
        <is>
          <t>Pokemon</t>
        </is>
      </c>
      <c r="G2953" s="2" t="inlineStr">
        <is>
          <t>Pack</t>
        </is>
      </c>
      <c r="H2953" s="2" t="inlineStr">
        <is>
          <t>Japanese Vs</t>
        </is>
      </c>
      <c r="I2953" s="3" t="n">
        <v>4800</v>
      </c>
      <c r="J2953" s="3" t="n"/>
      <c r="K2953" s="3" t="n"/>
      <c r="L2953" s="3" t="n"/>
      <c r="M2953" s="2" t="inlineStr">
        <is>
          <t>PriceCharting</t>
        </is>
      </c>
      <c r="N2953" s="4" t="inlineStr">
        <is>
          <t>https://www.pricecharting.com/game/pokemon-japanese-vs/booster-pack-waterfire</t>
        </is>
      </c>
    </row>
    <row r="2954">
      <c r="A2954" s="2" t="inlineStr">
        <is>
          <t>Japanese Vstar Universe Booster Pack</t>
        </is>
      </c>
      <c r="B2954" s="3">
        <f>IF(I2954&lt;&gt;"",I2954,IF(J2954&lt;&gt;"",J2954,IF(K2954&lt;&gt;"",K2954,L2954)))</f>
        <v>19.74</v>
      </c>
      <c r="C2954" s="3">
        <f>MEDIAN(I2954:L2954)</f>
        <v>19.74</v>
      </c>
      <c r="D2954" s="3">
        <f>ROUND(C2954*(1-Settings!$B$2),2)</f>
        <v>13.82</v>
      </c>
      <c r="E2954" s="3">
        <f>ROUND(C2954*(1-Settings!$B$3),2)</f>
        <v>13.82</v>
      </c>
      <c r="F2954" s="2" t="inlineStr">
        <is>
          <t>Pokemon</t>
        </is>
      </c>
      <c r="G2954" s="2" t="inlineStr">
        <is>
          <t>Pack</t>
        </is>
      </c>
      <c r="H2954" s="2" t="inlineStr">
        <is>
          <t>Japanese Vstar Universe</t>
        </is>
      </c>
      <c r="I2954" s="3" t="n">
        <v>19.74</v>
      </c>
      <c r="J2954" s="3" t="n"/>
      <c r="K2954" s="3" t="n"/>
      <c r="L2954" s="3" t="n"/>
      <c r="M2954" s="2" t="inlineStr">
        <is>
          <t>PriceCharting</t>
        </is>
      </c>
      <c r="N2954" s="4" t="inlineStr">
        <is>
          <t>https://www.pricecharting.com/game/pokemon-japanese-vstar-universe/booster-pack</t>
        </is>
      </c>
    </row>
    <row r="2955">
      <c r="A2955" s="2" t="inlineStr">
        <is>
          <t>Japanese White Flare Booster Pack</t>
        </is>
      </c>
      <c r="B2955" s="3">
        <f>IF(I2955&lt;&gt;"",I2955,IF(J2955&lt;&gt;"",J2955,IF(K2955&lt;&gt;"",K2955,L2955)))</f>
        <v>5.35</v>
      </c>
      <c r="C2955" s="3">
        <f>MEDIAN(I2955:L2955)</f>
        <v>5.35</v>
      </c>
      <c r="D2955" s="3">
        <f>ROUND(C2955*(1-Settings!$B$2),2)</f>
        <v>3.75</v>
      </c>
      <c r="E2955" s="3">
        <f>ROUND(C2955*(1-Settings!$B$3),2)</f>
        <v>3.75</v>
      </c>
      <c r="F2955" s="2" t="inlineStr">
        <is>
          <t>Pokemon</t>
        </is>
      </c>
      <c r="G2955" s="2" t="inlineStr">
        <is>
          <t>Pack</t>
        </is>
      </c>
      <c r="H2955" s="2" t="inlineStr">
        <is>
          <t>Japanese White Flare</t>
        </is>
      </c>
      <c r="I2955" s="3" t="n">
        <v>5.35</v>
      </c>
      <c r="J2955" s="3" t="n"/>
      <c r="K2955" s="3" t="n"/>
      <c r="L2955" s="3" t="n"/>
      <c r="M2955" s="2" t="inlineStr">
        <is>
          <t>PriceCharting</t>
        </is>
      </c>
      <c r="N2955" s="4" t="inlineStr">
        <is>
          <t>https://www.pricecharting.com/game/pokemon-japanese-white-flare/booster-pack</t>
        </is>
      </c>
    </row>
    <row r="2956">
      <c r="A2956" s="2" t="inlineStr">
        <is>
          <t>Japanese White Flare Deluxe Booster Pack</t>
        </is>
      </c>
      <c r="B2956" s="3">
        <f>IF(I2956&lt;&gt;"",I2956,IF(J2956&lt;&gt;"",J2956,IF(K2956&lt;&gt;"",K2956,L2956)))</f>
        <v>150.02</v>
      </c>
      <c r="C2956" s="3">
        <f>MEDIAN(I2956:L2956)</f>
        <v>150.02</v>
      </c>
      <c r="D2956" s="3">
        <f>ROUND(C2956*(1-Settings!$B$2),2)</f>
        <v>105.01</v>
      </c>
      <c r="E2956" s="3">
        <f>ROUND(C2956*(1-Settings!$B$3),2)</f>
        <v>105.01</v>
      </c>
      <c r="F2956" s="2" t="inlineStr">
        <is>
          <t>Pokemon</t>
        </is>
      </c>
      <c r="G2956" s="2" t="inlineStr">
        <is>
          <t>Pack</t>
        </is>
      </c>
      <c r="H2956" s="2" t="inlineStr">
        <is>
          <t>Japanese White Flare</t>
        </is>
      </c>
      <c r="I2956" s="3" t="n">
        <v>150.02</v>
      </c>
      <c r="J2956" s="3" t="n"/>
      <c r="K2956" s="3" t="n"/>
      <c r="L2956" s="3" t="n"/>
      <c r="M2956" s="2" t="inlineStr">
        <is>
          <t>PriceCharting</t>
        </is>
      </c>
      <c r="N2956" s="4" t="inlineStr">
        <is>
          <t>https://www.pricecharting.com/game/pokemon-japanese-white-flare/deluxe-booster-pack</t>
        </is>
      </c>
    </row>
    <row r="2957">
      <c r="A2957" s="2" t="inlineStr">
        <is>
          <t>Japanese Wild Force Booster Pack</t>
        </is>
      </c>
      <c r="B2957" s="3">
        <f>IF(I2957&lt;&gt;"",I2957,IF(J2957&lt;&gt;"",J2957,IF(K2957&lt;&gt;"",K2957,L2957)))</f>
        <v>2.6</v>
      </c>
      <c r="C2957" s="3">
        <f>MEDIAN(I2957:L2957)</f>
        <v>2.6</v>
      </c>
      <c r="D2957" s="3">
        <f>ROUND(C2957*(1-Settings!$B$2),2)</f>
        <v>1.82</v>
      </c>
      <c r="E2957" s="3">
        <f>ROUND(C2957*(1-Settings!$B$3),2)</f>
        <v>1.82</v>
      </c>
      <c r="F2957" s="2" t="inlineStr">
        <is>
          <t>Pokemon</t>
        </is>
      </c>
      <c r="G2957" s="2" t="inlineStr">
        <is>
          <t>Pack</t>
        </is>
      </c>
      <c r="H2957" s="2" t="inlineStr">
        <is>
          <t>Japanese Wild Force</t>
        </is>
      </c>
      <c r="I2957" s="3" t="n">
        <v>2.6</v>
      </c>
      <c r="J2957" s="3" t="n"/>
      <c r="K2957" s="3" t="n"/>
      <c r="L2957" s="3" t="n"/>
      <c r="M2957" s="2" t="inlineStr">
        <is>
          <t>PriceCharting</t>
        </is>
      </c>
      <c r="N2957" s="4" t="inlineStr">
        <is>
          <t>https://www.pricecharting.com/game/pokemon-japanese-wild-force/booster-pack</t>
        </is>
      </c>
    </row>
    <row r="2958">
      <c r="A2958" s="2" t="inlineStr">
        <is>
          <t>Japanese Wind From The Sea Booster Pack</t>
        </is>
      </c>
      <c r="B2958" s="3">
        <f>IF(I2958&lt;&gt;"",I2958,IF(J2958&lt;&gt;"",J2958,IF(K2958&lt;&gt;"",K2958,L2958)))</f>
        <v>2231.75</v>
      </c>
      <c r="C2958" s="3">
        <f>MEDIAN(I2958:L2958)</f>
        <v>2231.75</v>
      </c>
      <c r="D2958" s="3">
        <f>ROUND(C2958*(1-Settings!$B$2),2)</f>
        <v>1562.23</v>
      </c>
      <c r="E2958" s="3">
        <f>ROUND(C2958*(1-Settings!$B$3),2)</f>
        <v>1562.23</v>
      </c>
      <c r="F2958" s="2" t="inlineStr">
        <is>
          <t>Pokemon</t>
        </is>
      </c>
      <c r="G2958" s="2" t="inlineStr">
        <is>
          <t>Pack</t>
        </is>
      </c>
      <c r="H2958" s="2" t="inlineStr">
        <is>
          <t>Japanese Wind From The Sea</t>
        </is>
      </c>
      <c r="I2958" s="3" t="n">
        <v>2231.75</v>
      </c>
      <c r="J2958" s="3" t="n"/>
      <c r="K2958" s="3" t="n"/>
      <c r="L2958" s="3" t="n"/>
      <c r="M2958" s="2" t="inlineStr">
        <is>
          <t>PriceCharting</t>
        </is>
      </c>
      <c r="N2958" s="4" t="inlineStr">
        <is>
          <t>https://www.pricecharting.com/game/pokemon-japanese-wind-from-the-sea/booster-pack</t>
        </is>
      </c>
    </row>
    <row r="2959">
      <c r="A2959" s="2" t="inlineStr">
        <is>
          <t>Journey Together Blister Pack: Archaludon</t>
        </is>
      </c>
      <c r="B2959" s="3">
        <f>IF(I2959&lt;&gt;"",I2959,IF(J2959&lt;&gt;"",J2959,IF(K2959&lt;&gt;"",K2959,L2959)))</f>
        <v>9.44</v>
      </c>
      <c r="C2959" s="3">
        <f>MEDIAN(I2959:L2959)</f>
        <v>9.44</v>
      </c>
      <c r="D2959" s="3">
        <f>ROUND(C2959*(1-Settings!$B$2),2)</f>
        <v>6.61</v>
      </c>
      <c r="E2959" s="3">
        <f>ROUND(C2959*(1-Settings!$B$3),2)</f>
        <v>6.61</v>
      </c>
      <c r="F2959" s="2" t="inlineStr">
        <is>
          <t>Pokemon</t>
        </is>
      </c>
      <c r="G2959" s="2" t="inlineStr">
        <is>
          <t>Pack</t>
        </is>
      </c>
      <c r="H2959" s="2" t="inlineStr">
        <is>
          <t>Journey Together</t>
        </is>
      </c>
      <c r="I2959" s="3" t="n">
        <v>9.44</v>
      </c>
      <c r="J2959" s="3" t="n"/>
      <c r="K2959" s="3" t="n"/>
      <c r="L2959" s="3" t="n"/>
      <c r="M2959" s="2" t="inlineStr">
        <is>
          <t>PriceCharting</t>
        </is>
      </c>
      <c r="N2959" s="4" t="inlineStr">
        <is>
          <t>https://www.pricecharting.com/game/pokemon-journey-together/blister-pack-archaludon</t>
        </is>
      </c>
    </row>
    <row r="2960">
      <c r="A2960" s="2" t="inlineStr">
        <is>
          <t>Journey Together Blister Pack: Melmetal</t>
        </is>
      </c>
      <c r="B2960" s="3">
        <f>IF(I2960&lt;&gt;"",I2960,IF(J2960&lt;&gt;"",J2960,IF(K2960&lt;&gt;"",K2960,L2960)))</f>
        <v>34.99</v>
      </c>
      <c r="C2960" s="3">
        <f>MEDIAN(I2960:L2960)</f>
        <v>34.99</v>
      </c>
      <c r="D2960" s="3">
        <f>ROUND(C2960*(1-Settings!$B$2),2)</f>
        <v>24.49</v>
      </c>
      <c r="E2960" s="3">
        <f>ROUND(C2960*(1-Settings!$B$3),2)</f>
        <v>24.49</v>
      </c>
      <c r="F2960" s="2" t="inlineStr">
        <is>
          <t>Pokemon</t>
        </is>
      </c>
      <c r="G2960" s="2" t="inlineStr">
        <is>
          <t>Pack</t>
        </is>
      </c>
      <c r="H2960" s="2" t="inlineStr">
        <is>
          <t>Journey Together</t>
        </is>
      </c>
      <c r="I2960" s="3" t="n">
        <v>34.99</v>
      </c>
      <c r="J2960" s="3" t="n"/>
      <c r="K2960" s="3" t="n"/>
      <c r="L2960" s="3" t="n"/>
      <c r="M2960" s="2" t="inlineStr">
        <is>
          <t>PriceCharting</t>
        </is>
      </c>
      <c r="N2960" s="4" t="inlineStr">
        <is>
          <t>https://www.pricecharting.com/game/pokemon-journey-together/blister-pack-melmetal</t>
        </is>
      </c>
    </row>
    <row r="2961">
      <c r="A2961" s="2" t="inlineStr">
        <is>
          <t>Journey Together Blister Pack: Scraggy</t>
        </is>
      </c>
      <c r="B2961" s="3">
        <f>IF(I2961&lt;&gt;"",I2961,IF(J2961&lt;&gt;"",J2961,IF(K2961&lt;&gt;"",K2961,L2961)))</f>
        <v>9.89</v>
      </c>
      <c r="C2961" s="3">
        <f>MEDIAN(I2961:L2961)</f>
        <v>9.89</v>
      </c>
      <c r="D2961" s="3">
        <f>ROUND(C2961*(1-Settings!$B$2),2)</f>
        <v>6.92</v>
      </c>
      <c r="E2961" s="3">
        <f>ROUND(C2961*(1-Settings!$B$3),2)</f>
        <v>6.92</v>
      </c>
      <c r="F2961" s="2" t="inlineStr">
        <is>
          <t>Pokemon</t>
        </is>
      </c>
      <c r="G2961" s="2" t="inlineStr">
        <is>
          <t>Pack</t>
        </is>
      </c>
      <c r="H2961" s="2" t="inlineStr">
        <is>
          <t>Journey Together</t>
        </is>
      </c>
      <c r="I2961" s="3" t="n">
        <v>9.890000000000001</v>
      </c>
      <c r="J2961" s="3" t="n"/>
      <c r="K2961" s="3" t="n"/>
      <c r="L2961" s="3" t="n"/>
      <c r="M2961" s="2" t="inlineStr">
        <is>
          <t>PriceCharting</t>
        </is>
      </c>
      <c r="N2961" s="4" t="inlineStr">
        <is>
          <t>https://www.pricecharting.com/game/pokemon-journey-together/blister-pack-scraggy</t>
        </is>
      </c>
    </row>
    <row r="2962">
      <c r="A2962" s="2" t="inlineStr">
        <is>
          <t>Journey Together Blister Pack: Yanma</t>
        </is>
      </c>
      <c r="B2962" s="3">
        <f>IF(I2962&lt;&gt;"",I2962,IF(J2962&lt;&gt;"",J2962,IF(K2962&lt;&gt;"",K2962,L2962)))</f>
        <v>11.67</v>
      </c>
      <c r="C2962" s="3">
        <f>MEDIAN(I2962:L2962)</f>
        <v>11.67</v>
      </c>
      <c r="D2962" s="3">
        <f>ROUND(C2962*(1-Settings!$B$2),2)</f>
        <v>8.17</v>
      </c>
      <c r="E2962" s="3">
        <f>ROUND(C2962*(1-Settings!$B$3),2)</f>
        <v>8.17</v>
      </c>
      <c r="F2962" s="2" t="inlineStr">
        <is>
          <t>Pokemon</t>
        </is>
      </c>
      <c r="G2962" s="2" t="inlineStr">
        <is>
          <t>Pack</t>
        </is>
      </c>
      <c r="H2962" s="2" t="inlineStr">
        <is>
          <t>Journey Together</t>
        </is>
      </c>
      <c r="I2962" s="3" t="n">
        <v>11.67</v>
      </c>
      <c r="J2962" s="3" t="n"/>
      <c r="K2962" s="3" t="n"/>
      <c r="L2962" s="3" t="n"/>
      <c r="M2962" s="2" t="inlineStr">
        <is>
          <t>PriceCharting</t>
        </is>
      </c>
      <c r="N2962" s="4" t="inlineStr">
        <is>
          <t>https://www.pricecharting.com/game/pokemon-journey-together/blister-pack-yanma</t>
        </is>
      </c>
    </row>
    <row r="2963">
      <c r="A2963" s="2" t="inlineStr">
        <is>
          <t>Journey Together Checklane Blister: Klinklang</t>
        </is>
      </c>
      <c r="B2963" s="3">
        <f>IF(I2963&lt;&gt;"",I2963,IF(J2963&lt;&gt;"",J2963,IF(K2963&lt;&gt;"",K2963,L2963)))</f>
        <v>22.47</v>
      </c>
      <c r="C2963" s="3">
        <f>MEDIAN(I2963:L2963)</f>
        <v>22.47</v>
      </c>
      <c r="D2963" s="3">
        <f>ROUND(C2963*(1-Settings!$B$2),2)</f>
        <v>15.73</v>
      </c>
      <c r="E2963" s="3">
        <f>ROUND(C2963*(1-Settings!$B$3),2)</f>
        <v>15.73</v>
      </c>
      <c r="F2963" s="2" t="inlineStr">
        <is>
          <t>Pokemon</t>
        </is>
      </c>
      <c r="G2963" s="2" t="inlineStr">
        <is>
          <t>Pack</t>
        </is>
      </c>
      <c r="H2963" s="2" t="inlineStr">
        <is>
          <t>Journey Together</t>
        </is>
      </c>
      <c r="I2963" s="3" t="n">
        <v>22.47</v>
      </c>
      <c r="J2963" s="3" t="n"/>
      <c r="K2963" s="3" t="n"/>
      <c r="L2963" s="3" t="n"/>
      <c r="M2963" s="2" t="inlineStr">
        <is>
          <t>PriceCharting</t>
        </is>
      </c>
      <c r="N2963" s="4" t="inlineStr">
        <is>
          <t>https://www.pricecharting.com/game/pokemon-journey-together/checklane-blister-klinklang</t>
        </is>
      </c>
    </row>
    <row r="2964">
      <c r="A2964" s="2" t="inlineStr">
        <is>
          <t>Journey Together Checklane Blister: Yanma</t>
        </is>
      </c>
      <c r="B2964" s="3">
        <f>IF(I2964&lt;&gt;"",I2964,IF(J2964&lt;&gt;"",J2964,IF(K2964&lt;&gt;"",K2964,L2964)))</f>
        <v>25.41</v>
      </c>
      <c r="C2964" s="3">
        <f>MEDIAN(I2964:L2964)</f>
        <v>25.41</v>
      </c>
      <c r="D2964" s="3">
        <f>ROUND(C2964*(1-Settings!$B$2),2)</f>
        <v>17.79</v>
      </c>
      <c r="E2964" s="3">
        <f>ROUND(C2964*(1-Settings!$B$3),2)</f>
        <v>17.79</v>
      </c>
      <c r="F2964" s="2" t="inlineStr">
        <is>
          <t>Pokemon</t>
        </is>
      </c>
      <c r="G2964" s="2" t="inlineStr">
        <is>
          <t>Pack</t>
        </is>
      </c>
      <c r="H2964" s="2" t="inlineStr">
        <is>
          <t>Journey Together</t>
        </is>
      </c>
      <c r="I2964" s="3" t="n">
        <v>25.41</v>
      </c>
      <c r="J2964" s="3" t="n"/>
      <c r="K2964" s="3" t="n"/>
      <c r="L2964" s="3" t="n"/>
      <c r="M2964" s="2" t="inlineStr">
        <is>
          <t>PriceCharting</t>
        </is>
      </c>
      <c r="N2964" s="4" t="inlineStr">
        <is>
          <t>https://www.pricecharting.com/game/pokemon-journey-together/checklane-blister-yanma</t>
        </is>
      </c>
    </row>
    <row r="2965">
      <c r="A2965" s="2" t="inlineStr">
        <is>
          <t>Journey Together Sealed Fun Pack</t>
        </is>
      </c>
      <c r="B2965" s="3">
        <f>IF(I2965&lt;&gt;"",I2965,IF(J2965&lt;&gt;"",J2965,IF(K2965&lt;&gt;"",K2965,L2965)))</f>
        <v>3.98</v>
      </c>
      <c r="C2965" s="3">
        <f>MEDIAN(I2965:L2965)</f>
        <v>3.98</v>
      </c>
      <c r="D2965" s="3">
        <f>ROUND(C2965*(1-Settings!$B$2),2)</f>
        <v>2.79</v>
      </c>
      <c r="E2965" s="3">
        <f>ROUND(C2965*(1-Settings!$B$3),2)</f>
        <v>2.79</v>
      </c>
      <c r="F2965" s="2" t="inlineStr">
        <is>
          <t>Pokemon</t>
        </is>
      </c>
      <c r="G2965" s="2" t="inlineStr">
        <is>
          <t>Pack</t>
        </is>
      </c>
      <c r="H2965" s="2" t="inlineStr">
        <is>
          <t>Journey Together</t>
        </is>
      </c>
      <c r="I2965" s="3" t="n">
        <v>3.98</v>
      </c>
      <c r="J2965" s="3" t="n"/>
      <c r="K2965" s="3" t="n"/>
      <c r="L2965" s="3" t="n"/>
      <c r="M2965" s="2" t="inlineStr">
        <is>
          <t>PriceCharting</t>
        </is>
      </c>
      <c r="N2965" s="4" t="inlineStr">
        <is>
          <t>https://www.pricecharting.com/game/pokemon-journey-together/sealed-fun-pack</t>
        </is>
      </c>
    </row>
    <row r="2966">
      <c r="A2966" s="2" t="inlineStr">
        <is>
          <t>Jungle Blister Pack</t>
        </is>
      </c>
      <c r="B2966" s="3">
        <f>IF(I2966&lt;&gt;"",I2966,IF(J2966&lt;&gt;"",J2966,IF(K2966&lt;&gt;"",K2966,L2966)))</f>
        <v>650.0</v>
      </c>
      <c r="C2966" s="3">
        <f>MEDIAN(I2966:L2966)</f>
        <v>650.0</v>
      </c>
      <c r="D2966" s="3">
        <f>ROUND(C2966*(1-Settings!$B$2),2)</f>
        <v>455.0</v>
      </c>
      <c r="E2966" s="3">
        <f>ROUND(C2966*(1-Settings!$B$3),2)</f>
        <v>455.0</v>
      </c>
      <c r="F2966" s="2" t="inlineStr">
        <is>
          <t>Pokemon</t>
        </is>
      </c>
      <c r="G2966" s="2" t="inlineStr">
        <is>
          <t>Pack</t>
        </is>
      </c>
      <c r="H2966" s="2" t="inlineStr">
        <is>
          <t>Jungle</t>
        </is>
      </c>
      <c r="I2966" s="3" t="n">
        <v>650</v>
      </c>
      <c r="J2966" s="3" t="n"/>
      <c r="K2966" s="3" t="n"/>
      <c r="L2966" s="3" t="n"/>
      <c r="M2966" s="2" t="inlineStr">
        <is>
          <t>PriceCharting</t>
        </is>
      </c>
      <c r="N2966" s="4" t="inlineStr">
        <is>
          <t>https://www.pricecharting.com/game/pokemon-jungle/blister-pack</t>
        </is>
      </c>
    </row>
    <row r="2967">
      <c r="A2967" s="2" t="inlineStr">
        <is>
          <t>Jungle Booster Pack</t>
        </is>
      </c>
      <c r="B2967" s="3">
        <f>IF(I2967&lt;&gt;"",I2967,IF(J2967&lt;&gt;"",J2967,IF(K2967&lt;&gt;"",K2967,L2967)))</f>
        <v>422.0</v>
      </c>
      <c r="C2967" s="3">
        <f>MEDIAN(I2967:L2967)</f>
        <v>422.0</v>
      </c>
      <c r="D2967" s="3">
        <f>ROUND(C2967*(1-Settings!$B$2),2)</f>
        <v>295.4</v>
      </c>
      <c r="E2967" s="3">
        <f>ROUND(C2967*(1-Settings!$B$3),2)</f>
        <v>295.4</v>
      </c>
      <c r="F2967" s="2" t="inlineStr">
        <is>
          <t>Pokemon</t>
        </is>
      </c>
      <c r="G2967" s="2" t="inlineStr">
        <is>
          <t>Pack</t>
        </is>
      </c>
      <c r="H2967" s="2" t="inlineStr">
        <is>
          <t>Jungle</t>
        </is>
      </c>
      <c r="I2967" s="3" t="n">
        <v>422</v>
      </c>
      <c r="J2967" s="3" t="n"/>
      <c r="K2967" s="3" t="n"/>
      <c r="L2967" s="3" t="n"/>
      <c r="M2967" s="2" t="inlineStr">
        <is>
          <t>PriceCharting</t>
        </is>
      </c>
      <c r="N2967" s="4" t="inlineStr">
        <is>
          <t>https://www.pricecharting.com/game/pokemon-jungle/booster-pack</t>
        </is>
      </c>
    </row>
    <row r="2968">
      <c r="A2968" s="2" t="inlineStr">
        <is>
          <t>Jungle Booster Pack [1st Edition]</t>
        </is>
      </c>
      <c r="B2968" s="3">
        <f>IF(I2968&lt;&gt;"",I2968,IF(J2968&lt;&gt;"",J2968,IF(K2968&lt;&gt;"",K2968,L2968)))</f>
        <v>515.0</v>
      </c>
      <c r="C2968" s="3">
        <f>MEDIAN(I2968:L2968)</f>
        <v>746.78</v>
      </c>
      <c r="D2968" s="3">
        <f>ROUND(C2968*(1-Settings!$B$2),2)</f>
        <v>522.75</v>
      </c>
      <c r="E2968" s="3">
        <f>ROUND(C2968*(1-Settings!$B$3),2)</f>
        <v>522.75</v>
      </c>
      <c r="F2968" s="2" t="inlineStr">
        <is>
          <t>Pokemon</t>
        </is>
      </c>
      <c r="G2968" s="2" t="inlineStr">
        <is>
          <t>Pack</t>
        </is>
      </c>
      <c r="H2968" s="2" t="inlineStr">
        <is>
          <t>Jungle</t>
        </is>
      </c>
      <c r="I2968" s="3" t="n">
        <v>515</v>
      </c>
      <c r="J2968" s="3" t="n">
        <v>753.5700000000001</v>
      </c>
      <c r="K2968" s="3" t="n">
        <v>800</v>
      </c>
      <c r="L2968" s="3" t="n">
        <v>739.99</v>
      </c>
      <c r="M2968" s="2" t="inlineStr">
        <is>
          <t>PriceCharting + TCGplayer</t>
        </is>
      </c>
      <c r="N2968" s="4" t="inlineStr">
        <is>
          <t>https://www.pricecharting.com/game/pokemon-jungle/booster-pack-1st-edition</t>
        </is>
      </c>
      <c r="O2968" s="4" t="inlineStr">
        <is>
          <t>https://www.tcgplayer.com/product/138128</t>
        </is>
      </c>
    </row>
    <row r="2969">
      <c r="A2969" s="2" t="inlineStr">
        <is>
          <t>Jungle Booster Pack [Unlimited Edition]</t>
        </is>
      </c>
      <c r="B2969" s="3">
        <f>IF(I2969&lt;&gt;"",I2969,IF(J2969&lt;&gt;"",J2969,IF(K2969&lt;&gt;"",K2969,L2969)))</f>
        <v>330.45</v>
      </c>
      <c r="C2969" s="3">
        <f>MEDIAN(I2969:L2969)</f>
        <v>330.45</v>
      </c>
      <c r="D2969" s="3">
        <f>ROUND(C2969*(1-Settings!$B$2),2)</f>
        <v>231.32</v>
      </c>
      <c r="E2969" s="3">
        <f>ROUND(C2969*(1-Settings!$B$3),2)</f>
        <v>231.32</v>
      </c>
      <c r="F2969" s="2" t="inlineStr">
        <is>
          <t>Pokemon</t>
        </is>
      </c>
      <c r="G2969" s="2" t="inlineStr">
        <is>
          <t>Pack</t>
        </is>
      </c>
      <c r="H2969" s="2" t="inlineStr">
        <is>
          <t>Jungle</t>
        </is>
      </c>
      <c r="I2969" s="3" t="n"/>
      <c r="J2969" s="3" t="n">
        <v>330.45</v>
      </c>
      <c r="K2969" s="3" t="n">
        <v>410</v>
      </c>
      <c r="L2969" s="3" t="n">
        <v>320</v>
      </c>
      <c r="M2969" s="2" t="inlineStr">
        <is>
          <t>TCGplayer</t>
        </is>
      </c>
      <c r="O2969" s="4" t="inlineStr">
        <is>
          <t>https://www.tcgplayer.com/product/138129</t>
        </is>
      </c>
    </row>
    <row r="2970">
      <c r="A2970" s="2" t="inlineStr">
        <is>
          <t>Korean Terastal Festival Ex Booster Pack</t>
        </is>
      </c>
      <c r="B2970" s="3">
        <f>IF(I2970&lt;&gt;"",I2970,IF(J2970&lt;&gt;"",J2970,IF(K2970&lt;&gt;"",K2970,L2970)))</f>
        <v>19.95</v>
      </c>
      <c r="C2970" s="3">
        <f>MEDIAN(I2970:L2970)</f>
        <v>19.95</v>
      </c>
      <c r="D2970" s="3">
        <f>ROUND(C2970*(1-Settings!$B$2),2)</f>
        <v>13.97</v>
      </c>
      <c r="E2970" s="3">
        <f>ROUND(C2970*(1-Settings!$B$3),2)</f>
        <v>13.97</v>
      </c>
      <c r="F2970" s="2" t="inlineStr">
        <is>
          <t>Pokemon</t>
        </is>
      </c>
      <c r="G2970" s="2" t="inlineStr">
        <is>
          <t>Pack</t>
        </is>
      </c>
      <c r="H2970" s="2" t="inlineStr">
        <is>
          <t>Korean Terastal Festival Ex</t>
        </is>
      </c>
      <c r="I2970" s="3" t="n">
        <v>19.95</v>
      </c>
      <c r="J2970" s="3" t="n"/>
      <c r="K2970" s="3" t="n"/>
      <c r="L2970" s="3" t="n"/>
      <c r="M2970" s="2" t="inlineStr">
        <is>
          <t>PriceCharting</t>
        </is>
      </c>
      <c r="N2970" s="4" t="inlineStr">
        <is>
          <t>https://www.pricecharting.com/game/pokemon-korean-terastal-festival-ex/booster-pack</t>
        </is>
      </c>
    </row>
    <row r="2971">
      <c r="A2971" s="2" t="inlineStr">
        <is>
          <t>Legendary Collection Blister Pack</t>
        </is>
      </c>
      <c r="B2971" s="3">
        <f>IF(I2971&lt;&gt;"",I2971,IF(J2971&lt;&gt;"",J2971,IF(K2971&lt;&gt;"",K2971,L2971)))</f>
        <v>4830.41</v>
      </c>
      <c r="C2971" s="3">
        <f>MEDIAN(I2971:L2971)</f>
        <v>4830.41</v>
      </c>
      <c r="D2971" s="3">
        <f>ROUND(C2971*(1-Settings!$B$2),2)</f>
        <v>3381.29</v>
      </c>
      <c r="E2971" s="3">
        <f>ROUND(C2971*(1-Settings!$B$3),2)</f>
        <v>3381.29</v>
      </c>
      <c r="F2971" s="2" t="inlineStr">
        <is>
          <t>Pokemon</t>
        </is>
      </c>
      <c r="G2971" s="2" t="inlineStr">
        <is>
          <t>Pack</t>
        </is>
      </c>
      <c r="H2971" s="2" t="inlineStr">
        <is>
          <t>Legendary Collection</t>
        </is>
      </c>
      <c r="I2971" s="3" t="n">
        <v>4830.41</v>
      </c>
      <c r="J2971" s="3" t="n"/>
      <c r="K2971" s="3" t="n"/>
      <c r="L2971" s="3" t="n"/>
      <c r="M2971" s="2" t="inlineStr">
        <is>
          <t>PriceCharting</t>
        </is>
      </c>
      <c r="N2971" s="4" t="inlineStr">
        <is>
          <t>https://www.pricecharting.com/game/pokemon-legendary-collection/blister-pack</t>
        </is>
      </c>
    </row>
    <row r="2972">
      <c r="A2972" s="2" t="inlineStr">
        <is>
          <t>Legendary Collection Booster Pack</t>
        </is>
      </c>
      <c r="B2972" s="3">
        <f>IF(I2972&lt;&gt;"",I2972,IF(J2972&lt;&gt;"",J2972,IF(K2972&lt;&gt;"",K2972,L2972)))</f>
        <v>6152.77</v>
      </c>
      <c r="C2972" s="3">
        <f>MEDIAN(I2972:L2972)</f>
        <v>7000.0</v>
      </c>
      <c r="D2972" s="3">
        <f>ROUND(C2972*(1-Settings!$B$2),2)</f>
        <v>4900.0</v>
      </c>
      <c r="E2972" s="3">
        <f>ROUND(C2972*(1-Settings!$B$3),2)</f>
        <v>4900.0</v>
      </c>
      <c r="F2972" s="2" t="inlineStr">
        <is>
          <t>Pokemon</t>
        </is>
      </c>
      <c r="G2972" s="2" t="inlineStr">
        <is>
          <t>Pack</t>
        </is>
      </c>
      <c r="H2972" s="2" t="inlineStr">
        <is>
          <t>Legendary Collection</t>
        </is>
      </c>
      <c r="I2972" s="3" t="n">
        <v>6152.77</v>
      </c>
      <c r="J2972" s="3" t="n"/>
      <c r="K2972" s="3" t="n">
        <v>7000</v>
      </c>
      <c r="L2972" s="3" t="n">
        <v>7000</v>
      </c>
      <c r="M2972" s="2" t="inlineStr">
        <is>
          <t>PriceCharting + TCGplayer</t>
        </is>
      </c>
      <c r="N2972" s="4" t="inlineStr">
        <is>
          <t>https://www.pricecharting.com/game/pokemon-legendary-collection/booster-pack</t>
        </is>
      </c>
      <c r="O2972" s="4" t="inlineStr">
        <is>
          <t>https://www.tcgplayer.com/product/138150</t>
        </is>
      </c>
    </row>
    <row r="2973">
      <c r="A2973" s="2" t="inlineStr">
        <is>
          <t>Legendary Treasures Booster Pack</t>
        </is>
      </c>
      <c r="B2973" s="3">
        <f>IF(I2973&lt;&gt;"",I2973,IF(J2973&lt;&gt;"",J2973,IF(K2973&lt;&gt;"",K2973,L2973)))</f>
        <v>380.0</v>
      </c>
      <c r="C2973" s="3">
        <f>MEDIAN(I2973:L2973)</f>
        <v>541.21</v>
      </c>
      <c r="D2973" s="3">
        <f>ROUND(C2973*(1-Settings!$B$2),2)</f>
        <v>378.85</v>
      </c>
      <c r="E2973" s="3">
        <f>ROUND(C2973*(1-Settings!$B$3),2)</f>
        <v>378.85</v>
      </c>
      <c r="F2973" s="2" t="inlineStr">
        <is>
          <t>Pokemon</t>
        </is>
      </c>
      <c r="G2973" s="2" t="inlineStr">
        <is>
          <t>Pack</t>
        </is>
      </c>
      <c r="H2973" s="2" t="inlineStr">
        <is>
          <t>Legendary Treasures</t>
        </is>
      </c>
      <c r="I2973" s="3" t="n">
        <v>380</v>
      </c>
      <c r="J2973" s="3" t="n">
        <v>382.43</v>
      </c>
      <c r="K2973" s="3" t="n">
        <v>849.99</v>
      </c>
      <c r="L2973" s="3" t="n">
        <v>699.99</v>
      </c>
      <c r="M2973" s="2" t="inlineStr">
        <is>
          <t>PriceCharting + TCGplayer</t>
        </is>
      </c>
      <c r="N2973" s="4" t="inlineStr">
        <is>
          <t>https://www.pricecharting.com/game/pokemon-legendary-treasures/booster-pack</t>
        </is>
      </c>
      <c r="O2973" s="4" t="inlineStr">
        <is>
          <t>https://www.tcgplayer.com/product/98581</t>
        </is>
      </c>
    </row>
    <row r="2974">
      <c r="A2974" s="2" t="inlineStr">
        <is>
          <t>Legends Awakened Booster Pack</t>
        </is>
      </c>
      <c r="B2974" s="3">
        <f>IF(I2974&lt;&gt;"",I2974,IF(J2974&lt;&gt;"",J2974,IF(K2974&lt;&gt;"",K2974,L2974)))</f>
        <v>511.13</v>
      </c>
      <c r="C2974" s="3">
        <f>MEDIAN(I2974:L2974)</f>
        <v>511.13</v>
      </c>
      <c r="D2974" s="3">
        <f>ROUND(C2974*(1-Settings!$B$2),2)</f>
        <v>357.79</v>
      </c>
      <c r="E2974" s="3">
        <f>ROUND(C2974*(1-Settings!$B$3),2)</f>
        <v>357.79</v>
      </c>
      <c r="F2974" s="2" t="inlineStr">
        <is>
          <t>Pokemon</t>
        </is>
      </c>
      <c r="G2974" s="2" t="inlineStr">
        <is>
          <t>Pack</t>
        </is>
      </c>
      <c r="H2974" s="2" t="inlineStr">
        <is>
          <t>Legends Awakened</t>
        </is>
      </c>
      <c r="I2974" s="3" t="n">
        <v>511.13</v>
      </c>
      <c r="J2974" s="3" t="n">
        <v>462.94</v>
      </c>
      <c r="K2974" s="3" t="n"/>
      <c r="L2974" s="3" t="n">
        <v>999.99</v>
      </c>
      <c r="M2974" s="2" t="inlineStr">
        <is>
          <t>PriceCharting + TCGplayer</t>
        </is>
      </c>
      <c r="N2974" s="4" t="inlineStr">
        <is>
          <t>https://www.pricecharting.com/game/pokemon-legends-awakened/booster-pack</t>
        </is>
      </c>
      <c r="O2974" s="4" t="inlineStr">
        <is>
          <t>https://www.tcgplayer.com/product/98537</t>
        </is>
      </c>
    </row>
    <row r="2975">
      <c r="A2975" s="2" t="inlineStr">
        <is>
          <t>Legends Awakened Mothim Blister Pack</t>
        </is>
      </c>
      <c r="B2975" s="3">
        <f>IF(I2975&lt;&gt;"",I2975,IF(J2975&lt;&gt;"",J2975,IF(K2975&lt;&gt;"",K2975,L2975)))</f>
        <v>931.42</v>
      </c>
      <c r="C2975" s="3">
        <f>MEDIAN(I2975:L2975)</f>
        <v>931.42</v>
      </c>
      <c r="D2975" s="3">
        <f>ROUND(C2975*(1-Settings!$B$2),2)</f>
        <v>651.99</v>
      </c>
      <c r="E2975" s="3">
        <f>ROUND(C2975*(1-Settings!$B$3),2)</f>
        <v>651.99</v>
      </c>
      <c r="F2975" s="2" t="inlineStr">
        <is>
          <t>Pokemon</t>
        </is>
      </c>
      <c r="G2975" s="2" t="inlineStr">
        <is>
          <t>Pack</t>
        </is>
      </c>
      <c r="H2975" s="2" t="inlineStr">
        <is>
          <t>Legends Awakened</t>
        </is>
      </c>
      <c r="I2975" s="3" t="n">
        <v>931.42</v>
      </c>
      <c r="J2975" s="3" t="n"/>
      <c r="K2975" s="3" t="n"/>
      <c r="L2975" s="3" t="n"/>
      <c r="M2975" s="2" t="inlineStr">
        <is>
          <t>PriceCharting</t>
        </is>
      </c>
      <c r="N2975" s="4" t="inlineStr">
        <is>
          <t>https://www.pricecharting.com/game/pokemon-legends-awakened/mothim-blister-pack</t>
        </is>
      </c>
    </row>
    <row r="2976">
      <c r="A2976" s="2" t="inlineStr">
        <is>
          <t>Lost Origin Arceus &amp; Darkrai Pin Blister Pack</t>
        </is>
      </c>
      <c r="B2976" s="3">
        <f>IF(I2976&lt;&gt;"",I2976,IF(J2976&lt;&gt;"",J2976,IF(K2976&lt;&gt;"",K2976,L2976)))</f>
        <v>65.29</v>
      </c>
      <c r="C2976" s="3">
        <f>MEDIAN(I2976:L2976)</f>
        <v>65.29</v>
      </c>
      <c r="D2976" s="3">
        <f>ROUND(C2976*(1-Settings!$B$2),2)</f>
        <v>45.7</v>
      </c>
      <c r="E2976" s="3">
        <f>ROUND(C2976*(1-Settings!$B$3),2)</f>
        <v>45.7</v>
      </c>
      <c r="F2976" s="2" t="inlineStr">
        <is>
          <t>Pokemon</t>
        </is>
      </c>
      <c r="G2976" s="2" t="inlineStr">
        <is>
          <t>Pack</t>
        </is>
      </c>
      <c r="H2976" s="2" t="inlineStr">
        <is>
          <t>Lost Origin</t>
        </is>
      </c>
      <c r="I2976" s="3" t="n">
        <v>65.29000000000001</v>
      </c>
      <c r="J2976" s="3" t="n"/>
      <c r="K2976" s="3" t="n"/>
      <c r="L2976" s="3" t="n"/>
      <c r="M2976" s="2" t="inlineStr">
        <is>
          <t>PriceCharting</t>
        </is>
      </c>
      <c r="N2976" s="4" t="inlineStr">
        <is>
          <t>https://www.pricecharting.com/game/pokemon-lost-origin/arceus-&amp;-darkrai-pin-blister-pack</t>
        </is>
      </c>
    </row>
    <row r="2977">
      <c r="A2977" s="2" t="inlineStr">
        <is>
          <t>Lost Origin Booster Pack [Heavy]</t>
        </is>
      </c>
      <c r="B2977" s="3">
        <f>IF(I2977&lt;&gt;"",I2977,IF(J2977&lt;&gt;"",J2977,IF(K2977&lt;&gt;"",K2977,L2977)))</f>
        <v>14.82</v>
      </c>
      <c r="C2977" s="3">
        <f>MEDIAN(I2977:L2977)</f>
        <v>14.82</v>
      </c>
      <c r="D2977" s="3">
        <f>ROUND(C2977*(1-Settings!$B$2),2)</f>
        <v>10.37</v>
      </c>
      <c r="E2977" s="3">
        <f>ROUND(C2977*(1-Settings!$B$3),2)</f>
        <v>10.37</v>
      </c>
      <c r="F2977" s="2" t="inlineStr">
        <is>
          <t>Pokemon</t>
        </is>
      </c>
      <c r="G2977" s="2" t="inlineStr">
        <is>
          <t>Pack</t>
        </is>
      </c>
      <c r="H2977" s="2" t="inlineStr">
        <is>
          <t>Lost Origin</t>
        </is>
      </c>
      <c r="I2977" s="3" t="n">
        <v>14.82</v>
      </c>
      <c r="J2977" s="3" t="n"/>
      <c r="K2977" s="3" t="n"/>
      <c r="L2977" s="3" t="n"/>
      <c r="M2977" s="2" t="inlineStr">
        <is>
          <t>PriceCharting</t>
        </is>
      </c>
      <c r="N2977" s="4" t="inlineStr">
        <is>
          <t>https://www.pricecharting.com/game/pokemon-lost-origin/booster-pack-heavy</t>
        </is>
      </c>
    </row>
    <row r="2978">
      <c r="A2978" s="2" t="inlineStr">
        <is>
          <t>Lost Origin Fun Pack</t>
        </is>
      </c>
      <c r="B2978" s="3">
        <f>IF(I2978&lt;&gt;"",I2978,IF(J2978&lt;&gt;"",J2978,IF(K2978&lt;&gt;"",K2978,L2978)))</f>
        <v>8.37</v>
      </c>
      <c r="C2978" s="3">
        <f>MEDIAN(I2978:L2978)</f>
        <v>8.37</v>
      </c>
      <c r="D2978" s="3">
        <f>ROUND(C2978*(1-Settings!$B$2),2)</f>
        <v>5.86</v>
      </c>
      <c r="E2978" s="3">
        <f>ROUND(C2978*(1-Settings!$B$3),2)</f>
        <v>5.86</v>
      </c>
      <c r="F2978" s="2" t="inlineStr">
        <is>
          <t>Pokemon</t>
        </is>
      </c>
      <c r="G2978" s="2" t="inlineStr">
        <is>
          <t>Pack</t>
        </is>
      </c>
      <c r="H2978" s="2" t="inlineStr">
        <is>
          <t>Lost Origin</t>
        </is>
      </c>
      <c r="I2978" s="3" t="n">
        <v>8.369999999999999</v>
      </c>
      <c r="J2978" s="3" t="n"/>
      <c r="K2978" s="3" t="n"/>
      <c r="L2978" s="3" t="n"/>
      <c r="M2978" s="2" t="inlineStr">
        <is>
          <t>PriceCharting</t>
        </is>
      </c>
      <c r="N2978" s="4" t="inlineStr">
        <is>
          <t>https://www.pricecharting.com/game/pokemon-lost-origin/fun-pack</t>
        </is>
      </c>
    </row>
    <row r="2979">
      <c r="A2979" s="2" t="inlineStr">
        <is>
          <t>Lost Origin Infernape Premium Checklane Blister</t>
        </is>
      </c>
      <c r="B2979" s="3">
        <f>IF(I2979&lt;&gt;"",I2979,IF(J2979&lt;&gt;"",J2979,IF(K2979&lt;&gt;"",K2979,L2979)))</f>
        <v>10.32</v>
      </c>
      <c r="C2979" s="3">
        <f>MEDIAN(I2979:L2979)</f>
        <v>10.32</v>
      </c>
      <c r="D2979" s="3">
        <f>ROUND(C2979*(1-Settings!$B$2),2)</f>
        <v>7.22</v>
      </c>
      <c r="E2979" s="3">
        <f>ROUND(C2979*(1-Settings!$B$3),2)</f>
        <v>7.22</v>
      </c>
      <c r="F2979" s="2" t="inlineStr">
        <is>
          <t>Pokemon</t>
        </is>
      </c>
      <c r="G2979" s="2" t="inlineStr">
        <is>
          <t>Pack</t>
        </is>
      </c>
      <c r="H2979" s="2" t="inlineStr">
        <is>
          <t>Lost Origin</t>
        </is>
      </c>
      <c r="I2979" s="3" t="n">
        <v>10.32</v>
      </c>
      <c r="J2979" s="3" t="n"/>
      <c r="K2979" s="3" t="n"/>
      <c r="L2979" s="3" t="n"/>
      <c r="M2979" s="2" t="inlineStr">
        <is>
          <t>PriceCharting</t>
        </is>
      </c>
      <c r="N2979" s="4" t="inlineStr">
        <is>
          <t>https://www.pricecharting.com/game/pokemon-lost-origin/infernape-premium-checklane-blister</t>
        </is>
      </c>
    </row>
    <row r="2980">
      <c r="A2980" s="2" t="inlineStr">
        <is>
          <t>Lost Origin Scorbunny Checklane Blister</t>
        </is>
      </c>
      <c r="B2980" s="3">
        <f>IF(I2980&lt;&gt;"",I2980,IF(J2980&lt;&gt;"",J2980,IF(K2980&lt;&gt;"",K2980,L2980)))</f>
        <v>26.27</v>
      </c>
      <c r="C2980" s="3">
        <f>MEDIAN(I2980:L2980)</f>
        <v>26.27</v>
      </c>
      <c r="D2980" s="3">
        <f>ROUND(C2980*(1-Settings!$B$2),2)</f>
        <v>18.39</v>
      </c>
      <c r="E2980" s="3">
        <f>ROUND(C2980*(1-Settings!$B$3),2)</f>
        <v>18.39</v>
      </c>
      <c r="F2980" s="2" t="inlineStr">
        <is>
          <t>Pokemon</t>
        </is>
      </c>
      <c r="G2980" s="2" t="inlineStr">
        <is>
          <t>Pack</t>
        </is>
      </c>
      <c r="H2980" s="2" t="inlineStr">
        <is>
          <t>Lost Origin</t>
        </is>
      </c>
      <c r="I2980" s="3" t="n">
        <v>26.27</v>
      </c>
      <c r="J2980" s="3" t="n"/>
      <c r="K2980" s="3" t="n"/>
      <c r="L2980" s="3" t="n"/>
      <c r="M2980" s="2" t="inlineStr">
        <is>
          <t>PriceCharting</t>
        </is>
      </c>
      <c r="N2980" s="4" t="inlineStr">
        <is>
          <t>https://www.pricecharting.com/game/pokemon-lost-origin/scorbunny-checklane-blister</t>
        </is>
      </c>
    </row>
    <row r="2981">
      <c r="A2981" s="2" t="inlineStr">
        <is>
          <t>Lost Origin Torterra Premium Checklane Blister</t>
        </is>
      </c>
      <c r="B2981" s="3">
        <f>IF(I2981&lt;&gt;"",I2981,IF(J2981&lt;&gt;"",J2981,IF(K2981&lt;&gt;"",K2981,L2981)))</f>
        <v>24.99</v>
      </c>
      <c r="C2981" s="3">
        <f>MEDIAN(I2981:L2981)</f>
        <v>24.99</v>
      </c>
      <c r="D2981" s="3">
        <f>ROUND(C2981*(1-Settings!$B$2),2)</f>
        <v>17.49</v>
      </c>
      <c r="E2981" s="3">
        <f>ROUND(C2981*(1-Settings!$B$3),2)</f>
        <v>17.49</v>
      </c>
      <c r="F2981" s="2" t="inlineStr">
        <is>
          <t>Pokemon</t>
        </is>
      </c>
      <c r="G2981" s="2" t="inlineStr">
        <is>
          <t>Pack</t>
        </is>
      </c>
      <c r="H2981" s="2" t="inlineStr">
        <is>
          <t>Lost Origin</t>
        </is>
      </c>
      <c r="I2981" s="3" t="n">
        <v>24.99</v>
      </c>
      <c r="J2981" s="3" t="n"/>
      <c r="K2981" s="3" t="n"/>
      <c r="L2981" s="3" t="n"/>
      <c r="M2981" s="2" t="inlineStr">
        <is>
          <t>PriceCharting</t>
        </is>
      </c>
      <c r="N2981" s="4" t="inlineStr">
        <is>
          <t>https://www.pricecharting.com/game/pokemon-lost-origin/torterra-premium-checklane-blister</t>
        </is>
      </c>
    </row>
    <row r="2982">
      <c r="A2982" s="2" t="inlineStr">
        <is>
          <t>Lost Thunder Mini Booster Pack</t>
        </is>
      </c>
      <c r="B2982" s="3">
        <f>IF(I2982&lt;&gt;"",I2982,IF(J2982&lt;&gt;"",J2982,IF(K2982&lt;&gt;"",K2982,L2982)))</f>
        <v>32.0</v>
      </c>
      <c r="C2982" s="3">
        <f>MEDIAN(I2982:L2982)</f>
        <v>32.0</v>
      </c>
      <c r="D2982" s="3">
        <f>ROUND(C2982*(1-Settings!$B$2),2)</f>
        <v>22.4</v>
      </c>
      <c r="E2982" s="3">
        <f>ROUND(C2982*(1-Settings!$B$3),2)</f>
        <v>22.4</v>
      </c>
      <c r="F2982" s="2" t="inlineStr">
        <is>
          <t>Pokemon</t>
        </is>
      </c>
      <c r="G2982" s="2" t="inlineStr">
        <is>
          <t>Pack</t>
        </is>
      </c>
      <c r="H2982" s="2" t="inlineStr">
        <is>
          <t>Lost Thunder</t>
        </is>
      </c>
      <c r="I2982" s="3" t="n">
        <v>32</v>
      </c>
      <c r="J2982" s="3" t="n"/>
      <c r="K2982" s="3" t="n"/>
      <c r="L2982" s="3" t="n"/>
      <c r="M2982" s="2" t="inlineStr">
        <is>
          <t>PriceCharting</t>
        </is>
      </c>
      <c r="N2982" s="4" t="inlineStr">
        <is>
          <t>https://www.pricecharting.com/game/pokemon-lost-thunder/mini-booster-pack</t>
        </is>
      </c>
    </row>
    <row r="2983">
      <c r="A2983" s="2" t="inlineStr">
        <is>
          <t>Mega Brave Booster Pack</t>
        </is>
      </c>
      <c r="B2983" s="3">
        <f>IF(I2983&lt;&gt;"",I2983,IF(J2983&lt;&gt;"",J2983,IF(K2983&lt;&gt;"",K2983,L2983)))</f>
        <v>3.15</v>
      </c>
      <c r="C2983" s="3">
        <f>MEDIAN(I2983:L2983)</f>
        <v>2.69</v>
      </c>
      <c r="D2983" s="3">
        <f>ROUND(C2983*(1-Settings!$B$2),2)</f>
        <v>1.88</v>
      </c>
      <c r="E2983" s="3">
        <f>ROUND(C2983*(1-Settings!$B$3),2)</f>
        <v>1.88</v>
      </c>
      <c r="F2983" s="2" t="inlineStr">
        <is>
          <t>Pokemon</t>
        </is>
      </c>
      <c r="G2983" s="2" t="inlineStr">
        <is>
          <t>Pack</t>
        </is>
      </c>
      <c r="H2983" s="2" t="inlineStr">
        <is>
          <t>m1L: Mega Brave</t>
        </is>
      </c>
      <c r="I2983" s="3" t="n"/>
      <c r="J2983" s="3" t="n">
        <v>3.15</v>
      </c>
      <c r="K2983" s="3" t="n"/>
      <c r="L2983" s="3" t="n">
        <v>2.23</v>
      </c>
      <c r="M2983" s="2" t="inlineStr">
        <is>
          <t>TCGplayer</t>
        </is>
      </c>
      <c r="O2983" s="4" t="inlineStr">
        <is>
          <t>https://www.tcgplayer.com/product/647498</t>
        </is>
      </c>
    </row>
    <row r="2984">
      <c r="A2984" s="2" t="inlineStr">
        <is>
          <t>Mega Symphonia Booster Pack</t>
        </is>
      </c>
      <c r="B2984" s="3">
        <f>IF(I2984&lt;&gt;"",I2984,IF(J2984&lt;&gt;"",J2984,IF(K2984&lt;&gt;"",K2984,L2984)))</f>
        <v>2.83</v>
      </c>
      <c r="C2984" s="3">
        <f>MEDIAN(I2984:L2984)</f>
        <v>2.4050000000000002</v>
      </c>
      <c r="D2984" s="3">
        <f>ROUND(C2984*(1-Settings!$B$2),2)</f>
        <v>1.68</v>
      </c>
      <c r="E2984" s="3">
        <f>ROUND(C2984*(1-Settings!$B$3),2)</f>
        <v>1.68</v>
      </c>
      <c r="F2984" s="2" t="inlineStr">
        <is>
          <t>Pokemon</t>
        </is>
      </c>
      <c r="G2984" s="2" t="inlineStr">
        <is>
          <t>Pack</t>
        </is>
      </c>
      <c r="H2984" s="2" t="inlineStr">
        <is>
          <t>m1S: Mega Symphonia</t>
        </is>
      </c>
      <c r="I2984" s="3" t="n"/>
      <c r="J2984" s="3" t="n">
        <v>2.83</v>
      </c>
      <c r="K2984" s="3" t="n"/>
      <c r="L2984" s="3" t="n">
        <v>1.98</v>
      </c>
      <c r="M2984" s="2" t="inlineStr">
        <is>
          <t>TCGplayer</t>
        </is>
      </c>
      <c r="O2984" s="4" t="inlineStr">
        <is>
          <t>https://www.tcgplayer.com/product/647499</t>
        </is>
      </c>
    </row>
    <row r="2985">
      <c r="A2985" s="2" t="inlineStr">
        <is>
          <t>Inferno X Booster Pack</t>
        </is>
      </c>
      <c r="B2985" s="3">
        <f>IF(I2985&lt;&gt;"",I2985,IF(J2985&lt;&gt;"",J2985,IF(K2985&lt;&gt;"",K2985,L2985)))</f>
        <v>3.82</v>
      </c>
      <c r="C2985" s="3">
        <f>MEDIAN(I2985:L2985)</f>
        <v>3.05</v>
      </c>
      <c r="D2985" s="3">
        <f>ROUND(C2985*(1-Settings!$B$2),2)</f>
        <v>2.14</v>
      </c>
      <c r="E2985" s="3">
        <f>ROUND(C2985*(1-Settings!$B$3),2)</f>
        <v>2.14</v>
      </c>
      <c r="F2985" s="2" t="inlineStr">
        <is>
          <t>Pokemon</t>
        </is>
      </c>
      <c r="G2985" s="2" t="inlineStr">
        <is>
          <t>Pack</t>
        </is>
      </c>
      <c r="H2985" s="2" t="inlineStr">
        <is>
          <t>M2: Inferno X</t>
        </is>
      </c>
      <c r="I2985" s="3" t="n"/>
      <c r="J2985" s="3" t="n">
        <v>3.82</v>
      </c>
      <c r="K2985" s="3" t="n"/>
      <c r="L2985" s="3" t="n">
        <v>2.28</v>
      </c>
      <c r="M2985" s="2" t="inlineStr">
        <is>
          <t>TCGplayer</t>
        </is>
      </c>
      <c r="O2985" s="4" t="inlineStr">
        <is>
          <t>https://www.tcgplayer.com/product/655970</t>
        </is>
      </c>
    </row>
    <row r="2986">
      <c r="A2986" s="2" t="inlineStr">
        <is>
          <t>Mega Dream ex Booster Pack</t>
        </is>
      </c>
      <c r="B2986" s="3">
        <f>IF(I2986&lt;&gt;"",I2986,IF(J2986&lt;&gt;"",J2986,IF(K2986&lt;&gt;"",K2986,L2986)))</f>
        <v>10.17</v>
      </c>
      <c r="C2986" s="3">
        <f>MEDIAN(I2986:L2986)</f>
        <v>9.275</v>
      </c>
      <c r="D2986" s="3">
        <f>ROUND(C2986*(1-Settings!$B$2),2)</f>
        <v>6.49</v>
      </c>
      <c r="E2986" s="3">
        <f>ROUND(C2986*(1-Settings!$B$3),2)</f>
        <v>6.49</v>
      </c>
      <c r="F2986" s="2" t="inlineStr">
        <is>
          <t>Pokemon</t>
        </is>
      </c>
      <c r="G2986" s="2" t="inlineStr">
        <is>
          <t>Pack</t>
        </is>
      </c>
      <c r="H2986" s="2" t="inlineStr">
        <is>
          <t>M2a: High Class Pack: MEGA Dream ex</t>
        </is>
      </c>
      <c r="I2986" s="3" t="n"/>
      <c r="J2986" s="3" t="n">
        <v>10.17</v>
      </c>
      <c r="K2986" s="3" t="n"/>
      <c r="L2986" s="3" t="n">
        <v>8.380000000000001</v>
      </c>
      <c r="M2986" s="2" t="inlineStr">
        <is>
          <t>TCGplayer</t>
        </is>
      </c>
      <c r="O2986" s="4" t="inlineStr">
        <is>
          <t>https://www.tcgplayer.com/product/666255</t>
        </is>
      </c>
    </row>
    <row r="2987">
      <c r="A2987" s="2" t="inlineStr">
        <is>
          <t>Nihil Zero Booster Pack</t>
        </is>
      </c>
      <c r="B2987" s="3">
        <f>IF(I2987&lt;&gt;"",I2987,IF(J2987&lt;&gt;"",J2987,IF(K2987&lt;&gt;"",K2987,L2987)))</f>
        <v>2.25</v>
      </c>
      <c r="C2987" s="3">
        <f>MEDIAN(I2987:L2987)</f>
        <v>1.87</v>
      </c>
      <c r="D2987" s="3">
        <f>ROUND(C2987*(1-Settings!$B$2),2)</f>
        <v>1.31</v>
      </c>
      <c r="E2987" s="3">
        <f>ROUND(C2987*(1-Settings!$B$3),2)</f>
        <v>1.31</v>
      </c>
      <c r="F2987" s="2" t="inlineStr">
        <is>
          <t>Pokemon</t>
        </is>
      </c>
      <c r="G2987" s="2" t="inlineStr">
        <is>
          <t>Pack</t>
        </is>
      </c>
      <c r="H2987" s="2" t="inlineStr">
        <is>
          <t>M3: Nihil Zero</t>
        </is>
      </c>
      <c r="I2987" s="3" t="n"/>
      <c r="J2987" s="3" t="n">
        <v>2.25</v>
      </c>
      <c r="K2987" s="3" t="n"/>
      <c r="L2987" s="3" t="n">
        <v>1.49</v>
      </c>
      <c r="M2987" s="2" t="inlineStr">
        <is>
          <t>TCGplayer</t>
        </is>
      </c>
      <c r="O2987" s="4" t="inlineStr">
        <is>
          <t>https://www.tcgplayer.com/product/674454</t>
        </is>
      </c>
    </row>
    <row r="2988">
      <c r="A2988" s="2" t="inlineStr">
        <is>
          <t>Ninja Spinner Booster Pack</t>
        </is>
      </c>
      <c r="B2988" s="3">
        <f>IF(I2988&lt;&gt;"",I2988,IF(J2988&lt;&gt;"",J2988,IF(K2988&lt;&gt;"",K2988,L2988)))</f>
        <v>2.3</v>
      </c>
      <c r="C2988" s="3">
        <f>MEDIAN(I2988:L2988)</f>
        <v>1.9949999999999999</v>
      </c>
      <c r="D2988" s="3">
        <f>ROUND(C2988*(1-Settings!$B$2),2)</f>
        <v>1.4</v>
      </c>
      <c r="E2988" s="3">
        <f>ROUND(C2988*(1-Settings!$B$3),2)</f>
        <v>1.4</v>
      </c>
      <c r="F2988" s="2" t="inlineStr">
        <is>
          <t>Pokemon</t>
        </is>
      </c>
      <c r="G2988" s="2" t="inlineStr">
        <is>
          <t>Pack</t>
        </is>
      </c>
      <c r="H2988" s="2" t="inlineStr">
        <is>
          <t>M4: Ninja Spinner</t>
        </is>
      </c>
      <c r="I2988" s="3" t="n"/>
      <c r="J2988" s="3" t="n">
        <v>2.3</v>
      </c>
      <c r="K2988" s="3" t="n"/>
      <c r="L2988" s="3" t="n">
        <v>1.69</v>
      </c>
      <c r="M2988" s="2" t="inlineStr">
        <is>
          <t>TCGplayer</t>
        </is>
      </c>
      <c r="O2988" s="4" t="inlineStr">
        <is>
          <t>https://www.tcgplayer.com/product/683776</t>
        </is>
      </c>
    </row>
    <row r="2989">
      <c r="A2989" s="2" t="inlineStr">
        <is>
          <t>Abyss Eye Booster Pack</t>
        </is>
      </c>
      <c r="B2989" s="3">
        <f>IF(I2989&lt;&gt;"",I2989,IF(J2989&lt;&gt;"",J2989,IF(K2989&lt;&gt;"",K2989,L2989)))</f>
        <v>2.17</v>
      </c>
      <c r="C2989" s="3">
        <f>MEDIAN(I2989:L2989)</f>
        <v>1.96</v>
      </c>
      <c r="D2989" s="3">
        <f>ROUND(C2989*(1-Settings!$B$2),2)</f>
        <v>1.37</v>
      </c>
      <c r="E2989" s="3">
        <f>ROUND(C2989*(1-Settings!$B$3),2)</f>
        <v>1.37</v>
      </c>
      <c r="F2989" s="2" t="inlineStr">
        <is>
          <t>Pokemon</t>
        </is>
      </c>
      <c r="G2989" s="2" t="inlineStr">
        <is>
          <t>Pack</t>
        </is>
      </c>
      <c r="H2989" s="2" t="inlineStr">
        <is>
          <t>M5: Abyss Eye</t>
        </is>
      </c>
      <c r="I2989" s="3" t="n"/>
      <c r="J2989" s="3" t="n">
        <v>2.17</v>
      </c>
      <c r="K2989" s="3" t="n"/>
      <c r="L2989" s="3" t="n">
        <v>1.75</v>
      </c>
      <c r="M2989" s="2" t="inlineStr">
        <is>
          <t>TCGplayer</t>
        </is>
      </c>
      <c r="O2989" s="4" t="inlineStr">
        <is>
          <t>https://www.tcgplayer.com/product/695111</t>
        </is>
      </c>
    </row>
    <row r="2990">
      <c r="A2990" s="2" t="inlineStr">
        <is>
          <t>Storm Emeralda Booster Pack</t>
        </is>
      </c>
      <c r="B2990" s="3">
        <f>IF(I2990&lt;&gt;"",I2990,IF(J2990&lt;&gt;"",J2990,IF(K2990&lt;&gt;"",K2990,L2990)))</f>
        <v>2.66</v>
      </c>
      <c r="C2990" s="3">
        <f>MEDIAN(I2990:L2990)</f>
        <v>2.305</v>
      </c>
      <c r="D2990" s="3">
        <f>ROUND(C2990*(1-Settings!$B$2),2)</f>
        <v>1.61</v>
      </c>
      <c r="E2990" s="3">
        <f>ROUND(C2990*(1-Settings!$B$3),2)</f>
        <v>1.61</v>
      </c>
      <c r="F2990" s="2" t="inlineStr">
        <is>
          <t>Pokemon</t>
        </is>
      </c>
      <c r="G2990" s="2" t="inlineStr">
        <is>
          <t>Pack</t>
        </is>
      </c>
      <c r="H2990" s="2" t="inlineStr">
        <is>
          <t>M6: Storm Emeralda</t>
        </is>
      </c>
      <c r="I2990" s="3" t="n"/>
      <c r="J2990" s="3" t="n">
        <v>2.66</v>
      </c>
      <c r="K2990" s="3" t="n"/>
      <c r="L2990" s="3" t="n">
        <v>1.95</v>
      </c>
      <c r="M2990" s="2" t="inlineStr">
        <is>
          <t>TCGplayer</t>
        </is>
      </c>
      <c r="O2990" s="4" t="inlineStr">
        <is>
          <t>https://www.tcgplayer.com/product/709111</t>
        </is>
      </c>
    </row>
    <row r="2991">
      <c r="A2991" s="2" t="inlineStr">
        <is>
          <t>MEGA Expansion 30th Celebration Booster Pack</t>
        </is>
      </c>
      <c r="B2991" s="3">
        <f>IF(I2991&lt;&gt;"",I2991,IF(J2991&lt;&gt;"",J2991,IF(K2991&lt;&gt;"",K2991,L2991)))</f>
        <v>9.74</v>
      </c>
      <c r="C2991" s="3">
        <f>MEDIAN(I2991:L2991)</f>
        <v>8.575</v>
      </c>
      <c r="D2991" s="3">
        <f>ROUND(C2991*(1-Settings!$B$2),2)</f>
        <v>6.0</v>
      </c>
      <c r="E2991" s="3">
        <f>ROUND(C2991*(1-Settings!$B$3),2)</f>
        <v>6.0</v>
      </c>
      <c r="F2991" s="2" t="inlineStr">
        <is>
          <t>Pokemon</t>
        </is>
      </c>
      <c r="G2991" s="2" t="inlineStr">
        <is>
          <t>Pack</t>
        </is>
      </c>
      <c r="H2991" s="2" t="inlineStr">
        <is>
          <t>M6a: MEGA Expansion 30th Celebration</t>
        </is>
      </c>
      <c r="I2991" s="3" t="n"/>
      <c r="J2991" s="3" t="n">
        <v>9.74</v>
      </c>
      <c r="K2991" s="3" t="n"/>
      <c r="L2991" s="3" t="n">
        <v>7.41</v>
      </c>
      <c r="M2991" s="2" t="inlineStr">
        <is>
          <t>TCGplayer</t>
        </is>
      </c>
      <c r="O2991" s="4" t="inlineStr">
        <is>
          <t>https://www.tcgplayer.com/product/718621</t>
        </is>
      </c>
    </row>
    <row r="2992">
      <c r="A2992" s="2" t="inlineStr">
        <is>
          <t>Majestic Dawn Blister Pack</t>
        </is>
      </c>
      <c r="B2992" s="3">
        <f>IF(I2992&lt;&gt;"",I2992,IF(J2992&lt;&gt;"",J2992,IF(K2992&lt;&gt;"",K2992,L2992)))</f>
        <v>1099.99</v>
      </c>
      <c r="C2992" s="3">
        <f>MEDIAN(I2992:L2992)</f>
        <v>1099.99</v>
      </c>
      <c r="D2992" s="3">
        <f>ROUND(C2992*(1-Settings!$B$2),2)</f>
        <v>769.99</v>
      </c>
      <c r="E2992" s="3">
        <f>ROUND(C2992*(1-Settings!$B$3),2)</f>
        <v>769.99</v>
      </c>
      <c r="F2992" s="2" t="inlineStr">
        <is>
          <t>Pokemon</t>
        </is>
      </c>
      <c r="G2992" s="2" t="inlineStr">
        <is>
          <t>Pack</t>
        </is>
      </c>
      <c r="H2992" s="2" t="inlineStr">
        <is>
          <t>Majestic Dawn</t>
        </is>
      </c>
      <c r="I2992" s="3" t="n">
        <v>1099.99</v>
      </c>
      <c r="J2992" s="3" t="n"/>
      <c r="K2992" s="3" t="n"/>
      <c r="L2992" s="3" t="n"/>
      <c r="M2992" s="2" t="inlineStr">
        <is>
          <t>PriceCharting</t>
        </is>
      </c>
      <c r="N2992" s="4" t="inlineStr">
        <is>
          <t>https://www.pricecharting.com/game/pokemon-majestic-dawn/blister-pack</t>
        </is>
      </c>
    </row>
    <row r="2993">
      <c r="A2993" s="2" t="inlineStr">
        <is>
          <t>Majestic Dawn Booster Pack</t>
        </is>
      </c>
      <c r="B2993" s="3">
        <f>IF(I2993&lt;&gt;"",I2993,IF(J2993&lt;&gt;"",J2993,IF(K2993&lt;&gt;"",K2993,L2993)))</f>
        <v>475.0</v>
      </c>
      <c r="C2993" s="3">
        <f>MEDIAN(I2993:L2993)</f>
        <v>475.0</v>
      </c>
      <c r="D2993" s="3">
        <f>ROUND(C2993*(1-Settings!$B$2),2)</f>
        <v>332.5</v>
      </c>
      <c r="E2993" s="3">
        <f>ROUND(C2993*(1-Settings!$B$3),2)</f>
        <v>332.5</v>
      </c>
      <c r="F2993" s="2" t="inlineStr">
        <is>
          <t>Pokemon</t>
        </is>
      </c>
      <c r="G2993" s="2" t="inlineStr">
        <is>
          <t>Pack</t>
        </is>
      </c>
      <c r="H2993" s="2" t="inlineStr">
        <is>
          <t>Majestic Dawn</t>
        </is>
      </c>
      <c r="I2993" s="3" t="n">
        <v>475</v>
      </c>
      <c r="J2993" s="3" t="n"/>
      <c r="K2993" s="3" t="n"/>
      <c r="L2993" s="3" t="n"/>
      <c r="M2993" s="2" t="inlineStr">
        <is>
          <t>PriceCharting + TCGplayer</t>
        </is>
      </c>
      <c r="N2993" s="4" t="inlineStr">
        <is>
          <t>https://www.pricecharting.com/game/pokemon-majestic-dawn/booster-pack</t>
        </is>
      </c>
      <c r="O2993" s="4" t="inlineStr">
        <is>
          <t>https://www.tcgplayer.com/product/98585</t>
        </is>
      </c>
    </row>
    <row r="2994">
      <c r="A2994" s="2" t="inlineStr">
        <is>
          <t>McDonald's 25th Anniversary Booster Pack</t>
        </is>
      </c>
      <c r="B2994" s="3">
        <f>IF(I2994&lt;&gt;"",I2994,IF(J2994&lt;&gt;"",J2994,IF(K2994&lt;&gt;"",K2994,L2994)))</f>
        <v>8.63</v>
      </c>
      <c r="C2994" s="3">
        <f>MEDIAN(I2994:L2994)</f>
        <v>8.63</v>
      </c>
      <c r="D2994" s="3">
        <f>ROUND(C2994*(1-Settings!$B$2),2)</f>
        <v>6.04</v>
      </c>
      <c r="E2994" s="3">
        <f>ROUND(C2994*(1-Settings!$B$3),2)</f>
        <v>6.04</v>
      </c>
      <c r="F2994" s="2" t="inlineStr">
        <is>
          <t>Pokemon</t>
        </is>
      </c>
      <c r="G2994" s="2" t="inlineStr">
        <is>
          <t>Pack</t>
        </is>
      </c>
      <c r="H2994" s="2" t="inlineStr">
        <is>
          <t>McDonald's 25th Anniversary Promos</t>
        </is>
      </c>
      <c r="I2994" s="3" t="n"/>
      <c r="J2994" s="3" t="n">
        <v>8.630000000000001</v>
      </c>
      <c r="K2994" s="3" t="n">
        <v>9.779999999999999</v>
      </c>
      <c r="L2994" s="3" t="n">
        <v>7</v>
      </c>
      <c r="M2994" s="2" t="inlineStr">
        <is>
          <t>TCGplayer</t>
        </is>
      </c>
      <c r="O2994" s="4" t="inlineStr">
        <is>
          <t>https://www.tcgplayer.com/product/232748</t>
        </is>
      </c>
    </row>
    <row r="2995">
      <c r="A2995" s="2" t="inlineStr">
        <is>
          <t>McDonald's 2022 Match &amp; Battle Pack</t>
        </is>
      </c>
      <c r="B2995" s="3">
        <f>IF(I2995&lt;&gt;"",I2995,IF(J2995&lt;&gt;"",J2995,IF(K2995&lt;&gt;"",K2995,L2995)))</f>
        <v>8.29</v>
      </c>
      <c r="C2995" s="3">
        <f>MEDIAN(I2995:L2995)</f>
        <v>8.29</v>
      </c>
      <c r="D2995" s="3">
        <f>ROUND(C2995*(1-Settings!$B$2),2)</f>
        <v>5.8</v>
      </c>
      <c r="E2995" s="3">
        <f>ROUND(C2995*(1-Settings!$B$3),2)</f>
        <v>5.8</v>
      </c>
      <c r="F2995" s="2" t="inlineStr">
        <is>
          <t>Pokemon</t>
        </is>
      </c>
      <c r="G2995" s="2" t="inlineStr">
        <is>
          <t>Pack</t>
        </is>
      </c>
      <c r="H2995" s="2" t="inlineStr">
        <is>
          <t>McDonald's Promos 2022</t>
        </is>
      </c>
      <c r="I2995" s="3" t="n"/>
      <c r="J2995" s="3" t="n">
        <v>8.289999999999999</v>
      </c>
      <c r="K2995" s="3" t="n">
        <v>9.99</v>
      </c>
      <c r="L2995" s="3" t="n">
        <v>5.92</v>
      </c>
      <c r="M2995" s="2" t="inlineStr">
        <is>
          <t>TCGplayer</t>
        </is>
      </c>
      <c r="O2995" s="4" t="inlineStr">
        <is>
          <t>https://www.tcgplayer.com/product/282530</t>
        </is>
      </c>
    </row>
    <row r="2996">
      <c r="A2996" s="2" t="inlineStr">
        <is>
          <t>McDonald's 2023 Match &amp; Battle Pack</t>
        </is>
      </c>
      <c r="B2996" s="3">
        <f>IF(I2996&lt;&gt;"",I2996,IF(J2996&lt;&gt;"",J2996,IF(K2996&lt;&gt;"",K2996,L2996)))</f>
        <v>7.0</v>
      </c>
      <c r="C2996" s="3">
        <f>MEDIAN(I2996:L2996)</f>
        <v>7.0</v>
      </c>
      <c r="D2996" s="3">
        <f>ROUND(C2996*(1-Settings!$B$2),2)</f>
        <v>4.9</v>
      </c>
      <c r="E2996" s="3">
        <f>ROUND(C2996*(1-Settings!$B$3),2)</f>
        <v>4.9</v>
      </c>
      <c r="F2996" s="2" t="inlineStr">
        <is>
          <t>Pokemon</t>
        </is>
      </c>
      <c r="G2996" s="2" t="inlineStr">
        <is>
          <t>Pack</t>
        </is>
      </c>
      <c r="H2996" s="2" t="inlineStr">
        <is>
          <t>McDonald's Promos 2023</t>
        </is>
      </c>
      <c r="I2996" s="3" t="n"/>
      <c r="J2996" s="3" t="n">
        <v>7</v>
      </c>
      <c r="K2996" s="3" t="n">
        <v>7.64</v>
      </c>
      <c r="L2996" s="3" t="n">
        <v>0.96</v>
      </c>
      <c r="M2996" s="2" t="inlineStr">
        <is>
          <t>TCGplayer</t>
        </is>
      </c>
      <c r="O2996" s="4" t="inlineStr">
        <is>
          <t>https://www.tcgplayer.com/product/516527</t>
        </is>
      </c>
    </row>
    <row r="2997">
      <c r="A2997" s="2" t="inlineStr">
        <is>
          <t>McDonald's 2024 Match &amp; Battle Pack</t>
        </is>
      </c>
      <c r="B2997" s="3">
        <f>IF(I2997&lt;&gt;"",I2997,IF(J2997&lt;&gt;"",J2997,IF(K2997&lt;&gt;"",K2997,L2997)))</f>
        <v>8.93</v>
      </c>
      <c r="C2997" s="3">
        <f>MEDIAN(I2997:L2997)</f>
        <v>8.93</v>
      </c>
      <c r="D2997" s="3">
        <f>ROUND(C2997*(1-Settings!$B$2),2)</f>
        <v>6.25</v>
      </c>
      <c r="E2997" s="3">
        <f>ROUND(C2997*(1-Settings!$B$3),2)</f>
        <v>6.25</v>
      </c>
      <c r="F2997" s="2" t="inlineStr">
        <is>
          <t>Pokemon</t>
        </is>
      </c>
      <c r="G2997" s="2" t="inlineStr">
        <is>
          <t>Pack</t>
        </is>
      </c>
      <c r="H2997" s="2" t="inlineStr">
        <is>
          <t>McDonald's Promos 2024</t>
        </is>
      </c>
      <c r="I2997" s="3" t="n"/>
      <c r="J2997" s="3" t="n">
        <v>8.93</v>
      </c>
      <c r="K2997" s="3" t="n">
        <v>10.25</v>
      </c>
      <c r="L2997" s="3" t="n">
        <v>6.98</v>
      </c>
      <c r="M2997" s="2" t="inlineStr">
        <is>
          <t>TCGplayer</t>
        </is>
      </c>
      <c r="O2997" s="4" t="inlineStr">
        <is>
          <t>https://www.tcgplayer.com/product/615609</t>
        </is>
      </c>
    </row>
    <row r="2998">
      <c r="A2998" s="2" t="inlineStr">
        <is>
          <t>Mcdonalds 2021 Booster Pack</t>
        </is>
      </c>
      <c r="B2998" s="3">
        <f>IF(I2998&lt;&gt;"",I2998,IF(J2998&lt;&gt;"",J2998,IF(K2998&lt;&gt;"",K2998,L2998)))</f>
        <v>8.35</v>
      </c>
      <c r="C2998" s="3">
        <f>MEDIAN(I2998:L2998)</f>
        <v>8.35</v>
      </c>
      <c r="D2998" s="3">
        <f>ROUND(C2998*(1-Settings!$B$2),2)</f>
        <v>5.85</v>
      </c>
      <c r="E2998" s="3">
        <f>ROUND(C2998*(1-Settings!$B$3),2)</f>
        <v>5.85</v>
      </c>
      <c r="F2998" s="2" t="inlineStr">
        <is>
          <t>Pokemon</t>
        </is>
      </c>
      <c r="G2998" s="2" t="inlineStr">
        <is>
          <t>Pack</t>
        </is>
      </c>
      <c r="H2998" s="2" t="inlineStr">
        <is>
          <t>Mcdonalds 2021</t>
        </is>
      </c>
      <c r="I2998" s="3" t="n">
        <v>8.35</v>
      </c>
      <c r="J2998" s="3" t="n"/>
      <c r="K2998" s="3" t="n"/>
      <c r="L2998" s="3" t="n"/>
      <c r="M2998" s="2" t="inlineStr">
        <is>
          <t>PriceCharting</t>
        </is>
      </c>
      <c r="N2998" s="4" t="inlineStr">
        <is>
          <t>https://www.pricecharting.com/game/pokemon-mcdonalds-2021/booster-pack</t>
        </is>
      </c>
    </row>
    <row r="2999">
      <c r="A2999" s="2" t="inlineStr">
        <is>
          <t>Mcdonalds 2022 Booster Pack</t>
        </is>
      </c>
      <c r="B2999" s="3">
        <f>IF(I2999&lt;&gt;"",I2999,IF(J2999&lt;&gt;"",J2999,IF(K2999&lt;&gt;"",K2999,L2999)))</f>
        <v>6.47</v>
      </c>
      <c r="C2999" s="3">
        <f>MEDIAN(I2999:L2999)</f>
        <v>6.47</v>
      </c>
      <c r="D2999" s="3">
        <f>ROUND(C2999*(1-Settings!$B$2),2)</f>
        <v>4.53</v>
      </c>
      <c r="E2999" s="3">
        <f>ROUND(C2999*(1-Settings!$B$3),2)</f>
        <v>4.53</v>
      </c>
      <c r="F2999" s="2" t="inlineStr">
        <is>
          <t>Pokemon</t>
        </is>
      </c>
      <c r="G2999" s="2" t="inlineStr">
        <is>
          <t>Pack</t>
        </is>
      </c>
      <c r="H2999" s="2" t="inlineStr">
        <is>
          <t>Mcdonalds 2022</t>
        </is>
      </c>
      <c r="I2999" s="3" t="n">
        <v>6.47</v>
      </c>
      <c r="J2999" s="3" t="n"/>
      <c r="K2999" s="3" t="n"/>
      <c r="L2999" s="3" t="n"/>
      <c r="M2999" s="2" t="inlineStr">
        <is>
          <t>PriceCharting</t>
        </is>
      </c>
      <c r="N2999" s="4" t="inlineStr">
        <is>
          <t>https://www.pricecharting.com/game/pokemon-mcdonalds-2022/booster-pack</t>
        </is>
      </c>
    </row>
    <row r="3000">
      <c r="A3000" s="2" t="inlineStr">
        <is>
          <t>Mcdonalds 2022 Match Battle Pack</t>
        </is>
      </c>
      <c r="B3000" s="3">
        <f>IF(I3000&lt;&gt;"",I3000,IF(J3000&lt;&gt;"",J3000,IF(K3000&lt;&gt;"",K3000,L3000)))</f>
        <v>5.19</v>
      </c>
      <c r="C3000" s="3">
        <f>MEDIAN(I3000:L3000)</f>
        <v>5.19</v>
      </c>
      <c r="D3000" s="3">
        <f>ROUND(C3000*(1-Settings!$B$2),2)</f>
        <v>3.63</v>
      </c>
      <c r="E3000" s="3">
        <f>ROUND(C3000*(1-Settings!$B$3),2)</f>
        <v>3.63</v>
      </c>
      <c r="F3000" s="2" t="inlineStr">
        <is>
          <t>Pokemon</t>
        </is>
      </c>
      <c r="G3000" s="2" t="inlineStr">
        <is>
          <t>Pack</t>
        </is>
      </c>
      <c r="H3000" s="2" t="inlineStr">
        <is>
          <t>Mcdonalds 2022</t>
        </is>
      </c>
      <c r="I3000" s="3" t="n">
        <v>5.19</v>
      </c>
      <c r="J3000" s="3" t="n"/>
      <c r="K3000" s="3" t="n"/>
      <c r="L3000" s="3" t="n"/>
      <c r="M3000" s="2" t="inlineStr">
        <is>
          <t>PriceCharting</t>
        </is>
      </c>
      <c r="N3000" s="4" t="inlineStr">
        <is>
          <t>https://www.pricecharting.com/game/pokemon-mcdonalds-2022/match-battle-pack</t>
        </is>
      </c>
    </row>
    <row r="3001">
      <c r="A3001" s="2" t="inlineStr">
        <is>
          <t>Mcdonalds 2023 Match Battle Pack</t>
        </is>
      </c>
      <c r="B3001" s="3">
        <f>IF(I3001&lt;&gt;"",I3001,IF(J3001&lt;&gt;"",J3001,IF(K3001&lt;&gt;"",K3001,L3001)))</f>
        <v>7.21</v>
      </c>
      <c r="C3001" s="3">
        <f>MEDIAN(I3001:L3001)</f>
        <v>7.21</v>
      </c>
      <c r="D3001" s="3">
        <f>ROUND(C3001*(1-Settings!$B$2),2)</f>
        <v>5.05</v>
      </c>
      <c r="E3001" s="3">
        <f>ROUND(C3001*(1-Settings!$B$3),2)</f>
        <v>5.05</v>
      </c>
      <c r="F3001" s="2" t="inlineStr">
        <is>
          <t>Pokemon</t>
        </is>
      </c>
      <c r="G3001" s="2" t="inlineStr">
        <is>
          <t>Pack</t>
        </is>
      </c>
      <c r="H3001" s="2" t="inlineStr">
        <is>
          <t>Mcdonalds 2023</t>
        </is>
      </c>
      <c r="I3001" s="3" t="n">
        <v>7.21</v>
      </c>
      <c r="J3001" s="3" t="n"/>
      <c r="K3001" s="3" t="n"/>
      <c r="L3001" s="3" t="n"/>
      <c r="M3001" s="2" t="inlineStr">
        <is>
          <t>PriceCharting</t>
        </is>
      </c>
      <c r="N3001" s="4" t="inlineStr">
        <is>
          <t>https://www.pricecharting.com/game/pokemon-mcdonalds-2023/match-battle-pack</t>
        </is>
      </c>
    </row>
    <row r="3002">
      <c r="A3002" s="2" t="inlineStr">
        <is>
          <t>Mcdonalds 2024 Booster Pack</t>
        </is>
      </c>
      <c r="B3002" s="3">
        <f>IF(I3002&lt;&gt;"",I3002,IF(J3002&lt;&gt;"",J3002,IF(K3002&lt;&gt;"",K3002,L3002)))</f>
        <v>8.43</v>
      </c>
      <c r="C3002" s="3">
        <f>MEDIAN(I3002:L3002)</f>
        <v>8.43</v>
      </c>
      <c r="D3002" s="3">
        <f>ROUND(C3002*(1-Settings!$B$2),2)</f>
        <v>5.9</v>
      </c>
      <c r="E3002" s="3">
        <f>ROUND(C3002*(1-Settings!$B$3),2)</f>
        <v>5.9</v>
      </c>
      <c r="F3002" s="2" t="inlineStr">
        <is>
          <t>Pokemon</t>
        </is>
      </c>
      <c r="G3002" s="2" t="inlineStr">
        <is>
          <t>Pack</t>
        </is>
      </c>
      <c r="H3002" s="2" t="inlineStr">
        <is>
          <t>Mcdonalds 2024</t>
        </is>
      </c>
      <c r="I3002" s="3" t="n">
        <v>8.43</v>
      </c>
      <c r="J3002" s="3" t="n"/>
      <c r="K3002" s="3" t="n"/>
      <c r="L3002" s="3" t="n"/>
      <c r="M3002" s="2" t="inlineStr">
        <is>
          <t>PriceCharting</t>
        </is>
      </c>
      <c r="N3002" s="4" t="inlineStr">
        <is>
          <t>https://www.pricecharting.com/game/pokemon-mcdonalds-2024/booster-pack</t>
        </is>
      </c>
    </row>
    <row r="3003">
      <c r="A3003" s="2" t="inlineStr">
        <is>
          <t>Mega Evolution 3 Pack Blister [Golduck]</t>
        </is>
      </c>
      <c r="B3003" s="3">
        <f>IF(I3003&lt;&gt;"",I3003,IF(J3003&lt;&gt;"",J3003,IF(K3003&lt;&gt;"",K3003,L3003)))</f>
        <v>34.55</v>
      </c>
      <c r="C3003" s="3">
        <f>MEDIAN(I3003:L3003)</f>
        <v>34.55</v>
      </c>
      <c r="D3003" s="3">
        <f>ROUND(C3003*(1-Settings!$B$2),2)</f>
        <v>24.19</v>
      </c>
      <c r="E3003" s="3">
        <f>ROUND(C3003*(1-Settings!$B$3),2)</f>
        <v>24.19</v>
      </c>
      <c r="F3003" s="2" t="inlineStr">
        <is>
          <t>Pokemon</t>
        </is>
      </c>
      <c r="G3003" s="2" t="inlineStr">
        <is>
          <t>Pack</t>
        </is>
      </c>
      <c r="H3003" s="2" t="inlineStr">
        <is>
          <t>ME01: Mega Evolution</t>
        </is>
      </c>
      <c r="I3003" s="3" t="n"/>
      <c r="J3003" s="3" t="n">
        <v>34.55</v>
      </c>
      <c r="K3003" s="3" t="n">
        <v>39.99</v>
      </c>
      <c r="L3003" s="3" t="n">
        <v>33.99</v>
      </c>
      <c r="M3003" s="2" t="inlineStr">
        <is>
          <t>TCGplayer</t>
        </is>
      </c>
      <c r="O3003" s="4" t="inlineStr">
        <is>
          <t>https://www.tcgplayer.com/product/644356</t>
        </is>
      </c>
    </row>
    <row r="3004">
      <c r="A3004" s="2" t="inlineStr">
        <is>
          <t>Mega Evolution 3 Pack Blister [Psyduck]</t>
        </is>
      </c>
      <c r="B3004" s="3">
        <f>IF(I3004&lt;&gt;"",I3004,IF(J3004&lt;&gt;"",J3004,IF(K3004&lt;&gt;"",K3004,L3004)))</f>
        <v>45.14</v>
      </c>
      <c r="C3004" s="3">
        <f>MEDIAN(I3004:L3004)</f>
        <v>45.14</v>
      </c>
      <c r="D3004" s="3">
        <f>ROUND(C3004*(1-Settings!$B$2),2)</f>
        <v>31.6</v>
      </c>
      <c r="E3004" s="3">
        <f>ROUND(C3004*(1-Settings!$B$3),2)</f>
        <v>31.6</v>
      </c>
      <c r="F3004" s="2" t="inlineStr">
        <is>
          <t>Pokemon</t>
        </is>
      </c>
      <c r="G3004" s="2" t="inlineStr">
        <is>
          <t>Pack</t>
        </is>
      </c>
      <c r="H3004" s="2" t="inlineStr">
        <is>
          <t>ME01: Mega Evolution</t>
        </is>
      </c>
      <c r="I3004" s="3" t="n"/>
      <c r="J3004" s="3" t="n">
        <v>45.14</v>
      </c>
      <c r="K3004" s="3" t="n">
        <v>48</v>
      </c>
      <c r="L3004" s="3" t="n">
        <v>41.25</v>
      </c>
      <c r="M3004" s="2" t="inlineStr">
        <is>
          <t>TCGplayer</t>
        </is>
      </c>
      <c r="O3004" s="4" t="inlineStr">
        <is>
          <t>https://www.tcgplayer.com/product/644357</t>
        </is>
      </c>
    </row>
    <row r="3005">
      <c r="A3005" s="2" t="inlineStr">
        <is>
          <t>Mega Evolution Booster Pack</t>
        </is>
      </c>
      <c r="B3005" s="3">
        <f>IF(I3005&lt;&gt;"",I3005,IF(J3005&lt;&gt;"",J3005,IF(K3005&lt;&gt;"",K3005,L3005)))</f>
        <v>8.95</v>
      </c>
      <c r="C3005" s="3">
        <f>MEDIAN(I3005:L3005)</f>
        <v>8.95</v>
      </c>
      <c r="D3005" s="3">
        <f>ROUND(C3005*(1-Settings!$B$2),2)</f>
        <v>6.27</v>
      </c>
      <c r="E3005" s="3">
        <f>ROUND(C3005*(1-Settings!$B$3),2)</f>
        <v>6.27</v>
      </c>
      <c r="F3005" s="2" t="inlineStr">
        <is>
          <t>Pokemon</t>
        </is>
      </c>
      <c r="G3005" s="2" t="inlineStr">
        <is>
          <t>Pack</t>
        </is>
      </c>
      <c r="H3005" s="2" t="inlineStr">
        <is>
          <t>ME01: Mega Evolution</t>
        </is>
      </c>
      <c r="I3005" s="3" t="n"/>
      <c r="J3005" s="3" t="n">
        <v>8.949999999999999</v>
      </c>
      <c r="K3005" s="3" t="n">
        <v>8.99</v>
      </c>
      <c r="L3005" s="3" t="n">
        <v>7</v>
      </c>
      <c r="M3005" s="2" t="inlineStr">
        <is>
          <t>TCGplayer</t>
        </is>
      </c>
      <c r="O3005" s="4" t="inlineStr">
        <is>
          <t>https://www.tcgplayer.com/product/644352</t>
        </is>
      </c>
    </row>
    <row r="3006">
      <c r="A3006" s="2" t="inlineStr">
        <is>
          <t>Mega Evolution Premium Checklane Blister [Tyranitar]</t>
        </is>
      </c>
      <c r="B3006" s="3">
        <f>IF(I3006&lt;&gt;"",I3006,IF(J3006&lt;&gt;"",J3006,IF(K3006&lt;&gt;"",K3006,L3006)))</f>
        <v>32.63</v>
      </c>
      <c r="C3006" s="3">
        <f>MEDIAN(I3006:L3006)</f>
        <v>32.63</v>
      </c>
      <c r="D3006" s="3">
        <f>ROUND(C3006*(1-Settings!$B$2),2)</f>
        <v>22.84</v>
      </c>
      <c r="E3006" s="3">
        <f>ROUND(C3006*(1-Settings!$B$3),2)</f>
        <v>22.84</v>
      </c>
      <c r="F3006" s="2" t="inlineStr">
        <is>
          <t>Pokemon</t>
        </is>
      </c>
      <c r="G3006" s="2" t="inlineStr">
        <is>
          <t>Pack</t>
        </is>
      </c>
      <c r="H3006" s="2" t="inlineStr">
        <is>
          <t>ME01: Mega Evolution</t>
        </is>
      </c>
      <c r="I3006" s="3" t="n"/>
      <c r="J3006" s="3" t="n">
        <v>32.63</v>
      </c>
      <c r="K3006" s="3" t="n">
        <v>40.34</v>
      </c>
      <c r="L3006" s="3" t="n">
        <v>32.07</v>
      </c>
      <c r="M3006" s="2" t="inlineStr">
        <is>
          <t>TCGplayer</t>
        </is>
      </c>
      <c r="O3006" s="4" t="inlineStr">
        <is>
          <t>https://www.tcgplayer.com/product/644360</t>
        </is>
      </c>
    </row>
    <row r="3007">
      <c r="A3007" s="2" t="inlineStr">
        <is>
          <t>Mega Evolution Single Pack Blister [Drifblim</t>
        </is>
      </c>
      <c r="B3007" s="3">
        <f>IF(I3007&lt;&gt;"",I3007,IF(J3007&lt;&gt;"",J3007,IF(K3007&lt;&gt;"",K3007,L3007)))</f>
        <v>13.57</v>
      </c>
      <c r="C3007" s="3">
        <f>MEDIAN(I3007:L3007)</f>
        <v>12.88</v>
      </c>
      <c r="D3007" s="3">
        <f>ROUND(C3007*(1-Settings!$B$2),2)</f>
        <v>9.02</v>
      </c>
      <c r="E3007" s="3">
        <f>ROUND(C3007*(1-Settings!$B$3),2)</f>
        <v>9.02</v>
      </c>
      <c r="F3007" s="2" t="inlineStr">
        <is>
          <t>Pokemon</t>
        </is>
      </c>
      <c r="G3007" s="2" t="inlineStr">
        <is>
          <t>Pack</t>
        </is>
      </c>
      <c r="H3007" s="2" t="inlineStr">
        <is>
          <t>ME01: Mega Evolution</t>
        </is>
      </c>
      <c r="I3007" s="3" t="n"/>
      <c r="J3007" s="3" t="n">
        <v>13.57</v>
      </c>
      <c r="K3007" s="3" t="n">
        <v>12.88</v>
      </c>
      <c r="L3007" s="3" t="n">
        <v>11</v>
      </c>
      <c r="M3007" s="2" t="inlineStr">
        <is>
          <t>TCGplayer</t>
        </is>
      </c>
      <c r="O3007" s="4" t="inlineStr">
        <is>
          <t>https://www.tcgplayer.com/product/644359</t>
        </is>
      </c>
    </row>
    <row r="3008">
      <c r="A3008" s="2" t="inlineStr">
        <is>
          <t>Mega Evolution Single Pack Blister [Drifloon]</t>
        </is>
      </c>
      <c r="B3008" s="3">
        <f>IF(I3008&lt;&gt;"",I3008,IF(J3008&lt;&gt;"",J3008,IF(K3008&lt;&gt;"",K3008,L3008)))</f>
        <v>13.78</v>
      </c>
      <c r="C3008" s="3">
        <f>MEDIAN(I3008:L3008)</f>
        <v>13.06</v>
      </c>
      <c r="D3008" s="3">
        <f>ROUND(C3008*(1-Settings!$B$2),2)</f>
        <v>9.14</v>
      </c>
      <c r="E3008" s="3">
        <f>ROUND(C3008*(1-Settings!$B$3),2)</f>
        <v>9.14</v>
      </c>
      <c r="F3008" s="2" t="inlineStr">
        <is>
          <t>Pokemon</t>
        </is>
      </c>
      <c r="G3008" s="2" t="inlineStr">
        <is>
          <t>Pack</t>
        </is>
      </c>
      <c r="H3008" s="2" t="inlineStr">
        <is>
          <t>ME01: Mega Evolution</t>
        </is>
      </c>
      <c r="I3008" s="3" t="n"/>
      <c r="J3008" s="3" t="n">
        <v>13.78</v>
      </c>
      <c r="K3008" s="3" t="n">
        <v>13.06</v>
      </c>
      <c r="L3008" s="3" t="n">
        <v>11</v>
      </c>
      <c r="M3008" s="2" t="inlineStr">
        <is>
          <t>TCGplayer</t>
        </is>
      </c>
      <c r="O3008" s="4" t="inlineStr">
        <is>
          <t>https://www.tcgplayer.com/product/644358</t>
        </is>
      </c>
    </row>
    <row r="3009">
      <c r="A3009" s="2" t="inlineStr">
        <is>
          <t>Mega Evolution Single Pack Blister [Lycanroc]</t>
        </is>
      </c>
      <c r="B3009" s="3">
        <f>IF(I3009&lt;&gt;"",I3009,IF(J3009&lt;&gt;"",J3009,IF(K3009&lt;&gt;"",K3009,L3009)))</f>
        <v>14.05</v>
      </c>
      <c r="C3009" s="3">
        <f>MEDIAN(I3009:L3009)</f>
        <v>14.05</v>
      </c>
      <c r="D3009" s="3">
        <f>ROUND(C3009*(1-Settings!$B$2),2)</f>
        <v>9.84</v>
      </c>
      <c r="E3009" s="3">
        <f>ROUND(C3009*(1-Settings!$B$3),2)</f>
        <v>9.84</v>
      </c>
      <c r="F3009" s="2" t="inlineStr">
        <is>
          <t>Pokemon</t>
        </is>
      </c>
      <c r="G3009" s="2" t="inlineStr">
        <is>
          <t>Pack</t>
        </is>
      </c>
      <c r="H3009" s="2" t="inlineStr">
        <is>
          <t>ME01: Mega Evolution</t>
        </is>
      </c>
      <c r="I3009" s="3" t="n"/>
      <c r="J3009" s="3" t="n">
        <v>14.05</v>
      </c>
      <c r="K3009" s="3" t="n">
        <v>14.35</v>
      </c>
      <c r="L3009" s="3" t="n">
        <v>12.99</v>
      </c>
      <c r="M3009" s="2" t="inlineStr">
        <is>
          <t>TCGplayer</t>
        </is>
      </c>
      <c r="O3009" s="4" t="inlineStr">
        <is>
          <t>https://www.tcgplayer.com/product/657490</t>
        </is>
      </c>
    </row>
    <row r="3010">
      <c r="A3010" s="2" t="inlineStr">
        <is>
          <t>Mega Evolution Single Pack Blister [Wailord]</t>
        </is>
      </c>
      <c r="B3010" s="3">
        <f>IF(I3010&lt;&gt;"",I3010,IF(J3010&lt;&gt;"",J3010,IF(K3010&lt;&gt;"",K3010,L3010)))</f>
        <v>16.28</v>
      </c>
      <c r="C3010" s="3">
        <f>MEDIAN(I3010:L3010)</f>
        <v>16.28</v>
      </c>
      <c r="D3010" s="3">
        <f>ROUND(C3010*(1-Settings!$B$2),2)</f>
        <v>11.4</v>
      </c>
      <c r="E3010" s="3">
        <f>ROUND(C3010*(1-Settings!$B$3),2)</f>
        <v>11.4</v>
      </c>
      <c r="F3010" s="2" t="inlineStr">
        <is>
          <t>Pokemon</t>
        </is>
      </c>
      <c r="G3010" s="2" t="inlineStr">
        <is>
          <t>Pack</t>
        </is>
      </c>
      <c r="H3010" s="2" t="inlineStr">
        <is>
          <t>ME01: Mega Evolution</t>
        </is>
      </c>
      <c r="I3010" s="3" t="n"/>
      <c r="J3010" s="3" t="n">
        <v>16.28</v>
      </c>
      <c r="K3010" s="3" t="n">
        <v>17.94</v>
      </c>
      <c r="L3010" s="3" t="n">
        <v>14.99</v>
      </c>
      <c r="M3010" s="2" t="inlineStr">
        <is>
          <t>TCGplayer</t>
        </is>
      </c>
      <c r="O3010" s="4" t="inlineStr">
        <is>
          <t>https://www.tcgplayer.com/product/657489</t>
        </is>
      </c>
    </row>
    <row r="3011">
      <c r="A3011" s="2" t="inlineStr">
        <is>
          <t>Mega Evolution Sleeved Booster Pack</t>
        </is>
      </c>
      <c r="B3011" s="3">
        <f>IF(I3011&lt;&gt;"",I3011,IF(J3011&lt;&gt;"",J3011,IF(K3011&lt;&gt;"",K3011,L3011)))</f>
        <v>9.83</v>
      </c>
      <c r="C3011" s="3">
        <f>MEDIAN(I3011:L3011)</f>
        <v>9.83</v>
      </c>
      <c r="D3011" s="3">
        <f>ROUND(C3011*(1-Settings!$B$2),2)</f>
        <v>6.88</v>
      </c>
      <c r="E3011" s="3">
        <f>ROUND(C3011*(1-Settings!$B$3),2)</f>
        <v>6.88</v>
      </c>
      <c r="F3011" s="2" t="inlineStr">
        <is>
          <t>Pokemon</t>
        </is>
      </c>
      <c r="G3011" s="2" t="inlineStr">
        <is>
          <t>Pack</t>
        </is>
      </c>
      <c r="H3011" s="2" t="inlineStr">
        <is>
          <t>ME01: Mega Evolution</t>
        </is>
      </c>
      <c r="I3011" s="3" t="n"/>
      <c r="J3011" s="3" t="n">
        <v>9.83</v>
      </c>
      <c r="K3011" s="3" t="n">
        <v>10.53</v>
      </c>
      <c r="L3011" s="3" t="n">
        <v>0.01</v>
      </c>
      <c r="M3011" s="2" t="inlineStr">
        <is>
          <t>TCGplayer</t>
        </is>
      </c>
      <c r="O3011" s="4" t="inlineStr">
        <is>
          <t>https://www.tcgplayer.com/product/644354</t>
        </is>
      </c>
    </row>
    <row r="3012">
      <c r="A3012" s="2" t="inlineStr">
        <is>
          <t>Phantasmal Flames 3 Pack Blister [Sneasel]</t>
        </is>
      </c>
      <c r="B3012" s="3">
        <f>IF(I3012&lt;&gt;"",I3012,IF(J3012&lt;&gt;"",J3012,IF(K3012&lt;&gt;"",K3012,L3012)))</f>
        <v>43.02</v>
      </c>
      <c r="C3012" s="3">
        <f>MEDIAN(I3012:L3012)</f>
        <v>43.02</v>
      </c>
      <c r="D3012" s="3">
        <f>ROUND(C3012*(1-Settings!$B$2),2)</f>
        <v>30.11</v>
      </c>
      <c r="E3012" s="3">
        <f>ROUND(C3012*(1-Settings!$B$3),2)</f>
        <v>30.11</v>
      </c>
      <c r="F3012" s="2" t="inlineStr">
        <is>
          <t>Pokemon</t>
        </is>
      </c>
      <c r="G3012" s="2" t="inlineStr">
        <is>
          <t>Pack</t>
        </is>
      </c>
      <c r="H3012" s="2" t="inlineStr">
        <is>
          <t>ME02: Phantasmal Flames</t>
        </is>
      </c>
      <c r="I3012" s="3" t="n"/>
      <c r="J3012" s="3" t="n">
        <v>43.02</v>
      </c>
      <c r="K3012" s="3" t="n">
        <v>45</v>
      </c>
      <c r="L3012" s="3" t="n">
        <v>35.99</v>
      </c>
      <c r="M3012" s="2" t="inlineStr">
        <is>
          <t>TCGplayer</t>
        </is>
      </c>
      <c r="O3012" s="4" t="inlineStr">
        <is>
          <t>https://www.tcgplayer.com/product/654154</t>
        </is>
      </c>
    </row>
    <row r="3013">
      <c r="A3013" s="2" t="inlineStr">
        <is>
          <t>Phantasmal Flames 3 Pack Blister [Weavile]</t>
        </is>
      </c>
      <c r="B3013" s="3">
        <f>IF(I3013&lt;&gt;"",I3013,IF(J3013&lt;&gt;"",J3013,IF(K3013&lt;&gt;"",K3013,L3013)))</f>
        <v>43.49</v>
      </c>
      <c r="C3013" s="3">
        <f>MEDIAN(I3013:L3013)</f>
        <v>43.49</v>
      </c>
      <c r="D3013" s="3">
        <f>ROUND(C3013*(1-Settings!$B$2),2)</f>
        <v>30.44</v>
      </c>
      <c r="E3013" s="3">
        <f>ROUND(C3013*(1-Settings!$B$3),2)</f>
        <v>30.44</v>
      </c>
      <c r="F3013" s="2" t="inlineStr">
        <is>
          <t>Pokemon</t>
        </is>
      </c>
      <c r="G3013" s="2" t="inlineStr">
        <is>
          <t>Pack</t>
        </is>
      </c>
      <c r="H3013" s="2" t="inlineStr">
        <is>
          <t>ME02: Phantasmal Flames</t>
        </is>
      </c>
      <c r="I3013" s="3" t="n"/>
      <c r="J3013" s="3" t="n">
        <v>43.49</v>
      </c>
      <c r="K3013" s="3" t="n">
        <v>49.99</v>
      </c>
      <c r="L3013" s="3" t="n">
        <v>39</v>
      </c>
      <c r="M3013" s="2" t="inlineStr">
        <is>
          <t>TCGplayer</t>
        </is>
      </c>
      <c r="O3013" s="4" t="inlineStr">
        <is>
          <t>https://www.tcgplayer.com/product/654156</t>
        </is>
      </c>
    </row>
    <row r="3014">
      <c r="A3014" s="2" t="inlineStr">
        <is>
          <t>Phantasmal Flames Booster Pack</t>
        </is>
      </c>
      <c r="B3014" s="3">
        <f>IF(I3014&lt;&gt;"",I3014,IF(J3014&lt;&gt;"",J3014,IF(K3014&lt;&gt;"",K3014,L3014)))</f>
        <v>12.31</v>
      </c>
      <c r="C3014" s="3">
        <f>MEDIAN(I3014:L3014)</f>
        <v>12.31</v>
      </c>
      <c r="D3014" s="3">
        <f>ROUND(C3014*(1-Settings!$B$2),2)</f>
        <v>8.62</v>
      </c>
      <c r="E3014" s="3">
        <f>ROUND(C3014*(1-Settings!$B$3),2)</f>
        <v>8.62</v>
      </c>
      <c r="F3014" s="2" t="inlineStr">
        <is>
          <t>Pokemon</t>
        </is>
      </c>
      <c r="G3014" s="2" t="inlineStr">
        <is>
          <t>Pack</t>
        </is>
      </c>
      <c r="H3014" s="2" t="inlineStr">
        <is>
          <t>ME02: Phantasmal Flames</t>
        </is>
      </c>
      <c r="I3014" s="3" t="n"/>
      <c r="J3014" s="3" t="n">
        <v>12.31</v>
      </c>
      <c r="K3014" s="3" t="n">
        <v>13</v>
      </c>
      <c r="L3014" s="3" t="n">
        <v>2.4</v>
      </c>
      <c r="M3014" s="2" t="inlineStr">
        <is>
          <t>TCGplayer</t>
        </is>
      </c>
      <c r="O3014" s="4" t="inlineStr">
        <is>
          <t>https://www.tcgplayer.com/product/654144</t>
        </is>
      </c>
    </row>
    <row r="3015">
      <c r="A3015" s="2" t="inlineStr">
        <is>
          <t>Phantasmal Flames Premium Checklane Blister [Ethan's Magcargo]</t>
        </is>
      </c>
      <c r="B3015" s="3">
        <f>IF(I3015&lt;&gt;"",I3015,IF(J3015&lt;&gt;"",J3015,IF(K3015&lt;&gt;"",K3015,L3015)))</f>
        <v>15.96</v>
      </c>
      <c r="C3015" s="3">
        <f>MEDIAN(I3015:L3015)</f>
        <v>15.96</v>
      </c>
      <c r="D3015" s="3">
        <f>ROUND(C3015*(1-Settings!$B$2),2)</f>
        <v>11.17</v>
      </c>
      <c r="E3015" s="3">
        <f>ROUND(C3015*(1-Settings!$B$3),2)</f>
        <v>11.17</v>
      </c>
      <c r="F3015" s="2" t="inlineStr">
        <is>
          <t>Pokemon</t>
        </is>
      </c>
      <c r="G3015" s="2" t="inlineStr">
        <is>
          <t>Pack</t>
        </is>
      </c>
      <c r="H3015" s="2" t="inlineStr">
        <is>
          <t>ME02: Phantasmal Flames</t>
        </is>
      </c>
      <c r="I3015" s="3" t="n"/>
      <c r="J3015" s="3" t="n">
        <v>15.96</v>
      </c>
      <c r="K3015" s="3" t="n">
        <v>17.98</v>
      </c>
      <c r="L3015" s="3" t="n">
        <v>12.99</v>
      </c>
      <c r="M3015" s="2" t="inlineStr">
        <is>
          <t>TCGplayer</t>
        </is>
      </c>
      <c r="O3015" s="4" t="inlineStr">
        <is>
          <t>https://www.tcgplayer.com/product/672588</t>
        </is>
      </c>
    </row>
    <row r="3016">
      <c r="A3016" s="2" t="inlineStr">
        <is>
          <t>Phantasmal Flames Premium Checklane Blister [Hydrapple]</t>
        </is>
      </c>
      <c r="B3016" s="3">
        <f>IF(I3016&lt;&gt;"",I3016,IF(J3016&lt;&gt;"",J3016,IF(K3016&lt;&gt;"",K3016,L3016)))</f>
        <v>31.53</v>
      </c>
      <c r="C3016" s="3">
        <f>MEDIAN(I3016:L3016)</f>
        <v>31.53</v>
      </c>
      <c r="D3016" s="3">
        <f>ROUND(C3016*(1-Settings!$B$2),2)</f>
        <v>22.07</v>
      </c>
      <c r="E3016" s="3">
        <f>ROUND(C3016*(1-Settings!$B$3),2)</f>
        <v>22.07</v>
      </c>
      <c r="F3016" s="2" t="inlineStr">
        <is>
          <t>Pokemon</t>
        </is>
      </c>
      <c r="G3016" s="2" t="inlineStr">
        <is>
          <t>Pack</t>
        </is>
      </c>
      <c r="H3016" s="2" t="inlineStr">
        <is>
          <t>ME02: Phantasmal Flames</t>
        </is>
      </c>
      <c r="I3016" s="3" t="n"/>
      <c r="J3016" s="3" t="n">
        <v>31.53</v>
      </c>
      <c r="K3016" s="3" t="n">
        <v>32.69</v>
      </c>
      <c r="L3016" s="3" t="n">
        <v>26.99</v>
      </c>
      <c r="M3016" s="2" t="inlineStr">
        <is>
          <t>TCGplayer</t>
        </is>
      </c>
      <c r="O3016" s="4" t="inlineStr">
        <is>
          <t>https://www.tcgplayer.com/product/654146</t>
        </is>
      </c>
    </row>
    <row r="3017">
      <c r="A3017" s="2" t="inlineStr">
        <is>
          <t>Phantasmal Flames Single Pack Blister [Cottonee]</t>
        </is>
      </c>
      <c r="B3017" s="3">
        <f>IF(I3017&lt;&gt;"",I3017,IF(J3017&lt;&gt;"",J3017,IF(K3017&lt;&gt;"",K3017,L3017)))</f>
        <v>12.88</v>
      </c>
      <c r="C3017" s="3">
        <f>MEDIAN(I3017:L3017)</f>
        <v>12.88</v>
      </c>
      <c r="D3017" s="3">
        <f>ROUND(C3017*(1-Settings!$B$2),2)</f>
        <v>9.02</v>
      </c>
      <c r="E3017" s="3">
        <f>ROUND(C3017*(1-Settings!$B$3),2)</f>
        <v>9.02</v>
      </c>
      <c r="F3017" s="2" t="inlineStr">
        <is>
          <t>Pokemon</t>
        </is>
      </c>
      <c r="G3017" s="2" t="inlineStr">
        <is>
          <t>Pack</t>
        </is>
      </c>
      <c r="H3017" s="2" t="inlineStr">
        <is>
          <t>ME02: Phantasmal Flames</t>
        </is>
      </c>
      <c r="I3017" s="3" t="n"/>
      <c r="J3017" s="3" t="n">
        <v>12.88</v>
      </c>
      <c r="K3017" s="3" t="n">
        <v>12.99</v>
      </c>
      <c r="L3017" s="3" t="n">
        <v>1.5</v>
      </c>
      <c r="M3017" s="2" t="inlineStr">
        <is>
          <t>TCGplayer</t>
        </is>
      </c>
      <c r="O3017" s="4" t="inlineStr">
        <is>
          <t>https://www.tcgplayer.com/product/654151</t>
        </is>
      </c>
    </row>
    <row r="3018">
      <c r="A3018" s="2" t="inlineStr">
        <is>
          <t>Phantasmal Flames Single Pack Blister [Whimsicott]</t>
        </is>
      </c>
      <c r="B3018" s="3">
        <f>IF(I3018&lt;&gt;"",I3018,IF(J3018&lt;&gt;"",J3018,IF(K3018&lt;&gt;"",K3018,L3018)))</f>
        <v>12.79</v>
      </c>
      <c r="C3018" s="3">
        <f>MEDIAN(I3018:L3018)</f>
        <v>12.79</v>
      </c>
      <c r="D3018" s="3">
        <f>ROUND(C3018*(1-Settings!$B$2),2)</f>
        <v>8.95</v>
      </c>
      <c r="E3018" s="3">
        <f>ROUND(C3018*(1-Settings!$B$3),2)</f>
        <v>8.95</v>
      </c>
      <c r="F3018" s="2" t="inlineStr">
        <is>
          <t>Pokemon</t>
        </is>
      </c>
      <c r="G3018" s="2" t="inlineStr">
        <is>
          <t>Pack</t>
        </is>
      </c>
      <c r="H3018" s="2" t="inlineStr">
        <is>
          <t>ME02: Phantasmal Flames</t>
        </is>
      </c>
      <c r="I3018" s="3" t="n"/>
      <c r="J3018" s="3" t="n">
        <v>12.79</v>
      </c>
      <c r="K3018" s="3" t="n">
        <v>13</v>
      </c>
      <c r="L3018" s="3" t="n">
        <v>1.5</v>
      </c>
      <c r="M3018" s="2" t="inlineStr">
        <is>
          <t>TCGplayer</t>
        </is>
      </c>
      <c r="O3018" s="4" t="inlineStr">
        <is>
          <t>https://www.tcgplayer.com/product/654150</t>
        </is>
      </c>
    </row>
    <row r="3019">
      <c r="A3019" s="2" t="inlineStr">
        <is>
          <t>Phantasmal Flames Sleeved Booster Pack</t>
        </is>
      </c>
      <c r="B3019" s="3">
        <f>IF(I3019&lt;&gt;"",I3019,IF(J3019&lt;&gt;"",J3019,IF(K3019&lt;&gt;"",K3019,L3019)))</f>
        <v>14.2</v>
      </c>
      <c r="C3019" s="3">
        <f>MEDIAN(I3019:L3019)</f>
        <v>14.2</v>
      </c>
      <c r="D3019" s="3">
        <f>ROUND(C3019*(1-Settings!$B$2),2)</f>
        <v>9.94</v>
      </c>
      <c r="E3019" s="3">
        <f>ROUND(C3019*(1-Settings!$B$3),2)</f>
        <v>9.94</v>
      </c>
      <c r="F3019" s="2" t="inlineStr">
        <is>
          <t>Pokemon</t>
        </is>
      </c>
      <c r="G3019" s="2" t="inlineStr">
        <is>
          <t>Pack</t>
        </is>
      </c>
      <c r="H3019" s="2" t="inlineStr">
        <is>
          <t>ME02: Phantasmal Flames</t>
        </is>
      </c>
      <c r="I3019" s="3" t="n"/>
      <c r="J3019" s="3" t="n">
        <v>14.2</v>
      </c>
      <c r="K3019" s="3" t="n">
        <v>15</v>
      </c>
      <c r="L3019" s="3" t="n">
        <v>10</v>
      </c>
      <c r="M3019" s="2" t="inlineStr">
        <is>
          <t>TCGplayer</t>
        </is>
      </c>
      <c r="O3019" s="4" t="inlineStr">
        <is>
          <t>https://www.tcgplayer.com/product/654145</t>
        </is>
      </c>
    </row>
    <row r="3020">
      <c r="A3020" s="2" t="inlineStr">
        <is>
          <t>Perfect Order 3 Pack Blister [Chikorita]</t>
        </is>
      </c>
      <c r="B3020" s="3">
        <f>IF(I3020&lt;&gt;"",I3020,IF(J3020&lt;&gt;"",J3020,IF(K3020&lt;&gt;"",K3020,L3020)))</f>
        <v>19.52</v>
      </c>
      <c r="C3020" s="3">
        <f>MEDIAN(I3020:L3020)</f>
        <v>19.52</v>
      </c>
      <c r="D3020" s="3">
        <f>ROUND(C3020*(1-Settings!$B$2),2)</f>
        <v>13.66</v>
      </c>
      <c r="E3020" s="3">
        <f>ROUND(C3020*(1-Settings!$B$3),2)</f>
        <v>13.66</v>
      </c>
      <c r="F3020" s="2" t="inlineStr">
        <is>
          <t>Pokemon</t>
        </is>
      </c>
      <c r="G3020" s="2" t="inlineStr">
        <is>
          <t>Pack</t>
        </is>
      </c>
      <c r="H3020" s="2" t="inlineStr">
        <is>
          <t>ME03: Perfect Order</t>
        </is>
      </c>
      <c r="I3020" s="3" t="n"/>
      <c r="J3020" s="3" t="n">
        <v>19.52</v>
      </c>
      <c r="K3020" s="3" t="n">
        <v>22</v>
      </c>
      <c r="L3020" s="3" t="n">
        <v>13.99</v>
      </c>
      <c r="M3020" s="2" t="inlineStr">
        <is>
          <t>TCGplayer</t>
        </is>
      </c>
      <c r="O3020" s="4" t="inlineStr">
        <is>
          <t>https://www.tcgplayer.com/product/672393</t>
        </is>
      </c>
    </row>
    <row r="3021">
      <c r="A3021" s="2" t="inlineStr">
        <is>
          <t>Perfect Order Booster Pack</t>
        </is>
      </c>
      <c r="B3021" s="3">
        <f>IF(I3021&lt;&gt;"",I3021,IF(J3021&lt;&gt;"",J3021,IF(K3021&lt;&gt;"",K3021,L3021)))</f>
        <v>5.96</v>
      </c>
      <c r="C3021" s="3">
        <f>MEDIAN(I3021:L3021)</f>
        <v>5.96</v>
      </c>
      <c r="D3021" s="3">
        <f>ROUND(C3021*(1-Settings!$B$2),2)</f>
        <v>4.17</v>
      </c>
      <c r="E3021" s="3">
        <f>ROUND(C3021*(1-Settings!$B$3),2)</f>
        <v>4.17</v>
      </c>
      <c r="F3021" s="2" t="inlineStr">
        <is>
          <t>Pokemon</t>
        </is>
      </c>
      <c r="G3021" s="2" t="inlineStr">
        <is>
          <t>Pack</t>
        </is>
      </c>
      <c r="H3021" s="2" t="inlineStr">
        <is>
          <t>ME03: Perfect Order</t>
        </is>
      </c>
      <c r="I3021" s="3" t="n"/>
      <c r="J3021" s="3" t="n">
        <v>5.96</v>
      </c>
      <c r="K3021" s="3" t="n">
        <v>6.22</v>
      </c>
      <c r="L3021" s="3" t="n">
        <v>4.49</v>
      </c>
      <c r="M3021" s="2" t="inlineStr">
        <is>
          <t>TCGplayer</t>
        </is>
      </c>
      <c r="O3021" s="4" t="inlineStr">
        <is>
          <t>https://www.tcgplayer.com/product/672398</t>
        </is>
      </c>
    </row>
    <row r="3022">
      <c r="A3022" s="2" t="inlineStr">
        <is>
          <t>Perfect Order Fun Pack</t>
        </is>
      </c>
      <c r="B3022" s="3">
        <f>IF(I3022&lt;&gt;"",I3022,IF(J3022&lt;&gt;"",J3022,IF(K3022&lt;&gt;"",K3022,L3022)))</f>
        <v>6.8</v>
      </c>
      <c r="C3022" s="3">
        <f>MEDIAN(I3022:L3022)</f>
        <v>6.8</v>
      </c>
      <c r="D3022" s="3">
        <f>ROUND(C3022*(1-Settings!$B$2),2)</f>
        <v>4.76</v>
      </c>
      <c r="E3022" s="3">
        <f>ROUND(C3022*(1-Settings!$B$3),2)</f>
        <v>4.76</v>
      </c>
      <c r="F3022" s="2" t="inlineStr">
        <is>
          <t>Pokemon</t>
        </is>
      </c>
      <c r="G3022" s="2" t="inlineStr">
        <is>
          <t>Pack</t>
        </is>
      </c>
      <c r="H3022" s="2" t="inlineStr">
        <is>
          <t>ME03: Perfect Order</t>
        </is>
      </c>
      <c r="I3022" s="3" t="n"/>
      <c r="J3022" s="3" t="n">
        <v>6.8</v>
      </c>
      <c r="K3022" s="3" t="n"/>
      <c r="L3022" s="3" t="n"/>
      <c r="M3022" s="2" t="inlineStr">
        <is>
          <t>TCGplayer</t>
        </is>
      </c>
      <c r="O3022" s="4" t="inlineStr">
        <is>
          <t>https://www.tcgplayer.com/product/715707</t>
        </is>
      </c>
    </row>
    <row r="3023">
      <c r="A3023" s="2" t="inlineStr">
        <is>
          <t>Perfect Order Premium Checklane Blister [Cinderace Line]</t>
        </is>
      </c>
      <c r="B3023" s="3">
        <f>IF(I3023&lt;&gt;"",I3023,IF(J3023&lt;&gt;"",J3023,IF(K3023&lt;&gt;"",K3023,L3023)))</f>
        <v>15.4</v>
      </c>
      <c r="C3023" s="3">
        <f>MEDIAN(I3023:L3023)</f>
        <v>15.4</v>
      </c>
      <c r="D3023" s="3">
        <f>ROUND(C3023*(1-Settings!$B$2),2)</f>
        <v>10.78</v>
      </c>
      <c r="E3023" s="3">
        <f>ROUND(C3023*(1-Settings!$B$3),2)</f>
        <v>10.78</v>
      </c>
      <c r="F3023" s="2" t="inlineStr">
        <is>
          <t>Pokemon</t>
        </is>
      </c>
      <c r="G3023" s="2" t="inlineStr">
        <is>
          <t>Pack</t>
        </is>
      </c>
      <c r="H3023" s="2" t="inlineStr">
        <is>
          <t>ME03: Perfect Order</t>
        </is>
      </c>
      <c r="I3023" s="3" t="n"/>
      <c r="J3023" s="3" t="n">
        <v>15.4</v>
      </c>
      <c r="K3023" s="3" t="n">
        <v>23.2</v>
      </c>
      <c r="L3023" s="3" t="n">
        <v>12.99</v>
      </c>
      <c r="M3023" s="2" t="inlineStr">
        <is>
          <t>TCGplayer</t>
        </is>
      </c>
      <c r="O3023" s="4" t="inlineStr">
        <is>
          <t>https://www.tcgplayer.com/product/672407</t>
        </is>
      </c>
    </row>
    <row r="3024">
      <c r="A3024" s="2" t="inlineStr">
        <is>
          <t>Perfect Order Premium Checklane Blister [Clawitzer Line]</t>
        </is>
      </c>
      <c r="B3024" s="3">
        <f>IF(I3024&lt;&gt;"",I3024,IF(J3024&lt;&gt;"",J3024,IF(K3024&lt;&gt;"",K3024,L3024)))</f>
        <v>14.34</v>
      </c>
      <c r="C3024" s="3">
        <f>MEDIAN(I3024:L3024)</f>
        <v>14.34</v>
      </c>
      <c r="D3024" s="3">
        <f>ROUND(C3024*(1-Settings!$B$2),2)</f>
        <v>10.04</v>
      </c>
      <c r="E3024" s="3">
        <f>ROUND(C3024*(1-Settings!$B$3),2)</f>
        <v>10.04</v>
      </c>
      <c r="F3024" s="2" t="inlineStr">
        <is>
          <t>Pokemon</t>
        </is>
      </c>
      <c r="G3024" s="2" t="inlineStr">
        <is>
          <t>Pack</t>
        </is>
      </c>
      <c r="H3024" s="2" t="inlineStr">
        <is>
          <t>ME03: Perfect Order</t>
        </is>
      </c>
      <c r="I3024" s="3" t="n"/>
      <c r="J3024" s="3" t="n">
        <v>14.34</v>
      </c>
      <c r="K3024" s="3" t="n">
        <v>14.92</v>
      </c>
      <c r="L3024" s="3" t="n">
        <v>10</v>
      </c>
      <c r="M3024" s="2" t="inlineStr">
        <is>
          <t>TCGplayer</t>
        </is>
      </c>
      <c r="O3024" s="4" t="inlineStr">
        <is>
          <t>https://www.tcgplayer.com/product/672409</t>
        </is>
      </c>
    </row>
    <row r="3025">
      <c r="A3025" s="2" t="inlineStr">
        <is>
          <t>Perfect Order Premium Checklane Blister [Meganium Line]</t>
        </is>
      </c>
      <c r="B3025" s="3">
        <f>IF(I3025&lt;&gt;"",I3025,IF(J3025&lt;&gt;"",J3025,IF(K3025&lt;&gt;"",K3025,L3025)))</f>
        <v>17.58</v>
      </c>
      <c r="C3025" s="3">
        <f>MEDIAN(I3025:L3025)</f>
        <v>17.58</v>
      </c>
      <c r="D3025" s="3">
        <f>ROUND(C3025*(1-Settings!$B$2),2)</f>
        <v>12.31</v>
      </c>
      <c r="E3025" s="3">
        <f>ROUND(C3025*(1-Settings!$B$3),2)</f>
        <v>12.31</v>
      </c>
      <c r="F3025" s="2" t="inlineStr">
        <is>
          <t>Pokemon</t>
        </is>
      </c>
      <c r="G3025" s="2" t="inlineStr">
        <is>
          <t>Pack</t>
        </is>
      </c>
      <c r="H3025" s="2" t="inlineStr">
        <is>
          <t>ME03: Perfect Order</t>
        </is>
      </c>
      <c r="I3025" s="3" t="n"/>
      <c r="J3025" s="3" t="n">
        <v>17.58</v>
      </c>
      <c r="K3025" s="3" t="n">
        <v>18.19</v>
      </c>
      <c r="L3025" s="3" t="n">
        <v>10.99</v>
      </c>
      <c r="M3025" s="2" t="inlineStr">
        <is>
          <t>TCGplayer</t>
        </is>
      </c>
      <c r="O3025" s="4" t="inlineStr">
        <is>
          <t>https://www.tcgplayer.com/product/672406</t>
        </is>
      </c>
    </row>
    <row r="3026">
      <c r="A3026" s="2" t="inlineStr">
        <is>
          <t>Perfect Order Premium Checklane Blister [Steelix Line]</t>
        </is>
      </c>
      <c r="B3026" s="3">
        <f>IF(I3026&lt;&gt;"",I3026,IF(J3026&lt;&gt;"",J3026,IF(K3026&lt;&gt;"",K3026,L3026)))</f>
        <v>15.56</v>
      </c>
      <c r="C3026" s="3">
        <f>MEDIAN(I3026:L3026)</f>
        <v>15.0</v>
      </c>
      <c r="D3026" s="3">
        <f>ROUND(C3026*(1-Settings!$B$2),2)</f>
        <v>10.5</v>
      </c>
      <c r="E3026" s="3">
        <f>ROUND(C3026*(1-Settings!$B$3),2)</f>
        <v>10.5</v>
      </c>
      <c r="F3026" s="2" t="inlineStr">
        <is>
          <t>Pokemon</t>
        </is>
      </c>
      <c r="G3026" s="2" t="inlineStr">
        <is>
          <t>Pack</t>
        </is>
      </c>
      <c r="H3026" s="2" t="inlineStr">
        <is>
          <t>ME03: Perfect Order</t>
        </is>
      </c>
      <c r="I3026" s="3" t="n"/>
      <c r="J3026" s="3" t="n">
        <v>15.56</v>
      </c>
      <c r="K3026" s="3" t="n">
        <v>15</v>
      </c>
      <c r="L3026" s="3" t="n">
        <v>14</v>
      </c>
      <c r="M3026" s="2" t="inlineStr">
        <is>
          <t>TCGplayer</t>
        </is>
      </c>
      <c r="O3026" s="4" t="inlineStr">
        <is>
          <t>https://www.tcgplayer.com/product/672408</t>
        </is>
      </c>
    </row>
    <row r="3027">
      <c r="A3027" s="2" t="inlineStr">
        <is>
          <t>Perfect Order Single Pack Blister [Makuhita]</t>
        </is>
      </c>
      <c r="B3027" s="3">
        <f>IF(I3027&lt;&gt;"",I3027,IF(J3027&lt;&gt;"",J3027,IF(K3027&lt;&gt;"",K3027,L3027)))</f>
        <v>7.56</v>
      </c>
      <c r="C3027" s="3">
        <f>MEDIAN(I3027:L3027)</f>
        <v>7.56</v>
      </c>
      <c r="D3027" s="3">
        <f>ROUND(C3027*(1-Settings!$B$2),2)</f>
        <v>5.29</v>
      </c>
      <c r="E3027" s="3">
        <f>ROUND(C3027*(1-Settings!$B$3),2)</f>
        <v>5.29</v>
      </c>
      <c r="F3027" s="2" t="inlineStr">
        <is>
          <t>Pokemon</t>
        </is>
      </c>
      <c r="G3027" s="2" t="inlineStr">
        <is>
          <t>Pack</t>
        </is>
      </c>
      <c r="H3027" s="2" t="inlineStr">
        <is>
          <t>ME03: Perfect Order</t>
        </is>
      </c>
      <c r="I3027" s="3" t="n"/>
      <c r="J3027" s="3" t="n">
        <v>7.56</v>
      </c>
      <c r="K3027" s="3" t="n">
        <v>9</v>
      </c>
      <c r="L3027" s="3" t="n">
        <v>6</v>
      </c>
      <c r="M3027" s="2" t="inlineStr">
        <is>
          <t>TCGplayer</t>
        </is>
      </c>
      <c r="O3027" s="4" t="inlineStr">
        <is>
          <t>https://www.tcgplayer.com/product/672410</t>
        </is>
      </c>
    </row>
    <row r="3028">
      <c r="A3028" s="2" t="inlineStr">
        <is>
          <t>Perfect Order Sleeved Booster Pack</t>
        </is>
      </c>
      <c r="B3028" s="3">
        <f>IF(I3028&lt;&gt;"",I3028,IF(J3028&lt;&gt;"",J3028,IF(K3028&lt;&gt;"",K3028,L3028)))</f>
        <v>7.49</v>
      </c>
      <c r="C3028" s="3">
        <f>MEDIAN(I3028:L3028)</f>
        <v>7.49</v>
      </c>
      <c r="D3028" s="3">
        <f>ROUND(C3028*(1-Settings!$B$2),2)</f>
        <v>5.24</v>
      </c>
      <c r="E3028" s="3">
        <f>ROUND(C3028*(1-Settings!$B$3),2)</f>
        <v>5.24</v>
      </c>
      <c r="F3028" s="2" t="inlineStr">
        <is>
          <t>Pokemon</t>
        </is>
      </c>
      <c r="G3028" s="2" t="inlineStr">
        <is>
          <t>Pack</t>
        </is>
      </c>
      <c r="H3028" s="2" t="inlineStr">
        <is>
          <t>ME03: Perfect Order</t>
        </is>
      </c>
      <c r="I3028" s="3" t="n"/>
      <c r="J3028" s="3" t="n">
        <v>7.49</v>
      </c>
      <c r="K3028" s="3" t="n">
        <v>8.619999999999999</v>
      </c>
      <c r="L3028" s="3" t="n">
        <v>5.49</v>
      </c>
      <c r="M3028" s="2" t="inlineStr">
        <is>
          <t>TCGplayer</t>
        </is>
      </c>
      <c r="O3028" s="4" t="inlineStr">
        <is>
          <t>https://www.tcgplayer.com/product/672412</t>
        </is>
      </c>
    </row>
    <row r="3029">
      <c r="A3029" s="2" t="inlineStr">
        <is>
          <t>Chaos Rising Booster Pack</t>
        </is>
      </c>
      <c r="B3029" s="3">
        <f>IF(I3029&lt;&gt;"",I3029,IF(J3029&lt;&gt;"",J3029,IF(K3029&lt;&gt;"",K3029,L3029)))</f>
        <v>6.12</v>
      </c>
      <c r="C3029" s="3">
        <f>MEDIAN(I3029:L3029)</f>
        <v>6.12</v>
      </c>
      <c r="D3029" s="3">
        <f>ROUND(C3029*(1-Settings!$B$2),2)</f>
        <v>4.28</v>
      </c>
      <c r="E3029" s="3">
        <f>ROUND(C3029*(1-Settings!$B$3),2)</f>
        <v>4.28</v>
      </c>
      <c r="F3029" s="2" t="inlineStr">
        <is>
          <t>Pokemon</t>
        </is>
      </c>
      <c r="G3029" s="2" t="inlineStr">
        <is>
          <t>Pack</t>
        </is>
      </c>
      <c r="H3029" s="2" t="inlineStr">
        <is>
          <t>ME04: Chaos Rising</t>
        </is>
      </c>
      <c r="I3029" s="3" t="n"/>
      <c r="J3029" s="3" t="n">
        <v>6.12</v>
      </c>
      <c r="K3029" s="3" t="n">
        <v>6.5</v>
      </c>
      <c r="L3029" s="3" t="n">
        <v>2.49</v>
      </c>
      <c r="M3029" s="2" t="inlineStr">
        <is>
          <t>TCGplayer</t>
        </is>
      </c>
      <c r="O3029" s="4" t="inlineStr">
        <is>
          <t>https://www.tcgplayer.com/product/684446</t>
        </is>
      </c>
    </row>
    <row r="3030">
      <c r="A3030" s="2" t="inlineStr">
        <is>
          <t>Chaos Rising Premium Checklane Blister [Flygon Line]</t>
        </is>
      </c>
      <c r="B3030" s="3">
        <f>IF(I3030&lt;&gt;"",I3030,IF(J3030&lt;&gt;"",J3030,IF(K3030&lt;&gt;"",K3030,L3030)))</f>
        <v>14.73</v>
      </c>
      <c r="C3030" s="3">
        <f>MEDIAN(I3030:L3030)</f>
        <v>14.73</v>
      </c>
      <c r="D3030" s="3">
        <f>ROUND(C3030*(1-Settings!$B$2),2)</f>
        <v>10.31</v>
      </c>
      <c r="E3030" s="3">
        <f>ROUND(C3030*(1-Settings!$B$3),2)</f>
        <v>10.31</v>
      </c>
      <c r="F3030" s="2" t="inlineStr">
        <is>
          <t>Pokemon</t>
        </is>
      </c>
      <c r="G3030" s="2" t="inlineStr">
        <is>
          <t>Pack</t>
        </is>
      </c>
      <c r="H3030" s="2" t="inlineStr">
        <is>
          <t>ME04: Chaos Rising</t>
        </is>
      </c>
      <c r="I3030" s="3" t="n"/>
      <c r="J3030" s="3" t="n">
        <v>14.73</v>
      </c>
      <c r="K3030" s="3" t="n">
        <v>16.5</v>
      </c>
      <c r="L3030" s="3" t="n">
        <v>8.710000000000001</v>
      </c>
      <c r="M3030" s="2" t="inlineStr">
        <is>
          <t>TCGplayer</t>
        </is>
      </c>
      <c r="O3030" s="4" t="inlineStr">
        <is>
          <t>https://www.tcgplayer.com/product/684460</t>
        </is>
      </c>
    </row>
    <row r="3031">
      <c r="A3031" s="2" t="inlineStr">
        <is>
          <t>Chaos Rising Premium Checklane Blister [Pawmot Line]</t>
        </is>
      </c>
      <c r="B3031" s="3">
        <f>IF(I3031&lt;&gt;"",I3031,IF(J3031&lt;&gt;"",J3031,IF(K3031&lt;&gt;"",K3031,L3031)))</f>
        <v>14.54</v>
      </c>
      <c r="C3031" s="3">
        <f>MEDIAN(I3031:L3031)</f>
        <v>14.54</v>
      </c>
      <c r="D3031" s="3">
        <f>ROUND(C3031*(1-Settings!$B$2),2)</f>
        <v>10.18</v>
      </c>
      <c r="E3031" s="3">
        <f>ROUND(C3031*(1-Settings!$B$3),2)</f>
        <v>10.18</v>
      </c>
      <c r="F3031" s="2" t="inlineStr">
        <is>
          <t>Pokemon</t>
        </is>
      </c>
      <c r="G3031" s="2" t="inlineStr">
        <is>
          <t>Pack</t>
        </is>
      </c>
      <c r="H3031" s="2" t="inlineStr">
        <is>
          <t>ME04: Chaos Rising</t>
        </is>
      </c>
      <c r="I3031" s="3" t="n"/>
      <c r="J3031" s="3" t="n">
        <v>14.54</v>
      </c>
      <c r="K3031" s="3" t="n">
        <v>16.59</v>
      </c>
      <c r="L3031" s="3" t="n">
        <v>7</v>
      </c>
      <c r="M3031" s="2" t="inlineStr">
        <is>
          <t>TCGplayer</t>
        </is>
      </c>
      <c r="O3031" s="4" t="inlineStr">
        <is>
          <t>https://www.tcgplayer.com/product/684459</t>
        </is>
      </c>
    </row>
    <row r="3032">
      <c r="A3032" s="2" t="inlineStr">
        <is>
          <t>Chaos Rising Single Pack Blister [Reshiram/Moltres]</t>
        </is>
      </c>
      <c r="B3032" s="3">
        <f>IF(I3032&lt;&gt;"",I3032,IF(J3032&lt;&gt;"",J3032,IF(K3032&lt;&gt;"",K3032,L3032)))</f>
        <v>22.58</v>
      </c>
      <c r="C3032" s="3">
        <f>MEDIAN(I3032:L3032)</f>
        <v>21.99</v>
      </c>
      <c r="D3032" s="3">
        <f>ROUND(C3032*(1-Settings!$B$2),2)</f>
        <v>15.39</v>
      </c>
      <c r="E3032" s="3">
        <f>ROUND(C3032*(1-Settings!$B$3),2)</f>
        <v>15.39</v>
      </c>
      <c r="F3032" s="2" t="inlineStr">
        <is>
          <t>Pokemon</t>
        </is>
      </c>
      <c r="G3032" s="2" t="inlineStr">
        <is>
          <t>Pack</t>
        </is>
      </c>
      <c r="H3032" s="2" t="inlineStr">
        <is>
          <t>ME04: Chaos Rising</t>
        </is>
      </c>
      <c r="I3032" s="3" t="n"/>
      <c r="J3032" s="3" t="n">
        <v>22.58</v>
      </c>
      <c r="K3032" s="3" t="n">
        <v>21.99</v>
      </c>
      <c r="L3032" s="3" t="n">
        <v>1</v>
      </c>
      <c r="M3032" s="2" t="inlineStr">
        <is>
          <t>TCGplayer</t>
        </is>
      </c>
      <c r="O3032" s="4" t="inlineStr">
        <is>
          <t>https://www.tcgplayer.com/product/696150</t>
        </is>
      </c>
    </row>
    <row r="3033">
      <c r="A3033" s="2" t="inlineStr">
        <is>
          <t>Chaos Rising Single Pack Blister [Toxel]</t>
        </is>
      </c>
      <c r="B3033" s="3">
        <f>IF(I3033&lt;&gt;"",I3033,IF(J3033&lt;&gt;"",J3033,IF(K3033&lt;&gt;"",K3033,L3033)))</f>
        <v>6.71</v>
      </c>
      <c r="C3033" s="3">
        <f>MEDIAN(I3033:L3033)</f>
        <v>6.71</v>
      </c>
      <c r="D3033" s="3">
        <f>ROUND(C3033*(1-Settings!$B$2),2)</f>
        <v>4.7</v>
      </c>
      <c r="E3033" s="3">
        <f>ROUND(C3033*(1-Settings!$B$3),2)</f>
        <v>4.7</v>
      </c>
      <c r="F3033" s="2" t="inlineStr">
        <is>
          <t>Pokemon</t>
        </is>
      </c>
      <c r="G3033" s="2" t="inlineStr">
        <is>
          <t>Pack</t>
        </is>
      </c>
      <c r="H3033" s="2" t="inlineStr">
        <is>
          <t>ME04: Chaos Rising</t>
        </is>
      </c>
      <c r="I3033" s="3" t="n"/>
      <c r="J3033" s="3" t="n">
        <v>6.71</v>
      </c>
      <c r="K3033" s="3" t="n">
        <v>8.16</v>
      </c>
      <c r="L3033" s="3" t="n">
        <v>5.5</v>
      </c>
      <c r="M3033" s="2" t="inlineStr">
        <is>
          <t>TCGplayer</t>
        </is>
      </c>
      <c r="O3033" s="4" t="inlineStr">
        <is>
          <t>https://www.tcgplayer.com/product/684457</t>
        </is>
      </c>
    </row>
    <row r="3034">
      <c r="A3034" s="2" t="inlineStr">
        <is>
          <t>Chaos Rising Single Pack Blister [Zacian/Mimikyu]</t>
        </is>
      </c>
      <c r="B3034" s="3">
        <f>IF(I3034&lt;&gt;"",I3034,IF(J3034&lt;&gt;"",J3034,IF(K3034&lt;&gt;"",K3034,L3034)))</f>
        <v>20.77</v>
      </c>
      <c r="C3034" s="3">
        <f>MEDIAN(I3034:L3034)</f>
        <v>20.77</v>
      </c>
      <c r="D3034" s="3">
        <f>ROUND(C3034*(1-Settings!$B$2),2)</f>
        <v>14.54</v>
      </c>
      <c r="E3034" s="3">
        <f>ROUND(C3034*(1-Settings!$B$3),2)</f>
        <v>14.54</v>
      </c>
      <c r="F3034" s="2" t="inlineStr">
        <is>
          <t>Pokemon</t>
        </is>
      </c>
      <c r="G3034" s="2" t="inlineStr">
        <is>
          <t>Pack</t>
        </is>
      </c>
      <c r="H3034" s="2" t="inlineStr">
        <is>
          <t>ME04: Chaos Rising</t>
        </is>
      </c>
      <c r="I3034" s="3" t="n"/>
      <c r="J3034" s="3" t="n">
        <v>20.77</v>
      </c>
      <c r="K3034" s="3" t="n">
        <v>21.99</v>
      </c>
      <c r="L3034" s="3" t="n">
        <v>11.8</v>
      </c>
      <c r="M3034" s="2" t="inlineStr">
        <is>
          <t>TCGplayer</t>
        </is>
      </c>
      <c r="O3034" s="4" t="inlineStr">
        <is>
          <t>https://www.tcgplayer.com/product/696144</t>
        </is>
      </c>
    </row>
    <row r="3035">
      <c r="A3035" s="2" t="inlineStr">
        <is>
          <t>Chaos Rising Sleeved Booster Pack</t>
        </is>
      </c>
      <c r="B3035" s="3">
        <f>IF(I3035&lt;&gt;"",I3035,IF(J3035&lt;&gt;"",J3035,IF(K3035&lt;&gt;"",K3035,L3035)))</f>
        <v>6.71</v>
      </c>
      <c r="C3035" s="3">
        <f>MEDIAN(I3035:L3035)</f>
        <v>6.71</v>
      </c>
      <c r="D3035" s="3">
        <f>ROUND(C3035*(1-Settings!$B$2),2)</f>
        <v>4.7</v>
      </c>
      <c r="E3035" s="3">
        <f>ROUND(C3035*(1-Settings!$B$3),2)</f>
        <v>4.7</v>
      </c>
      <c r="F3035" s="2" t="inlineStr">
        <is>
          <t>Pokemon</t>
        </is>
      </c>
      <c r="G3035" s="2" t="inlineStr">
        <is>
          <t>Pack</t>
        </is>
      </c>
      <c r="H3035" s="2" t="inlineStr">
        <is>
          <t>ME04: Chaos Rising</t>
        </is>
      </c>
      <c r="I3035" s="3" t="n"/>
      <c r="J3035" s="3" t="n">
        <v>6.71</v>
      </c>
      <c r="K3035" s="3" t="n">
        <v>8</v>
      </c>
      <c r="L3035" s="3" t="n">
        <v>5.89</v>
      </c>
      <c r="M3035" s="2" t="inlineStr">
        <is>
          <t>TCGplayer</t>
        </is>
      </c>
      <c r="O3035" s="4" t="inlineStr">
        <is>
          <t>https://www.tcgplayer.com/product/684448</t>
        </is>
      </c>
    </row>
    <row r="3036">
      <c r="A3036" s="2" t="inlineStr">
        <is>
          <t>Pitch Black Booster Pack</t>
        </is>
      </c>
      <c r="B3036" s="3">
        <f>IF(I3036&lt;&gt;"",I3036,IF(J3036&lt;&gt;"",J3036,IF(K3036&lt;&gt;"",K3036,L3036)))</f>
        <v>6.17</v>
      </c>
      <c r="C3036" s="3">
        <f>MEDIAN(I3036:L3036)</f>
        <v>6.17</v>
      </c>
      <c r="D3036" s="3">
        <f>ROUND(C3036*(1-Settings!$B$2),2)</f>
        <v>4.32</v>
      </c>
      <c r="E3036" s="3">
        <f>ROUND(C3036*(1-Settings!$B$3),2)</f>
        <v>4.32</v>
      </c>
      <c r="F3036" s="2" t="inlineStr">
        <is>
          <t>Pokemon</t>
        </is>
      </c>
      <c r="G3036" s="2" t="inlineStr">
        <is>
          <t>Pack</t>
        </is>
      </c>
      <c r="H3036" s="2" t="inlineStr">
        <is>
          <t>ME05: Pitch Black</t>
        </is>
      </c>
      <c r="I3036" s="3" t="n"/>
      <c r="J3036" s="3" t="n">
        <v>6.17</v>
      </c>
      <c r="K3036" s="3" t="n">
        <v>6.57</v>
      </c>
      <c r="L3036" s="3" t="n">
        <v>4.95</v>
      </c>
      <c r="M3036" s="2" t="inlineStr">
        <is>
          <t>TCGplayer</t>
        </is>
      </c>
      <c r="O3036" s="4" t="inlineStr">
        <is>
          <t>https://www.tcgplayer.com/product/692944</t>
        </is>
      </c>
    </row>
    <row r="3037">
      <c r="A3037" s="2" t="inlineStr">
        <is>
          <t>Pitch Black Premium Checklane Blister [Amaura, Aurorus] (Target Exclusive)</t>
        </is>
      </c>
      <c r="B3037" s="3">
        <f>IF(I3037&lt;&gt;"",I3037,IF(J3037&lt;&gt;"",J3037,IF(K3037&lt;&gt;"",K3037,L3037)))</f>
        <v>14.98</v>
      </c>
      <c r="C3037" s="3">
        <f>MEDIAN(I3037:L3037)</f>
        <v>14.98</v>
      </c>
      <c r="D3037" s="3">
        <f>ROUND(C3037*(1-Settings!$B$2),2)</f>
        <v>10.49</v>
      </c>
      <c r="E3037" s="3">
        <f>ROUND(C3037*(1-Settings!$B$3),2)</f>
        <v>10.49</v>
      </c>
      <c r="F3037" s="2" t="inlineStr">
        <is>
          <t>Pokemon</t>
        </is>
      </c>
      <c r="G3037" s="2" t="inlineStr">
        <is>
          <t>Pack</t>
        </is>
      </c>
      <c r="H3037" s="2" t="inlineStr">
        <is>
          <t>ME05: Pitch Black</t>
        </is>
      </c>
      <c r="I3037" s="3" t="n"/>
      <c r="J3037" s="3" t="n">
        <v>14.98</v>
      </c>
      <c r="K3037" s="3" t="n">
        <v>15.49</v>
      </c>
      <c r="L3037" s="3" t="n">
        <v>10.99</v>
      </c>
      <c r="M3037" s="2" t="inlineStr">
        <is>
          <t>TCGplayer</t>
        </is>
      </c>
      <c r="O3037" s="4" t="inlineStr">
        <is>
          <t>https://www.tcgplayer.com/product/692954</t>
        </is>
      </c>
    </row>
    <row r="3038">
      <c r="A3038" s="2" t="inlineStr">
        <is>
          <t>Pitch Black Premium Checklane Blister [Gengar Line]</t>
        </is>
      </c>
      <c r="B3038" s="3">
        <f>IF(I3038&lt;&gt;"",I3038,IF(J3038&lt;&gt;"",J3038,IF(K3038&lt;&gt;"",K3038,L3038)))</f>
        <v>22.17</v>
      </c>
      <c r="C3038" s="3">
        <f>MEDIAN(I3038:L3038)</f>
        <v>22.17</v>
      </c>
      <c r="D3038" s="3">
        <f>ROUND(C3038*(1-Settings!$B$2),2)</f>
        <v>15.52</v>
      </c>
      <c r="E3038" s="3">
        <f>ROUND(C3038*(1-Settings!$B$3),2)</f>
        <v>15.52</v>
      </c>
      <c r="F3038" s="2" t="inlineStr">
        <is>
          <t>Pokemon</t>
        </is>
      </c>
      <c r="G3038" s="2" t="inlineStr">
        <is>
          <t>Pack</t>
        </is>
      </c>
      <c r="H3038" s="2" t="inlineStr">
        <is>
          <t>ME05: Pitch Black</t>
        </is>
      </c>
      <c r="I3038" s="3" t="n"/>
      <c r="J3038" s="3" t="n">
        <v>22.17</v>
      </c>
      <c r="K3038" s="3" t="n">
        <v>24</v>
      </c>
      <c r="L3038" s="3" t="n">
        <v>18.99</v>
      </c>
      <c r="M3038" s="2" t="inlineStr">
        <is>
          <t>TCGplayer</t>
        </is>
      </c>
      <c r="O3038" s="4" t="inlineStr">
        <is>
          <t>https://www.tcgplayer.com/product/692951</t>
        </is>
      </c>
    </row>
    <row r="3039">
      <c r="A3039" s="2" t="inlineStr">
        <is>
          <t>Pitch Black Premium Checklane Blister [Luxray Line]</t>
        </is>
      </c>
      <c r="B3039" s="3">
        <f>IF(I3039&lt;&gt;"",I3039,IF(J3039&lt;&gt;"",J3039,IF(K3039&lt;&gt;"",K3039,L3039)))</f>
        <v>18.0</v>
      </c>
      <c r="C3039" s="3">
        <f>MEDIAN(I3039:L3039)</f>
        <v>17.82</v>
      </c>
      <c r="D3039" s="3">
        <f>ROUND(C3039*(1-Settings!$B$2),2)</f>
        <v>12.47</v>
      </c>
      <c r="E3039" s="3">
        <f>ROUND(C3039*(1-Settings!$B$3),2)</f>
        <v>12.47</v>
      </c>
      <c r="F3039" s="2" t="inlineStr">
        <is>
          <t>Pokemon</t>
        </is>
      </c>
      <c r="G3039" s="2" t="inlineStr">
        <is>
          <t>Pack</t>
        </is>
      </c>
      <c r="H3039" s="2" t="inlineStr">
        <is>
          <t>ME05: Pitch Black</t>
        </is>
      </c>
      <c r="I3039" s="3" t="n"/>
      <c r="J3039" s="3" t="n">
        <v>18</v>
      </c>
      <c r="K3039" s="3" t="n">
        <v>17.82</v>
      </c>
      <c r="L3039" s="3" t="n">
        <v>13.95</v>
      </c>
      <c r="M3039" s="2" t="inlineStr">
        <is>
          <t>TCGplayer</t>
        </is>
      </c>
      <c r="O3039" s="4" t="inlineStr">
        <is>
          <t>https://www.tcgplayer.com/product/692952</t>
        </is>
      </c>
    </row>
    <row r="3040">
      <c r="A3040" s="2" t="inlineStr">
        <is>
          <t>Pitch Black Premium Checklane Blister [Tyrunt, Tyrantrum] (Target Exclusive)</t>
        </is>
      </c>
      <c r="B3040" s="3">
        <f>IF(I3040&lt;&gt;"",I3040,IF(J3040&lt;&gt;"",J3040,IF(K3040&lt;&gt;"",K3040,L3040)))</f>
        <v>16.31</v>
      </c>
      <c r="C3040" s="3">
        <f>MEDIAN(I3040:L3040)</f>
        <v>16.31</v>
      </c>
      <c r="D3040" s="3">
        <f>ROUND(C3040*(1-Settings!$B$2),2)</f>
        <v>11.42</v>
      </c>
      <c r="E3040" s="3">
        <f>ROUND(C3040*(1-Settings!$B$3),2)</f>
        <v>11.42</v>
      </c>
      <c r="F3040" s="2" t="inlineStr">
        <is>
          <t>Pokemon</t>
        </is>
      </c>
      <c r="G3040" s="2" t="inlineStr">
        <is>
          <t>Pack</t>
        </is>
      </c>
      <c r="H3040" s="2" t="inlineStr">
        <is>
          <t>ME05: Pitch Black</t>
        </is>
      </c>
      <c r="I3040" s="3" t="n"/>
      <c r="J3040" s="3" t="n">
        <v>16.31</v>
      </c>
      <c r="K3040" s="3" t="n">
        <v>16.99</v>
      </c>
      <c r="L3040" s="3" t="n">
        <v>4.99</v>
      </c>
      <c r="M3040" s="2" t="inlineStr">
        <is>
          <t>TCGplayer</t>
        </is>
      </c>
      <c r="O3040" s="4" t="inlineStr">
        <is>
          <t>https://www.tcgplayer.com/product/692953</t>
        </is>
      </c>
    </row>
    <row r="3041">
      <c r="A3041" s="2" t="inlineStr">
        <is>
          <t>Pitch Black Single Pack Blister [Slowpoke]</t>
        </is>
      </c>
      <c r="B3041" s="3">
        <f>IF(I3041&lt;&gt;"",I3041,IF(J3041&lt;&gt;"",J3041,IF(K3041&lt;&gt;"",K3041,L3041)))</f>
        <v>8.79</v>
      </c>
      <c r="C3041" s="3">
        <f>MEDIAN(I3041:L3041)</f>
        <v>8.79</v>
      </c>
      <c r="D3041" s="3">
        <f>ROUND(C3041*(1-Settings!$B$2),2)</f>
        <v>6.15</v>
      </c>
      <c r="E3041" s="3">
        <f>ROUND(C3041*(1-Settings!$B$3),2)</f>
        <v>6.15</v>
      </c>
      <c r="F3041" s="2" t="inlineStr">
        <is>
          <t>Pokemon</t>
        </is>
      </c>
      <c r="G3041" s="2" t="inlineStr">
        <is>
          <t>Pack</t>
        </is>
      </c>
      <c r="H3041" s="2" t="inlineStr">
        <is>
          <t>ME05: Pitch Black</t>
        </is>
      </c>
      <c r="I3041" s="3" t="n"/>
      <c r="J3041" s="3" t="n">
        <v>8.789999999999999</v>
      </c>
      <c r="K3041" s="3" t="n">
        <v>9.779999999999999</v>
      </c>
      <c r="L3041" s="3" t="n">
        <v>1</v>
      </c>
      <c r="M3041" s="2" t="inlineStr">
        <is>
          <t>TCGplayer</t>
        </is>
      </c>
      <c r="O3041" s="4" t="inlineStr">
        <is>
          <t>https://www.tcgplayer.com/product/692955</t>
        </is>
      </c>
    </row>
    <row r="3042">
      <c r="A3042" s="2" t="inlineStr">
        <is>
          <t>Pitch Black Sleeved Booster Pack</t>
        </is>
      </c>
      <c r="B3042" s="3">
        <f>IF(I3042&lt;&gt;"",I3042,IF(J3042&lt;&gt;"",J3042,IF(K3042&lt;&gt;"",K3042,L3042)))</f>
        <v>6.31</v>
      </c>
      <c r="C3042" s="3">
        <f>MEDIAN(I3042:L3042)</f>
        <v>6.31</v>
      </c>
      <c r="D3042" s="3">
        <f>ROUND(C3042*(1-Settings!$B$2),2)</f>
        <v>4.42</v>
      </c>
      <c r="E3042" s="3">
        <f>ROUND(C3042*(1-Settings!$B$3),2)</f>
        <v>4.42</v>
      </c>
      <c r="F3042" s="2" t="inlineStr">
        <is>
          <t>Pokemon</t>
        </is>
      </c>
      <c r="G3042" s="2" t="inlineStr">
        <is>
          <t>Pack</t>
        </is>
      </c>
      <c r="H3042" s="2" t="inlineStr">
        <is>
          <t>ME05: Pitch Black</t>
        </is>
      </c>
      <c r="I3042" s="3" t="n"/>
      <c r="J3042" s="3" t="n">
        <v>6.31</v>
      </c>
      <c r="K3042" s="3" t="n">
        <v>8</v>
      </c>
      <c r="L3042" s="3" t="n">
        <v>5.9</v>
      </c>
      <c r="M3042" s="2" t="inlineStr">
        <is>
          <t>TCGplayer</t>
        </is>
      </c>
      <c r="O3042" s="4" t="inlineStr">
        <is>
          <t>https://www.tcgplayer.com/product/692957</t>
        </is>
      </c>
    </row>
    <row r="3043">
      <c r="A3043" s="2" t="inlineStr">
        <is>
          <t>Delta Reign 3 Pack Blister [Seel]</t>
        </is>
      </c>
      <c r="B3043" s="3">
        <f>IF(I3043&lt;&gt;"",I3043,IF(J3043&lt;&gt;"",J3043,IF(K3043&lt;&gt;"",K3043,L3043)))</f>
        <v>44.24</v>
      </c>
      <c r="C3043" s="3">
        <f>MEDIAN(I3043:L3043)</f>
        <v>38.68</v>
      </c>
      <c r="D3043" s="3">
        <f>ROUND(C3043*(1-Settings!$B$2),2)</f>
        <v>27.08</v>
      </c>
      <c r="E3043" s="3">
        <f>ROUND(C3043*(1-Settings!$B$3),2)</f>
        <v>27.08</v>
      </c>
      <c r="F3043" s="2" t="inlineStr">
        <is>
          <t>Pokemon</t>
        </is>
      </c>
      <c r="G3043" s="2" t="inlineStr">
        <is>
          <t>Pack</t>
        </is>
      </c>
      <c r="H3043" s="2" t="inlineStr">
        <is>
          <t>ME06: Delta Reign</t>
        </is>
      </c>
      <c r="I3043" s="3" t="n"/>
      <c r="J3043" s="3" t="n">
        <v>44.24</v>
      </c>
      <c r="K3043" s="3" t="n">
        <v>38.68</v>
      </c>
      <c r="L3043" s="3" t="n">
        <v>34.9</v>
      </c>
      <c r="M3043" s="2" t="inlineStr">
        <is>
          <t>TCGplayer</t>
        </is>
      </c>
      <c r="O3043" s="4" t="inlineStr">
        <is>
          <t>https://www.tcgplayer.com/product/712093</t>
        </is>
      </c>
    </row>
    <row r="3044">
      <c r="A3044" s="2" t="inlineStr">
        <is>
          <t>Delta Reign Booster Pack</t>
        </is>
      </c>
      <c r="B3044" s="3">
        <f>IF(I3044&lt;&gt;"",I3044,IF(J3044&lt;&gt;"",J3044,IF(K3044&lt;&gt;"",K3044,L3044)))</f>
        <v>14.01</v>
      </c>
      <c r="C3044" s="3">
        <f>MEDIAN(I3044:L3044)</f>
        <v>13.94</v>
      </c>
      <c r="D3044" s="3">
        <f>ROUND(C3044*(1-Settings!$B$2),2)</f>
        <v>9.76</v>
      </c>
      <c r="E3044" s="3">
        <f>ROUND(C3044*(1-Settings!$B$3),2)</f>
        <v>9.76</v>
      </c>
      <c r="F3044" s="2" t="inlineStr">
        <is>
          <t>Pokemon</t>
        </is>
      </c>
      <c r="G3044" s="2" t="inlineStr">
        <is>
          <t>Pack</t>
        </is>
      </c>
      <c r="H3044" s="2" t="inlineStr">
        <is>
          <t>ME06: Delta Reign</t>
        </is>
      </c>
      <c r="I3044" s="3" t="n"/>
      <c r="J3044" s="3" t="n">
        <v>14.01</v>
      </c>
      <c r="K3044" s="3" t="n">
        <v>13.94</v>
      </c>
      <c r="L3044" s="3" t="n">
        <v>13.26</v>
      </c>
      <c r="M3044" s="2" t="inlineStr">
        <is>
          <t>TCGplayer</t>
        </is>
      </c>
      <c r="O3044" s="4" t="inlineStr">
        <is>
          <t>https://www.tcgplayer.com/product/712099</t>
        </is>
      </c>
    </row>
    <row r="3045">
      <c r="A3045" s="2" t="inlineStr">
        <is>
          <t>Delta Reign Single Pack Blister [Spitzee]</t>
        </is>
      </c>
      <c r="B3045" s="3">
        <f>IF(I3045&lt;&gt;"",I3045,IF(J3045&lt;&gt;"",J3045,IF(K3045&lt;&gt;"",K3045,L3045)))</f>
        <v>23.92</v>
      </c>
      <c r="C3045" s="3">
        <f>MEDIAN(I3045:L3045)</f>
        <v>22.25</v>
      </c>
      <c r="D3045" s="3">
        <f>ROUND(C3045*(1-Settings!$B$2),2)</f>
        <v>15.58</v>
      </c>
      <c r="E3045" s="3">
        <f>ROUND(C3045*(1-Settings!$B$3),2)</f>
        <v>15.58</v>
      </c>
      <c r="F3045" s="2" t="inlineStr">
        <is>
          <t>Pokemon</t>
        </is>
      </c>
      <c r="G3045" s="2" t="inlineStr">
        <is>
          <t>Pack</t>
        </is>
      </c>
      <c r="H3045" s="2" t="inlineStr">
        <is>
          <t>ME06: Delta Reign</t>
        </is>
      </c>
      <c r="I3045" s="3" t="n"/>
      <c r="J3045" s="3" t="n">
        <v>23.92</v>
      </c>
      <c r="K3045" s="3" t="n">
        <v>22.25</v>
      </c>
      <c r="L3045" s="3" t="n">
        <v>14.99</v>
      </c>
      <c r="M3045" s="2" t="inlineStr">
        <is>
          <t>TCGplayer</t>
        </is>
      </c>
      <c r="O3045" s="4" t="inlineStr">
        <is>
          <t>https://www.tcgplayer.com/product/712108</t>
        </is>
      </c>
    </row>
    <row r="3046">
      <c r="A3046" s="2" t="inlineStr">
        <is>
          <t>Delta Reign Sleeved Booster Pack</t>
        </is>
      </c>
      <c r="B3046" s="3">
        <f>IF(I3046&lt;&gt;"",I3046,IF(J3046&lt;&gt;"",J3046,IF(K3046&lt;&gt;"",K3046,L3046)))</f>
        <v>22.8</v>
      </c>
      <c r="C3046" s="3">
        <f>MEDIAN(I3046:L3046)</f>
        <v>17.25</v>
      </c>
      <c r="D3046" s="3">
        <f>ROUND(C3046*(1-Settings!$B$2),2)</f>
        <v>12.08</v>
      </c>
      <c r="E3046" s="3">
        <f>ROUND(C3046*(1-Settings!$B$3),2)</f>
        <v>12.08</v>
      </c>
      <c r="F3046" s="2" t="inlineStr">
        <is>
          <t>Pokemon</t>
        </is>
      </c>
      <c r="G3046" s="2" t="inlineStr">
        <is>
          <t>Pack</t>
        </is>
      </c>
      <c r="H3046" s="2" t="inlineStr">
        <is>
          <t>ME06: Delta Reign</t>
        </is>
      </c>
      <c r="I3046" s="3" t="n"/>
      <c r="J3046" s="3" t="n">
        <v>22.8</v>
      </c>
      <c r="K3046" s="3" t="n">
        <v>17.25</v>
      </c>
      <c r="L3046" s="3" t="n">
        <v>14.99</v>
      </c>
      <c r="M3046" s="2" t="inlineStr">
        <is>
          <t>TCGplayer</t>
        </is>
      </c>
      <c r="O3046" s="4" t="inlineStr">
        <is>
          <t>https://www.tcgplayer.com/product/712112</t>
        </is>
      </c>
    </row>
    <row r="3047">
      <c r="A3047" s="2" t="inlineStr">
        <is>
          <t>30th Celebration Booster Pack</t>
        </is>
      </c>
      <c r="B3047" s="3">
        <f>IF(I3047&lt;&gt;"",I3047,IF(J3047&lt;&gt;"",J3047,IF(K3047&lt;&gt;"",K3047,L3047)))</f>
        <v>16.67</v>
      </c>
      <c r="C3047" s="3">
        <f>MEDIAN(I3047:L3047)</f>
        <v>14.02</v>
      </c>
      <c r="D3047" s="3">
        <f>ROUND(C3047*(1-Settings!$B$2),2)</f>
        <v>9.81</v>
      </c>
      <c r="E3047" s="3">
        <f>ROUND(C3047*(1-Settings!$B$3),2)</f>
        <v>9.81</v>
      </c>
      <c r="F3047" s="2" t="inlineStr">
        <is>
          <t>Pokemon</t>
        </is>
      </c>
      <c r="G3047" s="2" t="inlineStr">
        <is>
          <t>Pack</t>
        </is>
      </c>
      <c r="H3047" s="2" t="inlineStr">
        <is>
          <t>ME: 30th Celebration</t>
        </is>
      </c>
      <c r="I3047" s="3" t="n">
        <v>16.67</v>
      </c>
      <c r="J3047" s="3" t="n">
        <v>12.91</v>
      </c>
      <c r="K3047" s="3" t="n">
        <v>15.13</v>
      </c>
      <c r="L3047" s="3" t="n">
        <v>12</v>
      </c>
      <c r="M3047" s="2" t="inlineStr">
        <is>
          <t>PriceCharting + TCGplayer</t>
        </is>
      </c>
      <c r="N3047" s="4" t="inlineStr">
        <is>
          <t>https://www.pricecharting.com/game/pokemon-30th-celebration/booster-pack</t>
        </is>
      </c>
      <c r="O3047" s="4" t="inlineStr">
        <is>
          <t>https://www.tcgplayer.com/product/696613</t>
        </is>
      </c>
    </row>
    <row r="3048">
      <c r="A3048" s="2" t="inlineStr">
        <is>
          <t>Ascended Heroes Booster Pack</t>
        </is>
      </c>
      <c r="B3048" s="3">
        <f>IF(I3048&lt;&gt;"",I3048,IF(J3048&lt;&gt;"",J3048,IF(K3048&lt;&gt;"",K3048,L3048)))</f>
        <v>14.21</v>
      </c>
      <c r="C3048" s="3">
        <f>MEDIAN(I3048:L3048)</f>
        <v>12.515</v>
      </c>
      <c r="D3048" s="3">
        <f>ROUND(C3048*(1-Settings!$B$2),2)</f>
        <v>8.76</v>
      </c>
      <c r="E3048" s="3">
        <f>ROUND(C3048*(1-Settings!$B$3),2)</f>
        <v>8.76</v>
      </c>
      <c r="F3048" s="2" t="inlineStr">
        <is>
          <t>Pokemon</t>
        </is>
      </c>
      <c r="G3048" s="2" t="inlineStr">
        <is>
          <t>Pack</t>
        </is>
      </c>
      <c r="H3048" s="2" t="inlineStr">
        <is>
          <t>ME: Ascended Heroes</t>
        </is>
      </c>
      <c r="I3048" s="3" t="n">
        <v>14.21</v>
      </c>
      <c r="J3048" s="3" t="n">
        <v>11.14</v>
      </c>
      <c r="K3048" s="3" t="n">
        <v>13.89</v>
      </c>
      <c r="L3048" s="3" t="n">
        <v>9.99</v>
      </c>
      <c r="M3048" s="2" t="inlineStr">
        <is>
          <t>PriceCharting + TCGplayer</t>
        </is>
      </c>
      <c r="N3048" s="4" t="inlineStr">
        <is>
          <t>https://www.pricecharting.com/game/pokemon-ascended-heroes/booster-pack</t>
        </is>
      </c>
      <c r="O3048" s="4" t="inlineStr">
        <is>
          <t>https://www.tcgplayer.com/product/672434</t>
        </is>
      </c>
    </row>
    <row r="3049">
      <c r="A3049" s="2" t="inlineStr">
        <is>
          <t>Mega Evolution 3 Pack Blister: Golduck</t>
        </is>
      </c>
      <c r="B3049" s="3">
        <f>IF(I3049&lt;&gt;"",I3049,IF(J3049&lt;&gt;"",J3049,IF(K3049&lt;&gt;"",K3049,L3049)))</f>
        <v>33.31</v>
      </c>
      <c r="C3049" s="3">
        <f>MEDIAN(I3049:L3049)</f>
        <v>33.31</v>
      </c>
      <c r="D3049" s="3">
        <f>ROUND(C3049*(1-Settings!$B$2),2)</f>
        <v>23.32</v>
      </c>
      <c r="E3049" s="3">
        <f>ROUND(C3049*(1-Settings!$B$3),2)</f>
        <v>23.32</v>
      </c>
      <c r="F3049" s="2" t="inlineStr">
        <is>
          <t>Pokemon</t>
        </is>
      </c>
      <c r="G3049" s="2" t="inlineStr">
        <is>
          <t>Pack</t>
        </is>
      </c>
      <c r="H3049" s="2" t="inlineStr">
        <is>
          <t>Mega Evolution</t>
        </is>
      </c>
      <c r="I3049" s="3" t="n">
        <v>33.31</v>
      </c>
      <c r="J3049" s="3" t="n"/>
      <c r="K3049" s="3" t="n"/>
      <c r="L3049" s="3" t="n"/>
      <c r="M3049" s="2" t="inlineStr">
        <is>
          <t>PriceCharting</t>
        </is>
      </c>
      <c r="N3049" s="4" t="inlineStr">
        <is>
          <t>https://www.pricecharting.com/game/pokemon-mega-evolution/3-pack-blister-golduck</t>
        </is>
      </c>
    </row>
    <row r="3050">
      <c r="A3050" s="2" t="inlineStr">
        <is>
          <t>Mega Evolution 3 Pack Blister: Psyduck</t>
        </is>
      </c>
      <c r="B3050" s="3">
        <f>IF(I3050&lt;&gt;"",I3050,IF(J3050&lt;&gt;"",J3050,IF(K3050&lt;&gt;"",K3050,L3050)))</f>
        <v>44.0</v>
      </c>
      <c r="C3050" s="3">
        <f>MEDIAN(I3050:L3050)</f>
        <v>44.0</v>
      </c>
      <c r="D3050" s="3">
        <f>ROUND(C3050*(1-Settings!$B$2),2)</f>
        <v>30.8</v>
      </c>
      <c r="E3050" s="3">
        <f>ROUND(C3050*(1-Settings!$B$3),2)</f>
        <v>30.8</v>
      </c>
      <c r="F3050" s="2" t="inlineStr">
        <is>
          <t>Pokemon</t>
        </is>
      </c>
      <c r="G3050" s="2" t="inlineStr">
        <is>
          <t>Pack</t>
        </is>
      </c>
      <c r="H3050" s="2" t="inlineStr">
        <is>
          <t>Mega Evolution</t>
        </is>
      </c>
      <c r="I3050" s="3" t="n">
        <v>44</v>
      </c>
      <c r="J3050" s="3" t="n"/>
      <c r="K3050" s="3" t="n"/>
      <c r="L3050" s="3" t="n"/>
      <c r="M3050" s="2" t="inlineStr">
        <is>
          <t>PriceCharting</t>
        </is>
      </c>
      <c r="N3050" s="4" t="inlineStr">
        <is>
          <t>https://www.pricecharting.com/game/pokemon-mega-evolution/3-pack-blister-psyduck</t>
        </is>
      </c>
    </row>
    <row r="3051">
      <c r="A3051" s="2" t="inlineStr">
        <is>
          <t>Mega Evolution Booster Pack</t>
        </is>
      </c>
      <c r="B3051" s="3">
        <f>IF(I3051&lt;&gt;"",I3051,IF(J3051&lt;&gt;"",J3051,IF(K3051&lt;&gt;"",K3051,L3051)))</f>
        <v>8.65</v>
      </c>
      <c r="C3051" s="3">
        <f>MEDIAN(I3051:L3051)</f>
        <v>8.65</v>
      </c>
      <c r="D3051" s="3">
        <f>ROUND(C3051*(1-Settings!$B$2),2)</f>
        <v>6.06</v>
      </c>
      <c r="E3051" s="3">
        <f>ROUND(C3051*(1-Settings!$B$3),2)</f>
        <v>6.06</v>
      </c>
      <c r="F3051" s="2" t="inlineStr">
        <is>
          <t>Pokemon</t>
        </is>
      </c>
      <c r="G3051" s="2" t="inlineStr">
        <is>
          <t>Pack</t>
        </is>
      </c>
      <c r="H3051" s="2" t="inlineStr">
        <is>
          <t>Mega Evolution</t>
        </is>
      </c>
      <c r="I3051" s="3" t="n">
        <v>8.65</v>
      </c>
      <c r="J3051" s="3" t="n"/>
      <c r="K3051" s="3" t="n"/>
      <c r="L3051" s="3" t="n"/>
      <c r="M3051" s="2" t="inlineStr">
        <is>
          <t>PriceCharting</t>
        </is>
      </c>
      <c r="N3051" s="4" t="inlineStr">
        <is>
          <t>https://www.pricecharting.com/game/pokemon-mega-evolution/booster-pack</t>
        </is>
      </c>
    </row>
    <row r="3052">
      <c r="A3052" s="2" t="inlineStr">
        <is>
          <t>Mega Evolution Checklane Blister: Lycanroc</t>
        </is>
      </c>
      <c r="B3052" s="3">
        <f>IF(I3052&lt;&gt;"",I3052,IF(J3052&lt;&gt;"",J3052,IF(K3052&lt;&gt;"",K3052,L3052)))</f>
        <v>13.4</v>
      </c>
      <c r="C3052" s="3">
        <f>MEDIAN(I3052:L3052)</f>
        <v>13.4</v>
      </c>
      <c r="D3052" s="3">
        <f>ROUND(C3052*(1-Settings!$B$2),2)</f>
        <v>9.38</v>
      </c>
      <c r="E3052" s="3">
        <f>ROUND(C3052*(1-Settings!$B$3),2)</f>
        <v>9.38</v>
      </c>
      <c r="F3052" s="2" t="inlineStr">
        <is>
          <t>Pokemon</t>
        </is>
      </c>
      <c r="G3052" s="2" t="inlineStr">
        <is>
          <t>Pack</t>
        </is>
      </c>
      <c r="H3052" s="2" t="inlineStr">
        <is>
          <t>Mega Evolution</t>
        </is>
      </c>
      <c r="I3052" s="3" t="n">
        <v>13.4</v>
      </c>
      <c r="J3052" s="3" t="n"/>
      <c r="K3052" s="3" t="n"/>
      <c r="L3052" s="3" t="n"/>
      <c r="M3052" s="2" t="inlineStr">
        <is>
          <t>PriceCharting</t>
        </is>
      </c>
      <c r="N3052" s="4" t="inlineStr">
        <is>
          <t>https://www.pricecharting.com/game/pokemon-mega-evolution/checklane-blister-lycanroc</t>
        </is>
      </c>
    </row>
    <row r="3053">
      <c r="A3053" s="2" t="inlineStr">
        <is>
          <t>Mega Evolution Checklane Blister: Wailord</t>
        </is>
      </c>
      <c r="B3053" s="3">
        <f>IF(I3053&lt;&gt;"",I3053,IF(J3053&lt;&gt;"",J3053,IF(K3053&lt;&gt;"",K3053,L3053)))</f>
        <v>16.33</v>
      </c>
      <c r="C3053" s="3">
        <f>MEDIAN(I3053:L3053)</f>
        <v>16.33</v>
      </c>
      <c r="D3053" s="3">
        <f>ROUND(C3053*(1-Settings!$B$2),2)</f>
        <v>11.43</v>
      </c>
      <c r="E3053" s="3">
        <f>ROUND(C3053*(1-Settings!$B$3),2)</f>
        <v>11.43</v>
      </c>
      <c r="F3053" s="2" t="inlineStr">
        <is>
          <t>Pokemon</t>
        </is>
      </c>
      <c r="G3053" s="2" t="inlineStr">
        <is>
          <t>Pack</t>
        </is>
      </c>
      <c r="H3053" s="2" t="inlineStr">
        <is>
          <t>Mega Evolution</t>
        </is>
      </c>
      <c r="I3053" s="3" t="n">
        <v>16.33</v>
      </c>
      <c r="J3053" s="3" t="n"/>
      <c r="K3053" s="3" t="n"/>
      <c r="L3053" s="3" t="n"/>
      <c r="M3053" s="2" t="inlineStr">
        <is>
          <t>PriceCharting</t>
        </is>
      </c>
      <c r="N3053" s="4" t="inlineStr">
        <is>
          <t>https://www.pricecharting.com/game/pokemon-mega-evolution/checklane-blister-wailord</t>
        </is>
      </c>
    </row>
    <row r="3054">
      <c r="A3054" s="2" t="inlineStr">
        <is>
          <t>Mega Evolution Premium Checklane Blister: Meowscarada</t>
        </is>
      </c>
      <c r="B3054" s="3">
        <f>IF(I3054&lt;&gt;"",I3054,IF(J3054&lt;&gt;"",J3054,IF(K3054&lt;&gt;"",K3054,L3054)))</f>
        <v>27.43</v>
      </c>
      <c r="C3054" s="3">
        <f>MEDIAN(I3054:L3054)</f>
        <v>27.43</v>
      </c>
      <c r="D3054" s="3">
        <f>ROUND(C3054*(1-Settings!$B$2),2)</f>
        <v>19.2</v>
      </c>
      <c r="E3054" s="3">
        <f>ROUND(C3054*(1-Settings!$B$3),2)</f>
        <v>19.2</v>
      </c>
      <c r="F3054" s="2" t="inlineStr">
        <is>
          <t>Pokemon</t>
        </is>
      </c>
      <c r="G3054" s="2" t="inlineStr">
        <is>
          <t>Pack</t>
        </is>
      </c>
      <c r="H3054" s="2" t="inlineStr">
        <is>
          <t>Mega Evolution</t>
        </is>
      </c>
      <c r="I3054" s="3" t="n">
        <v>27.43</v>
      </c>
      <c r="J3054" s="3" t="n"/>
      <c r="K3054" s="3" t="n"/>
      <c r="L3054" s="3" t="n"/>
      <c r="M3054" s="2" t="inlineStr">
        <is>
          <t>PriceCharting</t>
        </is>
      </c>
      <c r="N3054" s="4" t="inlineStr">
        <is>
          <t>https://www.pricecharting.com/game/pokemon-mega-evolution/premium-checklane-blister-meowscarada</t>
        </is>
      </c>
    </row>
    <row r="3055">
      <c r="A3055" s="2" t="inlineStr">
        <is>
          <t>Mega Evolution Premium Checklane Blister: Tyranitar</t>
        </is>
      </c>
      <c r="B3055" s="3">
        <f>IF(I3055&lt;&gt;"",I3055,IF(J3055&lt;&gt;"",J3055,IF(K3055&lt;&gt;"",K3055,L3055)))</f>
        <v>35.12</v>
      </c>
      <c r="C3055" s="3">
        <f>MEDIAN(I3055:L3055)</f>
        <v>35.12</v>
      </c>
      <c r="D3055" s="3">
        <f>ROUND(C3055*(1-Settings!$B$2),2)</f>
        <v>24.58</v>
      </c>
      <c r="E3055" s="3">
        <f>ROUND(C3055*(1-Settings!$B$3),2)</f>
        <v>24.58</v>
      </c>
      <c r="F3055" s="2" t="inlineStr">
        <is>
          <t>Pokemon</t>
        </is>
      </c>
      <c r="G3055" s="2" t="inlineStr">
        <is>
          <t>Pack</t>
        </is>
      </c>
      <c r="H3055" s="2" t="inlineStr">
        <is>
          <t>Mega Evolution</t>
        </is>
      </c>
      <c r="I3055" s="3" t="n">
        <v>35.12</v>
      </c>
      <c r="J3055" s="3" t="n"/>
      <c r="K3055" s="3" t="n"/>
      <c r="L3055" s="3" t="n"/>
      <c r="M3055" s="2" t="inlineStr">
        <is>
          <t>PriceCharting</t>
        </is>
      </c>
      <c r="N3055" s="4" t="inlineStr">
        <is>
          <t>https://www.pricecharting.com/game/pokemon-mega-evolution/premium-checklane-blister-tyranitar</t>
        </is>
      </c>
    </row>
    <row r="3056">
      <c r="A3056" s="2" t="inlineStr">
        <is>
          <t>Mega Evolution Single Pack Blister: Drifblim</t>
        </is>
      </c>
      <c r="B3056" s="3">
        <f>IF(I3056&lt;&gt;"",I3056,IF(J3056&lt;&gt;"",J3056,IF(K3056&lt;&gt;"",K3056,L3056)))</f>
        <v>13.87</v>
      </c>
      <c r="C3056" s="3">
        <f>MEDIAN(I3056:L3056)</f>
        <v>13.87</v>
      </c>
      <c r="D3056" s="3">
        <f>ROUND(C3056*(1-Settings!$B$2),2)</f>
        <v>9.71</v>
      </c>
      <c r="E3056" s="3">
        <f>ROUND(C3056*(1-Settings!$B$3),2)</f>
        <v>9.71</v>
      </c>
      <c r="F3056" s="2" t="inlineStr">
        <is>
          <t>Pokemon</t>
        </is>
      </c>
      <c r="G3056" s="2" t="inlineStr">
        <is>
          <t>Pack</t>
        </is>
      </c>
      <c r="H3056" s="2" t="inlineStr">
        <is>
          <t>Mega Evolution</t>
        </is>
      </c>
      <c r="I3056" s="3" t="n">
        <v>13.87</v>
      </c>
      <c r="J3056" s="3" t="n"/>
      <c r="K3056" s="3" t="n"/>
      <c r="L3056" s="3" t="n"/>
      <c r="M3056" s="2" t="inlineStr">
        <is>
          <t>PriceCharting</t>
        </is>
      </c>
      <c r="N3056" s="4" t="inlineStr">
        <is>
          <t>https://www.pricecharting.com/game/pokemon-mega-evolution/single-pack-blister-drifblim</t>
        </is>
      </c>
    </row>
    <row r="3057">
      <c r="A3057" s="2" t="inlineStr">
        <is>
          <t>Mega Evolution Single Pack Blister: Drifloon</t>
        </is>
      </c>
      <c r="B3057" s="3">
        <f>IF(I3057&lt;&gt;"",I3057,IF(J3057&lt;&gt;"",J3057,IF(K3057&lt;&gt;"",K3057,L3057)))</f>
        <v>13.39</v>
      </c>
      <c r="C3057" s="3">
        <f>MEDIAN(I3057:L3057)</f>
        <v>13.39</v>
      </c>
      <c r="D3057" s="3">
        <f>ROUND(C3057*(1-Settings!$B$2),2)</f>
        <v>9.37</v>
      </c>
      <c r="E3057" s="3">
        <f>ROUND(C3057*(1-Settings!$B$3),2)</f>
        <v>9.37</v>
      </c>
      <c r="F3057" s="2" t="inlineStr">
        <is>
          <t>Pokemon</t>
        </is>
      </c>
      <c r="G3057" s="2" t="inlineStr">
        <is>
          <t>Pack</t>
        </is>
      </c>
      <c r="H3057" s="2" t="inlineStr">
        <is>
          <t>Mega Evolution</t>
        </is>
      </c>
      <c r="I3057" s="3" t="n">
        <v>13.39</v>
      </c>
      <c r="J3057" s="3" t="n"/>
      <c r="K3057" s="3" t="n"/>
      <c r="L3057" s="3" t="n"/>
      <c r="M3057" s="2" t="inlineStr">
        <is>
          <t>PriceCharting</t>
        </is>
      </c>
      <c r="N3057" s="4" t="inlineStr">
        <is>
          <t>https://www.pricecharting.com/game/pokemon-mega-evolution/single-pack-blister-drifloon</t>
        </is>
      </c>
    </row>
    <row r="3058">
      <c r="A3058" s="2" t="inlineStr">
        <is>
          <t>Mega Evolution Sleeved Booster Pack</t>
        </is>
      </c>
      <c r="B3058" s="3">
        <f>IF(I3058&lt;&gt;"",I3058,IF(J3058&lt;&gt;"",J3058,IF(K3058&lt;&gt;"",K3058,L3058)))</f>
        <v>9.95</v>
      </c>
      <c r="C3058" s="3">
        <f>MEDIAN(I3058:L3058)</f>
        <v>9.95</v>
      </c>
      <c r="D3058" s="3">
        <f>ROUND(C3058*(1-Settings!$B$2),2)</f>
        <v>6.97</v>
      </c>
      <c r="E3058" s="3">
        <f>ROUND(C3058*(1-Settings!$B$3),2)</f>
        <v>6.97</v>
      </c>
      <c r="F3058" s="2" t="inlineStr">
        <is>
          <t>Pokemon</t>
        </is>
      </c>
      <c r="G3058" s="2" t="inlineStr">
        <is>
          <t>Pack</t>
        </is>
      </c>
      <c r="H3058" s="2" t="inlineStr">
        <is>
          <t>Mega Evolution</t>
        </is>
      </c>
      <c r="I3058" s="3" t="n">
        <v>9.949999999999999</v>
      </c>
      <c r="J3058" s="3" t="n"/>
      <c r="K3058" s="3" t="n"/>
      <c r="L3058" s="3" t="n"/>
      <c r="M3058" s="2" t="inlineStr">
        <is>
          <t>PriceCharting</t>
        </is>
      </c>
      <c r="N3058" s="4" t="inlineStr">
        <is>
          <t>https://www.pricecharting.com/game/pokemon-mega-evolution/sleeved-booster-pack</t>
        </is>
      </c>
    </row>
    <row r="3059">
      <c r="A3059" s="2" t="inlineStr">
        <is>
          <t>2 Pack Blister [Snorlax, Morpeko &amp; Applin Cards]</t>
        </is>
      </c>
      <c r="B3059" s="3">
        <f>IF(I3059&lt;&gt;"",I3059,IF(J3059&lt;&gt;"",J3059,IF(K3059&lt;&gt;"",K3059,L3059)))</f>
        <v>31.74</v>
      </c>
      <c r="C3059" s="3">
        <f>MEDIAN(I3059:L3059)</f>
        <v>31.74</v>
      </c>
      <c r="D3059" s="3">
        <f>ROUND(C3059*(1-Settings!$B$2),2)</f>
        <v>22.22</v>
      </c>
      <c r="E3059" s="3">
        <f>ROUND(C3059*(1-Settings!$B$3),2)</f>
        <v>22.22</v>
      </c>
      <c r="F3059" s="2" t="inlineStr">
        <is>
          <t>Pokemon</t>
        </is>
      </c>
      <c r="G3059" s="2" t="inlineStr">
        <is>
          <t>Pack</t>
        </is>
      </c>
      <c r="H3059" s="2" t="inlineStr">
        <is>
          <t>Miscellaneous Cards &amp; Products</t>
        </is>
      </c>
      <c r="I3059" s="3" t="n"/>
      <c r="J3059" s="3" t="n">
        <v>31.74</v>
      </c>
      <c r="K3059" s="3" t="n">
        <v>39.99</v>
      </c>
      <c r="L3059" s="3" t="n">
        <v>27.77</v>
      </c>
      <c r="M3059" s="2" t="inlineStr">
        <is>
          <t>TCGplayer</t>
        </is>
      </c>
      <c r="O3059" s="4" t="inlineStr">
        <is>
          <t>https://www.tcgplayer.com/product/248714</t>
        </is>
      </c>
    </row>
    <row r="3060">
      <c r="A3060" s="2" t="inlineStr">
        <is>
          <t>2 Pack Blister [Tornadus, Thundurus &amp; Landorus]</t>
        </is>
      </c>
      <c r="B3060" s="3">
        <f>IF(I3060&lt;&gt;"",I3060,IF(J3060&lt;&gt;"",J3060,IF(K3060&lt;&gt;"",K3060,L3060)))</f>
        <v>27.37</v>
      </c>
      <c r="C3060" s="3">
        <f>MEDIAN(I3060:L3060)</f>
        <v>32.0</v>
      </c>
      <c r="D3060" s="3">
        <f>ROUND(C3060*(1-Settings!$B$2),2)</f>
        <v>22.4</v>
      </c>
      <c r="E3060" s="3">
        <f>ROUND(C3060*(1-Settings!$B$3),2)</f>
        <v>22.4</v>
      </c>
      <c r="F3060" s="2" t="inlineStr">
        <is>
          <t>Pokemon</t>
        </is>
      </c>
      <c r="G3060" s="2" t="inlineStr">
        <is>
          <t>Pack</t>
        </is>
      </c>
      <c r="H3060" s="2" t="inlineStr">
        <is>
          <t>Miscellaneous Cards &amp; Products</t>
        </is>
      </c>
      <c r="I3060" s="3" t="n"/>
      <c r="J3060" s="3" t="n">
        <v>27.37</v>
      </c>
      <c r="K3060" s="3" t="n">
        <v>48.99</v>
      </c>
      <c r="L3060" s="3" t="n">
        <v>32</v>
      </c>
      <c r="M3060" s="2" t="inlineStr">
        <is>
          <t>TCGplayer</t>
        </is>
      </c>
      <c r="O3060" s="4" t="inlineStr">
        <is>
          <t>https://www.tcgplayer.com/product/634329</t>
        </is>
      </c>
    </row>
    <row r="3061">
      <c r="A3061" s="2" t="inlineStr">
        <is>
          <t>Checklane 2 Mini-Pack Blister [Machamp]</t>
        </is>
      </c>
      <c r="B3061" s="3">
        <f>IF(I3061&lt;&gt;"",I3061,IF(J3061&lt;&gt;"",J3061,IF(K3061&lt;&gt;"",K3061,L3061)))</f>
        <v>50.0</v>
      </c>
      <c r="C3061" s="3">
        <f>MEDIAN(I3061:L3061)</f>
        <v>50.0</v>
      </c>
      <c r="D3061" s="3">
        <f>ROUND(C3061*(1-Settings!$B$2),2)</f>
        <v>35.0</v>
      </c>
      <c r="E3061" s="3">
        <f>ROUND(C3061*(1-Settings!$B$3),2)</f>
        <v>35.0</v>
      </c>
      <c r="F3061" s="2" t="inlineStr">
        <is>
          <t>Pokemon</t>
        </is>
      </c>
      <c r="G3061" s="2" t="inlineStr">
        <is>
          <t>Pack</t>
        </is>
      </c>
      <c r="H3061" s="2" t="inlineStr">
        <is>
          <t>Miscellaneous Cards &amp; Products</t>
        </is>
      </c>
      <c r="I3061" s="3" t="n"/>
      <c r="J3061" s="3" t="n"/>
      <c r="K3061" s="3" t="n">
        <v>50</v>
      </c>
      <c r="L3061" s="3" t="n">
        <v>50</v>
      </c>
      <c r="M3061" s="2" t="inlineStr">
        <is>
          <t>TCGplayer</t>
        </is>
      </c>
      <c r="O3061" s="4" t="inlineStr">
        <is>
          <t>https://www.tcgplayer.com/product/237106</t>
        </is>
      </c>
    </row>
    <row r="3062">
      <c r="A3062" s="2" t="inlineStr">
        <is>
          <t>Collector's Pin Two Pack Blisters [Charizard]</t>
        </is>
      </c>
      <c r="B3062" s="3">
        <f>IF(I3062&lt;&gt;"",I3062,IF(J3062&lt;&gt;"",J3062,IF(K3062&lt;&gt;"",K3062,L3062)))</f>
        <v>90.75</v>
      </c>
      <c r="C3062" s="3">
        <f>MEDIAN(I3062:L3062)</f>
        <v>100.0</v>
      </c>
      <c r="D3062" s="3">
        <f>ROUND(C3062*(1-Settings!$B$2),2)</f>
        <v>70.0</v>
      </c>
      <c r="E3062" s="3">
        <f>ROUND(C3062*(1-Settings!$B$3),2)</f>
        <v>70.0</v>
      </c>
      <c r="F3062" s="2" t="inlineStr">
        <is>
          <t>Pokemon</t>
        </is>
      </c>
      <c r="G3062" s="2" t="inlineStr">
        <is>
          <t>Pack</t>
        </is>
      </c>
      <c r="H3062" s="2" t="inlineStr">
        <is>
          <t>Miscellaneous Cards &amp; Products</t>
        </is>
      </c>
      <c r="I3062" s="3" t="n"/>
      <c r="J3062" s="3" t="n">
        <v>90.75</v>
      </c>
      <c r="K3062" s="3" t="n">
        <v>100</v>
      </c>
      <c r="L3062" s="3" t="n">
        <v>100</v>
      </c>
      <c r="M3062" s="2" t="inlineStr">
        <is>
          <t>TCGplayer</t>
        </is>
      </c>
      <c r="O3062" s="4" t="inlineStr">
        <is>
          <t>https://www.tcgplayer.com/product/235709</t>
        </is>
      </c>
    </row>
    <row r="3063">
      <c r="A3063" s="2" t="inlineStr">
        <is>
          <t>Collector's Pin Two Pack Blisters [Jirachi]</t>
        </is>
      </c>
      <c r="B3063" s="3">
        <f>IF(I3063&lt;&gt;"",I3063,IF(J3063&lt;&gt;"",J3063,IF(K3063&lt;&gt;"",K3063,L3063)))</f>
        <v>115.0</v>
      </c>
      <c r="C3063" s="3">
        <f>MEDIAN(I3063:L3063)</f>
        <v>115.0</v>
      </c>
      <c r="D3063" s="3">
        <f>ROUND(C3063*(1-Settings!$B$2),2)</f>
        <v>80.5</v>
      </c>
      <c r="E3063" s="3">
        <f>ROUND(C3063*(1-Settings!$B$3),2)</f>
        <v>80.5</v>
      </c>
      <c r="F3063" s="2" t="inlineStr">
        <is>
          <t>Pokemon</t>
        </is>
      </c>
      <c r="G3063" s="2" t="inlineStr">
        <is>
          <t>Pack</t>
        </is>
      </c>
      <c r="H3063" s="2" t="inlineStr">
        <is>
          <t>Miscellaneous Cards &amp; Products</t>
        </is>
      </c>
      <c r="I3063" s="3" t="n"/>
      <c r="J3063" s="3" t="n">
        <v>115</v>
      </c>
      <c r="K3063" s="3" t="n">
        <v>115</v>
      </c>
      <c r="L3063" s="3" t="n">
        <v>95.98999999999999</v>
      </c>
      <c r="M3063" s="2" t="inlineStr">
        <is>
          <t>TCGplayer</t>
        </is>
      </c>
      <c r="O3063" s="4" t="inlineStr">
        <is>
          <t>https://www.tcgplayer.com/product/503300</t>
        </is>
      </c>
    </row>
    <row r="3064">
      <c r="A3064" s="2" t="inlineStr">
        <is>
          <t>Collector's Pin Two Pack Blisters [Umbreon]</t>
        </is>
      </c>
      <c r="B3064" s="3">
        <f>IF(I3064&lt;&gt;"",I3064,IF(J3064&lt;&gt;"",J3064,IF(K3064&lt;&gt;"",K3064,L3064)))</f>
        <v>250.0</v>
      </c>
      <c r="C3064" s="3">
        <f>MEDIAN(I3064:L3064)</f>
        <v>250.0</v>
      </c>
      <c r="D3064" s="3">
        <f>ROUND(C3064*(1-Settings!$B$2),2)</f>
        <v>175.0</v>
      </c>
      <c r="E3064" s="3">
        <f>ROUND(C3064*(1-Settings!$B$3),2)</f>
        <v>175.0</v>
      </c>
      <c r="F3064" s="2" t="inlineStr">
        <is>
          <t>Pokemon</t>
        </is>
      </c>
      <c r="G3064" s="2" t="inlineStr">
        <is>
          <t>Pack</t>
        </is>
      </c>
      <c r="H3064" s="2" t="inlineStr">
        <is>
          <t>Miscellaneous Cards &amp; Products</t>
        </is>
      </c>
      <c r="I3064" s="3" t="n"/>
      <c r="J3064" s="3" t="n"/>
      <c r="K3064" s="3" t="n">
        <v>250</v>
      </c>
      <c r="L3064" s="3" t="n">
        <v>250</v>
      </c>
      <c r="M3064" s="2" t="inlineStr">
        <is>
          <t>TCGplayer</t>
        </is>
      </c>
      <c r="O3064" s="4" t="inlineStr">
        <is>
          <t>https://www.tcgplayer.com/product/230086</t>
        </is>
      </c>
    </row>
    <row r="3065">
      <c r="A3065" s="2" t="inlineStr">
        <is>
          <t>General Mills 25th Anniversary Booster Pack</t>
        </is>
      </c>
      <c r="B3065" s="3">
        <f>IF(I3065&lt;&gt;"",I3065,IF(J3065&lt;&gt;"",J3065,IF(K3065&lt;&gt;"",K3065,L3065)))</f>
        <v>13.77</v>
      </c>
      <c r="C3065" s="3">
        <f>MEDIAN(I3065:L3065)</f>
        <v>13.77</v>
      </c>
      <c r="D3065" s="3">
        <f>ROUND(C3065*(1-Settings!$B$2),2)</f>
        <v>9.64</v>
      </c>
      <c r="E3065" s="3">
        <f>ROUND(C3065*(1-Settings!$B$3),2)</f>
        <v>9.64</v>
      </c>
      <c r="F3065" s="2" t="inlineStr">
        <is>
          <t>Pokemon</t>
        </is>
      </c>
      <c r="G3065" s="2" t="inlineStr">
        <is>
          <t>Pack</t>
        </is>
      </c>
      <c r="H3065" s="2" t="inlineStr">
        <is>
          <t>Miscellaneous Cards &amp; Products</t>
        </is>
      </c>
      <c r="I3065" s="3" t="n"/>
      <c r="J3065" s="3" t="n">
        <v>13.77</v>
      </c>
      <c r="K3065" s="3" t="n">
        <v>15.25</v>
      </c>
      <c r="L3065" s="3" t="n">
        <v>12</v>
      </c>
      <c r="M3065" s="2" t="inlineStr">
        <is>
          <t>TCGplayer</t>
        </is>
      </c>
      <c r="O3065" s="4" t="inlineStr">
        <is>
          <t>https://www.tcgplayer.com/product/232770</t>
        </is>
      </c>
    </row>
    <row r="3066">
      <c r="A3066" s="2" t="inlineStr">
        <is>
          <t>General Mills Promo Booster Pack [Sun &amp; Moon]</t>
        </is>
      </c>
      <c r="B3066" s="3">
        <f>IF(I3066&lt;&gt;"",I3066,IF(J3066&lt;&gt;"",J3066,IF(K3066&lt;&gt;"",K3066,L3066)))</f>
        <v>32.56</v>
      </c>
      <c r="C3066" s="3">
        <f>MEDIAN(I3066:L3066)</f>
        <v>32.56</v>
      </c>
      <c r="D3066" s="3">
        <f>ROUND(C3066*(1-Settings!$B$2),2)</f>
        <v>22.79</v>
      </c>
      <c r="E3066" s="3">
        <f>ROUND(C3066*(1-Settings!$B$3),2)</f>
        <v>22.79</v>
      </c>
      <c r="F3066" s="2" t="inlineStr">
        <is>
          <t>Pokemon</t>
        </is>
      </c>
      <c r="G3066" s="2" t="inlineStr">
        <is>
          <t>Pack</t>
        </is>
      </c>
      <c r="H3066" s="2" t="inlineStr">
        <is>
          <t>Miscellaneous Cards &amp; Products</t>
        </is>
      </c>
      <c r="I3066" s="3" t="n"/>
      <c r="J3066" s="3" t="n">
        <v>32.56</v>
      </c>
      <c r="K3066" s="3" t="n">
        <v>39.66</v>
      </c>
      <c r="L3066" s="3" t="n">
        <v>11.99</v>
      </c>
      <c r="M3066" s="2" t="inlineStr">
        <is>
          <t>TCGplayer</t>
        </is>
      </c>
      <c r="O3066" s="4" t="inlineStr">
        <is>
          <t>https://www.tcgplayer.com/product/190360</t>
        </is>
      </c>
    </row>
    <row r="3067">
      <c r="A3067" s="2" t="inlineStr">
        <is>
          <t>Legendary Beasts Collector Pin 3 Pack Blister [Entei]</t>
        </is>
      </c>
      <c r="B3067" s="3">
        <f>IF(I3067&lt;&gt;"",I3067,IF(J3067&lt;&gt;"",J3067,IF(K3067&lt;&gt;"",K3067,L3067)))</f>
        <v>116.95</v>
      </c>
      <c r="C3067" s="3">
        <f>MEDIAN(I3067:L3067)</f>
        <v>185.01</v>
      </c>
      <c r="D3067" s="3">
        <f>ROUND(C3067*(1-Settings!$B$2),2)</f>
        <v>129.51</v>
      </c>
      <c r="E3067" s="3">
        <f>ROUND(C3067*(1-Settings!$B$3),2)</f>
        <v>129.51</v>
      </c>
      <c r="F3067" s="2" t="inlineStr">
        <is>
          <t>Pokemon</t>
        </is>
      </c>
      <c r="G3067" s="2" t="inlineStr">
        <is>
          <t>Pack</t>
        </is>
      </c>
      <c r="H3067" s="2" t="inlineStr">
        <is>
          <t>Miscellaneous Cards &amp; Products</t>
        </is>
      </c>
      <c r="I3067" s="3" t="n"/>
      <c r="J3067" s="3" t="n">
        <v>116.95</v>
      </c>
      <c r="K3067" s="3" t="n">
        <v>192.5</v>
      </c>
      <c r="L3067" s="3" t="n">
        <v>185.01</v>
      </c>
      <c r="M3067" s="2" t="inlineStr">
        <is>
          <t>TCGplayer</t>
        </is>
      </c>
      <c r="O3067" s="4" t="inlineStr">
        <is>
          <t>https://www.tcgplayer.com/product/265945</t>
        </is>
      </c>
    </row>
    <row r="3068">
      <c r="A3068" s="2" t="inlineStr">
        <is>
          <t>Legendary Beasts Collector Pin 3 Pack Blister [Raikou]</t>
        </is>
      </c>
      <c r="B3068" s="3">
        <f>IF(I3068&lt;&gt;"",I3068,IF(J3068&lt;&gt;"",J3068,IF(K3068&lt;&gt;"",K3068,L3068)))</f>
        <v>192.5</v>
      </c>
      <c r="C3068" s="3">
        <f>MEDIAN(I3068:L3068)</f>
        <v>188.755</v>
      </c>
      <c r="D3068" s="3">
        <f>ROUND(C3068*(1-Settings!$B$2),2)</f>
        <v>132.13</v>
      </c>
      <c r="E3068" s="3">
        <f>ROUND(C3068*(1-Settings!$B$3),2)</f>
        <v>132.13</v>
      </c>
      <c r="F3068" s="2" t="inlineStr">
        <is>
          <t>Pokemon</t>
        </is>
      </c>
      <c r="G3068" s="2" t="inlineStr">
        <is>
          <t>Pack</t>
        </is>
      </c>
      <c r="H3068" s="2" t="inlineStr">
        <is>
          <t>Miscellaneous Cards &amp; Products</t>
        </is>
      </c>
      <c r="I3068" s="3" t="n"/>
      <c r="J3068" s="3" t="n"/>
      <c r="K3068" s="3" t="n">
        <v>192.5</v>
      </c>
      <c r="L3068" s="3" t="n">
        <v>185.01</v>
      </c>
      <c r="M3068" s="2" t="inlineStr">
        <is>
          <t>TCGplayer</t>
        </is>
      </c>
      <c r="O3068" s="4" t="inlineStr">
        <is>
          <t>https://www.tcgplayer.com/product/265943</t>
        </is>
      </c>
    </row>
    <row r="3069">
      <c r="A3069" s="2" t="inlineStr">
        <is>
          <t>Legendary Beasts Collector Pin 3 Pack Blister [Suicune]</t>
        </is>
      </c>
      <c r="B3069" s="3">
        <f>IF(I3069&lt;&gt;"",I3069,IF(J3069&lt;&gt;"",J3069,IF(K3069&lt;&gt;"",K3069,L3069)))</f>
        <v>192.5</v>
      </c>
      <c r="C3069" s="3">
        <f>MEDIAN(I3069:L3069)</f>
        <v>188.755</v>
      </c>
      <c r="D3069" s="3">
        <f>ROUND(C3069*(1-Settings!$B$2),2)</f>
        <v>132.13</v>
      </c>
      <c r="E3069" s="3">
        <f>ROUND(C3069*(1-Settings!$B$3),2)</f>
        <v>132.13</v>
      </c>
      <c r="F3069" s="2" t="inlineStr">
        <is>
          <t>Pokemon</t>
        </is>
      </c>
      <c r="G3069" s="2" t="inlineStr">
        <is>
          <t>Pack</t>
        </is>
      </c>
      <c r="H3069" s="2" t="inlineStr">
        <is>
          <t>Miscellaneous Cards &amp; Products</t>
        </is>
      </c>
      <c r="I3069" s="3" t="n"/>
      <c r="J3069" s="3" t="n"/>
      <c r="K3069" s="3" t="n">
        <v>192.5</v>
      </c>
      <c r="L3069" s="3" t="n">
        <v>185.01</v>
      </c>
      <c r="M3069" s="2" t="inlineStr">
        <is>
          <t>TCGplayer</t>
        </is>
      </c>
      <c r="O3069" s="4" t="inlineStr">
        <is>
          <t>https://www.tcgplayer.com/product/265946</t>
        </is>
      </c>
    </row>
    <row r="3070">
      <c r="A3070" s="2" t="inlineStr">
        <is>
          <t>Pokemon TCG: Back to School Eraser Blister 2023 [Set of 2]</t>
        </is>
      </c>
      <c r="B3070" s="3">
        <f>IF(I3070&lt;&gt;"",I3070,IF(J3070&lt;&gt;"",J3070,IF(K3070&lt;&gt;"",K3070,L3070)))</f>
        <v>62.9</v>
      </c>
      <c r="C3070" s="3">
        <f>MEDIAN(I3070:L3070)</f>
        <v>61.45</v>
      </c>
      <c r="D3070" s="3">
        <f>ROUND(C3070*(1-Settings!$B$2),2)</f>
        <v>43.02</v>
      </c>
      <c r="E3070" s="3">
        <f>ROUND(C3070*(1-Settings!$B$3),2)</f>
        <v>43.02</v>
      </c>
      <c r="F3070" s="2" t="inlineStr">
        <is>
          <t>Pokemon</t>
        </is>
      </c>
      <c r="G3070" s="2" t="inlineStr">
        <is>
          <t>Pack</t>
        </is>
      </c>
      <c r="H3070" s="2" t="inlineStr">
        <is>
          <t>Miscellaneous Cards &amp; Products</t>
        </is>
      </c>
      <c r="I3070" s="3" t="n"/>
      <c r="J3070" s="3" t="n"/>
      <c r="K3070" s="3" t="n">
        <v>62.9</v>
      </c>
      <c r="L3070" s="3" t="n">
        <v>60</v>
      </c>
      <c r="M3070" s="2" t="inlineStr">
        <is>
          <t>TCGplayer</t>
        </is>
      </c>
      <c r="O3070" s="4" t="inlineStr">
        <is>
          <t>https://www.tcgplayer.com/product/497966</t>
        </is>
      </c>
    </row>
    <row r="3071">
      <c r="A3071" s="2" t="inlineStr">
        <is>
          <t>Pokemon TCG: Back to School Eraser Blister 2024 [Gengar]</t>
        </is>
      </c>
      <c r="B3071" s="3">
        <f>IF(I3071&lt;&gt;"",I3071,IF(J3071&lt;&gt;"",J3071,IF(K3071&lt;&gt;"",K3071,L3071)))</f>
        <v>32.67</v>
      </c>
      <c r="C3071" s="3">
        <f>MEDIAN(I3071:L3071)</f>
        <v>38.99</v>
      </c>
      <c r="D3071" s="3">
        <f>ROUND(C3071*(1-Settings!$B$2),2)</f>
        <v>27.29</v>
      </c>
      <c r="E3071" s="3">
        <f>ROUND(C3071*(1-Settings!$B$3),2)</f>
        <v>27.29</v>
      </c>
      <c r="F3071" s="2" t="inlineStr">
        <is>
          <t>Pokemon</t>
        </is>
      </c>
      <c r="G3071" s="2" t="inlineStr">
        <is>
          <t>Pack</t>
        </is>
      </c>
      <c r="H3071" s="2" t="inlineStr">
        <is>
          <t>Miscellaneous Cards &amp; Products</t>
        </is>
      </c>
      <c r="I3071" s="3" t="n"/>
      <c r="J3071" s="3" t="n">
        <v>32.67</v>
      </c>
      <c r="K3071" s="3" t="n">
        <v>39.99</v>
      </c>
      <c r="L3071" s="3" t="n">
        <v>38.99</v>
      </c>
      <c r="M3071" s="2" t="inlineStr">
        <is>
          <t>TCGplayer</t>
        </is>
      </c>
      <c r="O3071" s="4" t="inlineStr">
        <is>
          <t>https://www.tcgplayer.com/product/549452</t>
        </is>
      </c>
    </row>
    <row r="3072">
      <c r="A3072" s="2" t="inlineStr">
        <is>
          <t>Pokemon TCG: Back to School Eraser Blister [Eevee]</t>
        </is>
      </c>
      <c r="B3072" s="3">
        <f>IF(I3072&lt;&gt;"",I3072,IF(J3072&lt;&gt;"",J3072,IF(K3072&lt;&gt;"",K3072,L3072)))</f>
        <v>64.9</v>
      </c>
      <c r="C3072" s="3">
        <f>MEDIAN(I3072:L3072)</f>
        <v>64.9</v>
      </c>
      <c r="D3072" s="3">
        <f>ROUND(C3072*(1-Settings!$B$2),2)</f>
        <v>45.43</v>
      </c>
      <c r="E3072" s="3">
        <f>ROUND(C3072*(1-Settings!$B$3),2)</f>
        <v>45.43</v>
      </c>
      <c r="F3072" s="2" t="inlineStr">
        <is>
          <t>Pokemon</t>
        </is>
      </c>
      <c r="G3072" s="2" t="inlineStr">
        <is>
          <t>Pack</t>
        </is>
      </c>
      <c r="H3072" s="2" t="inlineStr">
        <is>
          <t>Miscellaneous Cards &amp; Products</t>
        </is>
      </c>
      <c r="I3072" s="3" t="n"/>
      <c r="J3072" s="3" t="n"/>
      <c r="K3072" s="3" t="n"/>
      <c r="L3072" s="3" t="n">
        <v>64.90000000000001</v>
      </c>
      <c r="M3072" s="2" t="inlineStr">
        <is>
          <t>TCGplayer</t>
        </is>
      </c>
      <c r="O3072" s="4" t="inlineStr">
        <is>
          <t>https://www.tcgplayer.com/product/273609</t>
        </is>
      </c>
    </row>
    <row r="3073">
      <c r="A3073" s="2" t="inlineStr">
        <is>
          <t>Pokemon TCG: Back to School Eraser Blister [Lechonk]</t>
        </is>
      </c>
      <c r="B3073" s="3">
        <f>IF(I3073&lt;&gt;"",I3073,IF(J3073&lt;&gt;"",J3073,IF(K3073&lt;&gt;"",K3073,L3073)))</f>
        <v>33.42</v>
      </c>
      <c r="C3073" s="3">
        <f>MEDIAN(I3073:L3073)</f>
        <v>34.4</v>
      </c>
      <c r="D3073" s="3">
        <f>ROUND(C3073*(1-Settings!$B$2),2)</f>
        <v>24.08</v>
      </c>
      <c r="E3073" s="3">
        <f>ROUND(C3073*(1-Settings!$B$3),2)</f>
        <v>24.08</v>
      </c>
      <c r="F3073" s="2" t="inlineStr">
        <is>
          <t>Pokemon</t>
        </is>
      </c>
      <c r="G3073" s="2" t="inlineStr">
        <is>
          <t>Pack</t>
        </is>
      </c>
      <c r="H3073" s="2" t="inlineStr">
        <is>
          <t>Miscellaneous Cards &amp; Products</t>
        </is>
      </c>
      <c r="I3073" s="3" t="n"/>
      <c r="J3073" s="3" t="n">
        <v>33.42</v>
      </c>
      <c r="K3073" s="3" t="n">
        <v>40</v>
      </c>
      <c r="L3073" s="3" t="n">
        <v>34.4</v>
      </c>
      <c r="M3073" s="2" t="inlineStr">
        <is>
          <t>TCGplayer</t>
        </is>
      </c>
      <c r="O3073" s="4" t="inlineStr">
        <is>
          <t>https://www.tcgplayer.com/product/497853</t>
        </is>
      </c>
    </row>
    <row r="3074">
      <c r="A3074" s="2" t="inlineStr">
        <is>
          <t>Pokemon TCG: Back to School Eraser Blister [Pikachu]</t>
        </is>
      </c>
      <c r="B3074" s="3">
        <f>IF(I3074&lt;&gt;"",I3074,IF(J3074&lt;&gt;"",J3074,IF(K3074&lt;&gt;"",K3074,L3074)))</f>
        <v>80.0</v>
      </c>
      <c r="C3074" s="3">
        <f>MEDIAN(I3074:L3074)</f>
        <v>80.0</v>
      </c>
      <c r="D3074" s="3">
        <f>ROUND(C3074*(1-Settings!$B$2),2)</f>
        <v>56.0</v>
      </c>
      <c r="E3074" s="3">
        <f>ROUND(C3074*(1-Settings!$B$3),2)</f>
        <v>56.0</v>
      </c>
      <c r="F3074" s="2" t="inlineStr">
        <is>
          <t>Pokemon</t>
        </is>
      </c>
      <c r="G3074" s="2" t="inlineStr">
        <is>
          <t>Pack</t>
        </is>
      </c>
      <c r="H3074" s="2" t="inlineStr">
        <is>
          <t>Miscellaneous Cards &amp; Products</t>
        </is>
      </c>
      <c r="I3074" s="3" t="n"/>
      <c r="J3074" s="3" t="n"/>
      <c r="K3074" s="3" t="n"/>
      <c r="L3074" s="3" t="n">
        <v>80</v>
      </c>
      <c r="M3074" s="2" t="inlineStr">
        <is>
          <t>TCGplayer</t>
        </is>
      </c>
      <c r="O3074" s="4" t="inlineStr">
        <is>
          <t>https://www.tcgplayer.com/product/273608</t>
        </is>
      </c>
    </row>
    <row r="3075">
      <c r="A3075" s="2" t="inlineStr">
        <is>
          <t>Pokemon TCG: Back to School Eraser Blister [Set of 2]</t>
        </is>
      </c>
      <c r="B3075" s="3">
        <f>IF(I3075&lt;&gt;"",I3075,IF(J3075&lt;&gt;"",J3075,IF(K3075&lt;&gt;"",K3075,L3075)))</f>
        <v>250.0</v>
      </c>
      <c r="C3075" s="3">
        <f>MEDIAN(I3075:L3075)</f>
        <v>250.0</v>
      </c>
      <c r="D3075" s="3">
        <f>ROUND(C3075*(1-Settings!$B$2),2)</f>
        <v>175.0</v>
      </c>
      <c r="E3075" s="3">
        <f>ROUND(C3075*(1-Settings!$B$3),2)</f>
        <v>175.0</v>
      </c>
      <c r="F3075" s="2" t="inlineStr">
        <is>
          <t>Pokemon</t>
        </is>
      </c>
      <c r="G3075" s="2" t="inlineStr">
        <is>
          <t>Pack</t>
        </is>
      </c>
      <c r="H3075" s="2" t="inlineStr">
        <is>
          <t>Miscellaneous Cards &amp; Products</t>
        </is>
      </c>
      <c r="I3075" s="3" t="n"/>
      <c r="J3075" s="3" t="n"/>
      <c r="K3075" s="3" t="n"/>
      <c r="L3075" s="3" t="n">
        <v>250</v>
      </c>
      <c r="M3075" s="2" t="inlineStr">
        <is>
          <t>TCGplayer</t>
        </is>
      </c>
      <c r="O3075" s="4" t="inlineStr">
        <is>
          <t>https://www.tcgplayer.com/product/273610</t>
        </is>
      </c>
    </row>
    <row r="3076">
      <c r="A3076" s="2" t="inlineStr">
        <is>
          <t>Pokemon TCG: Back to School Eraser Blister [Smoliv]</t>
        </is>
      </c>
      <c r="B3076" s="3">
        <f>IF(I3076&lt;&gt;"",I3076,IF(J3076&lt;&gt;"",J3076,IF(K3076&lt;&gt;"",K3076,L3076)))</f>
        <v>28.97</v>
      </c>
      <c r="C3076" s="3">
        <f>MEDIAN(I3076:L3076)</f>
        <v>33.93</v>
      </c>
      <c r="D3076" s="3">
        <f>ROUND(C3076*(1-Settings!$B$2),2)</f>
        <v>23.75</v>
      </c>
      <c r="E3076" s="3">
        <f>ROUND(C3076*(1-Settings!$B$3),2)</f>
        <v>23.75</v>
      </c>
      <c r="F3076" s="2" t="inlineStr">
        <is>
          <t>Pokemon</t>
        </is>
      </c>
      <c r="G3076" s="2" t="inlineStr">
        <is>
          <t>Pack</t>
        </is>
      </c>
      <c r="H3076" s="2" t="inlineStr">
        <is>
          <t>Miscellaneous Cards &amp; Products</t>
        </is>
      </c>
      <c r="I3076" s="3" t="n"/>
      <c r="J3076" s="3" t="n">
        <v>28.97</v>
      </c>
      <c r="K3076" s="3" t="n">
        <v>35</v>
      </c>
      <c r="L3076" s="3" t="n">
        <v>33.93</v>
      </c>
      <c r="M3076" s="2" t="inlineStr">
        <is>
          <t>TCGplayer</t>
        </is>
      </c>
      <c r="O3076" s="4" t="inlineStr">
        <is>
          <t>https://www.tcgplayer.com/product/497856</t>
        </is>
      </c>
    </row>
    <row r="3077">
      <c r="A3077" s="2" t="inlineStr">
        <is>
          <t>Premium Checklane Blister [Gallade]</t>
        </is>
      </c>
      <c r="B3077" s="3">
        <f>IF(I3077&lt;&gt;"",I3077,IF(J3077&lt;&gt;"",J3077,IF(K3077&lt;&gt;"",K3077,L3077)))</f>
        <v>122.5</v>
      </c>
      <c r="C3077" s="3">
        <f>MEDIAN(I3077:L3077)</f>
        <v>121.25</v>
      </c>
      <c r="D3077" s="3">
        <f>ROUND(C3077*(1-Settings!$B$2),2)</f>
        <v>84.88</v>
      </c>
      <c r="E3077" s="3">
        <f>ROUND(C3077*(1-Settings!$B$3),2)</f>
        <v>84.88</v>
      </c>
      <c r="F3077" s="2" t="inlineStr">
        <is>
          <t>Pokemon</t>
        </is>
      </c>
      <c r="G3077" s="2" t="inlineStr">
        <is>
          <t>Pack</t>
        </is>
      </c>
      <c r="H3077" s="2" t="inlineStr">
        <is>
          <t>Miscellaneous Cards &amp; Products</t>
        </is>
      </c>
      <c r="I3077" s="3" t="n"/>
      <c r="J3077" s="3" t="n"/>
      <c r="K3077" s="3" t="n">
        <v>122.5</v>
      </c>
      <c r="L3077" s="3" t="n">
        <v>120</v>
      </c>
      <c r="M3077" s="2" t="inlineStr">
        <is>
          <t>TCGplayer</t>
        </is>
      </c>
      <c r="O3077" s="4" t="inlineStr">
        <is>
          <t>https://www.tcgplayer.com/product/200568</t>
        </is>
      </c>
    </row>
    <row r="3078">
      <c r="A3078" s="2" t="inlineStr">
        <is>
          <t>XY 3 Pack Blister [Giratina]</t>
        </is>
      </c>
      <c r="B3078" s="3">
        <f>IF(I3078&lt;&gt;"",I3078,IF(J3078&lt;&gt;"",J3078,IF(K3078&lt;&gt;"",K3078,L3078)))</f>
        <v>1462.91</v>
      </c>
      <c r="C3078" s="3">
        <f>MEDIAN(I3078:L3078)</f>
        <v>1462.91</v>
      </c>
      <c r="D3078" s="3">
        <f>ROUND(C3078*(1-Settings!$B$2),2)</f>
        <v>1024.04</v>
      </c>
      <c r="E3078" s="3">
        <f>ROUND(C3078*(1-Settings!$B$3),2)</f>
        <v>1024.04</v>
      </c>
      <c r="F3078" s="2" t="inlineStr">
        <is>
          <t>Pokemon</t>
        </is>
      </c>
      <c r="G3078" s="2" t="inlineStr">
        <is>
          <t>Pack</t>
        </is>
      </c>
      <c r="H3078" s="2" t="inlineStr">
        <is>
          <t>Miscellaneous Cards &amp; Products</t>
        </is>
      </c>
      <c r="I3078" s="3" t="n"/>
      <c r="J3078" s="3" t="n"/>
      <c r="K3078" s="3" t="n">
        <v>1462.91</v>
      </c>
      <c r="L3078" s="3" t="n">
        <v>1462.91</v>
      </c>
      <c r="M3078" s="2" t="inlineStr">
        <is>
          <t>TCGplayer</t>
        </is>
      </c>
      <c r="O3078" s="4" t="inlineStr">
        <is>
          <t>https://www.tcgplayer.com/product/276609</t>
        </is>
      </c>
    </row>
    <row r="3079">
      <c r="A3079" s="2" t="inlineStr">
        <is>
          <t>Yu Nagaba x Pokemon - Eevee's Special Promo Pack</t>
        </is>
      </c>
      <c r="B3079" s="3">
        <f>IF(I3079&lt;&gt;"",I3079,IF(J3079&lt;&gt;"",J3079,IF(K3079&lt;&gt;"",K3079,L3079)))</f>
        <v>134.09</v>
      </c>
      <c r="C3079" s="3">
        <f>MEDIAN(I3079:L3079)</f>
        <v>134.09</v>
      </c>
      <c r="D3079" s="3">
        <f>ROUND(C3079*(1-Settings!$B$2),2)</f>
        <v>93.86</v>
      </c>
      <c r="E3079" s="3">
        <f>ROUND(C3079*(1-Settings!$B$3),2)</f>
        <v>93.86</v>
      </c>
      <c r="F3079" s="2" t="inlineStr">
        <is>
          <t>Pokemon</t>
        </is>
      </c>
      <c r="G3079" s="2" t="inlineStr">
        <is>
          <t>Pack</t>
        </is>
      </c>
      <c r="H3079" s="2" t="inlineStr">
        <is>
          <t>Miscellaneous Cards &amp; Products</t>
        </is>
      </c>
      <c r="I3079" s="3" t="n"/>
      <c r="J3079" s="3" t="n">
        <v>134.09</v>
      </c>
      <c r="K3079" s="3" t="n">
        <v>149.4</v>
      </c>
      <c r="L3079" s="3" t="n">
        <v>126</v>
      </c>
      <c r="M3079" s="2" t="inlineStr">
        <is>
          <t>TCGplayer</t>
        </is>
      </c>
      <c r="O3079" s="4" t="inlineStr">
        <is>
          <t>https://www.tcgplayer.com/product/530756</t>
        </is>
      </c>
    </row>
    <row r="3080">
      <c r="A3080" s="2" t="inlineStr">
        <is>
          <t>Mysterious Treasures Blister Pack</t>
        </is>
      </c>
      <c r="B3080" s="3">
        <f>IF(I3080&lt;&gt;"",I3080,IF(J3080&lt;&gt;"",J3080,IF(K3080&lt;&gt;"",K3080,L3080)))</f>
        <v>600.0</v>
      </c>
      <c r="C3080" s="3">
        <f>MEDIAN(I3080:L3080)</f>
        <v>600.0</v>
      </c>
      <c r="D3080" s="3">
        <f>ROUND(C3080*(1-Settings!$B$2),2)</f>
        <v>420.0</v>
      </c>
      <c r="E3080" s="3">
        <f>ROUND(C3080*(1-Settings!$B$3),2)</f>
        <v>420.0</v>
      </c>
      <c r="F3080" s="2" t="inlineStr">
        <is>
          <t>Pokemon</t>
        </is>
      </c>
      <c r="G3080" s="2" t="inlineStr">
        <is>
          <t>Pack</t>
        </is>
      </c>
      <c r="H3080" s="2" t="inlineStr">
        <is>
          <t>Mysterious Treasures</t>
        </is>
      </c>
      <c r="I3080" s="3" t="n">
        <v>600</v>
      </c>
      <c r="J3080" s="3" t="n"/>
      <c r="K3080" s="3" t="n"/>
      <c r="L3080" s="3" t="n"/>
      <c r="M3080" s="2" t="inlineStr">
        <is>
          <t>PriceCharting</t>
        </is>
      </c>
      <c r="N3080" s="4" t="inlineStr">
        <is>
          <t>https://www.pricecharting.com/game/pokemon-mysterious-treasures/blister-pack</t>
        </is>
      </c>
    </row>
    <row r="3081">
      <c r="A3081" s="2" t="inlineStr">
        <is>
          <t>Mysterious Treasures Booster Pack</t>
        </is>
      </c>
      <c r="B3081" s="3">
        <f>IF(I3081&lt;&gt;"",I3081,IF(J3081&lt;&gt;"",J3081,IF(K3081&lt;&gt;"",K3081,L3081)))</f>
        <v>406.72</v>
      </c>
      <c r="C3081" s="3">
        <f>MEDIAN(I3081:L3081)</f>
        <v>523.36</v>
      </c>
      <c r="D3081" s="3">
        <f>ROUND(C3081*(1-Settings!$B$2),2)</f>
        <v>366.35</v>
      </c>
      <c r="E3081" s="3">
        <f>ROUND(C3081*(1-Settings!$B$3),2)</f>
        <v>366.35</v>
      </c>
      <c r="F3081" s="2" t="inlineStr">
        <is>
          <t>Pokemon</t>
        </is>
      </c>
      <c r="G3081" s="2" t="inlineStr">
        <is>
          <t>Pack</t>
        </is>
      </c>
      <c r="H3081" s="2" t="inlineStr">
        <is>
          <t>Mysterious Treasures</t>
        </is>
      </c>
      <c r="I3081" s="3" t="n">
        <v>406.72</v>
      </c>
      <c r="J3081" s="3" t="n">
        <v>339.83</v>
      </c>
      <c r="K3081" s="3" t="n">
        <v>645</v>
      </c>
      <c r="L3081" s="3" t="n">
        <v>640</v>
      </c>
      <c r="M3081" s="2" t="inlineStr">
        <is>
          <t>PriceCharting + TCGplayer</t>
        </is>
      </c>
      <c r="N3081" s="4" t="inlineStr">
        <is>
          <t>https://www.pricecharting.com/game/pokemon-mysterious-treasures/booster-pack</t>
        </is>
      </c>
      <c r="O3081" s="4" t="inlineStr">
        <is>
          <t>https://www.tcgplayer.com/product/98561</t>
        </is>
      </c>
    </row>
    <row r="3082">
      <c r="A3082" s="2" t="inlineStr">
        <is>
          <t>Neo Destiny Blister Pack</t>
        </is>
      </c>
      <c r="B3082" s="3">
        <f>IF(I3082&lt;&gt;"",I3082,IF(J3082&lt;&gt;"",J3082,IF(K3082&lt;&gt;"",K3082,L3082)))</f>
        <v>1049.99</v>
      </c>
      <c r="C3082" s="3">
        <f>MEDIAN(I3082:L3082)</f>
        <v>1049.99</v>
      </c>
      <c r="D3082" s="3">
        <f>ROUND(C3082*(1-Settings!$B$2),2)</f>
        <v>734.99</v>
      </c>
      <c r="E3082" s="3">
        <f>ROUND(C3082*(1-Settings!$B$3),2)</f>
        <v>734.99</v>
      </c>
      <c r="F3082" s="2" t="inlineStr">
        <is>
          <t>Pokemon</t>
        </is>
      </c>
      <c r="G3082" s="2" t="inlineStr">
        <is>
          <t>Pack</t>
        </is>
      </c>
      <c r="H3082" s="2" t="inlineStr">
        <is>
          <t>Neo Destiny</t>
        </is>
      </c>
      <c r="I3082" s="3" t="n">
        <v>1049.99</v>
      </c>
      <c r="J3082" s="3" t="n"/>
      <c r="K3082" s="3" t="n"/>
      <c r="L3082" s="3" t="n"/>
      <c r="M3082" s="2" t="inlineStr">
        <is>
          <t>PriceCharting</t>
        </is>
      </c>
      <c r="N3082" s="4" t="inlineStr">
        <is>
          <t>https://www.pricecharting.com/game/pokemon-neo-destiny/blister-pack</t>
        </is>
      </c>
    </row>
    <row r="3083">
      <c r="A3083" s="2" t="inlineStr">
        <is>
          <t>Neo Destiny Booster Pack</t>
        </is>
      </c>
      <c r="B3083" s="3">
        <f>IF(I3083&lt;&gt;"",I3083,IF(J3083&lt;&gt;"",J3083,IF(K3083&lt;&gt;"",K3083,L3083)))</f>
        <v>1269.0</v>
      </c>
      <c r="C3083" s="3">
        <f>MEDIAN(I3083:L3083)</f>
        <v>1269.0</v>
      </c>
      <c r="D3083" s="3">
        <f>ROUND(C3083*(1-Settings!$B$2),2)</f>
        <v>888.3</v>
      </c>
      <c r="E3083" s="3">
        <f>ROUND(C3083*(1-Settings!$B$3),2)</f>
        <v>888.3</v>
      </c>
      <c r="F3083" s="2" t="inlineStr">
        <is>
          <t>Pokemon</t>
        </is>
      </c>
      <c r="G3083" s="2" t="inlineStr">
        <is>
          <t>Pack</t>
        </is>
      </c>
      <c r="H3083" s="2" t="inlineStr">
        <is>
          <t>Neo Destiny</t>
        </is>
      </c>
      <c r="I3083" s="3" t="n">
        <v>1269</v>
      </c>
      <c r="J3083" s="3" t="n"/>
      <c r="K3083" s="3" t="n"/>
      <c r="L3083" s="3" t="n"/>
      <c r="M3083" s="2" t="inlineStr">
        <is>
          <t>PriceCharting</t>
        </is>
      </c>
      <c r="N3083" s="4" t="inlineStr">
        <is>
          <t>https://www.pricecharting.com/game/pokemon-neo-destiny/booster-pack</t>
        </is>
      </c>
    </row>
    <row r="3084">
      <c r="A3084" s="2" t="inlineStr">
        <is>
          <t>Neo Destiny Booster Pack [1st Edition]</t>
        </is>
      </c>
      <c r="B3084" s="3">
        <f>IF(I3084&lt;&gt;"",I3084,IF(J3084&lt;&gt;"",J3084,IF(K3084&lt;&gt;"",K3084,L3084)))</f>
        <v>2640.13</v>
      </c>
      <c r="C3084" s="3">
        <f>MEDIAN(I3084:L3084)</f>
        <v>2640.13</v>
      </c>
      <c r="D3084" s="3">
        <f>ROUND(C3084*(1-Settings!$B$2),2)</f>
        <v>1848.09</v>
      </c>
      <c r="E3084" s="3">
        <f>ROUND(C3084*(1-Settings!$B$3),2)</f>
        <v>1848.09</v>
      </c>
      <c r="F3084" s="2" t="inlineStr">
        <is>
          <t>Pokemon</t>
        </is>
      </c>
      <c r="G3084" s="2" t="inlineStr">
        <is>
          <t>Pack</t>
        </is>
      </c>
      <c r="H3084" s="2" t="inlineStr">
        <is>
          <t>Neo Destiny</t>
        </is>
      </c>
      <c r="I3084" s="3" t="n">
        <v>2640.13</v>
      </c>
      <c r="J3084" s="3" t="n"/>
      <c r="K3084" s="3" t="n"/>
      <c r="L3084" s="3" t="n"/>
      <c r="M3084" s="2" t="inlineStr">
        <is>
          <t>PriceCharting + TCGplayer</t>
        </is>
      </c>
      <c r="N3084" s="4" t="inlineStr">
        <is>
          <t>https://www.pricecharting.com/game/pokemon-neo-destiny/booster-pack-1st-edition</t>
        </is>
      </c>
      <c r="O3084" s="4" t="inlineStr">
        <is>
          <t>https://www.tcgplayer.com/product/138148</t>
        </is>
      </c>
    </row>
    <row r="3085">
      <c r="A3085" s="2" t="inlineStr">
        <is>
          <t>Neo Discovery Blister Pack</t>
        </is>
      </c>
      <c r="B3085" s="3">
        <f>IF(I3085&lt;&gt;"",I3085,IF(J3085&lt;&gt;"",J3085,IF(K3085&lt;&gt;"",K3085,L3085)))</f>
        <v>1054.29</v>
      </c>
      <c r="C3085" s="3">
        <f>MEDIAN(I3085:L3085)</f>
        <v>1054.29</v>
      </c>
      <c r="D3085" s="3">
        <f>ROUND(C3085*(1-Settings!$B$2),2)</f>
        <v>738.0</v>
      </c>
      <c r="E3085" s="3">
        <f>ROUND(C3085*(1-Settings!$B$3),2)</f>
        <v>738.0</v>
      </c>
      <c r="F3085" s="2" t="inlineStr">
        <is>
          <t>Pokemon</t>
        </is>
      </c>
      <c r="G3085" s="2" t="inlineStr">
        <is>
          <t>Pack</t>
        </is>
      </c>
      <c r="H3085" s="2" t="inlineStr">
        <is>
          <t>Neo Discovery</t>
        </is>
      </c>
      <c r="I3085" s="3" t="n">
        <v>1054.29</v>
      </c>
      <c r="J3085" s="3" t="n"/>
      <c r="K3085" s="3" t="n"/>
      <c r="L3085" s="3" t="n"/>
      <c r="M3085" s="2" t="inlineStr">
        <is>
          <t>PriceCharting</t>
        </is>
      </c>
      <c r="N3085" s="4" t="inlineStr">
        <is>
          <t>https://www.pricecharting.com/game/pokemon-neo-discovery/blister-pack</t>
        </is>
      </c>
    </row>
    <row r="3086">
      <c r="A3086" s="2" t="inlineStr">
        <is>
          <t>Neo Discovery Booster Pack</t>
        </is>
      </c>
      <c r="B3086" s="3">
        <f>IF(I3086&lt;&gt;"",I3086,IF(J3086&lt;&gt;"",J3086,IF(K3086&lt;&gt;"",K3086,L3086)))</f>
        <v>599.68</v>
      </c>
      <c r="C3086" s="3">
        <f>MEDIAN(I3086:L3086)</f>
        <v>599.68</v>
      </c>
      <c r="D3086" s="3">
        <f>ROUND(C3086*(1-Settings!$B$2),2)</f>
        <v>419.78</v>
      </c>
      <c r="E3086" s="3">
        <f>ROUND(C3086*(1-Settings!$B$3),2)</f>
        <v>419.78</v>
      </c>
      <c r="F3086" s="2" t="inlineStr">
        <is>
          <t>Pokemon</t>
        </is>
      </c>
      <c r="G3086" s="2" t="inlineStr">
        <is>
          <t>Pack</t>
        </is>
      </c>
      <c r="H3086" s="2" t="inlineStr">
        <is>
          <t>Neo Discovery</t>
        </is>
      </c>
      <c r="I3086" s="3" t="n">
        <v>599.6799999999999</v>
      </c>
      <c r="J3086" s="3" t="n"/>
      <c r="K3086" s="3" t="n"/>
      <c r="L3086" s="3" t="n"/>
      <c r="M3086" s="2" t="inlineStr">
        <is>
          <t>PriceCharting</t>
        </is>
      </c>
      <c r="N3086" s="4" t="inlineStr">
        <is>
          <t>https://www.pricecharting.com/game/pokemon-neo-discovery/booster-pack</t>
        </is>
      </c>
    </row>
    <row r="3087">
      <c r="A3087" s="2" t="inlineStr">
        <is>
          <t>Neo Discovery Booster Pack [1st Edition]</t>
        </is>
      </c>
      <c r="B3087" s="3">
        <f>IF(I3087&lt;&gt;"",I3087,IF(J3087&lt;&gt;"",J3087,IF(K3087&lt;&gt;"",K3087,L3087)))</f>
        <v>793.13</v>
      </c>
      <c r="C3087" s="3">
        <f>MEDIAN(I3087:L3087)</f>
        <v>1500.0</v>
      </c>
      <c r="D3087" s="3">
        <f>ROUND(C3087*(1-Settings!$B$2),2)</f>
        <v>1050.0</v>
      </c>
      <c r="E3087" s="3">
        <f>ROUND(C3087*(1-Settings!$B$3),2)</f>
        <v>1050.0</v>
      </c>
      <c r="F3087" s="2" t="inlineStr">
        <is>
          <t>Pokemon</t>
        </is>
      </c>
      <c r="G3087" s="2" t="inlineStr">
        <is>
          <t>Pack</t>
        </is>
      </c>
      <c r="H3087" s="2" t="inlineStr">
        <is>
          <t>Neo Discovery</t>
        </is>
      </c>
      <c r="I3087" s="3" t="n">
        <v>793.13</v>
      </c>
      <c r="J3087" s="3" t="n"/>
      <c r="K3087" s="3" t="n">
        <v>1500</v>
      </c>
      <c r="L3087" s="3" t="n">
        <v>1500</v>
      </c>
      <c r="M3087" s="2" t="inlineStr">
        <is>
          <t>PriceCharting + TCGplayer</t>
        </is>
      </c>
      <c r="N3087" s="4" t="inlineStr">
        <is>
          <t>https://www.pricecharting.com/game/pokemon-neo-discovery/booster-pack-1st-edition</t>
        </is>
      </c>
      <c r="O3087" s="4" t="inlineStr">
        <is>
          <t>https://www.tcgplayer.com/product/138144</t>
        </is>
      </c>
    </row>
    <row r="3088">
      <c r="A3088" s="2" t="inlineStr">
        <is>
          <t>Neo Discovery Booster Pack [Unlimited Edition]</t>
        </is>
      </c>
      <c r="B3088" s="3">
        <f>IF(I3088&lt;&gt;"",I3088,IF(J3088&lt;&gt;"",J3088,IF(K3088&lt;&gt;"",K3088,L3088)))</f>
        <v>600.0</v>
      </c>
      <c r="C3088" s="3">
        <f>MEDIAN(I3088:L3088)</f>
        <v>600.0</v>
      </c>
      <c r="D3088" s="3">
        <f>ROUND(C3088*(1-Settings!$B$2),2)</f>
        <v>420.0</v>
      </c>
      <c r="E3088" s="3">
        <f>ROUND(C3088*(1-Settings!$B$3),2)</f>
        <v>420.0</v>
      </c>
      <c r="F3088" s="2" t="inlineStr">
        <is>
          <t>Pokemon</t>
        </is>
      </c>
      <c r="G3088" s="2" t="inlineStr">
        <is>
          <t>Pack</t>
        </is>
      </c>
      <c r="H3088" s="2" t="inlineStr">
        <is>
          <t>Neo Discovery</t>
        </is>
      </c>
      <c r="I3088" s="3" t="n"/>
      <c r="J3088" s="3" t="n">
        <v>600</v>
      </c>
      <c r="K3088" s="3" t="n"/>
      <c r="L3088" s="3" t="n"/>
      <c r="M3088" s="2" t="inlineStr">
        <is>
          <t>TCGplayer</t>
        </is>
      </c>
      <c r="O3088" s="4" t="inlineStr">
        <is>
          <t>https://www.tcgplayer.com/product/138143</t>
        </is>
      </c>
    </row>
    <row r="3089">
      <c r="A3089" s="2" t="inlineStr">
        <is>
          <t>Neo Genesis Booster Pack</t>
        </is>
      </c>
      <c r="B3089" s="3">
        <f>IF(I3089&lt;&gt;"",I3089,IF(J3089&lt;&gt;"",J3089,IF(K3089&lt;&gt;"",K3089,L3089)))</f>
        <v>682.75</v>
      </c>
      <c r="C3089" s="3">
        <f>MEDIAN(I3089:L3089)</f>
        <v>682.75</v>
      </c>
      <c r="D3089" s="3">
        <f>ROUND(C3089*(1-Settings!$B$2),2)</f>
        <v>477.93</v>
      </c>
      <c r="E3089" s="3">
        <f>ROUND(C3089*(1-Settings!$B$3),2)</f>
        <v>477.93</v>
      </c>
      <c r="F3089" s="2" t="inlineStr">
        <is>
          <t>Pokemon</t>
        </is>
      </c>
      <c r="G3089" s="2" t="inlineStr">
        <is>
          <t>Pack</t>
        </is>
      </c>
      <c r="H3089" s="2" t="inlineStr">
        <is>
          <t>Neo Genesis</t>
        </is>
      </c>
      <c r="I3089" s="3" t="n">
        <v>682.75</v>
      </c>
      <c r="J3089" s="3" t="n"/>
      <c r="K3089" s="3" t="n"/>
      <c r="L3089" s="3" t="n"/>
      <c r="M3089" s="2" t="inlineStr">
        <is>
          <t>PriceCharting</t>
        </is>
      </c>
      <c r="N3089" s="4" t="inlineStr">
        <is>
          <t>https://www.pricecharting.com/game/pokemon-neo-genesis/booster-pack</t>
        </is>
      </c>
    </row>
    <row r="3090">
      <c r="A3090" s="2" t="inlineStr">
        <is>
          <t>Neo Genesis Booster Pack [1st Edition]</t>
        </is>
      </c>
      <c r="B3090" s="3">
        <f>IF(I3090&lt;&gt;"",I3090,IF(J3090&lt;&gt;"",J3090,IF(K3090&lt;&gt;"",K3090,L3090)))</f>
        <v>905.0</v>
      </c>
      <c r="C3090" s="3">
        <f>MEDIAN(I3090:L3090)</f>
        <v>905.0</v>
      </c>
      <c r="D3090" s="3">
        <f>ROUND(C3090*(1-Settings!$B$2),2)</f>
        <v>633.5</v>
      </c>
      <c r="E3090" s="3">
        <f>ROUND(C3090*(1-Settings!$B$3),2)</f>
        <v>633.5</v>
      </c>
      <c r="F3090" s="2" t="inlineStr">
        <is>
          <t>Pokemon</t>
        </is>
      </c>
      <c r="G3090" s="2" t="inlineStr">
        <is>
          <t>Pack</t>
        </is>
      </c>
      <c r="H3090" s="2" t="inlineStr">
        <is>
          <t>Neo Genesis</t>
        </is>
      </c>
      <c r="I3090" s="3" t="n">
        <v>905</v>
      </c>
      <c r="J3090" s="3" t="n"/>
      <c r="K3090" s="3" t="n"/>
      <c r="L3090" s="3" t="n"/>
      <c r="M3090" s="2" t="inlineStr">
        <is>
          <t>PriceCharting + TCGplayer</t>
        </is>
      </c>
      <c r="N3090" s="4" t="inlineStr">
        <is>
          <t>https://www.pricecharting.com/game/pokemon-neo-genesis/booster-pack-1st-edition</t>
        </is>
      </c>
      <c r="O3090" s="4" t="inlineStr">
        <is>
          <t>https://www.tcgplayer.com/product/138141</t>
        </is>
      </c>
    </row>
    <row r="3091">
      <c r="A3091" s="2" t="inlineStr">
        <is>
          <t>Neo Genesis Booster Pack [Unlimited Edition]</t>
        </is>
      </c>
      <c r="B3091" s="3">
        <f>IF(I3091&lt;&gt;"",I3091,IF(J3091&lt;&gt;"",J3091,IF(K3091&lt;&gt;"",K3091,L3091)))</f>
        <v>631.99</v>
      </c>
      <c r="C3091" s="3">
        <f>MEDIAN(I3091:L3091)</f>
        <v>631.99</v>
      </c>
      <c r="D3091" s="3">
        <f>ROUND(C3091*(1-Settings!$B$2),2)</f>
        <v>442.39</v>
      </c>
      <c r="E3091" s="3">
        <f>ROUND(C3091*(1-Settings!$B$3),2)</f>
        <v>442.39</v>
      </c>
      <c r="F3091" s="2" t="inlineStr">
        <is>
          <t>Pokemon</t>
        </is>
      </c>
      <c r="G3091" s="2" t="inlineStr">
        <is>
          <t>Pack</t>
        </is>
      </c>
      <c r="H3091" s="2" t="inlineStr">
        <is>
          <t>Neo Genesis</t>
        </is>
      </c>
      <c r="I3091" s="3" t="n"/>
      <c r="J3091" s="3" t="n">
        <v>631.99</v>
      </c>
      <c r="K3091" s="3" t="n"/>
      <c r="L3091" s="3" t="n"/>
      <c r="M3091" s="2" t="inlineStr">
        <is>
          <t>TCGplayer</t>
        </is>
      </c>
      <c r="O3091" s="4" t="inlineStr">
        <is>
          <t>https://www.tcgplayer.com/product/138142</t>
        </is>
      </c>
    </row>
    <row r="3092">
      <c r="A3092" s="2" t="inlineStr">
        <is>
          <t>Neo Revelation Blister Pack</t>
        </is>
      </c>
      <c r="B3092" s="3">
        <f>IF(I3092&lt;&gt;"",I3092,IF(J3092&lt;&gt;"",J3092,IF(K3092&lt;&gt;"",K3092,L3092)))</f>
        <v>850.4</v>
      </c>
      <c r="C3092" s="3">
        <f>MEDIAN(I3092:L3092)</f>
        <v>850.4</v>
      </c>
      <c r="D3092" s="3">
        <f>ROUND(C3092*(1-Settings!$B$2),2)</f>
        <v>595.28</v>
      </c>
      <c r="E3092" s="3">
        <f>ROUND(C3092*(1-Settings!$B$3),2)</f>
        <v>595.28</v>
      </c>
      <c r="F3092" s="2" t="inlineStr">
        <is>
          <t>Pokemon</t>
        </is>
      </c>
      <c r="G3092" s="2" t="inlineStr">
        <is>
          <t>Pack</t>
        </is>
      </c>
      <c r="H3092" s="2" t="inlineStr">
        <is>
          <t>Neo Revelation</t>
        </is>
      </c>
      <c r="I3092" s="3" t="n">
        <v>850.4</v>
      </c>
      <c r="J3092" s="3" t="n"/>
      <c r="K3092" s="3" t="n"/>
      <c r="L3092" s="3" t="n"/>
      <c r="M3092" s="2" t="inlineStr">
        <is>
          <t>PriceCharting</t>
        </is>
      </c>
      <c r="N3092" s="4" t="inlineStr">
        <is>
          <t>https://www.pricecharting.com/game/pokemon-neo-revelation/blister-pack</t>
        </is>
      </c>
    </row>
    <row r="3093">
      <c r="A3093" s="2" t="inlineStr">
        <is>
          <t>Neo Revelation Booster Pack</t>
        </is>
      </c>
      <c r="B3093" s="3">
        <f>IF(I3093&lt;&gt;"",I3093,IF(J3093&lt;&gt;"",J3093,IF(K3093&lt;&gt;"",K3093,L3093)))</f>
        <v>679.99</v>
      </c>
      <c r="C3093" s="3">
        <f>MEDIAN(I3093:L3093)</f>
        <v>679.99</v>
      </c>
      <c r="D3093" s="3">
        <f>ROUND(C3093*(1-Settings!$B$2),2)</f>
        <v>475.99</v>
      </c>
      <c r="E3093" s="3">
        <f>ROUND(C3093*(1-Settings!$B$3),2)</f>
        <v>475.99</v>
      </c>
      <c r="F3093" s="2" t="inlineStr">
        <is>
          <t>Pokemon</t>
        </is>
      </c>
      <c r="G3093" s="2" t="inlineStr">
        <is>
          <t>Pack</t>
        </is>
      </c>
      <c r="H3093" s="2" t="inlineStr">
        <is>
          <t>Neo Revelation</t>
        </is>
      </c>
      <c r="I3093" s="3" t="n">
        <v>679.99</v>
      </c>
      <c r="J3093" s="3" t="n"/>
      <c r="K3093" s="3" t="n"/>
      <c r="L3093" s="3" t="n"/>
      <c r="M3093" s="2" t="inlineStr">
        <is>
          <t>PriceCharting</t>
        </is>
      </c>
      <c r="N3093" s="4" t="inlineStr">
        <is>
          <t>https://www.pricecharting.com/game/pokemon-neo-revelation/booster-pack</t>
        </is>
      </c>
    </row>
    <row r="3094">
      <c r="A3094" s="2" t="inlineStr">
        <is>
          <t>Neo Revelation Booster Pack [1st Edition]</t>
        </is>
      </c>
      <c r="B3094" s="3">
        <f>IF(I3094&lt;&gt;"",I3094,IF(J3094&lt;&gt;"",J3094,IF(K3094&lt;&gt;"",K3094,L3094)))</f>
        <v>992.6</v>
      </c>
      <c r="C3094" s="3">
        <f>MEDIAN(I3094:L3094)</f>
        <v>992.6</v>
      </c>
      <c r="D3094" s="3">
        <f>ROUND(C3094*(1-Settings!$B$2),2)</f>
        <v>694.82</v>
      </c>
      <c r="E3094" s="3">
        <f>ROUND(C3094*(1-Settings!$B$3),2)</f>
        <v>694.82</v>
      </c>
      <c r="F3094" s="2" t="inlineStr">
        <is>
          <t>Pokemon</t>
        </is>
      </c>
      <c r="G3094" s="2" t="inlineStr">
        <is>
          <t>Pack</t>
        </is>
      </c>
      <c r="H3094" s="2" t="inlineStr">
        <is>
          <t>Neo Revelation</t>
        </is>
      </c>
      <c r="I3094" s="3" t="n">
        <v>992.6</v>
      </c>
      <c r="J3094" s="3" t="n"/>
      <c r="K3094" s="3" t="n"/>
      <c r="L3094" s="3" t="n"/>
      <c r="M3094" s="2" t="inlineStr">
        <is>
          <t>PriceCharting + TCGplayer</t>
        </is>
      </c>
      <c r="N3094" s="4" t="inlineStr">
        <is>
          <t>https://www.pricecharting.com/game/pokemon-neo-revelation/booster-pack-1st-edition</t>
        </is>
      </c>
      <c r="O3094" s="4" t="inlineStr">
        <is>
          <t>https://www.tcgplayer.com/product/138145</t>
        </is>
      </c>
    </row>
    <row r="3095">
      <c r="A3095" s="2" t="inlineStr">
        <is>
          <t>Neo Revelation Booster Pack [Unlimited Edition]</t>
        </is>
      </c>
      <c r="B3095" s="3">
        <f>IF(I3095&lt;&gt;"",I3095,IF(J3095&lt;&gt;"",J3095,IF(K3095&lt;&gt;"",K3095,L3095)))</f>
        <v>945.0</v>
      </c>
      <c r="C3095" s="3">
        <f>MEDIAN(I3095:L3095)</f>
        <v>917.495</v>
      </c>
      <c r="D3095" s="3">
        <f>ROUND(C3095*(1-Settings!$B$2),2)</f>
        <v>642.25</v>
      </c>
      <c r="E3095" s="3">
        <f>ROUND(C3095*(1-Settings!$B$3),2)</f>
        <v>642.25</v>
      </c>
      <c r="F3095" s="2" t="inlineStr">
        <is>
          <t>Pokemon</t>
        </is>
      </c>
      <c r="G3095" s="2" t="inlineStr">
        <is>
          <t>Pack</t>
        </is>
      </c>
      <c r="H3095" s="2" t="inlineStr">
        <is>
          <t>Neo Revelation</t>
        </is>
      </c>
      <c r="I3095" s="3" t="n"/>
      <c r="J3095" s="3" t="n"/>
      <c r="K3095" s="3" t="n">
        <v>945</v>
      </c>
      <c r="L3095" s="3" t="n">
        <v>889.99</v>
      </c>
      <c r="M3095" s="2" t="inlineStr">
        <is>
          <t>TCGplayer</t>
        </is>
      </c>
      <c r="O3095" s="4" t="inlineStr">
        <is>
          <t>https://www.tcgplayer.com/product/138146</t>
        </is>
      </c>
    </row>
    <row r="3096">
      <c r="A3096" s="2" t="inlineStr">
        <is>
          <t>Next Destinies Blister Pack</t>
        </is>
      </c>
      <c r="B3096" s="3">
        <f>IF(I3096&lt;&gt;"",I3096,IF(J3096&lt;&gt;"",J3096,IF(K3096&lt;&gt;"",K3096,L3096)))</f>
        <v>399.99</v>
      </c>
      <c r="C3096" s="3">
        <f>MEDIAN(I3096:L3096)</f>
        <v>399.99</v>
      </c>
      <c r="D3096" s="3">
        <f>ROUND(C3096*(1-Settings!$B$2),2)</f>
        <v>279.99</v>
      </c>
      <c r="E3096" s="3">
        <f>ROUND(C3096*(1-Settings!$B$3),2)</f>
        <v>279.99</v>
      </c>
      <c r="F3096" s="2" t="inlineStr">
        <is>
          <t>Pokemon</t>
        </is>
      </c>
      <c r="G3096" s="2" t="inlineStr">
        <is>
          <t>Pack</t>
        </is>
      </c>
      <c r="H3096" s="2" t="inlineStr">
        <is>
          <t>Next Destinies</t>
        </is>
      </c>
      <c r="I3096" s="3" t="n">
        <v>399.99</v>
      </c>
      <c r="J3096" s="3" t="n"/>
      <c r="K3096" s="3" t="n"/>
      <c r="L3096" s="3" t="n"/>
      <c r="M3096" s="2" t="inlineStr">
        <is>
          <t>PriceCharting</t>
        </is>
      </c>
      <c r="N3096" s="4" t="inlineStr">
        <is>
          <t>https://www.pricecharting.com/game/pokemon-next-destinies/blister-pack</t>
        </is>
      </c>
    </row>
    <row r="3097">
      <c r="A3097" s="2" t="inlineStr">
        <is>
          <t>Next Destinies Booster Pack</t>
        </is>
      </c>
      <c r="B3097" s="3">
        <f>IF(I3097&lt;&gt;"",I3097,IF(J3097&lt;&gt;"",J3097,IF(K3097&lt;&gt;"",K3097,L3097)))</f>
        <v>307.5</v>
      </c>
      <c r="C3097" s="3">
        <f>MEDIAN(I3097:L3097)</f>
        <v>417.78499999999997</v>
      </c>
      <c r="D3097" s="3">
        <f>ROUND(C3097*(1-Settings!$B$2),2)</f>
        <v>292.45</v>
      </c>
      <c r="E3097" s="3">
        <f>ROUND(C3097*(1-Settings!$B$3),2)</f>
        <v>292.45</v>
      </c>
      <c r="F3097" s="2" t="inlineStr">
        <is>
          <t>Pokemon</t>
        </is>
      </c>
      <c r="G3097" s="2" t="inlineStr">
        <is>
          <t>Pack</t>
        </is>
      </c>
      <c r="H3097" s="2" t="inlineStr">
        <is>
          <t>Next Destinies</t>
        </is>
      </c>
      <c r="I3097" s="3" t="n">
        <v>307.5</v>
      </c>
      <c r="J3097" s="3" t="n">
        <v>360.57</v>
      </c>
      <c r="K3097" s="3" t="n">
        <v>475</v>
      </c>
      <c r="L3097" s="3" t="n">
        <v>475</v>
      </c>
      <c r="M3097" s="2" t="inlineStr">
        <is>
          <t>PriceCharting + TCGplayer</t>
        </is>
      </c>
      <c r="N3097" s="4" t="inlineStr">
        <is>
          <t>https://www.pricecharting.com/game/pokemon-next-destinies/booster-pack</t>
        </is>
      </c>
      <c r="O3097" s="4" t="inlineStr">
        <is>
          <t>https://www.tcgplayer.com/product/98538</t>
        </is>
      </c>
    </row>
    <row r="3098">
      <c r="A3098" s="2" t="inlineStr">
        <is>
          <t>Next Destinies Sleeved Booster Pack</t>
        </is>
      </c>
      <c r="B3098" s="3">
        <f>IF(I3098&lt;&gt;"",I3098,IF(J3098&lt;&gt;"",J3098,IF(K3098&lt;&gt;"",K3098,L3098)))</f>
        <v>658.57</v>
      </c>
      <c r="C3098" s="3">
        <f>MEDIAN(I3098:L3098)</f>
        <v>658.57</v>
      </c>
      <c r="D3098" s="3">
        <f>ROUND(C3098*(1-Settings!$B$2),2)</f>
        <v>461.0</v>
      </c>
      <c r="E3098" s="3">
        <f>ROUND(C3098*(1-Settings!$B$3),2)</f>
        <v>461.0</v>
      </c>
      <c r="F3098" s="2" t="inlineStr">
        <is>
          <t>Pokemon</t>
        </is>
      </c>
      <c r="G3098" s="2" t="inlineStr">
        <is>
          <t>Pack</t>
        </is>
      </c>
      <c r="H3098" s="2" t="inlineStr">
        <is>
          <t>Next Destinies</t>
        </is>
      </c>
      <c r="I3098" s="3" t="n">
        <v>658.5700000000001</v>
      </c>
      <c r="J3098" s="3" t="n"/>
      <c r="K3098" s="3" t="n"/>
      <c r="L3098" s="3" t="n"/>
      <c r="M3098" s="2" t="inlineStr">
        <is>
          <t>PriceCharting</t>
        </is>
      </c>
      <c r="N3098" s="4" t="inlineStr">
        <is>
          <t>https://www.pricecharting.com/game/pokemon-next-destinies/sleeved-booster-pack</t>
        </is>
      </c>
    </row>
    <row r="3099">
      <c r="A3099" s="2" t="inlineStr">
        <is>
          <t>Noble Victories Booster Pack</t>
        </is>
      </c>
      <c r="B3099" s="3">
        <f>IF(I3099&lt;&gt;"",I3099,IF(J3099&lt;&gt;"",J3099,IF(K3099&lt;&gt;"",K3099,L3099)))</f>
        <v>193.66</v>
      </c>
      <c r="C3099" s="3">
        <f>MEDIAN(I3099:L3099)</f>
        <v>169.56</v>
      </c>
      <c r="D3099" s="3">
        <f>ROUND(C3099*(1-Settings!$B$2),2)</f>
        <v>118.69</v>
      </c>
      <c r="E3099" s="3">
        <f>ROUND(C3099*(1-Settings!$B$3),2)</f>
        <v>118.69</v>
      </c>
      <c r="F3099" s="2" t="inlineStr">
        <is>
          <t>Pokemon</t>
        </is>
      </c>
      <c r="G3099" s="2" t="inlineStr">
        <is>
          <t>Pack</t>
        </is>
      </c>
      <c r="H3099" s="2" t="inlineStr">
        <is>
          <t>Noble Victories</t>
        </is>
      </c>
      <c r="I3099" s="3" t="n">
        <v>193.66</v>
      </c>
      <c r="J3099" s="3" t="n">
        <v>169.13</v>
      </c>
      <c r="K3099" s="3" t="n">
        <v>169.99</v>
      </c>
      <c r="L3099" s="3" t="n">
        <v>167</v>
      </c>
      <c r="M3099" s="2" t="inlineStr">
        <is>
          <t>PriceCharting + TCGplayer</t>
        </is>
      </c>
      <c r="N3099" s="4" t="inlineStr">
        <is>
          <t>https://www.pricecharting.com/game/pokemon-noble-victories/booster-pack</t>
        </is>
      </c>
      <c r="O3099" s="4" t="inlineStr">
        <is>
          <t>https://www.tcgplayer.com/product/98570</t>
        </is>
      </c>
    </row>
    <row r="3100">
      <c r="A3100" s="2" t="inlineStr">
        <is>
          <t>Obsidian Flames Houndstone 3 Pack Blister</t>
        </is>
      </c>
      <c r="B3100" s="3">
        <f>IF(I3100&lt;&gt;"",I3100,IF(J3100&lt;&gt;"",J3100,IF(K3100&lt;&gt;"",K3100,L3100)))</f>
        <v>38.56</v>
      </c>
      <c r="C3100" s="3">
        <f>MEDIAN(I3100:L3100)</f>
        <v>38.56</v>
      </c>
      <c r="D3100" s="3">
        <f>ROUND(C3100*(1-Settings!$B$2),2)</f>
        <v>26.99</v>
      </c>
      <c r="E3100" s="3">
        <f>ROUND(C3100*(1-Settings!$B$3),2)</f>
        <v>26.99</v>
      </c>
      <c r="F3100" s="2" t="inlineStr">
        <is>
          <t>Pokemon</t>
        </is>
      </c>
      <c r="G3100" s="2" t="inlineStr">
        <is>
          <t>Pack</t>
        </is>
      </c>
      <c r="H3100" s="2" t="inlineStr">
        <is>
          <t>Obsidian Flames</t>
        </is>
      </c>
      <c r="I3100" s="3" t="n">
        <v>38.56</v>
      </c>
      <c r="J3100" s="3" t="n"/>
      <c r="K3100" s="3" t="n"/>
      <c r="L3100" s="3" t="n"/>
      <c r="M3100" s="2" t="inlineStr">
        <is>
          <t>PriceCharting</t>
        </is>
      </c>
      <c r="N3100" s="4" t="inlineStr">
        <is>
          <t>https://www.pricecharting.com/game/pokemon-obsidian-flames/houndstone-3-pack-blister</t>
        </is>
      </c>
    </row>
    <row r="3101">
      <c r="A3101" s="2" t="inlineStr">
        <is>
          <t>Obsidian Flames Pawmi Checklane Blister Pack</t>
        </is>
      </c>
      <c r="B3101" s="3">
        <f>IF(I3101&lt;&gt;"",I3101,IF(J3101&lt;&gt;"",J3101,IF(K3101&lt;&gt;"",K3101,L3101)))</f>
        <v>10.5</v>
      </c>
      <c r="C3101" s="3">
        <f>MEDIAN(I3101:L3101)</f>
        <v>10.5</v>
      </c>
      <c r="D3101" s="3">
        <f>ROUND(C3101*(1-Settings!$B$2),2)</f>
        <v>7.35</v>
      </c>
      <c r="E3101" s="3">
        <f>ROUND(C3101*(1-Settings!$B$3),2)</f>
        <v>7.35</v>
      </c>
      <c r="F3101" s="2" t="inlineStr">
        <is>
          <t>Pokemon</t>
        </is>
      </c>
      <c r="G3101" s="2" t="inlineStr">
        <is>
          <t>Pack</t>
        </is>
      </c>
      <c r="H3101" s="2" t="inlineStr">
        <is>
          <t>Obsidian Flames</t>
        </is>
      </c>
      <c r="I3101" s="3" t="n">
        <v>10.5</v>
      </c>
      <c r="J3101" s="3" t="n"/>
      <c r="K3101" s="3" t="n"/>
      <c r="L3101" s="3" t="n"/>
      <c r="M3101" s="2" t="inlineStr">
        <is>
          <t>PriceCharting</t>
        </is>
      </c>
      <c r="N3101" s="4" t="inlineStr">
        <is>
          <t>https://www.pricecharting.com/game/pokemon-obsidian-flames/pawmi-checklane-blister-pack</t>
        </is>
      </c>
    </row>
    <row r="3102">
      <c r="A3102" s="2" t="inlineStr">
        <is>
          <t>Obsidian Flames Wooper Checklane Blister Pack</t>
        </is>
      </c>
      <c r="B3102" s="3">
        <f>IF(I3102&lt;&gt;"",I3102,IF(J3102&lt;&gt;"",J3102,IF(K3102&lt;&gt;"",K3102,L3102)))</f>
        <v>18.98</v>
      </c>
      <c r="C3102" s="3">
        <f>MEDIAN(I3102:L3102)</f>
        <v>18.98</v>
      </c>
      <c r="D3102" s="3">
        <f>ROUND(C3102*(1-Settings!$B$2),2)</f>
        <v>13.29</v>
      </c>
      <c r="E3102" s="3">
        <f>ROUND(C3102*(1-Settings!$B$3),2)</f>
        <v>13.29</v>
      </c>
      <c r="F3102" s="2" t="inlineStr">
        <is>
          <t>Pokemon</t>
        </is>
      </c>
      <c r="G3102" s="2" t="inlineStr">
        <is>
          <t>Pack</t>
        </is>
      </c>
      <c r="H3102" s="2" t="inlineStr">
        <is>
          <t>Obsidian Flames</t>
        </is>
      </c>
      <c r="I3102" s="3" t="n">
        <v>18.98</v>
      </c>
      <c r="J3102" s="3" t="n"/>
      <c r="K3102" s="3" t="n"/>
      <c r="L3102" s="3" t="n"/>
      <c r="M3102" s="2" t="inlineStr">
        <is>
          <t>PriceCharting</t>
        </is>
      </c>
      <c r="N3102" s="4" t="inlineStr">
        <is>
          <t>https://www.pricecharting.com/game/pokemon-obsidian-flames/wooper-checklane-blister-pack</t>
        </is>
      </c>
    </row>
    <row r="3103">
      <c r="A3103" s="2" t="inlineStr">
        <is>
          <t>Paldea Evolved Checklane Blister 3 Pack</t>
        </is>
      </c>
      <c r="B3103" s="3">
        <f>IF(I3103&lt;&gt;"",I3103,IF(J3103&lt;&gt;"",J3103,IF(K3103&lt;&gt;"",K3103,L3103)))</f>
        <v>49.91</v>
      </c>
      <c r="C3103" s="3">
        <f>MEDIAN(I3103:L3103)</f>
        <v>49.91</v>
      </c>
      <c r="D3103" s="3">
        <f>ROUND(C3103*(1-Settings!$B$2),2)</f>
        <v>34.94</v>
      </c>
      <c r="E3103" s="3">
        <f>ROUND(C3103*(1-Settings!$B$3),2)</f>
        <v>34.94</v>
      </c>
      <c r="F3103" s="2" t="inlineStr">
        <is>
          <t>Pokemon</t>
        </is>
      </c>
      <c r="G3103" s="2" t="inlineStr">
        <is>
          <t>Pack</t>
        </is>
      </c>
      <c r="H3103" s="2" t="inlineStr">
        <is>
          <t>Paldea Evolved</t>
        </is>
      </c>
      <c r="I3103" s="3" t="n">
        <v>49.91</v>
      </c>
      <c r="J3103" s="3" t="n"/>
      <c r="K3103" s="3" t="n"/>
      <c r="L3103" s="3" t="n"/>
      <c r="M3103" s="2" t="inlineStr">
        <is>
          <t>PriceCharting</t>
        </is>
      </c>
      <c r="N3103" s="4" t="inlineStr">
        <is>
          <t>https://www.pricecharting.com/game/pokemon-paldea-evolved/checklane-blister-3-pack</t>
        </is>
      </c>
    </row>
    <row r="3104">
      <c r="A3104" s="2" t="inlineStr">
        <is>
          <t>Paldea Evolved Growlithe Checklane Blister Pack</t>
        </is>
      </c>
      <c r="B3104" s="3">
        <f>IF(I3104&lt;&gt;"",I3104,IF(J3104&lt;&gt;"",J3104,IF(K3104&lt;&gt;"",K3104,L3104)))</f>
        <v>14.43</v>
      </c>
      <c r="C3104" s="3">
        <f>MEDIAN(I3104:L3104)</f>
        <v>14.43</v>
      </c>
      <c r="D3104" s="3">
        <f>ROUND(C3104*(1-Settings!$B$2),2)</f>
        <v>10.1</v>
      </c>
      <c r="E3104" s="3">
        <f>ROUND(C3104*(1-Settings!$B$3),2)</f>
        <v>10.1</v>
      </c>
      <c r="F3104" s="2" t="inlineStr">
        <is>
          <t>Pokemon</t>
        </is>
      </c>
      <c r="G3104" s="2" t="inlineStr">
        <is>
          <t>Pack</t>
        </is>
      </c>
      <c r="H3104" s="2" t="inlineStr">
        <is>
          <t>Paldea Evolved</t>
        </is>
      </c>
      <c r="I3104" s="3" t="n">
        <v>14.43</v>
      </c>
      <c r="J3104" s="3" t="n"/>
      <c r="K3104" s="3" t="n"/>
      <c r="L3104" s="3" t="n"/>
      <c r="M3104" s="2" t="inlineStr">
        <is>
          <t>PriceCharting</t>
        </is>
      </c>
      <c r="N3104" s="4" t="inlineStr">
        <is>
          <t>https://www.pricecharting.com/game/pokemon-paldea-evolved/growlithe-checklane-blister-pack</t>
        </is>
      </c>
    </row>
    <row r="3105">
      <c r="A3105" s="2" t="inlineStr">
        <is>
          <t>Paldea Evolved Sealed Staff Pack</t>
        </is>
      </c>
      <c r="B3105" s="3">
        <f>IF(I3105&lt;&gt;"",I3105,IF(J3105&lt;&gt;"",J3105,IF(K3105&lt;&gt;"",K3105,L3105)))</f>
        <v>138.41</v>
      </c>
      <c r="C3105" s="3">
        <f>MEDIAN(I3105:L3105)</f>
        <v>138.41</v>
      </c>
      <c r="D3105" s="3">
        <f>ROUND(C3105*(1-Settings!$B$2),2)</f>
        <v>96.89</v>
      </c>
      <c r="E3105" s="3">
        <f>ROUND(C3105*(1-Settings!$B$3),2)</f>
        <v>96.89</v>
      </c>
      <c r="F3105" s="2" t="inlineStr">
        <is>
          <t>Pokemon</t>
        </is>
      </c>
      <c r="G3105" s="2" t="inlineStr">
        <is>
          <t>Pack</t>
        </is>
      </c>
      <c r="H3105" s="2" t="inlineStr">
        <is>
          <t>Paldea Evolved</t>
        </is>
      </c>
      <c r="I3105" s="3" t="n">
        <v>138.41</v>
      </c>
      <c r="J3105" s="3" t="n"/>
      <c r="K3105" s="3" t="n"/>
      <c r="L3105" s="3" t="n"/>
      <c r="M3105" s="2" t="inlineStr">
        <is>
          <t>PriceCharting</t>
        </is>
      </c>
      <c r="N3105" s="4" t="inlineStr">
        <is>
          <t>https://www.pricecharting.com/game/pokemon-paldea-evolved/sealed-staff-pack</t>
        </is>
      </c>
    </row>
    <row r="3106">
      <c r="A3106" s="2" t="inlineStr">
        <is>
          <t>Paldea Evolved Smoliv Checklane Blister Pack</t>
        </is>
      </c>
      <c r="B3106" s="3">
        <f>IF(I3106&lt;&gt;"",I3106,IF(J3106&lt;&gt;"",J3106,IF(K3106&lt;&gt;"",K3106,L3106)))</f>
        <v>13.75</v>
      </c>
      <c r="C3106" s="3">
        <f>MEDIAN(I3106:L3106)</f>
        <v>13.75</v>
      </c>
      <c r="D3106" s="3">
        <f>ROUND(C3106*(1-Settings!$B$2),2)</f>
        <v>9.63</v>
      </c>
      <c r="E3106" s="3">
        <f>ROUND(C3106*(1-Settings!$B$3),2)</f>
        <v>9.63</v>
      </c>
      <c r="F3106" s="2" t="inlineStr">
        <is>
          <t>Pokemon</t>
        </is>
      </c>
      <c r="G3106" s="2" t="inlineStr">
        <is>
          <t>Pack</t>
        </is>
      </c>
      <c r="H3106" s="2" t="inlineStr">
        <is>
          <t>Paldea Evolved</t>
        </is>
      </c>
      <c r="I3106" s="3" t="n">
        <v>13.75</v>
      </c>
      <c r="J3106" s="3" t="n"/>
      <c r="K3106" s="3" t="n"/>
      <c r="L3106" s="3" t="n"/>
      <c r="M3106" s="2" t="inlineStr">
        <is>
          <t>PriceCharting</t>
        </is>
      </c>
      <c r="N3106" s="4" t="inlineStr">
        <is>
          <t>https://www.pricecharting.com/game/pokemon-paldea-evolved/smoliv-checklane-blister-pack</t>
        </is>
      </c>
    </row>
    <row r="3107">
      <c r="A3107" s="2" t="inlineStr">
        <is>
          <t>Paradox Rift 3 Pack Blister</t>
        </is>
      </c>
      <c r="B3107" s="3">
        <f>IF(I3107&lt;&gt;"",I3107,IF(J3107&lt;&gt;"",J3107,IF(K3107&lt;&gt;"",K3107,L3107)))</f>
        <v>24.64</v>
      </c>
      <c r="C3107" s="3">
        <f>MEDIAN(I3107:L3107)</f>
        <v>24.64</v>
      </c>
      <c r="D3107" s="3">
        <f>ROUND(C3107*(1-Settings!$B$2),2)</f>
        <v>17.25</v>
      </c>
      <c r="E3107" s="3">
        <f>ROUND(C3107*(1-Settings!$B$3),2)</f>
        <v>17.25</v>
      </c>
      <c r="F3107" s="2" t="inlineStr">
        <is>
          <t>Pokemon</t>
        </is>
      </c>
      <c r="G3107" s="2" t="inlineStr">
        <is>
          <t>Pack</t>
        </is>
      </c>
      <c r="H3107" s="2" t="inlineStr">
        <is>
          <t>Paradox Rift</t>
        </is>
      </c>
      <c r="I3107" s="3" t="n">
        <v>24.64</v>
      </c>
      <c r="J3107" s="3" t="n"/>
      <c r="K3107" s="3" t="n"/>
      <c r="L3107" s="3" t="n"/>
      <c r="M3107" s="2" t="inlineStr">
        <is>
          <t>PriceCharting</t>
        </is>
      </c>
      <c r="N3107" s="4" t="inlineStr">
        <is>
          <t>https://www.pricecharting.com/game/pokemon-paradox-rift/3-pack-blister</t>
        </is>
      </c>
    </row>
    <row r="3108">
      <c r="A3108" s="2" t="inlineStr">
        <is>
          <t>Paradox Rift Blister Pack: Pineco</t>
        </is>
      </c>
      <c r="B3108" s="3">
        <f>IF(I3108&lt;&gt;"",I3108,IF(J3108&lt;&gt;"",J3108,IF(K3108&lt;&gt;"",K3108,L3108)))</f>
        <v>12.22</v>
      </c>
      <c r="C3108" s="3">
        <f>MEDIAN(I3108:L3108)</f>
        <v>12.22</v>
      </c>
      <c r="D3108" s="3">
        <f>ROUND(C3108*(1-Settings!$B$2),2)</f>
        <v>8.55</v>
      </c>
      <c r="E3108" s="3">
        <f>ROUND(C3108*(1-Settings!$B$3),2)</f>
        <v>8.55</v>
      </c>
      <c r="F3108" s="2" t="inlineStr">
        <is>
          <t>Pokemon</t>
        </is>
      </c>
      <c r="G3108" s="2" t="inlineStr">
        <is>
          <t>Pack</t>
        </is>
      </c>
      <c r="H3108" s="2" t="inlineStr">
        <is>
          <t>Paradox Rift</t>
        </is>
      </c>
      <c r="I3108" s="3" t="n">
        <v>12.22</v>
      </c>
      <c r="J3108" s="3" t="n"/>
      <c r="K3108" s="3" t="n"/>
      <c r="L3108" s="3" t="n"/>
      <c r="M3108" s="2" t="inlineStr">
        <is>
          <t>PriceCharting</t>
        </is>
      </c>
      <c r="N3108" s="4" t="inlineStr">
        <is>
          <t>https://www.pricecharting.com/game/pokemon-paradox-rift/blister-pack-pineco</t>
        </is>
      </c>
    </row>
    <row r="3109">
      <c r="A3109" s="2" t="inlineStr">
        <is>
          <t>Paradox Rift Blister Pack: Sinistea</t>
        </is>
      </c>
      <c r="B3109" s="3">
        <f>IF(I3109&lt;&gt;"",I3109,IF(J3109&lt;&gt;"",J3109,IF(K3109&lt;&gt;"",K3109,L3109)))</f>
        <v>10.51</v>
      </c>
      <c r="C3109" s="3">
        <f>MEDIAN(I3109:L3109)</f>
        <v>10.51</v>
      </c>
      <c r="D3109" s="3">
        <f>ROUND(C3109*(1-Settings!$B$2),2)</f>
        <v>7.36</v>
      </c>
      <c r="E3109" s="3">
        <f>ROUND(C3109*(1-Settings!$B$3),2)</f>
        <v>7.36</v>
      </c>
      <c r="F3109" s="2" t="inlineStr">
        <is>
          <t>Pokemon</t>
        </is>
      </c>
      <c r="G3109" s="2" t="inlineStr">
        <is>
          <t>Pack</t>
        </is>
      </c>
      <c r="H3109" s="2" t="inlineStr">
        <is>
          <t>Paradox Rift</t>
        </is>
      </c>
      <c r="I3109" s="3" t="n">
        <v>10.51</v>
      </c>
      <c r="J3109" s="3" t="n"/>
      <c r="K3109" s="3" t="n"/>
      <c r="L3109" s="3" t="n"/>
      <c r="M3109" s="2" t="inlineStr">
        <is>
          <t>PriceCharting</t>
        </is>
      </c>
      <c r="N3109" s="4" t="inlineStr">
        <is>
          <t>https://www.pricecharting.com/game/pokemon-paradox-rift/blister-pack-sinistea</t>
        </is>
      </c>
    </row>
    <row r="3110">
      <c r="A3110" s="2" t="inlineStr">
        <is>
          <t>Perfect Order 3 Pack Blister: Chikorita</t>
        </is>
      </c>
      <c r="B3110" s="3">
        <f>IF(I3110&lt;&gt;"",I3110,IF(J3110&lt;&gt;"",J3110,IF(K3110&lt;&gt;"",K3110,L3110)))</f>
        <v>18.38</v>
      </c>
      <c r="C3110" s="3">
        <f>MEDIAN(I3110:L3110)</f>
        <v>18.38</v>
      </c>
      <c r="D3110" s="3">
        <f>ROUND(C3110*(1-Settings!$B$2),2)</f>
        <v>12.87</v>
      </c>
      <c r="E3110" s="3">
        <f>ROUND(C3110*(1-Settings!$B$3),2)</f>
        <v>12.87</v>
      </c>
      <c r="F3110" s="2" t="inlineStr">
        <is>
          <t>Pokemon</t>
        </is>
      </c>
      <c r="G3110" s="2" t="inlineStr">
        <is>
          <t>Pack</t>
        </is>
      </c>
      <c r="H3110" s="2" t="inlineStr">
        <is>
          <t>Perfect Order</t>
        </is>
      </c>
      <c r="I3110" s="3" t="n">
        <v>18.38</v>
      </c>
      <c r="J3110" s="3" t="n"/>
      <c r="K3110" s="3" t="n"/>
      <c r="L3110" s="3" t="n"/>
      <c r="M3110" s="2" t="inlineStr">
        <is>
          <t>PriceCharting</t>
        </is>
      </c>
      <c r="N3110" s="4" t="inlineStr">
        <is>
          <t>https://www.pricecharting.com/game/pokemon-perfect-order/3-pack-blister-chikorita</t>
        </is>
      </c>
    </row>
    <row r="3111">
      <c r="A3111" s="2" t="inlineStr">
        <is>
          <t>Perfect Order Booster Pack</t>
        </is>
      </c>
      <c r="B3111" s="3">
        <f>IF(I3111&lt;&gt;"",I3111,IF(J3111&lt;&gt;"",J3111,IF(K3111&lt;&gt;"",K3111,L3111)))</f>
        <v>5.87</v>
      </c>
      <c r="C3111" s="3">
        <f>MEDIAN(I3111:L3111)</f>
        <v>5.87</v>
      </c>
      <c r="D3111" s="3">
        <f>ROUND(C3111*(1-Settings!$B$2),2)</f>
        <v>4.11</v>
      </c>
      <c r="E3111" s="3">
        <f>ROUND(C3111*(1-Settings!$B$3),2)</f>
        <v>4.11</v>
      </c>
      <c r="F3111" s="2" t="inlineStr">
        <is>
          <t>Pokemon</t>
        </is>
      </c>
      <c r="G3111" s="2" t="inlineStr">
        <is>
          <t>Pack</t>
        </is>
      </c>
      <c r="H3111" s="2" t="inlineStr">
        <is>
          <t>Perfect Order</t>
        </is>
      </c>
      <c r="I3111" s="3" t="n">
        <v>5.87</v>
      </c>
      <c r="J3111" s="3" t="n"/>
      <c r="K3111" s="3" t="n"/>
      <c r="L3111" s="3" t="n"/>
      <c r="M3111" s="2" t="inlineStr">
        <is>
          <t>PriceCharting</t>
        </is>
      </c>
      <c r="N3111" s="4" t="inlineStr">
        <is>
          <t>https://www.pricecharting.com/game/pokemon-perfect-order/booster-pack</t>
        </is>
      </c>
    </row>
    <row r="3112">
      <c r="A3112" s="2" t="inlineStr">
        <is>
          <t>Perfect Order Premium Checklane Blister: Cinderace</t>
        </is>
      </c>
      <c r="B3112" s="3">
        <f>IF(I3112&lt;&gt;"",I3112,IF(J3112&lt;&gt;"",J3112,IF(K3112&lt;&gt;"",K3112,L3112)))</f>
        <v>14.32</v>
      </c>
      <c r="C3112" s="3">
        <f>MEDIAN(I3112:L3112)</f>
        <v>14.32</v>
      </c>
      <c r="D3112" s="3">
        <f>ROUND(C3112*(1-Settings!$B$2),2)</f>
        <v>10.02</v>
      </c>
      <c r="E3112" s="3">
        <f>ROUND(C3112*(1-Settings!$B$3),2)</f>
        <v>10.02</v>
      </c>
      <c r="F3112" s="2" t="inlineStr">
        <is>
          <t>Pokemon</t>
        </is>
      </c>
      <c r="G3112" s="2" t="inlineStr">
        <is>
          <t>Pack</t>
        </is>
      </c>
      <c r="H3112" s="2" t="inlineStr">
        <is>
          <t>Perfect Order</t>
        </is>
      </c>
      <c r="I3112" s="3" t="n">
        <v>14.32</v>
      </c>
      <c r="J3112" s="3" t="n"/>
      <c r="K3112" s="3" t="n"/>
      <c r="L3112" s="3" t="n"/>
      <c r="M3112" s="2" t="inlineStr">
        <is>
          <t>PriceCharting</t>
        </is>
      </c>
      <c r="N3112" s="4" t="inlineStr">
        <is>
          <t>https://www.pricecharting.com/game/pokemon-perfect-order/premium-checklane-blister-cinderace</t>
        </is>
      </c>
    </row>
    <row r="3113">
      <c r="A3113" s="2" t="inlineStr">
        <is>
          <t>Perfect Order Premium Checklane Blister: Clawitzer</t>
        </is>
      </c>
      <c r="B3113" s="3">
        <f>IF(I3113&lt;&gt;"",I3113,IF(J3113&lt;&gt;"",J3113,IF(K3113&lt;&gt;"",K3113,L3113)))</f>
        <v>14.0</v>
      </c>
      <c r="C3113" s="3">
        <f>MEDIAN(I3113:L3113)</f>
        <v>14.0</v>
      </c>
      <c r="D3113" s="3">
        <f>ROUND(C3113*(1-Settings!$B$2),2)</f>
        <v>9.8</v>
      </c>
      <c r="E3113" s="3">
        <f>ROUND(C3113*(1-Settings!$B$3),2)</f>
        <v>9.8</v>
      </c>
      <c r="F3113" s="2" t="inlineStr">
        <is>
          <t>Pokemon</t>
        </is>
      </c>
      <c r="G3113" s="2" t="inlineStr">
        <is>
          <t>Pack</t>
        </is>
      </c>
      <c r="H3113" s="2" t="inlineStr">
        <is>
          <t>Perfect Order</t>
        </is>
      </c>
      <c r="I3113" s="3" t="n">
        <v>14</v>
      </c>
      <c r="J3113" s="3" t="n"/>
      <c r="K3113" s="3" t="n"/>
      <c r="L3113" s="3" t="n"/>
      <c r="M3113" s="2" t="inlineStr">
        <is>
          <t>PriceCharting</t>
        </is>
      </c>
      <c r="N3113" s="4" t="inlineStr">
        <is>
          <t>https://www.pricecharting.com/game/pokemon-perfect-order/premium-checklane-blister-clawitzer</t>
        </is>
      </c>
    </row>
    <row r="3114">
      <c r="A3114" s="2" t="inlineStr">
        <is>
          <t>Perfect Order Premium Checklane Blister: Meganium</t>
        </is>
      </c>
      <c r="B3114" s="3">
        <f>IF(I3114&lt;&gt;"",I3114,IF(J3114&lt;&gt;"",J3114,IF(K3114&lt;&gt;"",K3114,L3114)))</f>
        <v>19.15</v>
      </c>
      <c r="C3114" s="3">
        <f>MEDIAN(I3114:L3114)</f>
        <v>19.15</v>
      </c>
      <c r="D3114" s="3">
        <f>ROUND(C3114*(1-Settings!$B$2),2)</f>
        <v>13.41</v>
      </c>
      <c r="E3114" s="3">
        <f>ROUND(C3114*(1-Settings!$B$3),2)</f>
        <v>13.41</v>
      </c>
      <c r="F3114" s="2" t="inlineStr">
        <is>
          <t>Pokemon</t>
        </is>
      </c>
      <c r="G3114" s="2" t="inlineStr">
        <is>
          <t>Pack</t>
        </is>
      </c>
      <c r="H3114" s="2" t="inlineStr">
        <is>
          <t>Perfect Order</t>
        </is>
      </c>
      <c r="I3114" s="3" t="n">
        <v>19.15</v>
      </c>
      <c r="J3114" s="3" t="n"/>
      <c r="K3114" s="3" t="n"/>
      <c r="L3114" s="3" t="n"/>
      <c r="M3114" s="2" t="inlineStr">
        <is>
          <t>PriceCharting</t>
        </is>
      </c>
      <c r="N3114" s="4" t="inlineStr">
        <is>
          <t>https://www.pricecharting.com/game/pokemon-perfect-order/premium-checklane-blister-meganium</t>
        </is>
      </c>
    </row>
    <row r="3115">
      <c r="A3115" s="2" t="inlineStr">
        <is>
          <t>Perfect Order Premium Checklane Blister: Steelix</t>
        </is>
      </c>
      <c r="B3115" s="3">
        <f>IF(I3115&lt;&gt;"",I3115,IF(J3115&lt;&gt;"",J3115,IF(K3115&lt;&gt;"",K3115,L3115)))</f>
        <v>14.07</v>
      </c>
      <c r="C3115" s="3">
        <f>MEDIAN(I3115:L3115)</f>
        <v>14.07</v>
      </c>
      <c r="D3115" s="3">
        <f>ROUND(C3115*(1-Settings!$B$2),2)</f>
        <v>9.85</v>
      </c>
      <c r="E3115" s="3">
        <f>ROUND(C3115*(1-Settings!$B$3),2)</f>
        <v>9.85</v>
      </c>
      <c r="F3115" s="2" t="inlineStr">
        <is>
          <t>Pokemon</t>
        </is>
      </c>
      <c r="G3115" s="2" t="inlineStr">
        <is>
          <t>Pack</t>
        </is>
      </c>
      <c r="H3115" s="2" t="inlineStr">
        <is>
          <t>Perfect Order</t>
        </is>
      </c>
      <c r="I3115" s="3" t="n">
        <v>14.07</v>
      </c>
      <c r="J3115" s="3" t="n"/>
      <c r="K3115" s="3" t="n"/>
      <c r="L3115" s="3" t="n"/>
      <c r="M3115" s="2" t="inlineStr">
        <is>
          <t>PriceCharting</t>
        </is>
      </c>
      <c r="N3115" s="4" t="inlineStr">
        <is>
          <t>https://www.pricecharting.com/game/pokemon-perfect-order/premium-checklane-blister-steelix</t>
        </is>
      </c>
    </row>
    <row r="3116">
      <c r="A3116" s="2" t="inlineStr">
        <is>
          <t>Perfect Order Single Pack Blister: Makuhita</t>
        </is>
      </c>
      <c r="B3116" s="3">
        <f>IF(I3116&lt;&gt;"",I3116,IF(J3116&lt;&gt;"",J3116,IF(K3116&lt;&gt;"",K3116,L3116)))</f>
        <v>8.98</v>
      </c>
      <c r="C3116" s="3">
        <f>MEDIAN(I3116:L3116)</f>
        <v>8.98</v>
      </c>
      <c r="D3116" s="3">
        <f>ROUND(C3116*(1-Settings!$B$2),2)</f>
        <v>6.29</v>
      </c>
      <c r="E3116" s="3">
        <f>ROUND(C3116*(1-Settings!$B$3),2)</f>
        <v>6.29</v>
      </c>
      <c r="F3116" s="2" t="inlineStr">
        <is>
          <t>Pokemon</t>
        </is>
      </c>
      <c r="G3116" s="2" t="inlineStr">
        <is>
          <t>Pack</t>
        </is>
      </c>
      <c r="H3116" s="2" t="inlineStr">
        <is>
          <t>Perfect Order</t>
        </is>
      </c>
      <c r="I3116" s="3" t="n">
        <v>8.98</v>
      </c>
      <c r="J3116" s="3" t="n"/>
      <c r="K3116" s="3" t="n"/>
      <c r="L3116" s="3" t="n"/>
      <c r="M3116" s="2" t="inlineStr">
        <is>
          <t>PriceCharting</t>
        </is>
      </c>
      <c r="N3116" s="4" t="inlineStr">
        <is>
          <t>https://www.pricecharting.com/game/pokemon-perfect-order/single-pack-blister-makuhita</t>
        </is>
      </c>
    </row>
    <row r="3117">
      <c r="A3117" s="2" t="inlineStr">
        <is>
          <t>Perfect Order Sleeved Booster Pack</t>
        </is>
      </c>
      <c r="B3117" s="3">
        <f>IF(I3117&lt;&gt;"",I3117,IF(J3117&lt;&gt;"",J3117,IF(K3117&lt;&gt;"",K3117,L3117)))</f>
        <v>7.63</v>
      </c>
      <c r="C3117" s="3">
        <f>MEDIAN(I3117:L3117)</f>
        <v>7.63</v>
      </c>
      <c r="D3117" s="3">
        <f>ROUND(C3117*(1-Settings!$B$2),2)</f>
        <v>5.34</v>
      </c>
      <c r="E3117" s="3">
        <f>ROUND(C3117*(1-Settings!$B$3),2)</f>
        <v>5.34</v>
      </c>
      <c r="F3117" s="2" t="inlineStr">
        <is>
          <t>Pokemon</t>
        </is>
      </c>
      <c r="G3117" s="2" t="inlineStr">
        <is>
          <t>Pack</t>
        </is>
      </c>
      <c r="H3117" s="2" t="inlineStr">
        <is>
          <t>Perfect Order</t>
        </is>
      </c>
      <c r="I3117" s="3" t="n">
        <v>7.63</v>
      </c>
      <c r="J3117" s="3" t="n"/>
      <c r="K3117" s="3" t="n"/>
      <c r="L3117" s="3" t="n"/>
      <c r="M3117" s="2" t="inlineStr">
        <is>
          <t>PriceCharting</t>
        </is>
      </c>
      <c r="N3117" s="4" t="inlineStr">
        <is>
          <t>https://www.pricecharting.com/game/pokemon-perfect-order/sleeved-booster-pack</t>
        </is>
      </c>
    </row>
    <row r="3118">
      <c r="A3118" s="2" t="inlineStr">
        <is>
          <t>Phantasmal Flames 3 Pack Blister: Sneasel</t>
        </is>
      </c>
      <c r="B3118" s="3">
        <f>IF(I3118&lt;&gt;"",I3118,IF(J3118&lt;&gt;"",J3118,IF(K3118&lt;&gt;"",K3118,L3118)))</f>
        <v>40.82</v>
      </c>
      <c r="C3118" s="3">
        <f>MEDIAN(I3118:L3118)</f>
        <v>40.82</v>
      </c>
      <c r="D3118" s="3">
        <f>ROUND(C3118*(1-Settings!$B$2),2)</f>
        <v>28.57</v>
      </c>
      <c r="E3118" s="3">
        <f>ROUND(C3118*(1-Settings!$B$3),2)</f>
        <v>28.57</v>
      </c>
      <c r="F3118" s="2" t="inlineStr">
        <is>
          <t>Pokemon</t>
        </is>
      </c>
      <c r="G3118" s="2" t="inlineStr">
        <is>
          <t>Pack</t>
        </is>
      </c>
      <c r="H3118" s="2" t="inlineStr">
        <is>
          <t>Phantasmal Flames</t>
        </is>
      </c>
      <c r="I3118" s="3" t="n">
        <v>40.82</v>
      </c>
      <c r="J3118" s="3" t="n"/>
      <c r="K3118" s="3" t="n"/>
      <c r="L3118" s="3" t="n"/>
      <c r="M3118" s="2" t="inlineStr">
        <is>
          <t>PriceCharting</t>
        </is>
      </c>
      <c r="N3118" s="4" t="inlineStr">
        <is>
          <t>https://www.pricecharting.com/game/pokemon-phantasmal-flames/3-pack-blister-sneasel</t>
        </is>
      </c>
    </row>
    <row r="3119">
      <c r="A3119" s="2" t="inlineStr">
        <is>
          <t>Phantasmal Flames 3 Pack Blister: Weavile</t>
        </is>
      </c>
      <c r="B3119" s="3">
        <f>IF(I3119&lt;&gt;"",I3119,IF(J3119&lt;&gt;"",J3119,IF(K3119&lt;&gt;"",K3119,L3119)))</f>
        <v>41.67</v>
      </c>
      <c r="C3119" s="3">
        <f>MEDIAN(I3119:L3119)</f>
        <v>41.67</v>
      </c>
      <c r="D3119" s="3">
        <f>ROUND(C3119*(1-Settings!$B$2),2)</f>
        <v>29.17</v>
      </c>
      <c r="E3119" s="3">
        <f>ROUND(C3119*(1-Settings!$B$3),2)</f>
        <v>29.17</v>
      </c>
      <c r="F3119" s="2" t="inlineStr">
        <is>
          <t>Pokemon</t>
        </is>
      </c>
      <c r="G3119" s="2" t="inlineStr">
        <is>
          <t>Pack</t>
        </is>
      </c>
      <c r="H3119" s="2" t="inlineStr">
        <is>
          <t>Phantasmal Flames</t>
        </is>
      </c>
      <c r="I3119" s="3" t="n">
        <v>41.67</v>
      </c>
      <c r="J3119" s="3" t="n"/>
      <c r="K3119" s="3" t="n"/>
      <c r="L3119" s="3" t="n"/>
      <c r="M3119" s="2" t="inlineStr">
        <is>
          <t>PriceCharting</t>
        </is>
      </c>
      <c r="N3119" s="4" t="inlineStr">
        <is>
          <t>https://www.pricecharting.com/game/pokemon-phantasmal-flames/3-pack-blister-weavile</t>
        </is>
      </c>
    </row>
    <row r="3120">
      <c r="A3120" s="2" t="inlineStr">
        <is>
          <t>Phantasmal Flames Booster Pack</t>
        </is>
      </c>
      <c r="B3120" s="3">
        <f>IF(I3120&lt;&gt;"",I3120,IF(J3120&lt;&gt;"",J3120,IF(K3120&lt;&gt;"",K3120,L3120)))</f>
        <v>11.85</v>
      </c>
      <c r="C3120" s="3">
        <f>MEDIAN(I3120:L3120)</f>
        <v>11.85</v>
      </c>
      <c r="D3120" s="3">
        <f>ROUND(C3120*(1-Settings!$B$2),2)</f>
        <v>8.3</v>
      </c>
      <c r="E3120" s="3">
        <f>ROUND(C3120*(1-Settings!$B$3),2)</f>
        <v>8.3</v>
      </c>
      <c r="F3120" s="2" t="inlineStr">
        <is>
          <t>Pokemon</t>
        </is>
      </c>
      <c r="G3120" s="2" t="inlineStr">
        <is>
          <t>Pack</t>
        </is>
      </c>
      <c r="H3120" s="2" t="inlineStr">
        <is>
          <t>Phantasmal Flames</t>
        </is>
      </c>
      <c r="I3120" s="3" t="n">
        <v>11.85</v>
      </c>
      <c r="J3120" s="3" t="n"/>
      <c r="K3120" s="3" t="n"/>
      <c r="L3120" s="3" t="n"/>
      <c r="M3120" s="2" t="inlineStr">
        <is>
          <t>PriceCharting</t>
        </is>
      </c>
      <c r="N3120" s="4" t="inlineStr">
        <is>
          <t>https://www.pricecharting.com/game/pokemon-phantasmal-flames/booster-pack</t>
        </is>
      </c>
    </row>
    <row r="3121">
      <c r="A3121" s="2" t="inlineStr">
        <is>
          <t>Phantasmal Flames Enhanced 2 Pack Blister</t>
        </is>
      </c>
      <c r="B3121" s="3">
        <f>IF(I3121&lt;&gt;"",I3121,IF(J3121&lt;&gt;"",J3121,IF(K3121&lt;&gt;"",K3121,L3121)))</f>
        <v>19.21</v>
      </c>
      <c r="C3121" s="3">
        <f>MEDIAN(I3121:L3121)</f>
        <v>19.21</v>
      </c>
      <c r="D3121" s="3">
        <f>ROUND(C3121*(1-Settings!$B$2),2)</f>
        <v>13.45</v>
      </c>
      <c r="E3121" s="3">
        <f>ROUND(C3121*(1-Settings!$B$3),2)</f>
        <v>13.45</v>
      </c>
      <c r="F3121" s="2" t="inlineStr">
        <is>
          <t>Pokemon</t>
        </is>
      </c>
      <c r="G3121" s="2" t="inlineStr">
        <is>
          <t>Pack</t>
        </is>
      </c>
      <c r="H3121" s="2" t="inlineStr">
        <is>
          <t>Phantasmal Flames</t>
        </is>
      </c>
      <c r="I3121" s="3" t="n">
        <v>19.21</v>
      </c>
      <c r="J3121" s="3" t="n"/>
      <c r="K3121" s="3" t="n"/>
      <c r="L3121" s="3" t="n"/>
      <c r="M3121" s="2" t="inlineStr">
        <is>
          <t>PriceCharting</t>
        </is>
      </c>
      <c r="N3121" s="4" t="inlineStr">
        <is>
          <t>https://www.pricecharting.com/game/pokemon-phantasmal-flames/enhanced-2-pack-blister</t>
        </is>
      </c>
    </row>
    <row r="3122">
      <c r="A3122" s="2" t="inlineStr">
        <is>
          <t>Phantasmal Flames Premium Checklane Blister: Arven's Greedent</t>
        </is>
      </c>
      <c r="B3122" s="3">
        <f>IF(I3122&lt;&gt;"",I3122,IF(J3122&lt;&gt;"",J3122,IF(K3122&lt;&gt;"",K3122,L3122)))</f>
        <v>13.57</v>
      </c>
      <c r="C3122" s="3">
        <f>MEDIAN(I3122:L3122)</f>
        <v>13.57</v>
      </c>
      <c r="D3122" s="3">
        <f>ROUND(C3122*(1-Settings!$B$2),2)</f>
        <v>9.5</v>
      </c>
      <c r="E3122" s="3">
        <f>ROUND(C3122*(1-Settings!$B$3),2)</f>
        <v>9.5</v>
      </c>
      <c r="F3122" s="2" t="inlineStr">
        <is>
          <t>Pokemon</t>
        </is>
      </c>
      <c r="G3122" s="2" t="inlineStr">
        <is>
          <t>Pack</t>
        </is>
      </c>
      <c r="H3122" s="2" t="inlineStr">
        <is>
          <t>Phantasmal Flames</t>
        </is>
      </c>
      <c r="I3122" s="3" t="n">
        <v>13.57</v>
      </c>
      <c r="J3122" s="3" t="n"/>
      <c r="K3122" s="3" t="n"/>
      <c r="L3122" s="3" t="n"/>
      <c r="M3122" s="2" t="inlineStr">
        <is>
          <t>PriceCharting</t>
        </is>
      </c>
      <c r="N3122" s="4" t="inlineStr">
        <is>
          <t>https://www.pricecharting.com/game/pokemon-phantasmal-flames/premium-checklane-blister-arven's-greedent</t>
        </is>
      </c>
    </row>
    <row r="3123">
      <c r="A3123" s="2" t="inlineStr">
        <is>
          <t>Phantasmal Flames Premium Checklane Blister: Blaziken</t>
        </is>
      </c>
      <c r="B3123" s="3">
        <f>IF(I3123&lt;&gt;"",I3123,IF(J3123&lt;&gt;"",J3123,IF(K3123&lt;&gt;"",K3123,L3123)))</f>
        <v>30.95</v>
      </c>
      <c r="C3123" s="3">
        <f>MEDIAN(I3123:L3123)</f>
        <v>30.95</v>
      </c>
      <c r="D3123" s="3">
        <f>ROUND(C3123*(1-Settings!$B$2),2)</f>
        <v>21.67</v>
      </c>
      <c r="E3123" s="3">
        <f>ROUND(C3123*(1-Settings!$B$3),2)</f>
        <v>21.67</v>
      </c>
      <c r="F3123" s="2" t="inlineStr">
        <is>
          <t>Pokemon</t>
        </is>
      </c>
      <c r="G3123" s="2" t="inlineStr">
        <is>
          <t>Pack</t>
        </is>
      </c>
      <c r="H3123" s="2" t="inlineStr">
        <is>
          <t>Phantasmal Flames</t>
        </is>
      </c>
      <c r="I3123" s="3" t="n">
        <v>30.95</v>
      </c>
      <c r="J3123" s="3" t="n"/>
      <c r="K3123" s="3" t="n"/>
      <c r="L3123" s="3" t="n"/>
      <c r="M3123" s="2" t="inlineStr">
        <is>
          <t>PriceCharting</t>
        </is>
      </c>
      <c r="N3123" s="4" t="inlineStr">
        <is>
          <t>https://www.pricecharting.com/game/pokemon-phantasmal-flames/premium-checklane-blister-blaziken</t>
        </is>
      </c>
    </row>
    <row r="3124">
      <c r="A3124" s="2" t="inlineStr">
        <is>
          <t>Phantasmal Flames Premium Checklane Blister: Ethan's Magcargo</t>
        </is>
      </c>
      <c r="B3124" s="3">
        <f>IF(I3124&lt;&gt;"",I3124,IF(J3124&lt;&gt;"",J3124,IF(K3124&lt;&gt;"",K3124,L3124)))</f>
        <v>15.14</v>
      </c>
      <c r="C3124" s="3">
        <f>MEDIAN(I3124:L3124)</f>
        <v>15.14</v>
      </c>
      <c r="D3124" s="3">
        <f>ROUND(C3124*(1-Settings!$B$2),2)</f>
        <v>10.6</v>
      </c>
      <c r="E3124" s="3">
        <f>ROUND(C3124*(1-Settings!$B$3),2)</f>
        <v>10.6</v>
      </c>
      <c r="F3124" s="2" t="inlineStr">
        <is>
          <t>Pokemon</t>
        </is>
      </c>
      <c r="G3124" s="2" t="inlineStr">
        <is>
          <t>Pack</t>
        </is>
      </c>
      <c r="H3124" s="2" t="inlineStr">
        <is>
          <t>Phantasmal Flames</t>
        </is>
      </c>
      <c r="I3124" s="3" t="n">
        <v>15.14</v>
      </c>
      <c r="J3124" s="3" t="n"/>
      <c r="K3124" s="3" t="n"/>
      <c r="L3124" s="3" t="n"/>
      <c r="M3124" s="2" t="inlineStr">
        <is>
          <t>PriceCharting</t>
        </is>
      </c>
      <c r="N3124" s="4" t="inlineStr">
        <is>
          <t>https://www.pricecharting.com/game/pokemon-phantasmal-flames/premium-checklane-blister-ethan's-magcargo</t>
        </is>
      </c>
    </row>
    <row r="3125">
      <c r="A3125" s="2" t="inlineStr">
        <is>
          <t>Phantasmal Flames Premium Checklane Blister: Hydrapple</t>
        </is>
      </c>
      <c r="B3125" s="3">
        <f>IF(I3125&lt;&gt;"",I3125,IF(J3125&lt;&gt;"",J3125,IF(K3125&lt;&gt;"",K3125,L3125)))</f>
        <v>24.51</v>
      </c>
      <c r="C3125" s="3">
        <f>MEDIAN(I3125:L3125)</f>
        <v>24.51</v>
      </c>
      <c r="D3125" s="3">
        <f>ROUND(C3125*(1-Settings!$B$2),2)</f>
        <v>17.16</v>
      </c>
      <c r="E3125" s="3">
        <f>ROUND(C3125*(1-Settings!$B$3),2)</f>
        <v>17.16</v>
      </c>
      <c r="F3125" s="2" t="inlineStr">
        <is>
          <t>Pokemon</t>
        </is>
      </c>
      <c r="G3125" s="2" t="inlineStr">
        <is>
          <t>Pack</t>
        </is>
      </c>
      <c r="H3125" s="2" t="inlineStr">
        <is>
          <t>Phantasmal Flames</t>
        </is>
      </c>
      <c r="I3125" s="3" t="n">
        <v>24.51</v>
      </c>
      <c r="J3125" s="3" t="n"/>
      <c r="K3125" s="3" t="n"/>
      <c r="L3125" s="3" t="n"/>
      <c r="M3125" s="2" t="inlineStr">
        <is>
          <t>PriceCharting</t>
        </is>
      </c>
      <c r="N3125" s="4" t="inlineStr">
        <is>
          <t>https://www.pricecharting.com/game/pokemon-phantasmal-flames/premium-checklane-blister-hydrapple</t>
        </is>
      </c>
    </row>
    <row r="3126">
      <c r="A3126" s="2" t="inlineStr">
        <is>
          <t>Phantasmal Flames Single Pack Blister: Cottonee</t>
        </is>
      </c>
      <c r="B3126" s="3">
        <f>IF(I3126&lt;&gt;"",I3126,IF(J3126&lt;&gt;"",J3126,IF(K3126&lt;&gt;"",K3126,L3126)))</f>
        <v>12.72</v>
      </c>
      <c r="C3126" s="3">
        <f>MEDIAN(I3126:L3126)</f>
        <v>12.72</v>
      </c>
      <c r="D3126" s="3">
        <f>ROUND(C3126*(1-Settings!$B$2),2)</f>
        <v>8.9</v>
      </c>
      <c r="E3126" s="3">
        <f>ROUND(C3126*(1-Settings!$B$3),2)</f>
        <v>8.9</v>
      </c>
      <c r="F3126" s="2" t="inlineStr">
        <is>
          <t>Pokemon</t>
        </is>
      </c>
      <c r="G3126" s="2" t="inlineStr">
        <is>
          <t>Pack</t>
        </is>
      </c>
      <c r="H3126" s="2" t="inlineStr">
        <is>
          <t>Phantasmal Flames</t>
        </is>
      </c>
      <c r="I3126" s="3" t="n">
        <v>12.72</v>
      </c>
      <c r="J3126" s="3" t="n"/>
      <c r="K3126" s="3" t="n"/>
      <c r="L3126" s="3" t="n"/>
      <c r="M3126" s="2" t="inlineStr">
        <is>
          <t>PriceCharting</t>
        </is>
      </c>
      <c r="N3126" s="4" t="inlineStr">
        <is>
          <t>https://www.pricecharting.com/game/pokemon-phantasmal-flames/single-pack-blister-cottonee</t>
        </is>
      </c>
    </row>
    <row r="3127">
      <c r="A3127" s="2" t="inlineStr">
        <is>
          <t>Phantasmal Flames Single Pack Blister: Whimsicott</t>
        </is>
      </c>
      <c r="B3127" s="3">
        <f>IF(I3127&lt;&gt;"",I3127,IF(J3127&lt;&gt;"",J3127,IF(K3127&lt;&gt;"",K3127,L3127)))</f>
        <v>13.25</v>
      </c>
      <c r="C3127" s="3">
        <f>MEDIAN(I3127:L3127)</f>
        <v>13.25</v>
      </c>
      <c r="D3127" s="3">
        <f>ROUND(C3127*(1-Settings!$B$2),2)</f>
        <v>9.28</v>
      </c>
      <c r="E3127" s="3">
        <f>ROUND(C3127*(1-Settings!$B$3),2)</f>
        <v>9.28</v>
      </c>
      <c r="F3127" s="2" t="inlineStr">
        <is>
          <t>Pokemon</t>
        </is>
      </c>
      <c r="G3127" s="2" t="inlineStr">
        <is>
          <t>Pack</t>
        </is>
      </c>
      <c r="H3127" s="2" t="inlineStr">
        <is>
          <t>Phantasmal Flames</t>
        </is>
      </c>
      <c r="I3127" s="3" t="n">
        <v>13.25</v>
      </c>
      <c r="J3127" s="3" t="n"/>
      <c r="K3127" s="3" t="n"/>
      <c r="L3127" s="3" t="n"/>
      <c r="M3127" s="2" t="inlineStr">
        <is>
          <t>PriceCharting</t>
        </is>
      </c>
      <c r="N3127" s="4" t="inlineStr">
        <is>
          <t>https://www.pricecharting.com/game/pokemon-phantasmal-flames/single-pack-blister-whimsicott</t>
        </is>
      </c>
    </row>
    <row r="3128">
      <c r="A3128" s="2" t="inlineStr">
        <is>
          <t>Phantasmal Flames Sleeved Booster Pack</t>
        </is>
      </c>
      <c r="B3128" s="3">
        <f>IF(I3128&lt;&gt;"",I3128,IF(J3128&lt;&gt;"",J3128,IF(K3128&lt;&gt;"",K3128,L3128)))</f>
        <v>13.97</v>
      </c>
      <c r="C3128" s="3">
        <f>MEDIAN(I3128:L3128)</f>
        <v>13.97</v>
      </c>
      <c r="D3128" s="3">
        <f>ROUND(C3128*(1-Settings!$B$2),2)</f>
        <v>9.78</v>
      </c>
      <c r="E3128" s="3">
        <f>ROUND(C3128*(1-Settings!$B$3),2)</f>
        <v>9.78</v>
      </c>
      <c r="F3128" s="2" t="inlineStr">
        <is>
          <t>Pokemon</t>
        </is>
      </c>
      <c r="G3128" s="2" t="inlineStr">
        <is>
          <t>Pack</t>
        </is>
      </c>
      <c r="H3128" s="2" t="inlineStr">
        <is>
          <t>Phantasmal Flames</t>
        </is>
      </c>
      <c r="I3128" s="3" t="n">
        <v>13.97</v>
      </c>
      <c r="J3128" s="3" t="n"/>
      <c r="K3128" s="3" t="n"/>
      <c r="L3128" s="3" t="n"/>
      <c r="M3128" s="2" t="inlineStr">
        <is>
          <t>PriceCharting</t>
        </is>
      </c>
      <c r="N3128" s="4" t="inlineStr">
        <is>
          <t>https://www.pricecharting.com/game/pokemon-phantasmal-flames/sleeved-booster-pack</t>
        </is>
      </c>
    </row>
    <row r="3129">
      <c r="A3129" s="2" t="inlineStr">
        <is>
          <t>Phantom Forces Blister Pack</t>
        </is>
      </c>
      <c r="B3129" s="3">
        <f>IF(I3129&lt;&gt;"",I3129,IF(J3129&lt;&gt;"",J3129,IF(K3129&lt;&gt;"",K3129,L3129)))</f>
        <v>263.46</v>
      </c>
      <c r="C3129" s="3">
        <f>MEDIAN(I3129:L3129)</f>
        <v>263.46</v>
      </c>
      <c r="D3129" s="3">
        <f>ROUND(C3129*(1-Settings!$B$2),2)</f>
        <v>184.42</v>
      </c>
      <c r="E3129" s="3">
        <f>ROUND(C3129*(1-Settings!$B$3),2)</f>
        <v>184.42</v>
      </c>
      <c r="F3129" s="2" t="inlineStr">
        <is>
          <t>Pokemon</t>
        </is>
      </c>
      <c r="G3129" s="2" t="inlineStr">
        <is>
          <t>Pack</t>
        </is>
      </c>
      <c r="H3129" s="2" t="inlineStr">
        <is>
          <t>Phantom Forces</t>
        </is>
      </c>
      <c r="I3129" s="3" t="n">
        <v>263.46</v>
      </c>
      <c r="J3129" s="3" t="n"/>
      <c r="K3129" s="3" t="n"/>
      <c r="L3129" s="3" t="n"/>
      <c r="M3129" s="2" t="inlineStr">
        <is>
          <t>PriceCharting</t>
        </is>
      </c>
      <c r="N3129" s="4" t="inlineStr">
        <is>
          <t>https://www.pricecharting.com/game/pokemon-phantom-forces/blister-pack</t>
        </is>
      </c>
    </row>
    <row r="3130">
      <c r="A3130" s="2" t="inlineStr">
        <is>
          <t>Phantom Forces Booster Pack</t>
        </is>
      </c>
      <c r="B3130" s="3">
        <f>IF(I3130&lt;&gt;"",I3130,IF(J3130&lt;&gt;"",J3130,IF(K3130&lt;&gt;"",K3130,L3130)))</f>
        <v>183.49</v>
      </c>
      <c r="C3130" s="3">
        <f>MEDIAN(I3130:L3130)</f>
        <v>183.49</v>
      </c>
      <c r="D3130" s="3">
        <f>ROUND(C3130*(1-Settings!$B$2),2)</f>
        <v>128.44</v>
      </c>
      <c r="E3130" s="3">
        <f>ROUND(C3130*(1-Settings!$B$3),2)</f>
        <v>128.44</v>
      </c>
      <c r="F3130" s="2" t="inlineStr">
        <is>
          <t>Pokemon</t>
        </is>
      </c>
      <c r="G3130" s="2" t="inlineStr">
        <is>
          <t>Pack</t>
        </is>
      </c>
      <c r="H3130" s="2" t="inlineStr">
        <is>
          <t>Phantom Forces</t>
        </is>
      </c>
      <c r="I3130" s="3" t="n">
        <v>183.49</v>
      </c>
      <c r="J3130" s="3" t="n"/>
      <c r="K3130" s="3" t="n"/>
      <c r="L3130" s="3" t="n"/>
      <c r="M3130" s="2" t="inlineStr">
        <is>
          <t>PriceCharting</t>
        </is>
      </c>
      <c r="N3130" s="4" t="inlineStr">
        <is>
          <t>https://www.pricecharting.com/game/pokemon-phantom-forces/booster-pack</t>
        </is>
      </c>
    </row>
    <row r="3131">
      <c r="A3131" s="2" t="inlineStr">
        <is>
          <t>Pitch Black Booster Pack</t>
        </is>
      </c>
      <c r="B3131" s="3">
        <f>IF(I3131&lt;&gt;"",I3131,IF(J3131&lt;&gt;"",J3131,IF(K3131&lt;&gt;"",K3131,L3131)))</f>
        <v>5.81</v>
      </c>
      <c r="C3131" s="3">
        <f>MEDIAN(I3131:L3131)</f>
        <v>5.81</v>
      </c>
      <c r="D3131" s="3">
        <f>ROUND(C3131*(1-Settings!$B$2),2)</f>
        <v>4.07</v>
      </c>
      <c r="E3131" s="3">
        <f>ROUND(C3131*(1-Settings!$B$3),2)</f>
        <v>4.07</v>
      </c>
      <c r="F3131" s="2" t="inlineStr">
        <is>
          <t>Pokemon</t>
        </is>
      </c>
      <c r="G3131" s="2" t="inlineStr">
        <is>
          <t>Pack</t>
        </is>
      </c>
      <c r="H3131" s="2" t="inlineStr">
        <is>
          <t>Pitch Black</t>
        </is>
      </c>
      <c r="I3131" s="3" t="n">
        <v>5.81</v>
      </c>
      <c r="J3131" s="3" t="n"/>
      <c r="K3131" s="3" t="n"/>
      <c r="L3131" s="3" t="n"/>
      <c r="M3131" s="2" t="inlineStr">
        <is>
          <t>PriceCharting</t>
        </is>
      </c>
      <c r="N3131" s="4" t="inlineStr">
        <is>
          <t>https://www.pricecharting.com/game/pokemon-pitch-black/booster-pack</t>
        </is>
      </c>
    </row>
    <row r="3132">
      <c r="A3132" s="2" t="inlineStr">
        <is>
          <t>Pitch Black Premium Checklane Blister: Aurorus</t>
        </is>
      </c>
      <c r="B3132" s="3">
        <f>IF(I3132&lt;&gt;"",I3132,IF(J3132&lt;&gt;"",J3132,IF(K3132&lt;&gt;"",K3132,L3132)))</f>
        <v>16.86</v>
      </c>
      <c r="C3132" s="3">
        <f>MEDIAN(I3132:L3132)</f>
        <v>16.86</v>
      </c>
      <c r="D3132" s="3">
        <f>ROUND(C3132*(1-Settings!$B$2),2)</f>
        <v>11.8</v>
      </c>
      <c r="E3132" s="3">
        <f>ROUND(C3132*(1-Settings!$B$3),2)</f>
        <v>11.8</v>
      </c>
      <c r="F3132" s="2" t="inlineStr">
        <is>
          <t>Pokemon</t>
        </is>
      </c>
      <c r="G3132" s="2" t="inlineStr">
        <is>
          <t>Pack</t>
        </is>
      </c>
      <c r="H3132" s="2" t="inlineStr">
        <is>
          <t>Pitch Black</t>
        </is>
      </c>
      <c r="I3132" s="3" t="n">
        <v>16.86</v>
      </c>
      <c r="J3132" s="3" t="n"/>
      <c r="K3132" s="3" t="n"/>
      <c r="L3132" s="3" t="n"/>
      <c r="M3132" s="2" t="inlineStr">
        <is>
          <t>PriceCharting</t>
        </is>
      </c>
      <c r="N3132" s="4" t="inlineStr">
        <is>
          <t>https://www.pricecharting.com/game/pokemon-pitch-black/premium-checklane-blister-aurorus</t>
        </is>
      </c>
    </row>
    <row r="3133">
      <c r="A3133" s="2" t="inlineStr">
        <is>
          <t>Pitch Black Premium Checklane Blister: Gengar</t>
        </is>
      </c>
      <c r="B3133" s="3">
        <f>IF(I3133&lt;&gt;"",I3133,IF(J3133&lt;&gt;"",J3133,IF(K3133&lt;&gt;"",K3133,L3133)))</f>
        <v>22.0</v>
      </c>
      <c r="C3133" s="3">
        <f>MEDIAN(I3133:L3133)</f>
        <v>22.0</v>
      </c>
      <c r="D3133" s="3">
        <f>ROUND(C3133*(1-Settings!$B$2),2)</f>
        <v>15.4</v>
      </c>
      <c r="E3133" s="3">
        <f>ROUND(C3133*(1-Settings!$B$3),2)</f>
        <v>15.4</v>
      </c>
      <c r="F3133" s="2" t="inlineStr">
        <is>
          <t>Pokemon</t>
        </is>
      </c>
      <c r="G3133" s="2" t="inlineStr">
        <is>
          <t>Pack</t>
        </is>
      </c>
      <c r="H3133" s="2" t="inlineStr">
        <is>
          <t>Pitch Black</t>
        </is>
      </c>
      <c r="I3133" s="3" t="n">
        <v>22</v>
      </c>
      <c r="J3133" s="3" t="n"/>
      <c r="K3133" s="3" t="n"/>
      <c r="L3133" s="3" t="n"/>
      <c r="M3133" s="2" t="inlineStr">
        <is>
          <t>PriceCharting</t>
        </is>
      </c>
      <c r="N3133" s="4" t="inlineStr">
        <is>
          <t>https://www.pricecharting.com/game/pokemon-pitch-black/premium-checklane-blister-gengar</t>
        </is>
      </c>
    </row>
    <row r="3134">
      <c r="A3134" s="2" t="inlineStr">
        <is>
          <t>Pitch Black Premium Checklane Blister: Luxray</t>
        </is>
      </c>
      <c r="B3134" s="3">
        <f>IF(I3134&lt;&gt;"",I3134,IF(J3134&lt;&gt;"",J3134,IF(K3134&lt;&gt;"",K3134,L3134)))</f>
        <v>18.49</v>
      </c>
      <c r="C3134" s="3">
        <f>MEDIAN(I3134:L3134)</f>
        <v>18.49</v>
      </c>
      <c r="D3134" s="3">
        <f>ROUND(C3134*(1-Settings!$B$2),2)</f>
        <v>12.94</v>
      </c>
      <c r="E3134" s="3">
        <f>ROUND(C3134*(1-Settings!$B$3),2)</f>
        <v>12.94</v>
      </c>
      <c r="F3134" s="2" t="inlineStr">
        <is>
          <t>Pokemon</t>
        </is>
      </c>
      <c r="G3134" s="2" t="inlineStr">
        <is>
          <t>Pack</t>
        </is>
      </c>
      <c r="H3134" s="2" t="inlineStr">
        <is>
          <t>Pitch Black</t>
        </is>
      </c>
      <c r="I3134" s="3" t="n">
        <v>18.49</v>
      </c>
      <c r="J3134" s="3" t="n"/>
      <c r="K3134" s="3" t="n"/>
      <c r="L3134" s="3" t="n"/>
      <c r="M3134" s="2" t="inlineStr">
        <is>
          <t>PriceCharting</t>
        </is>
      </c>
      <c r="N3134" s="4" t="inlineStr">
        <is>
          <t>https://www.pricecharting.com/game/pokemon-pitch-black/premium-checklane-blister-luxray</t>
        </is>
      </c>
    </row>
    <row r="3135">
      <c r="A3135" s="2" t="inlineStr">
        <is>
          <t>Pitch Black Premium Checklane Blister: Tyrantrum</t>
        </is>
      </c>
      <c r="B3135" s="3">
        <f>IF(I3135&lt;&gt;"",I3135,IF(J3135&lt;&gt;"",J3135,IF(K3135&lt;&gt;"",K3135,L3135)))</f>
        <v>18.23</v>
      </c>
      <c r="C3135" s="3">
        <f>MEDIAN(I3135:L3135)</f>
        <v>18.23</v>
      </c>
      <c r="D3135" s="3">
        <f>ROUND(C3135*(1-Settings!$B$2),2)</f>
        <v>12.76</v>
      </c>
      <c r="E3135" s="3">
        <f>ROUND(C3135*(1-Settings!$B$3),2)</f>
        <v>12.76</v>
      </c>
      <c r="F3135" s="2" t="inlineStr">
        <is>
          <t>Pokemon</t>
        </is>
      </c>
      <c r="G3135" s="2" t="inlineStr">
        <is>
          <t>Pack</t>
        </is>
      </c>
      <c r="H3135" s="2" t="inlineStr">
        <is>
          <t>Pitch Black</t>
        </is>
      </c>
      <c r="I3135" s="3" t="n">
        <v>18.23</v>
      </c>
      <c r="J3135" s="3" t="n"/>
      <c r="K3135" s="3" t="n"/>
      <c r="L3135" s="3" t="n"/>
      <c r="M3135" s="2" t="inlineStr">
        <is>
          <t>PriceCharting</t>
        </is>
      </c>
      <c r="N3135" s="4" t="inlineStr">
        <is>
          <t>https://www.pricecharting.com/game/pokemon-pitch-black/premium-checklane-blister-tyrantrum</t>
        </is>
      </c>
    </row>
    <row r="3136">
      <c r="A3136" s="2" t="inlineStr">
        <is>
          <t>Pitch Black Single Pack Blister</t>
        </is>
      </c>
      <c r="B3136" s="3">
        <f>IF(I3136&lt;&gt;"",I3136,IF(J3136&lt;&gt;"",J3136,IF(K3136&lt;&gt;"",K3136,L3136)))</f>
        <v>8.99</v>
      </c>
      <c r="C3136" s="3">
        <f>MEDIAN(I3136:L3136)</f>
        <v>8.99</v>
      </c>
      <c r="D3136" s="3">
        <f>ROUND(C3136*(1-Settings!$B$2),2)</f>
        <v>6.29</v>
      </c>
      <c r="E3136" s="3">
        <f>ROUND(C3136*(1-Settings!$B$3),2)</f>
        <v>6.29</v>
      </c>
      <c r="F3136" s="2" t="inlineStr">
        <is>
          <t>Pokemon</t>
        </is>
      </c>
      <c r="G3136" s="2" t="inlineStr">
        <is>
          <t>Pack</t>
        </is>
      </c>
      <c r="H3136" s="2" t="inlineStr">
        <is>
          <t>Pitch Black</t>
        </is>
      </c>
      <c r="I3136" s="3" t="n">
        <v>8.99</v>
      </c>
      <c r="J3136" s="3" t="n"/>
      <c r="K3136" s="3" t="n"/>
      <c r="L3136" s="3" t="n"/>
      <c r="M3136" s="2" t="inlineStr">
        <is>
          <t>PriceCharting</t>
        </is>
      </c>
      <c r="N3136" s="4" t="inlineStr">
        <is>
          <t>https://www.pricecharting.com/game/pokemon-pitch-black/single-pack-blister</t>
        </is>
      </c>
    </row>
    <row r="3137">
      <c r="A3137" s="2" t="inlineStr">
        <is>
          <t>Pitch Black Sleeved Booster Pack</t>
        </is>
      </c>
      <c r="B3137" s="3">
        <f>IF(I3137&lt;&gt;"",I3137,IF(J3137&lt;&gt;"",J3137,IF(K3137&lt;&gt;"",K3137,L3137)))</f>
        <v>6.81</v>
      </c>
      <c r="C3137" s="3">
        <f>MEDIAN(I3137:L3137)</f>
        <v>6.81</v>
      </c>
      <c r="D3137" s="3">
        <f>ROUND(C3137*(1-Settings!$B$2),2)</f>
        <v>4.77</v>
      </c>
      <c r="E3137" s="3">
        <f>ROUND(C3137*(1-Settings!$B$3),2)</f>
        <v>4.77</v>
      </c>
      <c r="F3137" s="2" t="inlineStr">
        <is>
          <t>Pokemon</t>
        </is>
      </c>
      <c r="G3137" s="2" t="inlineStr">
        <is>
          <t>Pack</t>
        </is>
      </c>
      <c r="H3137" s="2" t="inlineStr">
        <is>
          <t>Pitch Black</t>
        </is>
      </c>
      <c r="I3137" s="3" t="n">
        <v>6.81</v>
      </c>
      <c r="J3137" s="3" t="n"/>
      <c r="K3137" s="3" t="n"/>
      <c r="L3137" s="3" t="n"/>
      <c r="M3137" s="2" t="inlineStr">
        <is>
          <t>PriceCharting</t>
        </is>
      </c>
      <c r="N3137" s="4" t="inlineStr">
        <is>
          <t>https://www.pricecharting.com/game/pokemon-pitch-black/sleeved-booster-pack</t>
        </is>
      </c>
    </row>
    <row r="3138">
      <c r="A3138" s="2" t="inlineStr">
        <is>
          <t>Plasma Blast Booster Pack</t>
        </is>
      </c>
      <c r="B3138" s="3">
        <f>IF(I3138&lt;&gt;"",I3138,IF(J3138&lt;&gt;"",J3138,IF(K3138&lt;&gt;"",K3138,L3138)))</f>
        <v>211.75</v>
      </c>
      <c r="C3138" s="3">
        <f>MEDIAN(I3138:L3138)</f>
        <v>330.6</v>
      </c>
      <c r="D3138" s="3">
        <f>ROUND(C3138*(1-Settings!$B$2),2)</f>
        <v>231.42</v>
      </c>
      <c r="E3138" s="3">
        <f>ROUND(C3138*(1-Settings!$B$3),2)</f>
        <v>231.42</v>
      </c>
      <c r="F3138" s="2" t="inlineStr">
        <is>
          <t>Pokemon</t>
        </is>
      </c>
      <c r="G3138" s="2" t="inlineStr">
        <is>
          <t>Pack</t>
        </is>
      </c>
      <c r="H3138" s="2" t="inlineStr">
        <is>
          <t>Plasma Blast</t>
        </is>
      </c>
      <c r="I3138" s="3" t="n">
        <v>211.75</v>
      </c>
      <c r="J3138" s="3" t="n">
        <v>275.45</v>
      </c>
      <c r="K3138" s="3" t="n">
        <v>499</v>
      </c>
      <c r="L3138" s="3" t="n">
        <v>385.75</v>
      </c>
      <c r="M3138" s="2" t="inlineStr">
        <is>
          <t>PriceCharting + TCGplayer</t>
        </is>
      </c>
      <c r="N3138" s="4" t="inlineStr">
        <is>
          <t>https://www.pricecharting.com/game/pokemon-plasma-blast/booster-pack</t>
        </is>
      </c>
      <c r="O3138" s="4" t="inlineStr">
        <is>
          <t>https://www.tcgplayer.com/product/98573</t>
        </is>
      </c>
    </row>
    <row r="3139">
      <c r="A3139" s="2" t="inlineStr">
        <is>
          <t>Plasma Freeze Booster Pack</t>
        </is>
      </c>
      <c r="B3139" s="3">
        <f>IF(I3139&lt;&gt;"",I3139,IF(J3139&lt;&gt;"",J3139,IF(K3139&lt;&gt;"",K3139,L3139)))</f>
        <v>304.82</v>
      </c>
      <c r="C3139" s="3">
        <f>MEDIAN(I3139:L3139)</f>
        <v>316.955</v>
      </c>
      <c r="D3139" s="3">
        <f>ROUND(C3139*(1-Settings!$B$2),2)</f>
        <v>221.87</v>
      </c>
      <c r="E3139" s="3">
        <f>ROUND(C3139*(1-Settings!$B$3),2)</f>
        <v>221.87</v>
      </c>
      <c r="F3139" s="2" t="inlineStr">
        <is>
          <t>Pokemon</t>
        </is>
      </c>
      <c r="G3139" s="2" t="inlineStr">
        <is>
          <t>Pack</t>
        </is>
      </c>
      <c r="H3139" s="2" t="inlineStr">
        <is>
          <t>Plasma Freeze</t>
        </is>
      </c>
      <c r="I3139" s="3" t="n">
        <v>304.82</v>
      </c>
      <c r="J3139" s="3" t="n">
        <v>329.09</v>
      </c>
      <c r="K3139" s="3" t="n"/>
      <c r="L3139" s="3" t="n"/>
      <c r="M3139" s="2" t="inlineStr">
        <is>
          <t>PriceCharting + TCGplayer</t>
        </is>
      </c>
      <c r="N3139" s="4" t="inlineStr">
        <is>
          <t>https://www.pricecharting.com/game/pokemon-plasma-freeze/booster-pack</t>
        </is>
      </c>
      <c r="O3139" s="4" t="inlineStr">
        <is>
          <t>https://www.tcgplayer.com/product/98517</t>
        </is>
      </c>
    </row>
    <row r="3140">
      <c r="A3140" s="2" t="inlineStr">
        <is>
          <t>Plasma Storm Booster Pack</t>
        </is>
      </c>
      <c r="B3140" s="3">
        <f>IF(I3140&lt;&gt;"",I3140,IF(J3140&lt;&gt;"",J3140,IF(K3140&lt;&gt;"",K3140,L3140)))</f>
        <v>402.75</v>
      </c>
      <c r="C3140" s="3">
        <f>MEDIAN(I3140:L3140)</f>
        <v>774.975</v>
      </c>
      <c r="D3140" s="3">
        <f>ROUND(C3140*(1-Settings!$B$2),2)</f>
        <v>542.48</v>
      </c>
      <c r="E3140" s="3">
        <f>ROUND(C3140*(1-Settings!$B$3),2)</f>
        <v>542.48</v>
      </c>
      <c r="F3140" s="2" t="inlineStr">
        <is>
          <t>Pokemon</t>
        </is>
      </c>
      <c r="G3140" s="2" t="inlineStr">
        <is>
          <t>Pack</t>
        </is>
      </c>
      <c r="H3140" s="2" t="inlineStr">
        <is>
          <t>Plasma Storm</t>
        </is>
      </c>
      <c r="I3140" s="3" t="n">
        <v>402.75</v>
      </c>
      <c r="J3140" s="3" t="n">
        <v>549.96</v>
      </c>
      <c r="K3140" s="3" t="n">
        <v>999.99</v>
      </c>
      <c r="L3140" s="3" t="n">
        <v>999.99</v>
      </c>
      <c r="M3140" s="2" t="inlineStr">
        <is>
          <t>PriceCharting + TCGplayer</t>
        </is>
      </c>
      <c r="N3140" s="4" t="inlineStr">
        <is>
          <t>https://www.pricecharting.com/game/pokemon-plasma-storm/booster-pack</t>
        </is>
      </c>
      <c r="O3140" s="4" t="inlineStr">
        <is>
          <t>https://www.tcgplayer.com/product/98526</t>
        </is>
      </c>
    </row>
    <row r="3141">
      <c r="A3141" s="2" t="inlineStr">
        <is>
          <t>Platinum Blister Pack</t>
        </is>
      </c>
      <c r="B3141" s="3">
        <f>IF(I3141&lt;&gt;"",I3141,IF(J3141&lt;&gt;"",J3141,IF(K3141&lt;&gt;"",K3141,L3141)))</f>
        <v>749.99</v>
      </c>
      <c r="C3141" s="3">
        <f>MEDIAN(I3141:L3141)</f>
        <v>749.99</v>
      </c>
      <c r="D3141" s="3">
        <f>ROUND(C3141*(1-Settings!$B$2),2)</f>
        <v>524.99</v>
      </c>
      <c r="E3141" s="3">
        <f>ROUND(C3141*(1-Settings!$B$3),2)</f>
        <v>524.99</v>
      </c>
      <c r="F3141" s="2" t="inlineStr">
        <is>
          <t>Pokemon</t>
        </is>
      </c>
      <c r="G3141" s="2" t="inlineStr">
        <is>
          <t>Pack</t>
        </is>
      </c>
      <c r="H3141" s="2" t="inlineStr">
        <is>
          <t>Platinum</t>
        </is>
      </c>
      <c r="I3141" s="3" t="n">
        <v>749.99</v>
      </c>
      <c r="J3141" s="3" t="n"/>
      <c r="K3141" s="3" t="n"/>
      <c r="L3141" s="3" t="n"/>
      <c r="M3141" s="2" t="inlineStr">
        <is>
          <t>PriceCharting</t>
        </is>
      </c>
      <c r="N3141" s="4" t="inlineStr">
        <is>
          <t>https://www.pricecharting.com/game/pokemon-platinum/blister-pack</t>
        </is>
      </c>
    </row>
    <row r="3142">
      <c r="A3142" s="2" t="inlineStr">
        <is>
          <t>Platinum Booster Pack</t>
        </is>
      </c>
      <c r="B3142" s="3">
        <f>IF(I3142&lt;&gt;"",I3142,IF(J3142&lt;&gt;"",J3142,IF(K3142&lt;&gt;"",K3142,L3142)))</f>
        <v>528.56</v>
      </c>
      <c r="C3142" s="3">
        <f>MEDIAN(I3142:L3142)</f>
        <v>514.275</v>
      </c>
      <c r="D3142" s="3">
        <f>ROUND(C3142*(1-Settings!$B$2),2)</f>
        <v>359.99</v>
      </c>
      <c r="E3142" s="3">
        <f>ROUND(C3142*(1-Settings!$B$3),2)</f>
        <v>359.99</v>
      </c>
      <c r="F3142" s="2" t="inlineStr">
        <is>
          <t>Pokemon</t>
        </is>
      </c>
      <c r="G3142" s="2" t="inlineStr">
        <is>
          <t>Pack</t>
        </is>
      </c>
      <c r="H3142" s="2" t="inlineStr">
        <is>
          <t>Platinum</t>
        </is>
      </c>
      <c r="I3142" s="3" t="n">
        <v>528.5599999999999</v>
      </c>
      <c r="J3142" s="3" t="n">
        <v>389.74</v>
      </c>
      <c r="K3142" s="3" t="n">
        <v>595.99</v>
      </c>
      <c r="L3142" s="3" t="n">
        <v>499.99</v>
      </c>
      <c r="M3142" s="2" t="inlineStr">
        <is>
          <t>PriceCharting + TCGplayer</t>
        </is>
      </c>
      <c r="N3142" s="4" t="inlineStr">
        <is>
          <t>https://www.pricecharting.com/game/pokemon-platinum/booster-pack</t>
        </is>
      </c>
      <c r="O3142" s="4" t="inlineStr">
        <is>
          <t>https://www.tcgplayer.com/product/98591</t>
        </is>
      </c>
    </row>
    <row r="3143">
      <c r="A3143" s="2" t="inlineStr">
        <is>
          <t>Platinum Heatran Checklane Blister Pack</t>
        </is>
      </c>
      <c r="B3143" s="3">
        <f>IF(I3143&lt;&gt;"",I3143,IF(J3143&lt;&gt;"",J3143,IF(K3143&lt;&gt;"",K3143,L3143)))</f>
        <v>148.14</v>
      </c>
      <c r="C3143" s="3">
        <f>MEDIAN(I3143:L3143)</f>
        <v>148.14</v>
      </c>
      <c r="D3143" s="3">
        <f>ROUND(C3143*(1-Settings!$B$2),2)</f>
        <v>103.7</v>
      </c>
      <c r="E3143" s="3">
        <f>ROUND(C3143*(1-Settings!$B$3),2)</f>
        <v>103.7</v>
      </c>
      <c r="F3143" s="2" t="inlineStr">
        <is>
          <t>Pokemon</t>
        </is>
      </c>
      <c r="G3143" s="2" t="inlineStr">
        <is>
          <t>Pack</t>
        </is>
      </c>
      <c r="H3143" s="2" t="inlineStr">
        <is>
          <t>Platinum</t>
        </is>
      </c>
      <c r="I3143" s="3" t="n">
        <v>148.14</v>
      </c>
      <c r="J3143" s="3" t="n"/>
      <c r="K3143" s="3" t="n"/>
      <c r="L3143" s="3" t="n"/>
      <c r="M3143" s="2" t="inlineStr">
        <is>
          <t>PriceCharting</t>
        </is>
      </c>
      <c r="N3143" s="4" t="inlineStr">
        <is>
          <t>https://www.pricecharting.com/game/pokemon-platinum/heatran-checklane-blister-pack</t>
        </is>
      </c>
    </row>
    <row r="3144">
      <c r="A3144" s="2" t="inlineStr">
        <is>
          <t>Pokemon GO Booster Pack</t>
        </is>
      </c>
      <c r="B3144" s="3">
        <f>IF(I3144&lt;&gt;"",I3144,IF(J3144&lt;&gt;"",J3144,IF(K3144&lt;&gt;"",K3144,L3144)))</f>
        <v>15.24</v>
      </c>
      <c r="C3144" s="3">
        <f>MEDIAN(I3144:L3144)</f>
        <v>15.24</v>
      </c>
      <c r="D3144" s="3">
        <f>ROUND(C3144*(1-Settings!$B$2),2)</f>
        <v>10.67</v>
      </c>
      <c r="E3144" s="3">
        <f>ROUND(C3144*(1-Settings!$B$3),2)</f>
        <v>10.67</v>
      </c>
      <c r="F3144" s="2" t="inlineStr">
        <is>
          <t>Pokemon</t>
        </is>
      </c>
      <c r="G3144" s="2" t="inlineStr">
        <is>
          <t>Pack</t>
        </is>
      </c>
      <c r="H3144" s="2" t="inlineStr">
        <is>
          <t>Pokemon GO</t>
        </is>
      </c>
      <c r="I3144" s="3" t="n"/>
      <c r="J3144" s="3" t="n">
        <v>15.24</v>
      </c>
      <c r="K3144" s="3" t="n">
        <v>15.62</v>
      </c>
      <c r="L3144" s="3" t="n">
        <v>11.87</v>
      </c>
      <c r="M3144" s="2" t="inlineStr">
        <is>
          <t>TCGplayer</t>
        </is>
      </c>
      <c r="O3144" s="4" t="inlineStr">
        <is>
          <t>https://www.tcgplayer.com/product/274421</t>
        </is>
      </c>
    </row>
    <row r="3145">
      <c r="A3145" s="2" t="inlineStr">
        <is>
          <t>Pokemon Jungle Booster Pack (291 Yen)</t>
        </is>
      </c>
      <c r="B3145" s="3">
        <f>IF(I3145&lt;&gt;"",I3145,IF(J3145&lt;&gt;"",J3145,IF(K3145&lt;&gt;"",K3145,L3145)))</f>
        <v>500.0</v>
      </c>
      <c r="C3145" s="3">
        <f>MEDIAN(I3145:L3145)</f>
        <v>745.005</v>
      </c>
      <c r="D3145" s="3">
        <f>ROUND(C3145*(1-Settings!$B$2),2)</f>
        <v>521.5</v>
      </c>
      <c r="E3145" s="3">
        <f>ROUND(C3145*(1-Settings!$B$3),2)</f>
        <v>521.5</v>
      </c>
      <c r="F3145" s="2" t="inlineStr">
        <is>
          <t>Pokemon</t>
        </is>
      </c>
      <c r="G3145" s="2" t="inlineStr">
        <is>
          <t>Pack</t>
        </is>
      </c>
      <c r="H3145" s="2" t="inlineStr">
        <is>
          <t>Pokemon Jungle</t>
        </is>
      </c>
      <c r="I3145" s="3" t="n"/>
      <c r="J3145" s="3" t="n">
        <v>500</v>
      </c>
      <c r="K3145" s="3" t="n"/>
      <c r="L3145" s="3" t="n">
        <v>990.01</v>
      </c>
      <c r="M3145" s="2" t="inlineStr">
        <is>
          <t>TCGplayer</t>
        </is>
      </c>
      <c r="O3145" s="4" t="inlineStr">
        <is>
          <t>https://www.tcgplayer.com/product/677751</t>
        </is>
      </c>
    </row>
    <row r="3146">
      <c r="A3146" s="2" t="inlineStr">
        <is>
          <t>Pop Series 1 Booster Pack</t>
        </is>
      </c>
      <c r="B3146" s="3">
        <f>IF(I3146&lt;&gt;"",I3146,IF(J3146&lt;&gt;"",J3146,IF(K3146&lt;&gt;"",K3146,L3146)))</f>
        <v>109.5</v>
      </c>
      <c r="C3146" s="3">
        <f>MEDIAN(I3146:L3146)</f>
        <v>109.5</v>
      </c>
      <c r="D3146" s="3">
        <f>ROUND(C3146*(1-Settings!$B$2),2)</f>
        <v>76.65</v>
      </c>
      <c r="E3146" s="3">
        <f>ROUND(C3146*(1-Settings!$B$3),2)</f>
        <v>76.65</v>
      </c>
      <c r="F3146" s="2" t="inlineStr">
        <is>
          <t>Pokemon</t>
        </is>
      </c>
      <c r="G3146" s="2" t="inlineStr">
        <is>
          <t>Pack</t>
        </is>
      </c>
      <c r="H3146" s="2" t="inlineStr">
        <is>
          <t>Pop Series 1</t>
        </is>
      </c>
      <c r="I3146" s="3" t="n">
        <v>109.5</v>
      </c>
      <c r="J3146" s="3" t="n"/>
      <c r="K3146" s="3" t="n"/>
      <c r="L3146" s="3" t="n"/>
      <c r="M3146" s="2" t="inlineStr">
        <is>
          <t>PriceCharting</t>
        </is>
      </c>
      <c r="N3146" s="4" t="inlineStr">
        <is>
          <t>https://www.pricecharting.com/game/pokemon-pop-series-1/booster-pack</t>
        </is>
      </c>
    </row>
    <row r="3147">
      <c r="A3147" s="2" t="inlineStr">
        <is>
          <t>POP Series 1 Pack</t>
        </is>
      </c>
      <c r="B3147" s="3">
        <f>IF(I3147&lt;&gt;"",I3147,IF(J3147&lt;&gt;"",J3147,IF(K3147&lt;&gt;"",K3147,L3147)))</f>
        <v>110.59</v>
      </c>
      <c r="C3147" s="3">
        <f>MEDIAN(I3147:L3147)</f>
        <v>319.95</v>
      </c>
      <c r="D3147" s="3">
        <f>ROUND(C3147*(1-Settings!$B$2),2)</f>
        <v>223.97</v>
      </c>
      <c r="E3147" s="3">
        <f>ROUND(C3147*(1-Settings!$B$3),2)</f>
        <v>223.97</v>
      </c>
      <c r="F3147" s="2" t="inlineStr">
        <is>
          <t>Pokemon</t>
        </is>
      </c>
      <c r="G3147" s="2" t="inlineStr">
        <is>
          <t>Pack</t>
        </is>
      </c>
      <c r="H3147" s="2" t="inlineStr">
        <is>
          <t>POP Series 1</t>
        </is>
      </c>
      <c r="I3147" s="3" t="n"/>
      <c r="J3147" s="3" t="n">
        <v>110.59</v>
      </c>
      <c r="K3147" s="3" t="n">
        <v>409.97</v>
      </c>
      <c r="L3147" s="3" t="n">
        <v>319.95</v>
      </c>
      <c r="M3147" s="2" t="inlineStr">
        <is>
          <t>TCGplayer</t>
        </is>
      </c>
      <c r="O3147" s="4" t="inlineStr">
        <is>
          <t>https://www.tcgplayer.com/product/141227</t>
        </is>
      </c>
    </row>
    <row r="3148">
      <c r="A3148" s="2" t="inlineStr">
        <is>
          <t>Pop Series 2 Booster Pack</t>
        </is>
      </c>
      <c r="B3148" s="3">
        <f>IF(I3148&lt;&gt;"",I3148,IF(J3148&lt;&gt;"",J3148,IF(K3148&lt;&gt;"",K3148,L3148)))</f>
        <v>151.25</v>
      </c>
      <c r="C3148" s="3">
        <f>MEDIAN(I3148:L3148)</f>
        <v>151.25</v>
      </c>
      <c r="D3148" s="3">
        <f>ROUND(C3148*(1-Settings!$B$2),2)</f>
        <v>105.88</v>
      </c>
      <c r="E3148" s="3">
        <f>ROUND(C3148*(1-Settings!$B$3),2)</f>
        <v>105.88</v>
      </c>
      <c r="F3148" s="2" t="inlineStr">
        <is>
          <t>Pokemon</t>
        </is>
      </c>
      <c r="G3148" s="2" t="inlineStr">
        <is>
          <t>Pack</t>
        </is>
      </c>
      <c r="H3148" s="2" t="inlineStr">
        <is>
          <t>Pop Series 2</t>
        </is>
      </c>
      <c r="I3148" s="3" t="n">
        <v>151.25</v>
      </c>
      <c r="J3148" s="3" t="n"/>
      <c r="K3148" s="3" t="n"/>
      <c r="L3148" s="3" t="n"/>
      <c r="M3148" s="2" t="inlineStr">
        <is>
          <t>PriceCharting</t>
        </is>
      </c>
      <c r="N3148" s="4" t="inlineStr">
        <is>
          <t>https://www.pricecharting.com/game/pokemon-pop-series-2/booster-pack</t>
        </is>
      </c>
    </row>
    <row r="3149">
      <c r="A3149" s="2" t="inlineStr">
        <is>
          <t>POP Series 2 Pack</t>
        </is>
      </c>
      <c r="B3149" s="3">
        <f>IF(I3149&lt;&gt;"",I3149,IF(J3149&lt;&gt;"",J3149,IF(K3149&lt;&gt;"",K3149,L3149)))</f>
        <v>147.44</v>
      </c>
      <c r="C3149" s="3">
        <f>MEDIAN(I3149:L3149)</f>
        <v>229.95</v>
      </c>
      <c r="D3149" s="3">
        <f>ROUND(C3149*(1-Settings!$B$2),2)</f>
        <v>160.97</v>
      </c>
      <c r="E3149" s="3">
        <f>ROUND(C3149*(1-Settings!$B$3),2)</f>
        <v>160.97</v>
      </c>
      <c r="F3149" s="2" t="inlineStr">
        <is>
          <t>Pokemon</t>
        </is>
      </c>
      <c r="G3149" s="2" t="inlineStr">
        <is>
          <t>Pack</t>
        </is>
      </c>
      <c r="H3149" s="2" t="inlineStr">
        <is>
          <t>POP Series 2</t>
        </is>
      </c>
      <c r="I3149" s="3" t="n"/>
      <c r="J3149" s="3" t="n">
        <v>147.44</v>
      </c>
      <c r="K3149" s="3" t="n">
        <v>229.95</v>
      </c>
      <c r="L3149" s="3" t="n">
        <v>229.95</v>
      </c>
      <c r="M3149" s="2" t="inlineStr">
        <is>
          <t>TCGplayer</t>
        </is>
      </c>
      <c r="O3149" s="4" t="inlineStr">
        <is>
          <t>https://www.tcgplayer.com/product/141228</t>
        </is>
      </c>
    </row>
    <row r="3150">
      <c r="A3150" s="2" t="inlineStr">
        <is>
          <t>Pop Series 3 Booster Pack</t>
        </is>
      </c>
      <c r="B3150" s="3">
        <f>IF(I3150&lt;&gt;"",I3150,IF(J3150&lt;&gt;"",J3150,IF(K3150&lt;&gt;"",K3150,L3150)))</f>
        <v>142.17</v>
      </c>
      <c r="C3150" s="3">
        <f>MEDIAN(I3150:L3150)</f>
        <v>142.17</v>
      </c>
      <c r="D3150" s="3">
        <f>ROUND(C3150*(1-Settings!$B$2),2)</f>
        <v>99.52</v>
      </c>
      <c r="E3150" s="3">
        <f>ROUND(C3150*(1-Settings!$B$3),2)</f>
        <v>99.52</v>
      </c>
      <c r="F3150" s="2" t="inlineStr">
        <is>
          <t>Pokemon</t>
        </is>
      </c>
      <c r="G3150" s="2" t="inlineStr">
        <is>
          <t>Pack</t>
        </is>
      </c>
      <c r="H3150" s="2" t="inlineStr">
        <is>
          <t>Pop Series 3</t>
        </is>
      </c>
      <c r="I3150" s="3" t="n">
        <v>142.17</v>
      </c>
      <c r="J3150" s="3" t="n"/>
      <c r="K3150" s="3" t="n"/>
      <c r="L3150" s="3" t="n"/>
      <c r="M3150" s="2" t="inlineStr">
        <is>
          <t>PriceCharting</t>
        </is>
      </c>
      <c r="N3150" s="4" t="inlineStr">
        <is>
          <t>https://www.pricecharting.com/game/pokemon-pop-series-3/booster-pack</t>
        </is>
      </c>
    </row>
    <row r="3151">
      <c r="A3151" s="2" t="inlineStr">
        <is>
          <t>POP Series 3 Pack</t>
        </is>
      </c>
      <c r="B3151" s="3">
        <f>IF(I3151&lt;&gt;"",I3151,IF(J3151&lt;&gt;"",J3151,IF(K3151&lt;&gt;"",K3151,L3151)))</f>
        <v>175.53</v>
      </c>
      <c r="C3151" s="3">
        <f>MEDIAN(I3151:L3151)</f>
        <v>175.53</v>
      </c>
      <c r="D3151" s="3">
        <f>ROUND(C3151*(1-Settings!$B$2),2)</f>
        <v>122.87</v>
      </c>
      <c r="E3151" s="3">
        <f>ROUND(C3151*(1-Settings!$B$3),2)</f>
        <v>122.87</v>
      </c>
      <c r="F3151" s="2" t="inlineStr">
        <is>
          <t>Pokemon</t>
        </is>
      </c>
      <c r="G3151" s="2" t="inlineStr">
        <is>
          <t>Pack</t>
        </is>
      </c>
      <c r="H3151" s="2" t="inlineStr">
        <is>
          <t>POP Series 3</t>
        </is>
      </c>
      <c r="I3151" s="3" t="n"/>
      <c r="J3151" s="3" t="n">
        <v>175.53</v>
      </c>
      <c r="K3151" s="3" t="n">
        <v>239.95</v>
      </c>
      <c r="L3151" s="3" t="n">
        <v>72.98999999999999</v>
      </c>
      <c r="M3151" s="2" t="inlineStr">
        <is>
          <t>TCGplayer</t>
        </is>
      </c>
      <c r="O3151" s="4" t="inlineStr">
        <is>
          <t>https://www.tcgplayer.com/product/190532</t>
        </is>
      </c>
    </row>
    <row r="3152">
      <c r="A3152" s="2" t="inlineStr">
        <is>
          <t>Pop Series 4 Booster Pack</t>
        </is>
      </c>
      <c r="B3152" s="3">
        <f>IF(I3152&lt;&gt;"",I3152,IF(J3152&lt;&gt;"",J3152,IF(K3152&lt;&gt;"",K3152,L3152)))</f>
        <v>170.5</v>
      </c>
      <c r="C3152" s="3">
        <f>MEDIAN(I3152:L3152)</f>
        <v>170.5</v>
      </c>
      <c r="D3152" s="3">
        <f>ROUND(C3152*(1-Settings!$B$2),2)</f>
        <v>119.35</v>
      </c>
      <c r="E3152" s="3">
        <f>ROUND(C3152*(1-Settings!$B$3),2)</f>
        <v>119.35</v>
      </c>
      <c r="F3152" s="2" t="inlineStr">
        <is>
          <t>Pokemon</t>
        </is>
      </c>
      <c r="G3152" s="2" t="inlineStr">
        <is>
          <t>Pack</t>
        </is>
      </c>
      <c r="H3152" s="2" t="inlineStr">
        <is>
          <t>Pop Series 4</t>
        </is>
      </c>
      <c r="I3152" s="3" t="n">
        <v>170.5</v>
      </c>
      <c r="J3152" s="3" t="n"/>
      <c r="K3152" s="3" t="n"/>
      <c r="L3152" s="3" t="n"/>
      <c r="M3152" s="2" t="inlineStr">
        <is>
          <t>PriceCharting</t>
        </is>
      </c>
      <c r="N3152" s="4" t="inlineStr">
        <is>
          <t>https://www.pricecharting.com/game/pokemon-pop-series-4/booster-pack</t>
        </is>
      </c>
    </row>
    <row r="3153">
      <c r="A3153" s="2" t="inlineStr">
        <is>
          <t>POP Series 4 Pack</t>
        </is>
      </c>
      <c r="B3153" s="3">
        <f>IF(I3153&lt;&gt;"",I3153,IF(J3153&lt;&gt;"",J3153,IF(K3153&lt;&gt;"",K3153,L3153)))</f>
        <v>173.87</v>
      </c>
      <c r="C3153" s="3">
        <f>MEDIAN(I3153:L3153)</f>
        <v>249.95</v>
      </c>
      <c r="D3153" s="3">
        <f>ROUND(C3153*(1-Settings!$B$2),2)</f>
        <v>174.97</v>
      </c>
      <c r="E3153" s="3">
        <f>ROUND(C3153*(1-Settings!$B$3),2)</f>
        <v>174.97</v>
      </c>
      <c r="F3153" s="2" t="inlineStr">
        <is>
          <t>Pokemon</t>
        </is>
      </c>
      <c r="G3153" s="2" t="inlineStr">
        <is>
          <t>Pack</t>
        </is>
      </c>
      <c r="H3153" s="2" t="inlineStr">
        <is>
          <t>POP Series 4</t>
        </is>
      </c>
      <c r="I3153" s="3" t="n"/>
      <c r="J3153" s="3" t="n">
        <v>173.87</v>
      </c>
      <c r="K3153" s="3" t="n">
        <v>249.95</v>
      </c>
      <c r="L3153" s="3" t="n">
        <v>249.95</v>
      </c>
      <c r="M3153" s="2" t="inlineStr">
        <is>
          <t>TCGplayer</t>
        </is>
      </c>
      <c r="O3153" s="4" t="inlineStr">
        <is>
          <t>https://www.tcgplayer.com/product/190533</t>
        </is>
      </c>
    </row>
    <row r="3154">
      <c r="A3154" s="2" t="inlineStr">
        <is>
          <t>Pop Series 5 Booster Pack</t>
        </is>
      </c>
      <c r="B3154" s="3">
        <f>IF(I3154&lt;&gt;"",I3154,IF(J3154&lt;&gt;"",J3154,IF(K3154&lt;&gt;"",K3154,L3154)))</f>
        <v>2581.06</v>
      </c>
      <c r="C3154" s="3">
        <f>MEDIAN(I3154:L3154)</f>
        <v>2581.06</v>
      </c>
      <c r="D3154" s="3">
        <f>ROUND(C3154*(1-Settings!$B$2),2)</f>
        <v>1806.74</v>
      </c>
      <c r="E3154" s="3">
        <f>ROUND(C3154*(1-Settings!$B$3),2)</f>
        <v>1806.74</v>
      </c>
      <c r="F3154" s="2" t="inlineStr">
        <is>
          <t>Pokemon</t>
        </is>
      </c>
      <c r="G3154" s="2" t="inlineStr">
        <is>
          <t>Pack</t>
        </is>
      </c>
      <c r="H3154" s="2" t="inlineStr">
        <is>
          <t>Pop Series 5</t>
        </is>
      </c>
      <c r="I3154" s="3" t="n">
        <v>2581.06</v>
      </c>
      <c r="J3154" s="3" t="n"/>
      <c r="K3154" s="3" t="n"/>
      <c r="L3154" s="3" t="n"/>
      <c r="M3154" s="2" t="inlineStr">
        <is>
          <t>PriceCharting</t>
        </is>
      </c>
      <c r="N3154" s="4" t="inlineStr">
        <is>
          <t>https://www.pricecharting.com/game/pokemon-pop-series-5/booster-pack</t>
        </is>
      </c>
    </row>
    <row r="3155">
      <c r="A3155" s="2" t="inlineStr">
        <is>
          <t>POP Series 5 Pack</t>
        </is>
      </c>
      <c r="B3155" s="3">
        <f>IF(I3155&lt;&gt;"",I3155,IF(J3155&lt;&gt;"",J3155,IF(K3155&lt;&gt;"",K3155,L3155)))</f>
        <v>2290.0</v>
      </c>
      <c r="C3155" s="3">
        <f>MEDIAN(I3155:L3155)</f>
        <v>2290.0</v>
      </c>
      <c r="D3155" s="3">
        <f>ROUND(C3155*(1-Settings!$B$2),2)</f>
        <v>1603.0</v>
      </c>
      <c r="E3155" s="3">
        <f>ROUND(C3155*(1-Settings!$B$3),2)</f>
        <v>1603.0</v>
      </c>
      <c r="F3155" s="2" t="inlineStr">
        <is>
          <t>Pokemon</t>
        </is>
      </c>
      <c r="G3155" s="2" t="inlineStr">
        <is>
          <t>Pack</t>
        </is>
      </c>
      <c r="H3155" s="2" t="inlineStr">
        <is>
          <t>POP Series 5</t>
        </is>
      </c>
      <c r="I3155" s="3" t="n"/>
      <c r="J3155" s="3" t="n">
        <v>2290</v>
      </c>
      <c r="K3155" s="3" t="n"/>
      <c r="L3155" s="3" t="n"/>
      <c r="M3155" s="2" t="inlineStr">
        <is>
          <t>TCGplayer</t>
        </is>
      </c>
      <c r="O3155" s="4" t="inlineStr">
        <is>
          <t>https://www.tcgplayer.com/product/190534</t>
        </is>
      </c>
    </row>
    <row r="3156">
      <c r="A3156" s="2" t="inlineStr">
        <is>
          <t>POP Series 6 Pack</t>
        </is>
      </c>
      <c r="B3156" s="3">
        <f>IF(I3156&lt;&gt;"",I3156,IF(J3156&lt;&gt;"",J3156,IF(K3156&lt;&gt;"",K3156,L3156)))</f>
        <v>50.0</v>
      </c>
      <c r="C3156" s="3">
        <f>MEDIAN(I3156:L3156)</f>
        <v>50.0</v>
      </c>
      <c r="D3156" s="3">
        <f>ROUND(C3156*(1-Settings!$B$2),2)</f>
        <v>35.0</v>
      </c>
      <c r="E3156" s="3">
        <f>ROUND(C3156*(1-Settings!$B$3),2)</f>
        <v>35.0</v>
      </c>
      <c r="F3156" s="2" t="inlineStr">
        <is>
          <t>Pokemon</t>
        </is>
      </c>
      <c r="G3156" s="2" t="inlineStr">
        <is>
          <t>Pack</t>
        </is>
      </c>
      <c r="H3156" s="2" t="inlineStr">
        <is>
          <t>POP Series 6</t>
        </is>
      </c>
      <c r="I3156" s="3" t="n"/>
      <c r="J3156" s="3" t="n">
        <v>50</v>
      </c>
      <c r="K3156" s="3" t="n"/>
      <c r="L3156" s="3" t="n"/>
      <c r="M3156" s="2" t="inlineStr">
        <is>
          <t>TCGplayer</t>
        </is>
      </c>
      <c r="O3156" s="4" t="inlineStr">
        <is>
          <t>https://www.tcgplayer.com/product/141229</t>
        </is>
      </c>
    </row>
    <row r="3157">
      <c r="A3157" s="2" t="inlineStr">
        <is>
          <t>POP Series 7 Pack</t>
        </is>
      </c>
      <c r="B3157" s="3">
        <f>IF(I3157&lt;&gt;"",I3157,IF(J3157&lt;&gt;"",J3157,IF(K3157&lt;&gt;"",K3157,L3157)))</f>
        <v>49.74</v>
      </c>
      <c r="C3157" s="3">
        <f>MEDIAN(I3157:L3157)</f>
        <v>49.98</v>
      </c>
      <c r="D3157" s="3">
        <f>ROUND(C3157*(1-Settings!$B$2),2)</f>
        <v>34.99</v>
      </c>
      <c r="E3157" s="3">
        <f>ROUND(C3157*(1-Settings!$B$3),2)</f>
        <v>34.99</v>
      </c>
      <c r="F3157" s="2" t="inlineStr">
        <is>
          <t>Pokemon</t>
        </is>
      </c>
      <c r="G3157" s="2" t="inlineStr">
        <is>
          <t>Pack</t>
        </is>
      </c>
      <c r="H3157" s="2" t="inlineStr">
        <is>
          <t>POP Series 7</t>
        </is>
      </c>
      <c r="I3157" s="3" t="n"/>
      <c r="J3157" s="3" t="n">
        <v>49.74</v>
      </c>
      <c r="K3157" s="3" t="n">
        <v>49.98</v>
      </c>
      <c r="L3157" s="3" t="n">
        <v>49.98</v>
      </c>
      <c r="M3157" s="2" t="inlineStr">
        <is>
          <t>TCGplayer</t>
        </is>
      </c>
      <c r="O3157" s="4" t="inlineStr">
        <is>
          <t>https://www.tcgplayer.com/product/190535</t>
        </is>
      </c>
    </row>
    <row r="3158">
      <c r="A3158" s="2" t="inlineStr">
        <is>
          <t>POP Series 8 Pack</t>
        </is>
      </c>
      <c r="B3158" s="3">
        <f>IF(I3158&lt;&gt;"",I3158,IF(J3158&lt;&gt;"",J3158,IF(K3158&lt;&gt;"",K3158,L3158)))</f>
        <v>28.84</v>
      </c>
      <c r="C3158" s="3">
        <f>MEDIAN(I3158:L3158)</f>
        <v>28.84</v>
      </c>
      <c r="D3158" s="3">
        <f>ROUND(C3158*(1-Settings!$B$2),2)</f>
        <v>20.19</v>
      </c>
      <c r="E3158" s="3">
        <f>ROUND(C3158*(1-Settings!$B$3),2)</f>
        <v>20.19</v>
      </c>
      <c r="F3158" s="2" t="inlineStr">
        <is>
          <t>Pokemon</t>
        </is>
      </c>
      <c r="G3158" s="2" t="inlineStr">
        <is>
          <t>Pack</t>
        </is>
      </c>
      <c r="H3158" s="2" t="inlineStr">
        <is>
          <t>POP Series 8</t>
        </is>
      </c>
      <c r="I3158" s="3" t="n"/>
      <c r="J3158" s="3" t="n">
        <v>28.84</v>
      </c>
      <c r="K3158" s="3" t="n">
        <v>37.49</v>
      </c>
      <c r="L3158" s="3" t="n">
        <v>24.99</v>
      </c>
      <c r="M3158" s="2" t="inlineStr">
        <is>
          <t>TCGplayer</t>
        </is>
      </c>
      <c r="O3158" s="4" t="inlineStr">
        <is>
          <t>https://www.tcgplayer.com/product/190536</t>
        </is>
      </c>
    </row>
    <row r="3159">
      <c r="A3159" s="2" t="inlineStr">
        <is>
          <t>POP Series 9 Pack</t>
        </is>
      </c>
      <c r="B3159" s="3">
        <f>IF(I3159&lt;&gt;"",I3159,IF(J3159&lt;&gt;"",J3159,IF(K3159&lt;&gt;"",K3159,L3159)))</f>
        <v>38.89</v>
      </c>
      <c r="C3159" s="3">
        <f>MEDIAN(I3159:L3159)</f>
        <v>38.89</v>
      </c>
      <c r="D3159" s="3">
        <f>ROUND(C3159*(1-Settings!$B$2),2)</f>
        <v>27.22</v>
      </c>
      <c r="E3159" s="3">
        <f>ROUND(C3159*(1-Settings!$B$3),2)</f>
        <v>27.22</v>
      </c>
      <c r="F3159" s="2" t="inlineStr">
        <is>
          <t>Pokemon</t>
        </is>
      </c>
      <c r="G3159" s="2" t="inlineStr">
        <is>
          <t>Pack</t>
        </is>
      </c>
      <c r="H3159" s="2" t="inlineStr">
        <is>
          <t>POP Series 9</t>
        </is>
      </c>
      <c r="I3159" s="3" t="n"/>
      <c r="J3159" s="3" t="n">
        <v>38.89</v>
      </c>
      <c r="K3159" s="3" t="n"/>
      <c r="L3159" s="3" t="n"/>
      <c r="M3159" s="2" t="inlineStr">
        <is>
          <t>TCGplayer</t>
        </is>
      </c>
      <c r="O3159" s="4" t="inlineStr">
        <is>
          <t>https://www.tcgplayer.com/product/190537</t>
        </is>
      </c>
    </row>
    <row r="3160">
      <c r="A3160" s="2" t="inlineStr">
        <is>
          <t>Power Keepers Blister Pack</t>
        </is>
      </c>
      <c r="B3160" s="3">
        <f>IF(I3160&lt;&gt;"",I3160,IF(J3160&lt;&gt;"",J3160,IF(K3160&lt;&gt;"",K3160,L3160)))</f>
        <v>2328.31</v>
      </c>
      <c r="C3160" s="3">
        <f>MEDIAN(I3160:L3160)</f>
        <v>2328.31</v>
      </c>
      <c r="D3160" s="3">
        <f>ROUND(C3160*(1-Settings!$B$2),2)</f>
        <v>1629.82</v>
      </c>
      <c r="E3160" s="3">
        <f>ROUND(C3160*(1-Settings!$B$3),2)</f>
        <v>1629.82</v>
      </c>
      <c r="F3160" s="2" t="inlineStr">
        <is>
          <t>Pokemon</t>
        </is>
      </c>
      <c r="G3160" s="2" t="inlineStr">
        <is>
          <t>Pack</t>
        </is>
      </c>
      <c r="H3160" s="2" t="inlineStr">
        <is>
          <t>Power Keepers</t>
        </is>
      </c>
      <c r="I3160" s="3" t="n">
        <v>2328.31</v>
      </c>
      <c r="J3160" s="3" t="n"/>
      <c r="K3160" s="3" t="n"/>
      <c r="L3160" s="3" t="n"/>
      <c r="M3160" s="2" t="inlineStr">
        <is>
          <t>PriceCharting</t>
        </is>
      </c>
      <c r="N3160" s="4" t="inlineStr">
        <is>
          <t>https://www.pricecharting.com/game/pokemon-power-keepers/blister-pack</t>
        </is>
      </c>
    </row>
    <row r="3161">
      <c r="A3161" s="2" t="inlineStr">
        <is>
          <t>Primal Clash Blister Pack</t>
        </is>
      </c>
      <c r="B3161" s="3">
        <f>IF(I3161&lt;&gt;"",I3161,IF(J3161&lt;&gt;"",J3161,IF(K3161&lt;&gt;"",K3161,L3161)))</f>
        <v>248.13</v>
      </c>
      <c r="C3161" s="3">
        <f>MEDIAN(I3161:L3161)</f>
        <v>248.13</v>
      </c>
      <c r="D3161" s="3">
        <f>ROUND(C3161*(1-Settings!$B$2),2)</f>
        <v>173.69</v>
      </c>
      <c r="E3161" s="3">
        <f>ROUND(C3161*(1-Settings!$B$3),2)</f>
        <v>173.69</v>
      </c>
      <c r="F3161" s="2" t="inlineStr">
        <is>
          <t>Pokemon</t>
        </is>
      </c>
      <c r="G3161" s="2" t="inlineStr">
        <is>
          <t>Pack</t>
        </is>
      </c>
      <c r="H3161" s="2" t="inlineStr">
        <is>
          <t>Primal Clash</t>
        </is>
      </c>
      <c r="I3161" s="3" t="n">
        <v>248.13</v>
      </c>
      <c r="J3161" s="3" t="n"/>
      <c r="K3161" s="3" t="n"/>
      <c r="L3161" s="3" t="n"/>
      <c r="M3161" s="2" t="inlineStr">
        <is>
          <t>PriceCharting</t>
        </is>
      </c>
      <c r="N3161" s="4" t="inlineStr">
        <is>
          <t>https://www.pricecharting.com/game/pokemon-primal-clash/blister-pack</t>
        </is>
      </c>
    </row>
    <row r="3162">
      <c r="A3162" s="2" t="inlineStr">
        <is>
          <t>Primal Clash Booster Pack</t>
        </is>
      </c>
      <c r="B3162" s="3">
        <f>IF(I3162&lt;&gt;"",I3162,IF(J3162&lt;&gt;"",J3162,IF(K3162&lt;&gt;"",K3162,L3162)))</f>
        <v>63.17</v>
      </c>
      <c r="C3162" s="3">
        <f>MEDIAN(I3162:L3162)</f>
        <v>63.17</v>
      </c>
      <c r="D3162" s="3">
        <f>ROUND(C3162*(1-Settings!$B$2),2)</f>
        <v>44.22</v>
      </c>
      <c r="E3162" s="3">
        <f>ROUND(C3162*(1-Settings!$B$3),2)</f>
        <v>44.22</v>
      </c>
      <c r="F3162" s="2" t="inlineStr">
        <is>
          <t>Pokemon</t>
        </is>
      </c>
      <c r="G3162" s="2" t="inlineStr">
        <is>
          <t>Pack</t>
        </is>
      </c>
      <c r="H3162" s="2" t="inlineStr">
        <is>
          <t>Primal Clash</t>
        </is>
      </c>
      <c r="I3162" s="3" t="n">
        <v>63.17</v>
      </c>
      <c r="J3162" s="3" t="n"/>
      <c r="K3162" s="3" t="n"/>
      <c r="L3162" s="3" t="n"/>
      <c r="M3162" s="2" t="inlineStr">
        <is>
          <t>PriceCharting</t>
        </is>
      </c>
      <c r="N3162" s="4" t="inlineStr">
        <is>
          <t>https://www.pricecharting.com/game/pokemon-primal-clash/booster-pack</t>
        </is>
      </c>
    </row>
    <row r="3163">
      <c r="A3163" s="2" t="inlineStr">
        <is>
          <t>Primal Clash Sleeved Booster Pack</t>
        </is>
      </c>
      <c r="B3163" s="3">
        <f>IF(I3163&lt;&gt;"",I3163,IF(J3163&lt;&gt;"",J3163,IF(K3163&lt;&gt;"",K3163,L3163)))</f>
        <v>92.71</v>
      </c>
      <c r="C3163" s="3">
        <f>MEDIAN(I3163:L3163)</f>
        <v>92.71</v>
      </c>
      <c r="D3163" s="3">
        <f>ROUND(C3163*(1-Settings!$B$2),2)</f>
        <v>64.9</v>
      </c>
      <c r="E3163" s="3">
        <f>ROUND(C3163*(1-Settings!$B$3),2)</f>
        <v>64.9</v>
      </c>
      <c r="F3163" s="2" t="inlineStr">
        <is>
          <t>Pokemon</t>
        </is>
      </c>
      <c r="G3163" s="2" t="inlineStr">
        <is>
          <t>Pack</t>
        </is>
      </c>
      <c r="H3163" s="2" t="inlineStr">
        <is>
          <t>Primal Clash</t>
        </is>
      </c>
      <c r="I3163" s="3" t="n">
        <v>92.70999999999999</v>
      </c>
      <c r="J3163" s="3" t="n"/>
      <c r="K3163" s="3" t="n"/>
      <c r="L3163" s="3" t="n"/>
      <c r="M3163" s="2" t="inlineStr">
        <is>
          <t>PriceCharting</t>
        </is>
      </c>
      <c r="N3163" s="4" t="inlineStr">
        <is>
          <t>https://www.pricecharting.com/game/pokemon-primal-clash/sleeved-booster-pack</t>
        </is>
      </c>
    </row>
    <row r="3164">
      <c r="A3164" s="2" t="inlineStr">
        <is>
          <t>Prismatic Evolutions 2 Pack Blister</t>
        </is>
      </c>
      <c r="B3164" s="3">
        <f>IF(I3164&lt;&gt;"",I3164,IF(J3164&lt;&gt;"",J3164,IF(K3164&lt;&gt;"",K3164,L3164)))</f>
        <v>36.64</v>
      </c>
      <c r="C3164" s="3">
        <f>MEDIAN(I3164:L3164)</f>
        <v>36.64</v>
      </c>
      <c r="D3164" s="3">
        <f>ROUND(C3164*(1-Settings!$B$2),2)</f>
        <v>25.65</v>
      </c>
      <c r="E3164" s="3">
        <f>ROUND(C3164*(1-Settings!$B$3),2)</f>
        <v>25.65</v>
      </c>
      <c r="F3164" s="2" t="inlineStr">
        <is>
          <t>Pokemon</t>
        </is>
      </c>
      <c r="G3164" s="2" t="inlineStr">
        <is>
          <t>Pack</t>
        </is>
      </c>
      <c r="H3164" s="2" t="inlineStr">
        <is>
          <t>Prismatic Evolutions</t>
        </is>
      </c>
      <c r="I3164" s="3" t="n">
        <v>36.64</v>
      </c>
      <c r="J3164" s="3" t="n"/>
      <c r="K3164" s="3" t="n"/>
      <c r="L3164" s="3" t="n"/>
      <c r="M3164" s="2" t="inlineStr">
        <is>
          <t>PriceCharting</t>
        </is>
      </c>
      <c r="N3164" s="4" t="inlineStr">
        <is>
          <t>https://www.pricecharting.com/game/pokemon-prismatic-evolutions/2-pack-blister</t>
        </is>
      </c>
    </row>
    <row r="3165">
      <c r="A3165" s="2" t="inlineStr">
        <is>
          <t>Play! Pokemon Prize Pack Series Eight</t>
        </is>
      </c>
      <c r="B3165" s="3">
        <f>IF(I3165&lt;&gt;"",I3165,IF(J3165&lt;&gt;"",J3165,IF(K3165&lt;&gt;"",K3165,L3165)))</f>
        <v>7.01</v>
      </c>
      <c r="C3165" s="3">
        <f>MEDIAN(I3165:L3165)</f>
        <v>7.01</v>
      </c>
      <c r="D3165" s="3">
        <f>ROUND(C3165*(1-Settings!$B$2),2)</f>
        <v>4.91</v>
      </c>
      <c r="E3165" s="3">
        <f>ROUND(C3165*(1-Settings!$B$3),2)</f>
        <v>4.91</v>
      </c>
      <c r="F3165" s="2" t="inlineStr">
        <is>
          <t>Pokemon</t>
        </is>
      </c>
      <c r="G3165" s="2" t="inlineStr">
        <is>
          <t>Pack</t>
        </is>
      </c>
      <c r="H3165" s="2" t="inlineStr">
        <is>
          <t>Prize Pack Series Cards</t>
        </is>
      </c>
      <c r="I3165" s="3" t="n"/>
      <c r="J3165" s="3" t="n">
        <v>7.01</v>
      </c>
      <c r="K3165" s="3" t="n">
        <v>7.95</v>
      </c>
      <c r="L3165" s="3" t="n">
        <v>6.5</v>
      </c>
      <c r="M3165" s="2" t="inlineStr">
        <is>
          <t>TCGplayer</t>
        </is>
      </c>
      <c r="O3165" s="4" t="inlineStr">
        <is>
          <t>https://www.tcgplayer.com/product/670914</t>
        </is>
      </c>
    </row>
    <row r="3166">
      <c r="A3166" s="2" t="inlineStr">
        <is>
          <t>Play! Pokemon Prize Pack Series Five</t>
        </is>
      </c>
      <c r="B3166" s="3">
        <f>IF(I3166&lt;&gt;"",I3166,IF(J3166&lt;&gt;"",J3166,IF(K3166&lt;&gt;"",K3166,L3166)))</f>
        <v>9.96</v>
      </c>
      <c r="C3166" s="3">
        <f>MEDIAN(I3166:L3166)</f>
        <v>9.96</v>
      </c>
      <c r="D3166" s="3">
        <f>ROUND(C3166*(1-Settings!$B$2),2)</f>
        <v>6.97</v>
      </c>
      <c r="E3166" s="3">
        <f>ROUND(C3166*(1-Settings!$B$3),2)</f>
        <v>6.97</v>
      </c>
      <c r="F3166" s="2" t="inlineStr">
        <is>
          <t>Pokemon</t>
        </is>
      </c>
      <c r="G3166" s="2" t="inlineStr">
        <is>
          <t>Pack</t>
        </is>
      </c>
      <c r="H3166" s="2" t="inlineStr">
        <is>
          <t>Prize Pack Series Cards</t>
        </is>
      </c>
      <c r="I3166" s="3" t="n"/>
      <c r="J3166" s="3" t="n">
        <v>9.960000000000001</v>
      </c>
      <c r="K3166" s="3" t="n">
        <v>10.55</v>
      </c>
      <c r="L3166" s="3" t="n">
        <v>8.75</v>
      </c>
      <c r="M3166" s="2" t="inlineStr">
        <is>
          <t>TCGplayer</t>
        </is>
      </c>
      <c r="O3166" s="4" t="inlineStr">
        <is>
          <t>https://www.tcgplayer.com/product/577596</t>
        </is>
      </c>
    </row>
    <row r="3167">
      <c r="A3167" s="2" t="inlineStr">
        <is>
          <t>Play! Pokemon Prize Pack Series Four</t>
        </is>
      </c>
      <c r="B3167" s="3">
        <f>IF(I3167&lt;&gt;"",I3167,IF(J3167&lt;&gt;"",J3167,IF(K3167&lt;&gt;"",K3167,L3167)))</f>
        <v>9.44</v>
      </c>
      <c r="C3167" s="3">
        <f>MEDIAN(I3167:L3167)</f>
        <v>9.61</v>
      </c>
      <c r="D3167" s="3">
        <f>ROUND(C3167*(1-Settings!$B$2),2)</f>
        <v>6.73</v>
      </c>
      <c r="E3167" s="3">
        <f>ROUND(C3167*(1-Settings!$B$3),2)</f>
        <v>6.73</v>
      </c>
      <c r="F3167" s="2" t="inlineStr">
        <is>
          <t>Pokemon</t>
        </is>
      </c>
      <c r="G3167" s="2" t="inlineStr">
        <is>
          <t>Pack</t>
        </is>
      </c>
      <c r="H3167" s="2" t="inlineStr">
        <is>
          <t>Prize Pack Series Cards</t>
        </is>
      </c>
      <c r="I3167" s="3" t="n"/>
      <c r="J3167" s="3" t="n">
        <v>9.44</v>
      </c>
      <c r="K3167" s="3" t="n">
        <v>10.94</v>
      </c>
      <c r="L3167" s="3" t="n">
        <v>9.609999999999999</v>
      </c>
      <c r="M3167" s="2" t="inlineStr">
        <is>
          <t>TCGplayer</t>
        </is>
      </c>
      <c r="O3167" s="4" t="inlineStr">
        <is>
          <t>https://www.tcgplayer.com/product/551628</t>
        </is>
      </c>
    </row>
    <row r="3168">
      <c r="A3168" s="2" t="inlineStr">
        <is>
          <t>Play! Pokemon Prize Pack Series Nine</t>
        </is>
      </c>
      <c r="B3168" s="3">
        <f>IF(I3168&lt;&gt;"",I3168,IF(J3168&lt;&gt;"",J3168,IF(K3168&lt;&gt;"",K3168,L3168)))</f>
        <v>10.96</v>
      </c>
      <c r="C3168" s="3">
        <f>MEDIAN(I3168:L3168)</f>
        <v>10.96</v>
      </c>
      <c r="D3168" s="3">
        <f>ROUND(C3168*(1-Settings!$B$2),2)</f>
        <v>7.67</v>
      </c>
      <c r="E3168" s="3">
        <f>ROUND(C3168*(1-Settings!$B$3),2)</f>
        <v>7.67</v>
      </c>
      <c r="F3168" s="2" t="inlineStr">
        <is>
          <t>Pokemon</t>
        </is>
      </c>
      <c r="G3168" s="2" t="inlineStr">
        <is>
          <t>Pack</t>
        </is>
      </c>
      <c r="H3168" s="2" t="inlineStr">
        <is>
          <t>Prize Pack Series Cards</t>
        </is>
      </c>
      <c r="I3168" s="3" t="n"/>
      <c r="J3168" s="3" t="n">
        <v>10.96</v>
      </c>
      <c r="K3168" s="3" t="n">
        <v>11.18</v>
      </c>
      <c r="L3168" s="3" t="n">
        <v>7.7</v>
      </c>
      <c r="M3168" s="2" t="inlineStr">
        <is>
          <t>TCGplayer</t>
        </is>
      </c>
      <c r="O3168" s="4" t="inlineStr">
        <is>
          <t>https://www.tcgplayer.com/product/704373</t>
        </is>
      </c>
    </row>
    <row r="3169">
      <c r="A3169" s="2" t="inlineStr">
        <is>
          <t>Play! Pokemon Prize Pack Series One</t>
        </is>
      </c>
      <c r="B3169" s="3">
        <f>IF(I3169&lt;&gt;"",I3169,IF(J3169&lt;&gt;"",J3169,IF(K3169&lt;&gt;"",K3169,L3169)))</f>
        <v>73.55</v>
      </c>
      <c r="C3169" s="3">
        <f>MEDIAN(I3169:L3169)</f>
        <v>73.55</v>
      </c>
      <c r="D3169" s="3">
        <f>ROUND(C3169*(1-Settings!$B$2),2)</f>
        <v>51.49</v>
      </c>
      <c r="E3169" s="3">
        <f>ROUND(C3169*(1-Settings!$B$3),2)</f>
        <v>51.49</v>
      </c>
      <c r="F3169" s="2" t="inlineStr">
        <is>
          <t>Pokemon</t>
        </is>
      </c>
      <c r="G3169" s="2" t="inlineStr">
        <is>
          <t>Pack</t>
        </is>
      </c>
      <c r="H3169" s="2" t="inlineStr">
        <is>
          <t>Prize Pack Series Cards</t>
        </is>
      </c>
      <c r="I3169" s="3" t="n"/>
      <c r="J3169" s="3" t="n">
        <v>73.55</v>
      </c>
      <c r="K3169" s="3" t="n">
        <v>80</v>
      </c>
      <c r="L3169" s="3" t="n">
        <v>69.88</v>
      </c>
      <c r="M3169" s="2" t="inlineStr">
        <is>
          <t>TCGplayer</t>
        </is>
      </c>
      <c r="O3169" s="4" t="inlineStr">
        <is>
          <t>https://www.tcgplayer.com/product/482138</t>
        </is>
      </c>
    </row>
    <row r="3170">
      <c r="A3170" s="2" t="inlineStr">
        <is>
          <t>Play! Pokemon Prize Pack Series Seven</t>
        </is>
      </c>
      <c r="B3170" s="3">
        <f>IF(I3170&lt;&gt;"",I3170,IF(J3170&lt;&gt;"",J3170,IF(K3170&lt;&gt;"",K3170,L3170)))</f>
        <v>8.61</v>
      </c>
      <c r="C3170" s="3">
        <f>MEDIAN(I3170:L3170)</f>
        <v>8.61</v>
      </c>
      <c r="D3170" s="3">
        <f>ROUND(C3170*(1-Settings!$B$2),2)</f>
        <v>6.03</v>
      </c>
      <c r="E3170" s="3">
        <f>ROUND(C3170*(1-Settings!$B$3),2)</f>
        <v>6.03</v>
      </c>
      <c r="F3170" s="2" t="inlineStr">
        <is>
          <t>Pokemon</t>
        </is>
      </c>
      <c r="G3170" s="2" t="inlineStr">
        <is>
          <t>Pack</t>
        </is>
      </c>
      <c r="H3170" s="2" t="inlineStr">
        <is>
          <t>Prize Pack Series Cards</t>
        </is>
      </c>
      <c r="I3170" s="3" t="n"/>
      <c r="J3170" s="3" t="n">
        <v>8.609999999999999</v>
      </c>
      <c r="K3170" s="3" t="n">
        <v>9</v>
      </c>
      <c r="L3170" s="3" t="n">
        <v>7</v>
      </c>
      <c r="M3170" s="2" t="inlineStr">
        <is>
          <t>TCGplayer</t>
        </is>
      </c>
      <c r="O3170" s="4" t="inlineStr">
        <is>
          <t>https://www.tcgplayer.com/product/649191</t>
        </is>
      </c>
    </row>
    <row r="3171">
      <c r="A3171" s="2" t="inlineStr">
        <is>
          <t>Play! Pokemon Prize Pack Series Six</t>
        </is>
      </c>
      <c r="B3171" s="3">
        <f>IF(I3171&lt;&gt;"",I3171,IF(J3171&lt;&gt;"",J3171,IF(K3171&lt;&gt;"",K3171,L3171)))</f>
        <v>8.67</v>
      </c>
      <c r="C3171" s="3">
        <f>MEDIAN(I3171:L3171)</f>
        <v>8.67</v>
      </c>
      <c r="D3171" s="3">
        <f>ROUND(C3171*(1-Settings!$B$2),2)</f>
        <v>6.07</v>
      </c>
      <c r="E3171" s="3">
        <f>ROUND(C3171*(1-Settings!$B$3),2)</f>
        <v>6.07</v>
      </c>
      <c r="F3171" s="2" t="inlineStr">
        <is>
          <t>Pokemon</t>
        </is>
      </c>
      <c r="G3171" s="2" t="inlineStr">
        <is>
          <t>Pack</t>
        </is>
      </c>
      <c r="H3171" s="2" t="inlineStr">
        <is>
          <t>Prize Pack Series Cards</t>
        </is>
      </c>
      <c r="I3171" s="3" t="n"/>
      <c r="J3171" s="3" t="n">
        <v>8.67</v>
      </c>
      <c r="K3171" s="3" t="n">
        <v>9</v>
      </c>
      <c r="L3171" s="3" t="n">
        <v>7.5</v>
      </c>
      <c r="M3171" s="2" t="inlineStr">
        <is>
          <t>TCGplayer</t>
        </is>
      </c>
      <c r="O3171" s="4" t="inlineStr">
        <is>
          <t>https://www.tcgplayer.com/product/639713</t>
        </is>
      </c>
    </row>
    <row r="3172">
      <c r="A3172" s="2" t="inlineStr">
        <is>
          <t>Play! Pokemon Prize Pack Series Three</t>
        </is>
      </c>
      <c r="B3172" s="3">
        <f>IF(I3172&lt;&gt;"",I3172,IF(J3172&lt;&gt;"",J3172,IF(K3172&lt;&gt;"",K3172,L3172)))</f>
        <v>27.84</v>
      </c>
      <c r="C3172" s="3">
        <f>MEDIAN(I3172:L3172)</f>
        <v>27.6</v>
      </c>
      <c r="D3172" s="3">
        <f>ROUND(C3172*(1-Settings!$B$2),2)</f>
        <v>19.32</v>
      </c>
      <c r="E3172" s="3">
        <f>ROUND(C3172*(1-Settings!$B$3),2)</f>
        <v>19.32</v>
      </c>
      <c r="F3172" s="2" t="inlineStr">
        <is>
          <t>Pokemon</t>
        </is>
      </c>
      <c r="G3172" s="2" t="inlineStr">
        <is>
          <t>Pack</t>
        </is>
      </c>
      <c r="H3172" s="2" t="inlineStr">
        <is>
          <t>Prize Pack Series Cards</t>
        </is>
      </c>
      <c r="I3172" s="3" t="n"/>
      <c r="J3172" s="3" t="n">
        <v>27.84</v>
      </c>
      <c r="K3172" s="3" t="n">
        <v>27.6</v>
      </c>
      <c r="L3172" s="3" t="n">
        <v>17</v>
      </c>
      <c r="M3172" s="2" t="inlineStr">
        <is>
          <t>TCGplayer</t>
        </is>
      </c>
      <c r="O3172" s="4" t="inlineStr">
        <is>
          <t>https://www.tcgplayer.com/product/517551</t>
        </is>
      </c>
    </row>
    <row r="3173">
      <c r="A3173" s="2" t="inlineStr">
        <is>
          <t>Play! Pokemon Prize Pack Series Two</t>
        </is>
      </c>
      <c r="B3173" s="3">
        <f>IF(I3173&lt;&gt;"",I3173,IF(J3173&lt;&gt;"",J3173,IF(K3173&lt;&gt;"",K3173,L3173)))</f>
        <v>59.15</v>
      </c>
      <c r="C3173" s="3">
        <f>MEDIAN(I3173:L3173)</f>
        <v>59.15</v>
      </c>
      <c r="D3173" s="3">
        <f>ROUND(C3173*(1-Settings!$B$2),2)</f>
        <v>41.41</v>
      </c>
      <c r="E3173" s="3">
        <f>ROUND(C3173*(1-Settings!$B$3),2)</f>
        <v>41.41</v>
      </c>
      <c r="F3173" s="2" t="inlineStr">
        <is>
          <t>Pokemon</t>
        </is>
      </c>
      <c r="G3173" s="2" t="inlineStr">
        <is>
          <t>Pack</t>
        </is>
      </c>
      <c r="H3173" s="2" t="inlineStr">
        <is>
          <t>Prize Pack Series Cards</t>
        </is>
      </c>
      <c r="I3173" s="3" t="n"/>
      <c r="J3173" s="3" t="n">
        <v>59.15</v>
      </c>
      <c r="K3173" s="3" t="n">
        <v>65</v>
      </c>
      <c r="L3173" s="3" t="n">
        <v>55</v>
      </c>
      <c r="M3173" s="2" t="inlineStr">
        <is>
          <t>TCGplayer</t>
        </is>
      </c>
      <c r="O3173" s="4" t="inlineStr">
        <is>
          <t>https://www.tcgplayer.com/product/488324</t>
        </is>
      </c>
    </row>
    <row r="3174">
      <c r="A3174" s="2" t="inlineStr">
        <is>
          <t>Promo 2 Pack Blister [Tornadus, Thundurus &amp; Landorus]</t>
        </is>
      </c>
      <c r="B3174" s="3">
        <f>IF(I3174&lt;&gt;"",I3174,IF(J3174&lt;&gt;"",J3174,IF(K3174&lt;&gt;"",K3174,L3174)))</f>
        <v>29.35</v>
      </c>
      <c r="C3174" s="3">
        <f>MEDIAN(I3174:L3174)</f>
        <v>29.35</v>
      </c>
      <c r="D3174" s="3">
        <f>ROUND(C3174*(1-Settings!$B$2),2)</f>
        <v>20.55</v>
      </c>
      <c r="E3174" s="3">
        <f>ROUND(C3174*(1-Settings!$B$3),2)</f>
        <v>20.55</v>
      </c>
      <c r="F3174" s="2" t="inlineStr">
        <is>
          <t>Pokemon</t>
        </is>
      </c>
      <c r="G3174" s="2" t="inlineStr">
        <is>
          <t>Pack</t>
        </is>
      </c>
      <c r="H3174" s="2" t="inlineStr">
        <is>
          <t>Promo</t>
        </is>
      </c>
      <c r="I3174" s="3" t="n">
        <v>29.35</v>
      </c>
      <c r="J3174" s="3" t="n"/>
      <c r="K3174" s="3" t="n"/>
      <c r="L3174" s="3" t="n"/>
      <c r="M3174" s="2" t="inlineStr">
        <is>
          <t>PriceCharting</t>
        </is>
      </c>
      <c r="N3174" s="4" t="inlineStr">
        <is>
          <t>https://www.pricecharting.com/game/pokemon-promo/2-pack-blister-tornadus-thundurus-&amp;-landorus</t>
        </is>
      </c>
    </row>
    <row r="3175">
      <c r="A3175" s="2" t="inlineStr">
        <is>
          <t>Promo Back To School Eraser Blister [Bellibolt]</t>
        </is>
      </c>
      <c r="B3175" s="3">
        <f>IF(I3175&lt;&gt;"",I3175,IF(J3175&lt;&gt;"",J3175,IF(K3175&lt;&gt;"",K3175,L3175)))</f>
        <v>24.38</v>
      </c>
      <c r="C3175" s="3">
        <f>MEDIAN(I3175:L3175)</f>
        <v>24.38</v>
      </c>
      <c r="D3175" s="3">
        <f>ROUND(C3175*(1-Settings!$B$2),2)</f>
        <v>17.07</v>
      </c>
      <c r="E3175" s="3">
        <f>ROUND(C3175*(1-Settings!$B$3),2)</f>
        <v>17.07</v>
      </c>
      <c r="F3175" s="2" t="inlineStr">
        <is>
          <t>Pokemon</t>
        </is>
      </c>
      <c r="G3175" s="2" t="inlineStr">
        <is>
          <t>Pack</t>
        </is>
      </c>
      <c r="H3175" s="2" t="inlineStr">
        <is>
          <t>Promo</t>
        </is>
      </c>
      <c r="I3175" s="3" t="n">
        <v>24.38</v>
      </c>
      <c r="J3175" s="3" t="n"/>
      <c r="K3175" s="3" t="n"/>
      <c r="L3175" s="3" t="n"/>
      <c r="M3175" s="2" t="inlineStr">
        <is>
          <t>PriceCharting</t>
        </is>
      </c>
      <c r="N3175" s="4" t="inlineStr">
        <is>
          <t>https://www.pricecharting.com/game/pokemon-promo/back-to-school-eraser-blister-bellibolt</t>
        </is>
      </c>
    </row>
    <row r="3176">
      <c r="A3176" s="2" t="inlineStr">
        <is>
          <t>Promo Back To School Eraser Blister [Gengar]</t>
        </is>
      </c>
      <c r="B3176" s="3">
        <f>IF(I3176&lt;&gt;"",I3176,IF(J3176&lt;&gt;"",J3176,IF(K3176&lt;&gt;"",K3176,L3176)))</f>
        <v>34.6</v>
      </c>
      <c r="C3176" s="3">
        <f>MEDIAN(I3176:L3176)</f>
        <v>34.6</v>
      </c>
      <c r="D3176" s="3">
        <f>ROUND(C3176*(1-Settings!$B$2),2)</f>
        <v>24.22</v>
      </c>
      <c r="E3176" s="3">
        <f>ROUND(C3176*(1-Settings!$B$3),2)</f>
        <v>24.22</v>
      </c>
      <c r="F3176" s="2" t="inlineStr">
        <is>
          <t>Pokemon</t>
        </is>
      </c>
      <c r="G3176" s="2" t="inlineStr">
        <is>
          <t>Pack</t>
        </is>
      </c>
      <c r="H3176" s="2" t="inlineStr">
        <is>
          <t>Promo</t>
        </is>
      </c>
      <c r="I3176" s="3" t="n">
        <v>34.6</v>
      </c>
      <c r="J3176" s="3" t="n"/>
      <c r="K3176" s="3" t="n"/>
      <c r="L3176" s="3" t="n"/>
      <c r="M3176" s="2" t="inlineStr">
        <is>
          <t>PriceCharting</t>
        </is>
      </c>
      <c r="N3176" s="4" t="inlineStr">
        <is>
          <t>https://www.pricecharting.com/game/pokemon-promo/back-to-school-eraser-blister-gengar</t>
        </is>
      </c>
    </row>
    <row r="3177">
      <c r="A3177" s="2" t="inlineStr">
        <is>
          <t>Promo Checklane 2-Mini Pack Blister [Dragonite]</t>
        </is>
      </c>
      <c r="B3177" s="3">
        <f>IF(I3177&lt;&gt;"",I3177,IF(J3177&lt;&gt;"",J3177,IF(K3177&lt;&gt;"",K3177,L3177)))</f>
        <v>50.0</v>
      </c>
      <c r="C3177" s="3">
        <f>MEDIAN(I3177:L3177)</f>
        <v>50.0</v>
      </c>
      <c r="D3177" s="3">
        <f>ROUND(C3177*(1-Settings!$B$2),2)</f>
        <v>35.0</v>
      </c>
      <c r="E3177" s="3">
        <f>ROUND(C3177*(1-Settings!$B$3),2)</f>
        <v>35.0</v>
      </c>
      <c r="F3177" s="2" t="inlineStr">
        <is>
          <t>Pokemon</t>
        </is>
      </c>
      <c r="G3177" s="2" t="inlineStr">
        <is>
          <t>Pack</t>
        </is>
      </c>
      <c r="H3177" s="2" t="inlineStr">
        <is>
          <t>Promo</t>
        </is>
      </c>
      <c r="I3177" s="3" t="n">
        <v>50</v>
      </c>
      <c r="J3177" s="3" t="n"/>
      <c r="K3177" s="3" t="n"/>
      <c r="L3177" s="3" t="n"/>
      <c r="M3177" s="2" t="inlineStr">
        <is>
          <t>PriceCharting</t>
        </is>
      </c>
      <c r="N3177" s="4" t="inlineStr">
        <is>
          <t>https://www.pricecharting.com/game/pokemon-promo/checklane-2-mini-pack-blister-dragonite</t>
        </is>
      </c>
    </row>
    <row r="3178">
      <c r="A3178" s="2" t="inlineStr">
        <is>
          <t>Promo Checklane 2-Mini Pack Blister [Machamp]</t>
        </is>
      </c>
      <c r="B3178" s="3">
        <f>IF(I3178&lt;&gt;"",I3178,IF(J3178&lt;&gt;"",J3178,IF(K3178&lt;&gt;"",K3178,L3178)))</f>
        <v>48.99</v>
      </c>
      <c r="C3178" s="3">
        <f>MEDIAN(I3178:L3178)</f>
        <v>48.99</v>
      </c>
      <c r="D3178" s="3">
        <f>ROUND(C3178*(1-Settings!$B$2),2)</f>
        <v>34.29</v>
      </c>
      <c r="E3178" s="3">
        <f>ROUND(C3178*(1-Settings!$B$3),2)</f>
        <v>34.29</v>
      </c>
      <c r="F3178" s="2" t="inlineStr">
        <is>
          <t>Pokemon</t>
        </is>
      </c>
      <c r="G3178" s="2" t="inlineStr">
        <is>
          <t>Pack</t>
        </is>
      </c>
      <c r="H3178" s="2" t="inlineStr">
        <is>
          <t>Promo</t>
        </is>
      </c>
      <c r="I3178" s="3" t="n">
        <v>48.99</v>
      </c>
      <c r="J3178" s="3" t="n"/>
      <c r="K3178" s="3" t="n"/>
      <c r="L3178" s="3" t="n"/>
      <c r="M3178" s="2" t="inlineStr">
        <is>
          <t>PriceCharting</t>
        </is>
      </c>
      <c r="N3178" s="4" t="inlineStr">
        <is>
          <t>https://www.pricecharting.com/game/pokemon-promo/checklane-2-mini-pack-blister-machamp</t>
        </is>
      </c>
    </row>
    <row r="3179">
      <c r="A3179" s="2" t="inlineStr">
        <is>
          <t>Promo Checklane Blister 2 Pack: Pawmot</t>
        </is>
      </c>
      <c r="B3179" s="3">
        <f>IF(I3179&lt;&gt;"",I3179,IF(J3179&lt;&gt;"",J3179,IF(K3179&lt;&gt;"",K3179,L3179)))</f>
        <v>14.85</v>
      </c>
      <c r="C3179" s="3">
        <f>MEDIAN(I3179:L3179)</f>
        <v>14.85</v>
      </c>
      <c r="D3179" s="3">
        <f>ROUND(C3179*(1-Settings!$B$2),2)</f>
        <v>10.4</v>
      </c>
      <c r="E3179" s="3">
        <f>ROUND(C3179*(1-Settings!$B$3),2)</f>
        <v>10.4</v>
      </c>
      <c r="F3179" s="2" t="inlineStr">
        <is>
          <t>Pokemon</t>
        </is>
      </c>
      <c r="G3179" s="2" t="inlineStr">
        <is>
          <t>Pack</t>
        </is>
      </c>
      <c r="H3179" s="2" t="inlineStr">
        <is>
          <t>Promo</t>
        </is>
      </c>
      <c r="I3179" s="3" t="n">
        <v>14.85</v>
      </c>
      <c r="J3179" s="3" t="n"/>
      <c r="K3179" s="3" t="n"/>
      <c r="L3179" s="3" t="n"/>
      <c r="M3179" s="2" t="inlineStr">
        <is>
          <t>PriceCharting</t>
        </is>
      </c>
      <c r="N3179" s="4" t="inlineStr">
        <is>
          <t>https://www.pricecharting.com/game/pokemon-promo/checklane-blister-2-pack-pawmot</t>
        </is>
      </c>
    </row>
    <row r="3180">
      <c r="A3180" s="2" t="inlineStr">
        <is>
          <t>Promo First Partner Illustration Pack: Series 1</t>
        </is>
      </c>
      <c r="B3180" s="3">
        <f>IF(I3180&lt;&gt;"",I3180,IF(J3180&lt;&gt;"",J3180,IF(K3180&lt;&gt;"",K3180,L3180)))</f>
        <v>49.0</v>
      </c>
      <c r="C3180" s="3">
        <f>MEDIAN(I3180:L3180)</f>
        <v>49.0</v>
      </c>
      <c r="D3180" s="3">
        <f>ROUND(C3180*(1-Settings!$B$2),2)</f>
        <v>34.3</v>
      </c>
      <c r="E3180" s="3">
        <f>ROUND(C3180*(1-Settings!$B$3),2)</f>
        <v>34.3</v>
      </c>
      <c r="F3180" s="2" t="inlineStr">
        <is>
          <t>Pokemon</t>
        </is>
      </c>
      <c r="G3180" s="2" t="inlineStr">
        <is>
          <t>Pack</t>
        </is>
      </c>
      <c r="H3180" s="2" t="inlineStr">
        <is>
          <t>Promo</t>
        </is>
      </c>
      <c r="I3180" s="3" t="n">
        <v>49</v>
      </c>
      <c r="J3180" s="3" t="n"/>
      <c r="K3180" s="3" t="n"/>
      <c r="L3180" s="3" t="n"/>
      <c r="M3180" s="2" t="inlineStr">
        <is>
          <t>PriceCharting</t>
        </is>
      </c>
      <c r="N3180" s="4" t="inlineStr">
        <is>
          <t>https://www.pricecharting.com/game/pokemon-promo/first-partner-illustration-pack-series-1</t>
        </is>
      </c>
    </row>
    <row r="3181">
      <c r="A3181" s="2" t="inlineStr">
        <is>
          <t>Promo Legendary Beasts Collector Pin 3 Pack Blister [Entei]</t>
        </is>
      </c>
      <c r="B3181" s="3">
        <f>IF(I3181&lt;&gt;"",I3181,IF(J3181&lt;&gt;"",J3181,IF(K3181&lt;&gt;"",K3181,L3181)))</f>
        <v>103.47</v>
      </c>
      <c r="C3181" s="3">
        <f>MEDIAN(I3181:L3181)</f>
        <v>103.47</v>
      </c>
      <c r="D3181" s="3">
        <f>ROUND(C3181*(1-Settings!$B$2),2)</f>
        <v>72.43</v>
      </c>
      <c r="E3181" s="3">
        <f>ROUND(C3181*(1-Settings!$B$3),2)</f>
        <v>72.43</v>
      </c>
      <c r="F3181" s="2" t="inlineStr">
        <is>
          <t>Pokemon</t>
        </is>
      </c>
      <c r="G3181" s="2" t="inlineStr">
        <is>
          <t>Pack</t>
        </is>
      </c>
      <c r="H3181" s="2" t="inlineStr">
        <is>
          <t>Promo</t>
        </is>
      </c>
      <c r="I3181" s="3" t="n">
        <v>103.47</v>
      </c>
      <c r="J3181" s="3" t="n"/>
      <c r="K3181" s="3" t="n"/>
      <c r="L3181" s="3" t="n"/>
      <c r="M3181" s="2" t="inlineStr">
        <is>
          <t>PriceCharting</t>
        </is>
      </c>
      <c r="N3181" s="4" t="inlineStr">
        <is>
          <t>https://www.pricecharting.com/game/pokemon-promo/legendary-beasts-collector-pin-3-pack-blister-entei</t>
        </is>
      </c>
    </row>
    <row r="3182">
      <c r="A3182" s="2" t="inlineStr">
        <is>
          <t>Promo Legendary Beasts Collector Pin 3 Pack Blister [Raikou]</t>
        </is>
      </c>
      <c r="B3182" s="3">
        <f>IF(I3182&lt;&gt;"",I3182,IF(J3182&lt;&gt;"",J3182,IF(K3182&lt;&gt;"",K3182,L3182)))</f>
        <v>139.0</v>
      </c>
      <c r="C3182" s="3">
        <f>MEDIAN(I3182:L3182)</f>
        <v>139.0</v>
      </c>
      <c r="D3182" s="3">
        <f>ROUND(C3182*(1-Settings!$B$2),2)</f>
        <v>97.3</v>
      </c>
      <c r="E3182" s="3">
        <f>ROUND(C3182*(1-Settings!$B$3),2)</f>
        <v>97.3</v>
      </c>
      <c r="F3182" s="2" t="inlineStr">
        <is>
          <t>Pokemon</t>
        </is>
      </c>
      <c r="G3182" s="2" t="inlineStr">
        <is>
          <t>Pack</t>
        </is>
      </c>
      <c r="H3182" s="2" t="inlineStr">
        <is>
          <t>Promo</t>
        </is>
      </c>
      <c r="I3182" s="3" t="n">
        <v>139</v>
      </c>
      <c r="J3182" s="3" t="n"/>
      <c r="K3182" s="3" t="n"/>
      <c r="L3182" s="3" t="n"/>
      <c r="M3182" s="2" t="inlineStr">
        <is>
          <t>PriceCharting</t>
        </is>
      </c>
      <c r="N3182" s="4" t="inlineStr">
        <is>
          <t>https://www.pricecharting.com/game/pokemon-promo/legendary-beasts-collector-pin-3-pack-blister-raikou</t>
        </is>
      </c>
    </row>
    <row r="3183">
      <c r="A3183" s="2" t="inlineStr">
        <is>
          <t>Promo Legendary Beasts Collector Pin 3 Pack Blister [Suicune]</t>
        </is>
      </c>
      <c r="B3183" s="3">
        <f>IF(I3183&lt;&gt;"",I3183,IF(J3183&lt;&gt;"",J3183,IF(K3183&lt;&gt;"",K3183,L3183)))</f>
        <v>140.41</v>
      </c>
      <c r="C3183" s="3">
        <f>MEDIAN(I3183:L3183)</f>
        <v>140.41</v>
      </c>
      <c r="D3183" s="3">
        <f>ROUND(C3183*(1-Settings!$B$2),2)</f>
        <v>98.29</v>
      </c>
      <c r="E3183" s="3">
        <f>ROUND(C3183*(1-Settings!$B$3),2)</f>
        <v>98.29</v>
      </c>
      <c r="F3183" s="2" t="inlineStr">
        <is>
          <t>Pokemon</t>
        </is>
      </c>
      <c r="G3183" s="2" t="inlineStr">
        <is>
          <t>Pack</t>
        </is>
      </c>
      <c r="H3183" s="2" t="inlineStr">
        <is>
          <t>Promo</t>
        </is>
      </c>
      <c r="I3183" s="3" t="n">
        <v>140.41</v>
      </c>
      <c r="J3183" s="3" t="n"/>
      <c r="K3183" s="3" t="n"/>
      <c r="L3183" s="3" t="n"/>
      <c r="M3183" s="2" t="inlineStr">
        <is>
          <t>PriceCharting</t>
        </is>
      </c>
      <c r="N3183" s="4" t="inlineStr">
        <is>
          <t>https://www.pricecharting.com/game/pokemon-promo/legendary-beasts-collector-pin-3-pack-blister-suicune</t>
        </is>
      </c>
    </row>
    <row r="3184">
      <c r="A3184" s="2" t="inlineStr">
        <is>
          <t>Promo Palafin, Garganacl &amp; Baxcalibur Blister Pack</t>
        </is>
      </c>
      <c r="B3184" s="3">
        <f>IF(I3184&lt;&gt;"",I3184,IF(J3184&lt;&gt;"",J3184,IF(K3184&lt;&gt;"",K3184,L3184)))</f>
        <v>10.54</v>
      </c>
      <c r="C3184" s="3">
        <f>MEDIAN(I3184:L3184)</f>
        <v>10.54</v>
      </c>
      <c r="D3184" s="3">
        <f>ROUND(C3184*(1-Settings!$B$2),2)</f>
        <v>7.38</v>
      </c>
      <c r="E3184" s="3">
        <f>ROUND(C3184*(1-Settings!$B$3),2)</f>
        <v>7.38</v>
      </c>
      <c r="F3184" s="2" t="inlineStr">
        <is>
          <t>Pokemon</t>
        </is>
      </c>
      <c r="G3184" s="2" t="inlineStr">
        <is>
          <t>Pack</t>
        </is>
      </c>
      <c r="H3184" s="2" t="inlineStr">
        <is>
          <t>Promo</t>
        </is>
      </c>
      <c r="I3184" s="3" t="n">
        <v>10.54</v>
      </c>
      <c r="J3184" s="3" t="n"/>
      <c r="K3184" s="3" t="n"/>
      <c r="L3184" s="3" t="n"/>
      <c r="M3184" s="2" t="inlineStr">
        <is>
          <t>PriceCharting</t>
        </is>
      </c>
      <c r="N3184" s="4" t="inlineStr">
        <is>
          <t>https://www.pricecharting.com/game/pokemon-promo/palafin-garganacl-&amp;-baxcalibur-blister-pack</t>
        </is>
      </c>
    </row>
    <row r="3185">
      <c r="A3185" s="2" t="inlineStr">
        <is>
          <t>Promo Play! Prize Pack Series 1</t>
        </is>
      </c>
      <c r="B3185" s="3">
        <f>IF(I3185&lt;&gt;"",I3185,IF(J3185&lt;&gt;"",J3185,IF(K3185&lt;&gt;"",K3185,L3185)))</f>
        <v>94.66</v>
      </c>
      <c r="C3185" s="3">
        <f>MEDIAN(I3185:L3185)</f>
        <v>94.66</v>
      </c>
      <c r="D3185" s="3">
        <f>ROUND(C3185*(1-Settings!$B$2),2)</f>
        <v>66.26</v>
      </c>
      <c r="E3185" s="3">
        <f>ROUND(C3185*(1-Settings!$B$3),2)</f>
        <v>66.26</v>
      </c>
      <c r="F3185" s="2" t="inlineStr">
        <is>
          <t>Pokemon</t>
        </is>
      </c>
      <c r="G3185" s="2" t="inlineStr">
        <is>
          <t>Pack</t>
        </is>
      </c>
      <c r="H3185" s="2" t="inlineStr">
        <is>
          <t>Promo</t>
        </is>
      </c>
      <c r="I3185" s="3" t="n">
        <v>94.66</v>
      </c>
      <c r="J3185" s="3" t="n"/>
      <c r="K3185" s="3" t="n"/>
      <c r="L3185" s="3" t="n"/>
      <c r="M3185" s="2" t="inlineStr">
        <is>
          <t>PriceCharting</t>
        </is>
      </c>
      <c r="N3185" s="4" t="inlineStr">
        <is>
          <t>https://www.pricecharting.com/game/pokemon-promo/play-prize-pack-series-1</t>
        </is>
      </c>
    </row>
    <row r="3186">
      <c r="A3186" s="2" t="inlineStr">
        <is>
          <t>Promo Play! Prize Pack Series 2</t>
        </is>
      </c>
      <c r="B3186" s="3">
        <f>IF(I3186&lt;&gt;"",I3186,IF(J3186&lt;&gt;"",J3186,IF(K3186&lt;&gt;"",K3186,L3186)))</f>
        <v>50.0</v>
      </c>
      <c r="C3186" s="3">
        <f>MEDIAN(I3186:L3186)</f>
        <v>50.0</v>
      </c>
      <c r="D3186" s="3">
        <f>ROUND(C3186*(1-Settings!$B$2),2)</f>
        <v>35.0</v>
      </c>
      <c r="E3186" s="3">
        <f>ROUND(C3186*(1-Settings!$B$3),2)</f>
        <v>35.0</v>
      </c>
      <c r="F3186" s="2" t="inlineStr">
        <is>
          <t>Pokemon</t>
        </is>
      </c>
      <c r="G3186" s="2" t="inlineStr">
        <is>
          <t>Pack</t>
        </is>
      </c>
      <c r="H3186" s="2" t="inlineStr">
        <is>
          <t>Promo</t>
        </is>
      </c>
      <c r="I3186" s="3" t="n">
        <v>50</v>
      </c>
      <c r="J3186" s="3" t="n"/>
      <c r="K3186" s="3" t="n"/>
      <c r="L3186" s="3" t="n"/>
      <c r="M3186" s="2" t="inlineStr">
        <is>
          <t>PriceCharting</t>
        </is>
      </c>
      <c r="N3186" s="4" t="inlineStr">
        <is>
          <t>https://www.pricecharting.com/game/pokemon-promo/play-prize-pack-series-2</t>
        </is>
      </c>
    </row>
    <row r="3187">
      <c r="A3187" s="2" t="inlineStr">
        <is>
          <t>Promo Play! Prize Pack Series 3</t>
        </is>
      </c>
      <c r="B3187" s="3">
        <f>IF(I3187&lt;&gt;"",I3187,IF(J3187&lt;&gt;"",J3187,IF(K3187&lt;&gt;"",K3187,L3187)))</f>
        <v>19.39</v>
      </c>
      <c r="C3187" s="3">
        <f>MEDIAN(I3187:L3187)</f>
        <v>19.39</v>
      </c>
      <c r="D3187" s="3">
        <f>ROUND(C3187*(1-Settings!$B$2),2)</f>
        <v>13.57</v>
      </c>
      <c r="E3187" s="3">
        <f>ROUND(C3187*(1-Settings!$B$3),2)</f>
        <v>13.57</v>
      </c>
      <c r="F3187" s="2" t="inlineStr">
        <is>
          <t>Pokemon</t>
        </is>
      </c>
      <c r="G3187" s="2" t="inlineStr">
        <is>
          <t>Pack</t>
        </is>
      </c>
      <c r="H3187" s="2" t="inlineStr">
        <is>
          <t>Promo</t>
        </is>
      </c>
      <c r="I3187" s="3" t="n">
        <v>19.39</v>
      </c>
      <c r="J3187" s="3" t="n"/>
      <c r="K3187" s="3" t="n"/>
      <c r="L3187" s="3" t="n"/>
      <c r="M3187" s="2" t="inlineStr">
        <is>
          <t>PriceCharting</t>
        </is>
      </c>
      <c r="N3187" s="4" t="inlineStr">
        <is>
          <t>https://www.pricecharting.com/game/pokemon-promo/play-prize-pack-series-3</t>
        </is>
      </c>
    </row>
    <row r="3188">
      <c r="A3188" s="2" t="inlineStr">
        <is>
          <t>Promo Play! Prize Pack Series 7</t>
        </is>
      </c>
      <c r="B3188" s="3">
        <f>IF(I3188&lt;&gt;"",I3188,IF(J3188&lt;&gt;"",J3188,IF(K3188&lt;&gt;"",K3188,L3188)))</f>
        <v>10.97</v>
      </c>
      <c r="C3188" s="3">
        <f>MEDIAN(I3188:L3188)</f>
        <v>10.97</v>
      </c>
      <c r="D3188" s="3">
        <f>ROUND(C3188*(1-Settings!$B$2),2)</f>
        <v>7.68</v>
      </c>
      <c r="E3188" s="3">
        <f>ROUND(C3188*(1-Settings!$B$3),2)</f>
        <v>7.68</v>
      </c>
      <c r="F3188" s="2" t="inlineStr">
        <is>
          <t>Pokemon</t>
        </is>
      </c>
      <c r="G3188" s="2" t="inlineStr">
        <is>
          <t>Pack</t>
        </is>
      </c>
      <c r="H3188" s="2" t="inlineStr">
        <is>
          <t>Promo</t>
        </is>
      </c>
      <c r="I3188" s="3" t="n">
        <v>10.97</v>
      </c>
      <c r="J3188" s="3" t="n"/>
      <c r="K3188" s="3" t="n"/>
      <c r="L3188" s="3" t="n"/>
      <c r="M3188" s="2" t="inlineStr">
        <is>
          <t>PriceCharting</t>
        </is>
      </c>
      <c r="N3188" s="4" t="inlineStr">
        <is>
          <t>https://www.pricecharting.com/game/pokemon-promo/play-prize-pack-series-7</t>
        </is>
      </c>
    </row>
    <row r="3189">
      <c r="A3189" s="2" t="inlineStr">
        <is>
          <t>Promo Play! Prize Pack Series 9</t>
        </is>
      </c>
      <c r="B3189" s="3">
        <f>IF(I3189&lt;&gt;"",I3189,IF(J3189&lt;&gt;"",J3189,IF(K3189&lt;&gt;"",K3189,L3189)))</f>
        <v>11.46</v>
      </c>
      <c r="C3189" s="3">
        <f>MEDIAN(I3189:L3189)</f>
        <v>11.46</v>
      </c>
      <c r="D3189" s="3">
        <f>ROUND(C3189*(1-Settings!$B$2),2)</f>
        <v>8.02</v>
      </c>
      <c r="E3189" s="3">
        <f>ROUND(C3189*(1-Settings!$B$3),2)</f>
        <v>8.02</v>
      </c>
      <c r="F3189" s="2" t="inlineStr">
        <is>
          <t>Pokemon</t>
        </is>
      </c>
      <c r="G3189" s="2" t="inlineStr">
        <is>
          <t>Pack</t>
        </is>
      </c>
      <c r="H3189" s="2" t="inlineStr">
        <is>
          <t>Promo</t>
        </is>
      </c>
      <c r="I3189" s="3" t="n">
        <v>11.46</v>
      </c>
      <c r="J3189" s="3" t="n"/>
      <c r="K3189" s="3" t="n"/>
      <c r="L3189" s="3" t="n"/>
      <c r="M3189" s="2" t="inlineStr">
        <is>
          <t>PriceCharting</t>
        </is>
      </c>
      <c r="N3189" s="4" t="inlineStr">
        <is>
          <t>https://www.pricecharting.com/game/pokemon-promo/play-prize-pack-series-9</t>
        </is>
      </c>
    </row>
    <row r="3190">
      <c r="A3190" s="2" t="inlineStr">
        <is>
          <t>Rising Rivals Blister Pack</t>
        </is>
      </c>
      <c r="B3190" s="3">
        <f>IF(I3190&lt;&gt;"",I3190,IF(J3190&lt;&gt;"",J3190,IF(K3190&lt;&gt;"",K3190,L3190)))</f>
        <v>647.3</v>
      </c>
      <c r="C3190" s="3">
        <f>MEDIAN(I3190:L3190)</f>
        <v>647.3</v>
      </c>
      <c r="D3190" s="3">
        <f>ROUND(C3190*(1-Settings!$B$2),2)</f>
        <v>453.11</v>
      </c>
      <c r="E3190" s="3">
        <f>ROUND(C3190*(1-Settings!$B$3),2)</f>
        <v>453.11</v>
      </c>
      <c r="F3190" s="2" t="inlineStr">
        <is>
          <t>Pokemon</t>
        </is>
      </c>
      <c r="G3190" s="2" t="inlineStr">
        <is>
          <t>Pack</t>
        </is>
      </c>
      <c r="H3190" s="2" t="inlineStr">
        <is>
          <t>Rising Rivals</t>
        </is>
      </c>
      <c r="I3190" s="3" t="n">
        <v>647.3</v>
      </c>
      <c r="J3190" s="3" t="n"/>
      <c r="K3190" s="3" t="n"/>
      <c r="L3190" s="3" t="n"/>
      <c r="M3190" s="2" t="inlineStr">
        <is>
          <t>PriceCharting</t>
        </is>
      </c>
      <c r="N3190" s="4" t="inlineStr">
        <is>
          <t>https://www.pricecharting.com/game/pokemon-rising-rivals/blister-pack</t>
        </is>
      </c>
    </row>
    <row r="3191">
      <c r="A3191" s="2" t="inlineStr">
        <is>
          <t>Rising Rivals Booster Pack</t>
        </is>
      </c>
      <c r="B3191" s="3">
        <f>IF(I3191&lt;&gt;"",I3191,IF(J3191&lt;&gt;"",J3191,IF(K3191&lt;&gt;"",K3191,L3191)))</f>
        <v>443.02</v>
      </c>
      <c r="C3191" s="3">
        <f>MEDIAN(I3191:L3191)</f>
        <v>721.505</v>
      </c>
      <c r="D3191" s="3">
        <f>ROUND(C3191*(1-Settings!$B$2),2)</f>
        <v>505.05</v>
      </c>
      <c r="E3191" s="3">
        <f>ROUND(C3191*(1-Settings!$B$3),2)</f>
        <v>505.05</v>
      </c>
      <c r="F3191" s="2" t="inlineStr">
        <is>
          <t>Pokemon</t>
        </is>
      </c>
      <c r="G3191" s="2" t="inlineStr">
        <is>
          <t>Pack</t>
        </is>
      </c>
      <c r="H3191" s="2" t="inlineStr">
        <is>
          <t>Rising Rivals</t>
        </is>
      </c>
      <c r="I3191" s="3" t="n">
        <v>443.02</v>
      </c>
      <c r="J3191" s="3" t="n">
        <v>400</v>
      </c>
      <c r="K3191" s="3" t="n">
        <v>1099.99</v>
      </c>
      <c r="L3191" s="3" t="n">
        <v>999.99</v>
      </c>
      <c r="M3191" s="2" t="inlineStr">
        <is>
          <t>PriceCharting + TCGplayer</t>
        </is>
      </c>
      <c r="N3191" s="4" t="inlineStr">
        <is>
          <t>https://www.pricecharting.com/game/pokemon-rising-rivals/booster-pack</t>
        </is>
      </c>
      <c r="O3191" s="4" t="inlineStr">
        <is>
          <t>https://www.tcgplayer.com/product/98542</t>
        </is>
      </c>
    </row>
    <row r="3192">
      <c r="A3192" s="2" t="inlineStr">
        <is>
          <t>Roaring Skies Blister Pack</t>
        </is>
      </c>
      <c r="B3192" s="3">
        <f>IF(I3192&lt;&gt;"",I3192,IF(J3192&lt;&gt;"",J3192,IF(K3192&lt;&gt;"",K3192,L3192)))</f>
        <v>129.0</v>
      </c>
      <c r="C3192" s="3">
        <f>MEDIAN(I3192:L3192)</f>
        <v>129.0</v>
      </c>
      <c r="D3192" s="3">
        <f>ROUND(C3192*(1-Settings!$B$2),2)</f>
        <v>90.3</v>
      </c>
      <c r="E3192" s="3">
        <f>ROUND(C3192*(1-Settings!$B$3),2)</f>
        <v>90.3</v>
      </c>
      <c r="F3192" s="2" t="inlineStr">
        <is>
          <t>Pokemon</t>
        </is>
      </c>
      <c r="G3192" s="2" t="inlineStr">
        <is>
          <t>Pack</t>
        </is>
      </c>
      <c r="H3192" s="2" t="inlineStr">
        <is>
          <t>Roaring Skies</t>
        </is>
      </c>
      <c r="I3192" s="3" t="n">
        <v>129</v>
      </c>
      <c r="J3192" s="3" t="n"/>
      <c r="K3192" s="3" t="n"/>
      <c r="L3192" s="3" t="n"/>
      <c r="M3192" s="2" t="inlineStr">
        <is>
          <t>PriceCharting</t>
        </is>
      </c>
      <c r="N3192" s="4" t="inlineStr">
        <is>
          <t>https://www.pricecharting.com/game/pokemon-roaring-skies/blister-pack</t>
        </is>
      </c>
    </row>
    <row r="3193">
      <c r="A3193" s="2" t="inlineStr">
        <is>
          <t>Dark Phantasma Booster Pack</t>
        </is>
      </c>
      <c r="B3193" s="3">
        <f>IF(I3193&lt;&gt;"",I3193,IF(J3193&lt;&gt;"",J3193,IF(K3193&lt;&gt;"",K3193,L3193)))</f>
        <v>13.61</v>
      </c>
      <c r="C3193" s="3">
        <f>MEDIAN(I3193:L3193)</f>
        <v>10.3</v>
      </c>
      <c r="D3193" s="3">
        <f>ROUND(C3193*(1-Settings!$B$2),2)</f>
        <v>7.21</v>
      </c>
      <c r="E3193" s="3">
        <f>ROUND(C3193*(1-Settings!$B$3),2)</f>
        <v>7.21</v>
      </c>
      <c r="F3193" s="2" t="inlineStr">
        <is>
          <t>Pokemon</t>
        </is>
      </c>
      <c r="G3193" s="2" t="inlineStr">
        <is>
          <t>Pack</t>
        </is>
      </c>
      <c r="H3193" s="2" t="inlineStr">
        <is>
          <t>S10a: Dark Phantasma</t>
        </is>
      </c>
      <c r="I3193" s="3" t="n"/>
      <c r="J3193" s="3" t="n">
        <v>13.61</v>
      </c>
      <c r="K3193" s="3" t="n"/>
      <c r="L3193" s="3" t="n">
        <v>6.99</v>
      </c>
      <c r="M3193" s="2" t="inlineStr">
        <is>
          <t>TCGplayer</t>
        </is>
      </c>
      <c r="O3193" s="4" t="inlineStr">
        <is>
          <t>https://www.tcgplayer.com/product/575041</t>
        </is>
      </c>
    </row>
    <row r="3194">
      <c r="A3194" s="2" t="inlineStr">
        <is>
          <t>Pokemon GO Booster Pack</t>
        </is>
      </c>
      <c r="B3194" s="3">
        <f>IF(I3194&lt;&gt;"",I3194,IF(J3194&lt;&gt;"",J3194,IF(K3194&lt;&gt;"",K3194,L3194)))</f>
        <v>9.3</v>
      </c>
      <c r="C3194" s="3">
        <f>MEDIAN(I3194:L3194)</f>
        <v>11.895</v>
      </c>
      <c r="D3194" s="3">
        <f>ROUND(C3194*(1-Settings!$B$2),2)</f>
        <v>8.33</v>
      </c>
      <c r="E3194" s="3">
        <f>ROUND(C3194*(1-Settings!$B$3),2)</f>
        <v>8.33</v>
      </c>
      <c r="F3194" s="2" t="inlineStr">
        <is>
          <t>Pokemon</t>
        </is>
      </c>
      <c r="G3194" s="2" t="inlineStr">
        <is>
          <t>Pack</t>
        </is>
      </c>
      <c r="H3194" s="2" t="inlineStr">
        <is>
          <t>S10b: Pokemon GO</t>
        </is>
      </c>
      <c r="I3194" s="3" t="n"/>
      <c r="J3194" s="3" t="n">
        <v>9.300000000000001</v>
      </c>
      <c r="K3194" s="3" t="n"/>
      <c r="L3194" s="3" t="n">
        <v>14.49</v>
      </c>
      <c r="M3194" s="2" t="inlineStr">
        <is>
          <t>TCGplayer</t>
        </is>
      </c>
      <c r="O3194" s="4" t="inlineStr">
        <is>
          <t>https://www.tcgplayer.com/product/575039</t>
        </is>
      </c>
    </row>
    <row r="3195">
      <c r="A3195" s="2" t="inlineStr">
        <is>
          <t>Time Gazer Booster Pack</t>
        </is>
      </c>
      <c r="B3195" s="3">
        <f>IF(I3195&lt;&gt;"",I3195,IF(J3195&lt;&gt;"",J3195,IF(K3195&lt;&gt;"",K3195,L3195)))</f>
        <v>6.84</v>
      </c>
      <c r="C3195" s="3">
        <f>MEDIAN(I3195:L3195)</f>
        <v>5.92</v>
      </c>
      <c r="D3195" s="3">
        <f>ROUND(C3195*(1-Settings!$B$2),2)</f>
        <v>4.14</v>
      </c>
      <c r="E3195" s="3">
        <f>ROUND(C3195*(1-Settings!$B$3),2)</f>
        <v>4.14</v>
      </c>
      <c r="F3195" s="2" t="inlineStr">
        <is>
          <t>Pokemon</t>
        </is>
      </c>
      <c r="G3195" s="2" t="inlineStr">
        <is>
          <t>Pack</t>
        </is>
      </c>
      <c r="H3195" s="2" t="inlineStr">
        <is>
          <t>S10D: Time Gazer</t>
        </is>
      </c>
      <c r="I3195" s="3" t="n"/>
      <c r="J3195" s="3" t="n">
        <v>6.84</v>
      </c>
      <c r="K3195" s="3" t="n"/>
      <c r="L3195" s="3" t="n">
        <v>5</v>
      </c>
      <c r="M3195" s="2" t="inlineStr">
        <is>
          <t>TCGplayer</t>
        </is>
      </c>
      <c r="O3195" s="4" t="inlineStr">
        <is>
          <t>https://www.tcgplayer.com/product/571833</t>
        </is>
      </c>
    </row>
    <row r="3196">
      <c r="A3196" s="2" t="inlineStr">
        <is>
          <t>Space Juggler Booster Pack</t>
        </is>
      </c>
      <c r="B3196" s="3">
        <f>IF(I3196&lt;&gt;"",I3196,IF(J3196&lt;&gt;"",J3196,IF(K3196&lt;&gt;"",K3196,L3196)))</f>
        <v>8.42</v>
      </c>
      <c r="C3196" s="3">
        <f>MEDIAN(I3196:L3196)</f>
        <v>6.46</v>
      </c>
      <c r="D3196" s="3">
        <f>ROUND(C3196*(1-Settings!$B$2),2)</f>
        <v>4.52</v>
      </c>
      <c r="E3196" s="3">
        <f>ROUND(C3196*(1-Settings!$B$3),2)</f>
        <v>4.52</v>
      </c>
      <c r="F3196" s="2" t="inlineStr">
        <is>
          <t>Pokemon</t>
        </is>
      </c>
      <c r="G3196" s="2" t="inlineStr">
        <is>
          <t>Pack</t>
        </is>
      </c>
      <c r="H3196" s="2" t="inlineStr">
        <is>
          <t>S10P: Space Juggler</t>
        </is>
      </c>
      <c r="I3196" s="3" t="n"/>
      <c r="J3196" s="3" t="n">
        <v>8.42</v>
      </c>
      <c r="K3196" s="3" t="n"/>
      <c r="L3196" s="3" t="n">
        <v>4.5</v>
      </c>
      <c r="M3196" s="2" t="inlineStr">
        <is>
          <t>TCGplayer</t>
        </is>
      </c>
      <c r="O3196" s="4" t="inlineStr">
        <is>
          <t>https://www.tcgplayer.com/product/575035</t>
        </is>
      </c>
    </row>
    <row r="3197">
      <c r="A3197" s="2" t="inlineStr">
        <is>
          <t>Lost Abyss Booster Pack</t>
        </is>
      </c>
      <c r="B3197" s="3">
        <f>IF(I3197&lt;&gt;"",I3197,IF(J3197&lt;&gt;"",J3197,IF(K3197&lt;&gt;"",K3197,L3197)))</f>
        <v>7.23</v>
      </c>
      <c r="C3197" s="3">
        <f>MEDIAN(I3197:L3197)</f>
        <v>5.365</v>
      </c>
      <c r="D3197" s="3">
        <f>ROUND(C3197*(1-Settings!$B$2),2)</f>
        <v>3.76</v>
      </c>
      <c r="E3197" s="3">
        <f>ROUND(C3197*(1-Settings!$B$3),2)</f>
        <v>3.76</v>
      </c>
      <c r="F3197" s="2" t="inlineStr">
        <is>
          <t>Pokemon</t>
        </is>
      </c>
      <c r="G3197" s="2" t="inlineStr">
        <is>
          <t>Pack</t>
        </is>
      </c>
      <c r="H3197" s="2" t="inlineStr">
        <is>
          <t>S11: Lost Abyss</t>
        </is>
      </c>
      <c r="I3197" s="3" t="n"/>
      <c r="J3197" s="3" t="n">
        <v>7.23</v>
      </c>
      <c r="K3197" s="3" t="n"/>
      <c r="L3197" s="3" t="n">
        <v>3.5</v>
      </c>
      <c r="M3197" s="2" t="inlineStr">
        <is>
          <t>TCGplayer</t>
        </is>
      </c>
      <c r="O3197" s="4" t="inlineStr">
        <is>
          <t>https://www.tcgplayer.com/product/574878</t>
        </is>
      </c>
    </row>
    <row r="3198">
      <c r="A3198" s="2" t="inlineStr">
        <is>
          <t>Incandescent Arcana Booster Pack</t>
        </is>
      </c>
      <c r="B3198" s="3">
        <f>IF(I3198&lt;&gt;"",I3198,IF(J3198&lt;&gt;"",J3198,IF(K3198&lt;&gt;"",K3198,L3198)))</f>
        <v>10.36</v>
      </c>
      <c r="C3198" s="3">
        <f>MEDIAN(I3198:L3198)</f>
        <v>8.05</v>
      </c>
      <c r="D3198" s="3">
        <f>ROUND(C3198*(1-Settings!$B$2),2)</f>
        <v>5.64</v>
      </c>
      <c r="E3198" s="3">
        <f>ROUND(C3198*(1-Settings!$B$3),2)</f>
        <v>5.64</v>
      </c>
      <c r="F3198" s="2" t="inlineStr">
        <is>
          <t>Pokemon</t>
        </is>
      </c>
      <c r="G3198" s="2" t="inlineStr">
        <is>
          <t>Pack</t>
        </is>
      </c>
      <c r="H3198" s="2" t="inlineStr">
        <is>
          <t>S11a: Incandescent Arcana</t>
        </is>
      </c>
      <c r="I3198" s="3" t="n"/>
      <c r="J3198" s="3" t="n">
        <v>10.36</v>
      </c>
      <c r="K3198" s="3" t="n"/>
      <c r="L3198" s="3" t="n">
        <v>5.74</v>
      </c>
      <c r="M3198" s="2" t="inlineStr">
        <is>
          <t>TCGplayer</t>
        </is>
      </c>
      <c r="O3198" s="4" t="inlineStr">
        <is>
          <t>https://www.tcgplayer.com/product/574875</t>
        </is>
      </c>
    </row>
    <row r="3199">
      <c r="A3199" s="2" t="inlineStr">
        <is>
          <t>Paradigm Trigger Booster Pack</t>
        </is>
      </c>
      <c r="B3199" s="3">
        <f>IF(I3199&lt;&gt;"",I3199,IF(J3199&lt;&gt;"",J3199,IF(K3199&lt;&gt;"",K3199,L3199)))</f>
        <v>7.79</v>
      </c>
      <c r="C3199" s="3">
        <f>MEDIAN(I3199:L3199)</f>
        <v>6.385</v>
      </c>
      <c r="D3199" s="3">
        <f>ROUND(C3199*(1-Settings!$B$2),2)</f>
        <v>4.47</v>
      </c>
      <c r="E3199" s="3">
        <f>ROUND(C3199*(1-Settings!$B$3),2)</f>
        <v>4.47</v>
      </c>
      <c r="F3199" s="2" t="inlineStr">
        <is>
          <t>Pokemon</t>
        </is>
      </c>
      <c r="G3199" s="2" t="inlineStr">
        <is>
          <t>Pack</t>
        </is>
      </c>
      <c r="H3199" s="2" t="inlineStr">
        <is>
          <t>S12: Paradigm Trigger</t>
        </is>
      </c>
      <c r="I3199" s="3" t="n"/>
      <c r="J3199" s="3" t="n">
        <v>7.79</v>
      </c>
      <c r="K3199" s="3" t="n"/>
      <c r="L3199" s="3" t="n">
        <v>4.98</v>
      </c>
      <c r="M3199" s="2" t="inlineStr">
        <is>
          <t>TCGplayer</t>
        </is>
      </c>
      <c r="O3199" s="4" t="inlineStr">
        <is>
          <t>https://www.tcgplayer.com/product/565251</t>
        </is>
      </c>
    </row>
    <row r="3200">
      <c r="A3200" s="2" t="inlineStr">
        <is>
          <t>VSTAR Universe Booster Pack</t>
        </is>
      </c>
      <c r="B3200" s="3">
        <f>IF(I3200&lt;&gt;"",I3200,IF(J3200&lt;&gt;"",J3200,IF(K3200&lt;&gt;"",K3200,L3200)))</f>
        <v>20.52</v>
      </c>
      <c r="C3200" s="3">
        <f>MEDIAN(I3200:L3200)</f>
        <v>17.755</v>
      </c>
      <c r="D3200" s="3">
        <f>ROUND(C3200*(1-Settings!$B$2),2)</f>
        <v>12.43</v>
      </c>
      <c r="E3200" s="3">
        <f>ROUND(C3200*(1-Settings!$B$3),2)</f>
        <v>12.43</v>
      </c>
      <c r="F3200" s="2" t="inlineStr">
        <is>
          <t>Pokemon</t>
        </is>
      </c>
      <c r="G3200" s="2" t="inlineStr">
        <is>
          <t>Pack</t>
        </is>
      </c>
      <c r="H3200" s="2" t="inlineStr">
        <is>
          <t>S12a: VSTAR Universe</t>
        </is>
      </c>
      <c r="I3200" s="3" t="n"/>
      <c r="J3200" s="3" t="n">
        <v>20.52</v>
      </c>
      <c r="K3200" s="3" t="n"/>
      <c r="L3200" s="3" t="n">
        <v>14.99</v>
      </c>
      <c r="M3200" s="2" t="inlineStr">
        <is>
          <t>TCGplayer</t>
        </is>
      </c>
      <c r="O3200" s="4" t="inlineStr">
        <is>
          <t>https://www.tcgplayer.com/product/565253</t>
        </is>
      </c>
    </row>
    <row r="3201">
      <c r="A3201" s="2" t="inlineStr">
        <is>
          <t>VMAX Rising Booster Pack</t>
        </is>
      </c>
      <c r="B3201" s="3">
        <f>IF(I3201&lt;&gt;"",I3201,IF(J3201&lt;&gt;"",J3201,IF(K3201&lt;&gt;"",K3201,L3201)))</f>
        <v>29.99</v>
      </c>
      <c r="C3201" s="3">
        <f>MEDIAN(I3201:L3201)</f>
        <v>27.47</v>
      </c>
      <c r="D3201" s="3">
        <f>ROUND(C3201*(1-Settings!$B$2),2)</f>
        <v>19.23</v>
      </c>
      <c r="E3201" s="3">
        <f>ROUND(C3201*(1-Settings!$B$3),2)</f>
        <v>19.23</v>
      </c>
      <c r="F3201" s="2" t="inlineStr">
        <is>
          <t>Pokemon</t>
        </is>
      </c>
      <c r="G3201" s="2" t="inlineStr">
        <is>
          <t>Pack</t>
        </is>
      </c>
      <c r="H3201" s="2" t="inlineStr">
        <is>
          <t>S1a: VMAX Rising</t>
        </is>
      </c>
      <c r="I3201" s="3" t="n"/>
      <c r="J3201" s="3" t="n">
        <v>29.99</v>
      </c>
      <c r="K3201" s="3" t="n"/>
      <c r="L3201" s="3" t="n">
        <v>24.95</v>
      </c>
      <c r="M3201" s="2" t="inlineStr">
        <is>
          <t>TCGplayer</t>
        </is>
      </c>
      <c r="O3201" s="4" t="inlineStr">
        <is>
          <t>https://www.tcgplayer.com/product/574872</t>
        </is>
      </c>
    </row>
    <row r="3202">
      <c r="A3202" s="2" t="inlineStr">
        <is>
          <t>Shield Booster Pack</t>
        </is>
      </c>
      <c r="B3202" s="3">
        <f>IF(I3202&lt;&gt;"",I3202,IF(J3202&lt;&gt;"",J3202,IF(K3202&lt;&gt;"",K3202,L3202)))</f>
        <v>21.95</v>
      </c>
      <c r="C3202" s="3">
        <f>MEDIAN(I3202:L3202)</f>
        <v>21.95</v>
      </c>
      <c r="D3202" s="3">
        <f>ROUND(C3202*(1-Settings!$B$2),2)</f>
        <v>15.37</v>
      </c>
      <c r="E3202" s="3">
        <f>ROUND(C3202*(1-Settings!$B$3),2)</f>
        <v>15.37</v>
      </c>
      <c r="F3202" s="2" t="inlineStr">
        <is>
          <t>Pokemon</t>
        </is>
      </c>
      <c r="G3202" s="2" t="inlineStr">
        <is>
          <t>Pack</t>
        </is>
      </c>
      <c r="H3202" s="2" t="inlineStr">
        <is>
          <t>S1H: Shield</t>
        </is>
      </c>
      <c r="I3202" s="3" t="n"/>
      <c r="J3202" s="3" t="n"/>
      <c r="K3202" s="3" t="n"/>
      <c r="L3202" s="3" t="n">
        <v>21.95</v>
      </c>
      <c r="M3202" s="2" t="inlineStr">
        <is>
          <t>TCGplayer</t>
        </is>
      </c>
      <c r="O3202" s="4" t="inlineStr">
        <is>
          <t>https://www.tcgplayer.com/product/574870</t>
        </is>
      </c>
    </row>
    <row r="3203">
      <c r="A3203" s="2" t="inlineStr">
        <is>
          <t>Sword Booster Pack</t>
        </is>
      </c>
      <c r="B3203" s="3">
        <f>IF(I3203&lt;&gt;"",I3203,IF(J3203&lt;&gt;"",J3203,IF(K3203&lt;&gt;"",K3203,L3203)))</f>
        <v>3.98</v>
      </c>
      <c r="C3203" s="3">
        <f>MEDIAN(I3203:L3203)</f>
        <v>3.98</v>
      </c>
      <c r="D3203" s="3">
        <f>ROUND(C3203*(1-Settings!$B$2),2)</f>
        <v>2.79</v>
      </c>
      <c r="E3203" s="3">
        <f>ROUND(C3203*(1-Settings!$B$3),2)</f>
        <v>2.79</v>
      </c>
      <c r="F3203" s="2" t="inlineStr">
        <is>
          <t>Pokemon</t>
        </is>
      </c>
      <c r="G3203" s="2" t="inlineStr">
        <is>
          <t>Pack</t>
        </is>
      </c>
      <c r="H3203" s="2" t="inlineStr">
        <is>
          <t>S1W: Sword</t>
        </is>
      </c>
      <c r="I3203" s="3" t="n"/>
      <c r="J3203" s="3" t="n"/>
      <c r="K3203" s="3" t="n"/>
      <c r="L3203" s="3" t="n">
        <v>3.98</v>
      </c>
      <c r="M3203" s="2" t="inlineStr">
        <is>
          <t>TCGplayer</t>
        </is>
      </c>
      <c r="O3203" s="4" t="inlineStr">
        <is>
          <t>https://www.tcgplayer.com/product/574619</t>
        </is>
      </c>
    </row>
    <row r="3204">
      <c r="A3204" s="2" t="inlineStr">
        <is>
          <t>Rebellion Crash Booster Pack</t>
        </is>
      </c>
      <c r="B3204" s="3">
        <f>IF(I3204&lt;&gt;"",I3204,IF(J3204&lt;&gt;"",J3204,IF(K3204&lt;&gt;"",K3204,L3204)))</f>
        <v>19.95</v>
      </c>
      <c r="C3204" s="3">
        <f>MEDIAN(I3204:L3204)</f>
        <v>19.95</v>
      </c>
      <c r="D3204" s="3">
        <f>ROUND(C3204*(1-Settings!$B$2),2)</f>
        <v>13.97</v>
      </c>
      <c r="E3204" s="3">
        <f>ROUND(C3204*(1-Settings!$B$3),2)</f>
        <v>13.97</v>
      </c>
      <c r="F3204" s="2" t="inlineStr">
        <is>
          <t>Pokemon</t>
        </is>
      </c>
      <c r="G3204" s="2" t="inlineStr">
        <is>
          <t>Pack</t>
        </is>
      </c>
      <c r="H3204" s="2" t="inlineStr">
        <is>
          <t>S2: Rebellion Crash</t>
        </is>
      </c>
      <c r="I3204" s="3" t="n"/>
      <c r="J3204" s="3" t="n"/>
      <c r="K3204" s="3" t="n"/>
      <c r="L3204" s="3" t="n">
        <v>19.95</v>
      </c>
      <c r="M3204" s="2" t="inlineStr">
        <is>
          <t>TCGplayer</t>
        </is>
      </c>
      <c r="O3204" s="4" t="inlineStr">
        <is>
          <t>https://www.tcgplayer.com/product/574176</t>
        </is>
      </c>
    </row>
    <row r="3205">
      <c r="A3205" s="2" t="inlineStr">
        <is>
          <t>Explosive Walker Booster Pack</t>
        </is>
      </c>
      <c r="B3205" s="3">
        <f>IF(I3205&lt;&gt;"",I3205,IF(J3205&lt;&gt;"",J3205,IF(K3205&lt;&gt;"",K3205,L3205)))</f>
        <v>12.75</v>
      </c>
      <c r="C3205" s="3">
        <f>MEDIAN(I3205:L3205)</f>
        <v>12.625</v>
      </c>
      <c r="D3205" s="3">
        <f>ROUND(C3205*(1-Settings!$B$2),2)</f>
        <v>8.84</v>
      </c>
      <c r="E3205" s="3">
        <f>ROUND(C3205*(1-Settings!$B$3),2)</f>
        <v>8.84</v>
      </c>
      <c r="F3205" s="2" t="inlineStr">
        <is>
          <t>Pokemon</t>
        </is>
      </c>
      <c r="G3205" s="2" t="inlineStr">
        <is>
          <t>Pack</t>
        </is>
      </c>
      <c r="H3205" s="2" t="inlineStr">
        <is>
          <t>S2a: Explosive Walker</t>
        </is>
      </c>
      <c r="I3205" s="3" t="n"/>
      <c r="J3205" s="3" t="n">
        <v>12.75</v>
      </c>
      <c r="K3205" s="3" t="n"/>
      <c r="L3205" s="3" t="n">
        <v>12.5</v>
      </c>
      <c r="M3205" s="2" t="inlineStr">
        <is>
          <t>TCGplayer</t>
        </is>
      </c>
      <c r="O3205" s="4" t="inlineStr">
        <is>
          <t>https://www.tcgplayer.com/product/571839</t>
        </is>
      </c>
    </row>
    <row r="3206">
      <c r="A3206" s="2" t="inlineStr">
        <is>
          <t>Infinity Zone Booster Pack</t>
        </is>
      </c>
      <c r="B3206" s="3">
        <f>IF(I3206&lt;&gt;"",I3206,IF(J3206&lt;&gt;"",J3206,IF(K3206&lt;&gt;"",K3206,L3206)))</f>
        <v>15.95</v>
      </c>
      <c r="C3206" s="3">
        <f>MEDIAN(I3206:L3206)</f>
        <v>15.95</v>
      </c>
      <c r="D3206" s="3">
        <f>ROUND(C3206*(1-Settings!$B$2),2)</f>
        <v>11.17</v>
      </c>
      <c r="E3206" s="3">
        <f>ROUND(C3206*(1-Settings!$B$3),2)</f>
        <v>11.17</v>
      </c>
      <c r="F3206" s="2" t="inlineStr">
        <is>
          <t>Pokemon</t>
        </is>
      </c>
      <c r="G3206" s="2" t="inlineStr">
        <is>
          <t>Pack</t>
        </is>
      </c>
      <c r="H3206" s="2" t="inlineStr">
        <is>
          <t>S3: Infinity Zone</t>
        </is>
      </c>
      <c r="I3206" s="3" t="n"/>
      <c r="J3206" s="3" t="n"/>
      <c r="K3206" s="3" t="n"/>
      <c r="L3206" s="3" t="n">
        <v>15.95</v>
      </c>
      <c r="M3206" s="2" t="inlineStr">
        <is>
          <t>TCGplayer</t>
        </is>
      </c>
      <c r="O3206" s="4" t="inlineStr">
        <is>
          <t>https://www.tcgplayer.com/product/571837</t>
        </is>
      </c>
    </row>
    <row r="3207">
      <c r="A3207" s="2" t="inlineStr">
        <is>
          <t>Legendary Heartbeat Booster Pack</t>
        </is>
      </c>
      <c r="B3207" s="3">
        <f>IF(I3207&lt;&gt;"",I3207,IF(J3207&lt;&gt;"",J3207,IF(K3207&lt;&gt;"",K3207,L3207)))</f>
        <v>13.32</v>
      </c>
      <c r="C3207" s="3">
        <f>MEDIAN(I3207:L3207)</f>
        <v>19.155</v>
      </c>
      <c r="D3207" s="3">
        <f>ROUND(C3207*(1-Settings!$B$2),2)</f>
        <v>13.41</v>
      </c>
      <c r="E3207" s="3">
        <f>ROUND(C3207*(1-Settings!$B$3),2)</f>
        <v>13.41</v>
      </c>
      <c r="F3207" s="2" t="inlineStr">
        <is>
          <t>Pokemon</t>
        </is>
      </c>
      <c r="G3207" s="2" t="inlineStr">
        <is>
          <t>Pack</t>
        </is>
      </c>
      <c r="H3207" s="2" t="inlineStr">
        <is>
          <t>S3a: Legendary Heartbeat</t>
        </is>
      </c>
      <c r="I3207" s="3" t="n"/>
      <c r="J3207" s="3" t="n">
        <v>13.32</v>
      </c>
      <c r="K3207" s="3" t="n"/>
      <c r="L3207" s="3" t="n">
        <v>24.99</v>
      </c>
      <c r="M3207" s="2" t="inlineStr">
        <is>
          <t>TCGplayer</t>
        </is>
      </c>
      <c r="O3207" s="4" t="inlineStr">
        <is>
          <t>https://www.tcgplayer.com/product/571834</t>
        </is>
      </c>
    </row>
    <row r="3208">
      <c r="A3208" s="2" t="inlineStr">
        <is>
          <t>Amazing Volt Tackle Booster Pack</t>
        </is>
      </c>
      <c r="B3208" s="3">
        <f>IF(I3208&lt;&gt;"",I3208,IF(J3208&lt;&gt;"",J3208,IF(K3208&lt;&gt;"",K3208,L3208)))</f>
        <v>9.56</v>
      </c>
      <c r="C3208" s="3">
        <f>MEDIAN(I3208:L3208)</f>
        <v>6.735</v>
      </c>
      <c r="D3208" s="3">
        <f>ROUND(C3208*(1-Settings!$B$2),2)</f>
        <v>4.71</v>
      </c>
      <c r="E3208" s="3">
        <f>ROUND(C3208*(1-Settings!$B$3),2)</f>
        <v>4.71</v>
      </c>
      <c r="F3208" s="2" t="inlineStr">
        <is>
          <t>Pokemon</t>
        </is>
      </c>
      <c r="G3208" s="2" t="inlineStr">
        <is>
          <t>Pack</t>
        </is>
      </c>
      <c r="H3208" s="2" t="inlineStr">
        <is>
          <t>S4: Amazing Volt Tackle</t>
        </is>
      </c>
      <c r="I3208" s="3" t="n"/>
      <c r="J3208" s="3" t="n">
        <v>9.56</v>
      </c>
      <c r="K3208" s="3" t="n"/>
      <c r="L3208" s="3" t="n">
        <v>3.91</v>
      </c>
      <c r="M3208" s="2" t="inlineStr">
        <is>
          <t>TCGplayer</t>
        </is>
      </c>
      <c r="O3208" s="4" t="inlineStr">
        <is>
          <t>https://www.tcgplayer.com/product/565374</t>
        </is>
      </c>
    </row>
    <row r="3209">
      <c r="A3209" s="2" t="inlineStr">
        <is>
          <t>Shiny Star V Booster Pack</t>
        </is>
      </c>
      <c r="B3209" s="3">
        <f>IF(I3209&lt;&gt;"",I3209,IF(J3209&lt;&gt;"",J3209,IF(K3209&lt;&gt;"",K3209,L3209)))</f>
        <v>17.97</v>
      </c>
      <c r="C3209" s="3">
        <f>MEDIAN(I3209:L3209)</f>
        <v>15.98</v>
      </c>
      <c r="D3209" s="3">
        <f>ROUND(C3209*(1-Settings!$B$2),2)</f>
        <v>11.19</v>
      </c>
      <c r="E3209" s="3">
        <f>ROUND(C3209*(1-Settings!$B$3),2)</f>
        <v>11.19</v>
      </c>
      <c r="F3209" s="2" t="inlineStr">
        <is>
          <t>Pokemon</t>
        </is>
      </c>
      <c r="G3209" s="2" t="inlineStr">
        <is>
          <t>Pack</t>
        </is>
      </c>
      <c r="H3209" s="2" t="inlineStr">
        <is>
          <t>S4a: Shiny Star V</t>
        </is>
      </c>
      <c r="I3209" s="3" t="n"/>
      <c r="J3209" s="3" t="n">
        <v>17.97</v>
      </c>
      <c r="K3209" s="3" t="n"/>
      <c r="L3209" s="3" t="n">
        <v>13.99</v>
      </c>
      <c r="M3209" s="2" t="inlineStr">
        <is>
          <t>TCGplayer</t>
        </is>
      </c>
      <c r="O3209" s="4" t="inlineStr">
        <is>
          <t>https://www.tcgplayer.com/product/565366</t>
        </is>
      </c>
    </row>
    <row r="3210">
      <c r="A3210" s="2" t="inlineStr">
        <is>
          <t>Peerless Fighters Master Booster Pack</t>
        </is>
      </c>
      <c r="B3210" s="3">
        <f>IF(I3210&lt;&gt;"",I3210,IF(J3210&lt;&gt;"",J3210,IF(K3210&lt;&gt;"",K3210,L3210)))</f>
        <v>8.36</v>
      </c>
      <c r="C3210" s="3">
        <f>MEDIAN(I3210:L3210)</f>
        <v>6.135</v>
      </c>
      <c r="D3210" s="3">
        <f>ROUND(C3210*(1-Settings!$B$2),2)</f>
        <v>4.29</v>
      </c>
      <c r="E3210" s="3">
        <f>ROUND(C3210*(1-Settings!$B$3),2)</f>
        <v>4.29</v>
      </c>
      <c r="F3210" s="2" t="inlineStr">
        <is>
          <t>Pokemon</t>
        </is>
      </c>
      <c r="G3210" s="2" t="inlineStr">
        <is>
          <t>Pack</t>
        </is>
      </c>
      <c r="H3210" s="2" t="inlineStr">
        <is>
          <t>S5a: Peerless Fighters</t>
        </is>
      </c>
      <c r="I3210" s="3" t="n"/>
      <c r="J3210" s="3" t="n">
        <v>8.359999999999999</v>
      </c>
      <c r="K3210" s="3" t="n"/>
      <c r="L3210" s="3" t="n">
        <v>3.91</v>
      </c>
      <c r="M3210" s="2" t="inlineStr">
        <is>
          <t>TCGplayer</t>
        </is>
      </c>
      <c r="O3210" s="4" t="inlineStr">
        <is>
          <t>https://www.tcgplayer.com/product/565363</t>
        </is>
      </c>
    </row>
    <row r="3211">
      <c r="A3211" s="2" t="inlineStr">
        <is>
          <t>Single Strike Master Booster Pack</t>
        </is>
      </c>
      <c r="B3211" s="3">
        <f>IF(I3211&lt;&gt;"",I3211,IF(J3211&lt;&gt;"",J3211,IF(K3211&lt;&gt;"",K3211,L3211)))</f>
        <v>14.95</v>
      </c>
      <c r="C3211" s="3">
        <f>MEDIAN(I3211:L3211)</f>
        <v>14.95</v>
      </c>
      <c r="D3211" s="3">
        <f>ROUND(C3211*(1-Settings!$B$2),2)</f>
        <v>10.47</v>
      </c>
      <c r="E3211" s="3">
        <f>ROUND(C3211*(1-Settings!$B$3),2)</f>
        <v>10.47</v>
      </c>
      <c r="F3211" s="2" t="inlineStr">
        <is>
          <t>Pokemon</t>
        </is>
      </c>
      <c r="G3211" s="2" t="inlineStr">
        <is>
          <t>Pack</t>
        </is>
      </c>
      <c r="H3211" s="2" t="inlineStr">
        <is>
          <t>S5I: Single Strike Master</t>
        </is>
      </c>
      <c r="I3211" s="3" t="n"/>
      <c r="J3211" s="3" t="n">
        <v>14.95</v>
      </c>
      <c r="K3211" s="3" t="n"/>
      <c r="L3211" s="3" t="n">
        <v>14.95</v>
      </c>
      <c r="M3211" s="2" t="inlineStr">
        <is>
          <t>TCGplayer</t>
        </is>
      </c>
      <c r="O3211" s="4" t="inlineStr">
        <is>
          <t>https://www.tcgplayer.com/product/565360</t>
        </is>
      </c>
    </row>
    <row r="3212">
      <c r="A3212" s="2" t="inlineStr">
        <is>
          <t>Rapid Strike Master Booster Pack</t>
        </is>
      </c>
      <c r="B3212" s="3">
        <f>IF(I3212&lt;&gt;"",I3212,IF(J3212&lt;&gt;"",J3212,IF(K3212&lt;&gt;"",K3212,L3212)))</f>
        <v>6.38</v>
      </c>
      <c r="C3212" s="3">
        <f>MEDIAN(I3212:L3212)</f>
        <v>6.38</v>
      </c>
      <c r="D3212" s="3">
        <f>ROUND(C3212*(1-Settings!$B$2),2)</f>
        <v>4.47</v>
      </c>
      <c r="E3212" s="3">
        <f>ROUND(C3212*(1-Settings!$B$3),2)</f>
        <v>4.47</v>
      </c>
      <c r="F3212" s="2" t="inlineStr">
        <is>
          <t>Pokemon</t>
        </is>
      </c>
      <c r="G3212" s="2" t="inlineStr">
        <is>
          <t>Pack</t>
        </is>
      </c>
      <c r="H3212" s="2" t="inlineStr">
        <is>
          <t>S5R: Rapid Strike Master</t>
        </is>
      </c>
      <c r="I3212" s="3" t="n"/>
      <c r="J3212" s="3" t="n">
        <v>6.38</v>
      </c>
      <c r="K3212" s="3" t="n"/>
      <c r="L3212" s="3" t="n">
        <v>6.38</v>
      </c>
      <c r="M3212" s="2" t="inlineStr">
        <is>
          <t>TCGplayer</t>
        </is>
      </c>
      <c r="O3212" s="4" t="inlineStr">
        <is>
          <t>https://www.tcgplayer.com/product/565359</t>
        </is>
      </c>
    </row>
    <row r="3213">
      <c r="A3213" s="2" t="inlineStr">
        <is>
          <t>Eevee Heroes Booster Pack</t>
        </is>
      </c>
      <c r="B3213" s="3">
        <f>IF(I3213&lt;&gt;"",I3213,IF(J3213&lt;&gt;"",J3213,IF(K3213&lt;&gt;"",K3213,L3213)))</f>
        <v>24.93</v>
      </c>
      <c r="C3213" s="3">
        <f>MEDIAN(I3213:L3213)</f>
        <v>15.96</v>
      </c>
      <c r="D3213" s="3">
        <f>ROUND(C3213*(1-Settings!$B$2),2)</f>
        <v>11.17</v>
      </c>
      <c r="E3213" s="3">
        <f>ROUND(C3213*(1-Settings!$B$3),2)</f>
        <v>11.17</v>
      </c>
      <c r="F3213" s="2" t="inlineStr">
        <is>
          <t>Pokemon</t>
        </is>
      </c>
      <c r="G3213" s="2" t="inlineStr">
        <is>
          <t>Pack</t>
        </is>
      </c>
      <c r="H3213" s="2" t="inlineStr">
        <is>
          <t>S6a: Eevee Heroes</t>
        </is>
      </c>
      <c r="I3213" s="3" t="n"/>
      <c r="J3213" s="3" t="n">
        <v>24.93</v>
      </c>
      <c r="K3213" s="3" t="n"/>
      <c r="L3213" s="3" t="n">
        <v>6.99</v>
      </c>
      <c r="M3213" s="2" t="inlineStr">
        <is>
          <t>TCGplayer</t>
        </is>
      </c>
      <c r="O3213" s="4" t="inlineStr">
        <is>
          <t>https://www.tcgplayer.com/product/565350</t>
        </is>
      </c>
    </row>
    <row r="3214">
      <c r="A3214" s="2" t="inlineStr">
        <is>
          <t>Silver Lance Booster Pack</t>
        </is>
      </c>
      <c r="B3214" s="3">
        <f>IF(I3214&lt;&gt;"",I3214,IF(J3214&lt;&gt;"",J3214,IF(K3214&lt;&gt;"",K3214,L3214)))</f>
        <v>9.42</v>
      </c>
      <c r="C3214" s="3">
        <f>MEDIAN(I3214:L3214)</f>
        <v>9.0</v>
      </c>
      <c r="D3214" s="3">
        <f>ROUND(C3214*(1-Settings!$B$2),2)</f>
        <v>6.3</v>
      </c>
      <c r="E3214" s="3">
        <f>ROUND(C3214*(1-Settings!$B$3),2)</f>
        <v>6.3</v>
      </c>
      <c r="F3214" s="2" t="inlineStr">
        <is>
          <t>Pokemon</t>
        </is>
      </c>
      <c r="G3214" s="2" t="inlineStr">
        <is>
          <t>Pack</t>
        </is>
      </c>
      <c r="H3214" s="2" t="inlineStr">
        <is>
          <t>S6H: Silver Lance</t>
        </is>
      </c>
      <c r="I3214" s="3" t="n"/>
      <c r="J3214" s="3" t="n">
        <v>9.42</v>
      </c>
      <c r="K3214" s="3" t="n"/>
      <c r="L3214" s="3" t="n">
        <v>8.58</v>
      </c>
      <c r="M3214" s="2" t="inlineStr">
        <is>
          <t>TCGplayer</t>
        </is>
      </c>
      <c r="O3214" s="4" t="inlineStr">
        <is>
          <t>https://www.tcgplayer.com/product/565349</t>
        </is>
      </c>
    </row>
    <row r="3215">
      <c r="A3215" s="2" t="inlineStr">
        <is>
          <t>Jet-Black Spirit Booster Pack</t>
        </is>
      </c>
      <c r="B3215" s="3">
        <f>IF(I3215&lt;&gt;"",I3215,IF(J3215&lt;&gt;"",J3215,IF(K3215&lt;&gt;"",K3215,L3215)))</f>
        <v>7.5</v>
      </c>
      <c r="C3215" s="3">
        <f>MEDIAN(I3215:L3215)</f>
        <v>8.1</v>
      </c>
      <c r="D3215" s="3">
        <f>ROUND(C3215*(1-Settings!$B$2),2)</f>
        <v>5.67</v>
      </c>
      <c r="E3215" s="3">
        <f>ROUND(C3215*(1-Settings!$B$3),2)</f>
        <v>5.67</v>
      </c>
      <c r="F3215" s="2" t="inlineStr">
        <is>
          <t>Pokemon</t>
        </is>
      </c>
      <c r="G3215" s="2" t="inlineStr">
        <is>
          <t>Pack</t>
        </is>
      </c>
      <c r="H3215" s="2" t="inlineStr">
        <is>
          <t>S6K: Jet-Black Spirit</t>
        </is>
      </c>
      <c r="I3215" s="3" t="n"/>
      <c r="J3215" s="3" t="n">
        <v>7.5</v>
      </c>
      <c r="K3215" s="3" t="n"/>
      <c r="L3215" s="3" t="n">
        <v>8.699999999999999</v>
      </c>
      <c r="M3215" s="2" t="inlineStr">
        <is>
          <t>TCGplayer</t>
        </is>
      </c>
      <c r="O3215" s="4" t="inlineStr">
        <is>
          <t>https://www.tcgplayer.com/product/565346</t>
        </is>
      </c>
    </row>
    <row r="3216">
      <c r="A3216" s="2" t="inlineStr">
        <is>
          <t>Skyscraping Perfection Booster Pack</t>
        </is>
      </c>
      <c r="B3216" s="3">
        <f>IF(I3216&lt;&gt;"",I3216,IF(J3216&lt;&gt;"",J3216,IF(K3216&lt;&gt;"",K3216,L3216)))</f>
        <v>7.7</v>
      </c>
      <c r="C3216" s="3">
        <f>MEDIAN(I3216:L3216)</f>
        <v>6.2</v>
      </c>
      <c r="D3216" s="3">
        <f>ROUND(C3216*(1-Settings!$B$2),2)</f>
        <v>4.34</v>
      </c>
      <c r="E3216" s="3">
        <f>ROUND(C3216*(1-Settings!$B$3),2)</f>
        <v>4.34</v>
      </c>
      <c r="F3216" s="2" t="inlineStr">
        <is>
          <t>Pokemon</t>
        </is>
      </c>
      <c r="G3216" s="2" t="inlineStr">
        <is>
          <t>Pack</t>
        </is>
      </c>
      <c r="H3216" s="2" t="inlineStr">
        <is>
          <t>S7D: Skyscraping Perfection</t>
        </is>
      </c>
      <c r="I3216" s="3" t="n"/>
      <c r="J3216" s="3" t="n">
        <v>7.7</v>
      </c>
      <c r="K3216" s="3" t="n"/>
      <c r="L3216" s="3" t="n">
        <v>4.7</v>
      </c>
      <c r="M3216" s="2" t="inlineStr">
        <is>
          <t>TCGplayer</t>
        </is>
      </c>
      <c r="O3216" s="4" t="inlineStr">
        <is>
          <t>https://www.tcgplayer.com/product/565345</t>
        </is>
      </c>
    </row>
    <row r="3217">
      <c r="A3217" s="2" t="inlineStr">
        <is>
          <t>Blue Sky Stream Booster Pack</t>
        </is>
      </c>
      <c r="B3217" s="3">
        <f>IF(I3217&lt;&gt;"",I3217,IF(J3217&lt;&gt;"",J3217,IF(K3217&lt;&gt;"",K3217,L3217)))</f>
        <v>19.54</v>
      </c>
      <c r="C3217" s="3">
        <f>MEDIAN(I3217:L3217)</f>
        <v>12.395</v>
      </c>
      <c r="D3217" s="3">
        <f>ROUND(C3217*(1-Settings!$B$2),2)</f>
        <v>8.68</v>
      </c>
      <c r="E3217" s="3">
        <f>ROUND(C3217*(1-Settings!$B$3),2)</f>
        <v>8.68</v>
      </c>
      <c r="F3217" s="2" t="inlineStr">
        <is>
          <t>Pokemon</t>
        </is>
      </c>
      <c r="G3217" s="2" t="inlineStr">
        <is>
          <t>Pack</t>
        </is>
      </c>
      <c r="H3217" s="2" t="inlineStr">
        <is>
          <t>S7R: Blue Sky Stream</t>
        </is>
      </c>
      <c r="I3217" s="3" t="n"/>
      <c r="J3217" s="3" t="n">
        <v>19.54</v>
      </c>
      <c r="K3217" s="3" t="n"/>
      <c r="L3217" s="3" t="n">
        <v>5.25</v>
      </c>
      <c r="M3217" s="2" t="inlineStr">
        <is>
          <t>TCGplayer</t>
        </is>
      </c>
      <c r="O3217" s="4" t="inlineStr">
        <is>
          <t>https://www.tcgplayer.com/product/565342</t>
        </is>
      </c>
    </row>
    <row r="3218">
      <c r="A3218" s="2" t="inlineStr">
        <is>
          <t>Fusion Arts Booster Pack</t>
        </is>
      </c>
      <c r="B3218" s="3">
        <f>IF(I3218&lt;&gt;"",I3218,IF(J3218&lt;&gt;"",J3218,IF(K3218&lt;&gt;"",K3218,L3218)))</f>
        <v>10.17</v>
      </c>
      <c r="C3218" s="3">
        <f>MEDIAN(I3218:L3218)</f>
        <v>7.08</v>
      </c>
      <c r="D3218" s="3">
        <f>ROUND(C3218*(1-Settings!$B$2),2)</f>
        <v>4.96</v>
      </c>
      <c r="E3218" s="3">
        <f>ROUND(C3218*(1-Settings!$B$3),2)</f>
        <v>4.96</v>
      </c>
      <c r="F3218" s="2" t="inlineStr">
        <is>
          <t>Pokemon</t>
        </is>
      </c>
      <c r="G3218" s="2" t="inlineStr">
        <is>
          <t>Pack</t>
        </is>
      </c>
      <c r="H3218" s="2" t="inlineStr">
        <is>
          <t>S8: Fusion Arts</t>
        </is>
      </c>
      <c r="I3218" s="3" t="n"/>
      <c r="J3218" s="3" t="n">
        <v>10.17</v>
      </c>
      <c r="K3218" s="3" t="n"/>
      <c r="L3218" s="3" t="n">
        <v>3.99</v>
      </c>
      <c r="M3218" s="2" t="inlineStr">
        <is>
          <t>TCGplayer</t>
        </is>
      </c>
      <c r="O3218" s="4" t="inlineStr">
        <is>
          <t>https://www.tcgplayer.com/product/565263</t>
        </is>
      </c>
    </row>
    <row r="3219">
      <c r="A3219" s="2" t="inlineStr">
        <is>
          <t>VMAX Climax Booster Pack</t>
        </is>
      </c>
      <c r="B3219" s="3">
        <f>IF(I3219&lt;&gt;"",I3219,IF(J3219&lt;&gt;"",J3219,IF(K3219&lt;&gt;"",K3219,L3219)))</f>
        <v>22.98</v>
      </c>
      <c r="C3219" s="3">
        <f>MEDIAN(I3219:L3219)</f>
        <v>16.490000000000002</v>
      </c>
      <c r="D3219" s="3">
        <f>ROUND(C3219*(1-Settings!$B$2),2)</f>
        <v>11.54</v>
      </c>
      <c r="E3219" s="3">
        <f>ROUND(C3219*(1-Settings!$B$3),2)</f>
        <v>11.54</v>
      </c>
      <c r="F3219" s="2" t="inlineStr">
        <is>
          <t>Pokemon</t>
        </is>
      </c>
      <c r="G3219" s="2" t="inlineStr">
        <is>
          <t>Pack</t>
        </is>
      </c>
      <c r="H3219" s="2" t="inlineStr">
        <is>
          <t>S8b: VMAX Climax</t>
        </is>
      </c>
      <c r="I3219" s="3" t="n"/>
      <c r="J3219" s="3" t="n">
        <v>22.98</v>
      </c>
      <c r="K3219" s="3" t="n"/>
      <c r="L3219" s="3" t="n">
        <v>10</v>
      </c>
      <c r="M3219" s="2" t="inlineStr">
        <is>
          <t>TCGplayer</t>
        </is>
      </c>
      <c r="O3219" s="4" t="inlineStr">
        <is>
          <t>https://www.tcgplayer.com/product/565258</t>
        </is>
      </c>
    </row>
    <row r="3220">
      <c r="A3220" s="2" t="inlineStr">
        <is>
          <t>Star Birth Booster Pack</t>
        </is>
      </c>
      <c r="B3220" s="3">
        <f>IF(I3220&lt;&gt;"",I3220,IF(J3220&lt;&gt;"",J3220,IF(K3220&lt;&gt;"",K3220,L3220)))</f>
        <v>5.86</v>
      </c>
      <c r="C3220" s="3">
        <f>MEDIAN(I3220:L3220)</f>
        <v>6.425000000000001</v>
      </c>
      <c r="D3220" s="3">
        <f>ROUND(C3220*(1-Settings!$B$2),2)</f>
        <v>4.5</v>
      </c>
      <c r="E3220" s="3">
        <f>ROUND(C3220*(1-Settings!$B$3),2)</f>
        <v>4.5</v>
      </c>
      <c r="F3220" s="2" t="inlineStr">
        <is>
          <t>Pokemon</t>
        </is>
      </c>
      <c r="G3220" s="2" t="inlineStr">
        <is>
          <t>Pack</t>
        </is>
      </c>
      <c r="H3220" s="2" t="inlineStr">
        <is>
          <t>S9: Star Birth</t>
        </is>
      </c>
      <c r="I3220" s="3" t="n"/>
      <c r="J3220" s="3" t="n">
        <v>5.86</v>
      </c>
      <c r="K3220" s="3" t="n"/>
      <c r="L3220" s="3" t="n">
        <v>6.99</v>
      </c>
      <c r="M3220" s="2" t="inlineStr">
        <is>
          <t>TCGplayer</t>
        </is>
      </c>
      <c r="O3220" s="4" t="inlineStr">
        <is>
          <t>https://www.tcgplayer.com/product/565257</t>
        </is>
      </c>
    </row>
    <row r="3221">
      <c r="A3221" s="2" t="inlineStr">
        <is>
          <t>Battle Region Booster Pack</t>
        </is>
      </c>
      <c r="B3221" s="3">
        <f>IF(I3221&lt;&gt;"",I3221,IF(J3221&lt;&gt;"",J3221,IF(K3221&lt;&gt;"",K3221,L3221)))</f>
        <v>4.92</v>
      </c>
      <c r="C3221" s="3">
        <f>MEDIAN(I3221:L3221)</f>
        <v>3.96</v>
      </c>
      <c r="D3221" s="3">
        <f>ROUND(C3221*(1-Settings!$B$2),2)</f>
        <v>2.77</v>
      </c>
      <c r="E3221" s="3">
        <f>ROUND(C3221*(1-Settings!$B$3),2)</f>
        <v>2.77</v>
      </c>
      <c r="F3221" s="2" t="inlineStr">
        <is>
          <t>Pokemon</t>
        </is>
      </c>
      <c r="G3221" s="2" t="inlineStr">
        <is>
          <t>Pack</t>
        </is>
      </c>
      <c r="H3221" s="2" t="inlineStr">
        <is>
          <t>S9a: Battle Region</t>
        </is>
      </c>
      <c r="I3221" s="3" t="n"/>
      <c r="J3221" s="3" t="n">
        <v>4.92</v>
      </c>
      <c r="K3221" s="3" t="n"/>
      <c r="L3221" s="3" t="n">
        <v>3</v>
      </c>
      <c r="M3221" s="2" t="inlineStr">
        <is>
          <t>TCGplayer</t>
        </is>
      </c>
      <c r="O3221" s="4" t="inlineStr">
        <is>
          <t>https://www.tcgplayer.com/product/565254</t>
        </is>
      </c>
    </row>
    <row r="3222">
      <c r="A3222" s="2" t="inlineStr">
        <is>
          <t>Sandstorm Blister Pack</t>
        </is>
      </c>
      <c r="B3222" s="3">
        <f>IF(I3222&lt;&gt;"",I3222,IF(J3222&lt;&gt;"",J3222,IF(K3222&lt;&gt;"",K3222,L3222)))</f>
        <v>950.44</v>
      </c>
      <c r="C3222" s="3">
        <f>MEDIAN(I3222:L3222)</f>
        <v>950.44</v>
      </c>
      <c r="D3222" s="3">
        <f>ROUND(C3222*(1-Settings!$B$2),2)</f>
        <v>665.31</v>
      </c>
      <c r="E3222" s="3">
        <f>ROUND(C3222*(1-Settings!$B$3),2)</f>
        <v>665.31</v>
      </c>
      <c r="F3222" s="2" t="inlineStr">
        <is>
          <t>Pokemon</t>
        </is>
      </c>
      <c r="G3222" s="2" t="inlineStr">
        <is>
          <t>Pack</t>
        </is>
      </c>
      <c r="H3222" s="2" t="inlineStr">
        <is>
          <t>Sandstorm</t>
        </is>
      </c>
      <c r="I3222" s="3" t="n">
        <v>950.4400000000001</v>
      </c>
      <c r="J3222" s="3" t="n"/>
      <c r="K3222" s="3" t="n"/>
      <c r="L3222" s="3" t="n"/>
      <c r="M3222" s="2" t="inlineStr">
        <is>
          <t>PriceCharting</t>
        </is>
      </c>
      <c r="N3222" s="4" t="inlineStr">
        <is>
          <t>https://www.pricecharting.com/game/pokemon-sandstorm/blister-pack</t>
        </is>
      </c>
    </row>
    <row r="3223">
      <c r="A3223" s="2" t="inlineStr">
        <is>
          <t>Secret Wonders Blister Pack</t>
        </is>
      </c>
      <c r="B3223" s="3">
        <f>IF(I3223&lt;&gt;"",I3223,IF(J3223&lt;&gt;"",J3223,IF(K3223&lt;&gt;"",K3223,L3223)))</f>
        <v>1161.58</v>
      </c>
      <c r="C3223" s="3">
        <f>MEDIAN(I3223:L3223)</f>
        <v>1161.58</v>
      </c>
      <c r="D3223" s="3">
        <f>ROUND(C3223*(1-Settings!$B$2),2)</f>
        <v>813.11</v>
      </c>
      <c r="E3223" s="3">
        <f>ROUND(C3223*(1-Settings!$B$3),2)</f>
        <v>813.11</v>
      </c>
      <c r="F3223" s="2" t="inlineStr">
        <is>
          <t>Pokemon</t>
        </is>
      </c>
      <c r="G3223" s="2" t="inlineStr">
        <is>
          <t>Pack</t>
        </is>
      </c>
      <c r="H3223" s="2" t="inlineStr">
        <is>
          <t>Secret Wonders</t>
        </is>
      </c>
      <c r="I3223" s="3" t="n">
        <v>1161.58</v>
      </c>
      <c r="J3223" s="3" t="n"/>
      <c r="K3223" s="3" t="n"/>
      <c r="L3223" s="3" t="n"/>
      <c r="M3223" s="2" t="inlineStr">
        <is>
          <t>PriceCharting</t>
        </is>
      </c>
      <c r="N3223" s="4" t="inlineStr">
        <is>
          <t>https://www.pricecharting.com/game/pokemon-secret-wonders/blister-pack</t>
        </is>
      </c>
    </row>
    <row r="3224">
      <c r="A3224" s="2" t="inlineStr">
        <is>
          <t>Secret Wonders Booster Pack</t>
        </is>
      </c>
      <c r="B3224" s="3">
        <f>IF(I3224&lt;&gt;"",I3224,IF(J3224&lt;&gt;"",J3224,IF(K3224&lt;&gt;"",K3224,L3224)))</f>
        <v>625.5</v>
      </c>
      <c r="C3224" s="3">
        <f>MEDIAN(I3224:L3224)</f>
        <v>750.745</v>
      </c>
      <c r="D3224" s="3">
        <f>ROUND(C3224*(1-Settings!$B$2),2)</f>
        <v>525.52</v>
      </c>
      <c r="E3224" s="3">
        <f>ROUND(C3224*(1-Settings!$B$3),2)</f>
        <v>525.52</v>
      </c>
      <c r="F3224" s="2" t="inlineStr">
        <is>
          <t>Pokemon</t>
        </is>
      </c>
      <c r="G3224" s="2" t="inlineStr">
        <is>
          <t>Pack</t>
        </is>
      </c>
      <c r="H3224" s="2" t="inlineStr">
        <is>
          <t>Secret Wonders</t>
        </is>
      </c>
      <c r="I3224" s="3" t="n">
        <v>625.5</v>
      </c>
      <c r="J3224" s="3" t="n">
        <v>568.75</v>
      </c>
      <c r="K3224" s="3" t="n">
        <v>875.99</v>
      </c>
      <c r="L3224" s="3" t="n">
        <v>875.99</v>
      </c>
      <c r="M3224" s="2" t="inlineStr">
        <is>
          <t>PriceCharting + TCGplayer</t>
        </is>
      </c>
      <c r="N3224" s="4" t="inlineStr">
        <is>
          <t>https://www.pricecharting.com/game/pokemon-secret-wonders/booster-pack</t>
        </is>
      </c>
      <c r="O3224" s="4" t="inlineStr">
        <is>
          <t>https://www.tcgplayer.com/product/98569</t>
        </is>
      </c>
    </row>
    <row r="3225">
      <c r="A3225" s="2" t="inlineStr">
        <is>
          <t>Shining Fates Booster Pack</t>
        </is>
      </c>
      <c r="B3225" s="3">
        <f>IF(I3225&lt;&gt;"",I3225,IF(J3225&lt;&gt;"",J3225,IF(K3225&lt;&gt;"",K3225,L3225)))</f>
        <v>18.11</v>
      </c>
      <c r="C3225" s="3">
        <f>MEDIAN(I3225:L3225)</f>
        <v>17.939999999999998</v>
      </c>
      <c r="D3225" s="3">
        <f>ROUND(C3225*(1-Settings!$B$2),2)</f>
        <v>12.56</v>
      </c>
      <c r="E3225" s="3">
        <f>ROUND(C3225*(1-Settings!$B$3),2)</f>
        <v>12.56</v>
      </c>
      <c r="F3225" s="2" t="inlineStr">
        <is>
          <t>Pokemon</t>
        </is>
      </c>
      <c r="G3225" s="2" t="inlineStr">
        <is>
          <t>Pack</t>
        </is>
      </c>
      <c r="H3225" s="2" t="inlineStr">
        <is>
          <t>Shining Fates</t>
        </is>
      </c>
      <c r="I3225" s="3" t="n">
        <v>18.11</v>
      </c>
      <c r="J3225" s="3" t="n">
        <v>17.77</v>
      </c>
      <c r="K3225" s="3" t="n">
        <v>18.74</v>
      </c>
      <c r="L3225" s="3" t="n">
        <v>14.99</v>
      </c>
      <c r="M3225" s="2" t="inlineStr">
        <is>
          <t>PriceCharting + TCGplayer</t>
        </is>
      </c>
      <c r="N3225" s="4" t="inlineStr">
        <is>
          <t>https://www.pricecharting.com/game/pokemon-shining-fates/booster-pack</t>
        </is>
      </c>
      <c r="O3225" s="4" t="inlineStr">
        <is>
          <t>https://www.tcgplayer.com/product/232636</t>
        </is>
      </c>
    </row>
    <row r="3226">
      <c r="A3226" s="2" t="inlineStr">
        <is>
          <t>Shining Legends Booster Pack</t>
        </is>
      </c>
      <c r="B3226" s="3">
        <f>IF(I3226&lt;&gt;"",I3226,IF(J3226&lt;&gt;"",J3226,IF(K3226&lt;&gt;"",K3226,L3226)))</f>
        <v>113.97</v>
      </c>
      <c r="C3226" s="3">
        <f>MEDIAN(I3226:L3226)</f>
        <v>124.485</v>
      </c>
      <c r="D3226" s="3">
        <f>ROUND(C3226*(1-Settings!$B$2),2)</f>
        <v>87.14</v>
      </c>
      <c r="E3226" s="3">
        <f>ROUND(C3226*(1-Settings!$B$3),2)</f>
        <v>87.14</v>
      </c>
      <c r="F3226" s="2" t="inlineStr">
        <is>
          <t>Pokemon</t>
        </is>
      </c>
      <c r="G3226" s="2" t="inlineStr">
        <is>
          <t>Pack</t>
        </is>
      </c>
      <c r="H3226" s="2" t="inlineStr">
        <is>
          <t>Shining Legends</t>
        </is>
      </c>
      <c r="I3226" s="3" t="n">
        <v>113.97</v>
      </c>
      <c r="J3226" s="3" t="n">
        <v>111.31</v>
      </c>
      <c r="K3226" s="3" t="n">
        <v>142.49</v>
      </c>
      <c r="L3226" s="3" t="n">
        <v>135</v>
      </c>
      <c r="M3226" s="2" t="inlineStr">
        <is>
          <t>PriceCharting + TCGplayer</t>
        </is>
      </c>
      <c r="N3226" s="4" t="inlineStr">
        <is>
          <t>https://www.pricecharting.com/game/pokemon-shining-legends/booster-pack</t>
        </is>
      </c>
      <c r="O3226" s="4" t="inlineStr">
        <is>
          <t>https://www.tcgplayer.com/product/155880</t>
        </is>
      </c>
    </row>
    <row r="3227">
      <c r="A3227" s="2" t="inlineStr">
        <is>
          <t>Shrouded Fable 3 Pack Blister</t>
        </is>
      </c>
      <c r="B3227" s="3">
        <f>IF(I3227&lt;&gt;"",I3227,IF(J3227&lt;&gt;"",J3227,IF(K3227&lt;&gt;"",K3227,L3227)))</f>
        <v>38.95</v>
      </c>
      <c r="C3227" s="3">
        <f>MEDIAN(I3227:L3227)</f>
        <v>38.95</v>
      </c>
      <c r="D3227" s="3">
        <f>ROUND(C3227*(1-Settings!$B$2),2)</f>
        <v>27.27</v>
      </c>
      <c r="E3227" s="3">
        <f>ROUND(C3227*(1-Settings!$B$3),2)</f>
        <v>27.27</v>
      </c>
      <c r="F3227" s="2" t="inlineStr">
        <is>
          <t>Pokemon</t>
        </is>
      </c>
      <c r="G3227" s="2" t="inlineStr">
        <is>
          <t>Pack</t>
        </is>
      </c>
      <c r="H3227" s="2" t="inlineStr">
        <is>
          <t>Shrouded Fable</t>
        </is>
      </c>
      <c r="I3227" s="3" t="n">
        <v>38.95</v>
      </c>
      <c r="J3227" s="3" t="n"/>
      <c r="K3227" s="3" t="n"/>
      <c r="L3227" s="3" t="n"/>
      <c r="M3227" s="2" t="inlineStr">
        <is>
          <t>PriceCharting</t>
        </is>
      </c>
      <c r="N3227" s="4" t="inlineStr">
        <is>
          <t>https://www.pricecharting.com/game/pokemon-shrouded-fable/3-pack-blister</t>
        </is>
      </c>
    </row>
    <row r="3228">
      <c r="A3228" s="2" t="inlineStr">
        <is>
          <t>Silver Tempest Basculin Checklane Blister</t>
        </is>
      </c>
      <c r="B3228" s="3">
        <f>IF(I3228&lt;&gt;"",I3228,IF(J3228&lt;&gt;"",J3228,IF(K3228&lt;&gt;"",K3228,L3228)))</f>
        <v>17.41</v>
      </c>
      <c r="C3228" s="3">
        <f>MEDIAN(I3228:L3228)</f>
        <v>17.41</v>
      </c>
      <c r="D3228" s="3">
        <f>ROUND(C3228*(1-Settings!$B$2),2)</f>
        <v>12.19</v>
      </c>
      <c r="E3228" s="3">
        <f>ROUND(C3228*(1-Settings!$B$3),2)</f>
        <v>12.19</v>
      </c>
      <c r="F3228" s="2" t="inlineStr">
        <is>
          <t>Pokemon</t>
        </is>
      </c>
      <c r="G3228" s="2" t="inlineStr">
        <is>
          <t>Pack</t>
        </is>
      </c>
      <c r="H3228" s="2" t="inlineStr">
        <is>
          <t>Silver Tempest</t>
        </is>
      </c>
      <c r="I3228" s="3" t="n">
        <v>17.41</v>
      </c>
      <c r="J3228" s="3" t="n"/>
      <c r="K3228" s="3" t="n"/>
      <c r="L3228" s="3" t="n"/>
      <c r="M3228" s="2" t="inlineStr">
        <is>
          <t>PriceCharting</t>
        </is>
      </c>
      <c r="N3228" s="4" t="inlineStr">
        <is>
          <t>https://www.pricecharting.com/game/pokemon-silver-tempest/basculin-checklane-blister</t>
        </is>
      </c>
    </row>
    <row r="3229">
      <c r="A3229" s="2" t="inlineStr">
        <is>
          <t>Silver Tempest Cranidos Checklane Blister</t>
        </is>
      </c>
      <c r="B3229" s="3">
        <f>IF(I3229&lt;&gt;"",I3229,IF(J3229&lt;&gt;"",J3229,IF(K3229&lt;&gt;"",K3229,L3229)))</f>
        <v>19.17</v>
      </c>
      <c r="C3229" s="3">
        <f>MEDIAN(I3229:L3229)</f>
        <v>19.17</v>
      </c>
      <c r="D3229" s="3">
        <f>ROUND(C3229*(1-Settings!$B$2),2)</f>
        <v>13.42</v>
      </c>
      <c r="E3229" s="3">
        <f>ROUND(C3229*(1-Settings!$B$3),2)</f>
        <v>13.42</v>
      </c>
      <c r="F3229" s="2" t="inlineStr">
        <is>
          <t>Pokemon</t>
        </is>
      </c>
      <c r="G3229" s="2" t="inlineStr">
        <is>
          <t>Pack</t>
        </is>
      </c>
      <c r="H3229" s="2" t="inlineStr">
        <is>
          <t>Silver Tempest</t>
        </is>
      </c>
      <c r="I3229" s="3" t="n">
        <v>19.17</v>
      </c>
      <c r="J3229" s="3" t="n"/>
      <c r="K3229" s="3" t="n"/>
      <c r="L3229" s="3" t="n"/>
      <c r="M3229" s="2" t="inlineStr">
        <is>
          <t>PriceCharting</t>
        </is>
      </c>
      <c r="N3229" s="4" t="inlineStr">
        <is>
          <t>https://www.pricecharting.com/game/pokemon-silver-tempest/cranidos-checklane-blister</t>
        </is>
      </c>
    </row>
    <row r="3230">
      <c r="A3230" s="2" t="inlineStr">
        <is>
          <t>Skyridge Blister Pack</t>
        </is>
      </c>
      <c r="B3230" s="3">
        <f>IF(I3230&lt;&gt;"",I3230,IF(J3230&lt;&gt;"",J3230,IF(K3230&lt;&gt;"",K3230,L3230)))</f>
        <v>6229.74</v>
      </c>
      <c r="C3230" s="3">
        <f>MEDIAN(I3230:L3230)</f>
        <v>6229.74</v>
      </c>
      <c r="D3230" s="3">
        <f>ROUND(C3230*(1-Settings!$B$2),2)</f>
        <v>4360.82</v>
      </c>
      <c r="E3230" s="3">
        <f>ROUND(C3230*(1-Settings!$B$3),2)</f>
        <v>4360.82</v>
      </c>
      <c r="F3230" s="2" t="inlineStr">
        <is>
          <t>Pokemon</t>
        </is>
      </c>
      <c r="G3230" s="2" t="inlineStr">
        <is>
          <t>Pack</t>
        </is>
      </c>
      <c r="H3230" s="2" t="inlineStr">
        <is>
          <t>Skyridge</t>
        </is>
      </c>
      <c r="I3230" s="3" t="n">
        <v>6229.74</v>
      </c>
      <c r="J3230" s="3" t="n"/>
      <c r="K3230" s="3" t="n"/>
      <c r="L3230" s="3" t="n"/>
      <c r="M3230" s="2" t="inlineStr">
        <is>
          <t>PriceCharting</t>
        </is>
      </c>
      <c r="N3230" s="4" t="inlineStr">
        <is>
          <t>https://www.pricecharting.com/game/pokemon-skyridge/blister-pack</t>
        </is>
      </c>
    </row>
    <row r="3231">
      <c r="A3231" s="2" t="inlineStr">
        <is>
          <t>Skyridge Booster Pack</t>
        </is>
      </c>
      <c r="B3231" s="3">
        <f>IF(I3231&lt;&gt;"",I3231,IF(J3231&lt;&gt;"",J3231,IF(K3231&lt;&gt;"",K3231,L3231)))</f>
        <v>3424.0</v>
      </c>
      <c r="C3231" s="3">
        <f>MEDIAN(I3231:L3231)</f>
        <v>3424.0</v>
      </c>
      <c r="D3231" s="3">
        <f>ROUND(C3231*(1-Settings!$B$2),2)</f>
        <v>2396.8</v>
      </c>
      <c r="E3231" s="3">
        <f>ROUND(C3231*(1-Settings!$B$3),2)</f>
        <v>2396.8</v>
      </c>
      <c r="F3231" s="2" t="inlineStr">
        <is>
          <t>Pokemon</t>
        </is>
      </c>
      <c r="G3231" s="2" t="inlineStr">
        <is>
          <t>Pack</t>
        </is>
      </c>
      <c r="H3231" s="2" t="inlineStr">
        <is>
          <t>Skyridge</t>
        </is>
      </c>
      <c r="I3231" s="3" t="n">
        <v>3424</v>
      </c>
      <c r="J3231" s="3" t="n"/>
      <c r="K3231" s="3" t="n"/>
      <c r="L3231" s="3" t="n"/>
      <c r="M3231" s="2" t="inlineStr">
        <is>
          <t>PriceCharting + TCGplayer</t>
        </is>
      </c>
      <c r="N3231" s="4" t="inlineStr">
        <is>
          <t>https://www.pricecharting.com/game/pokemon-skyridge/booster-pack</t>
        </is>
      </c>
      <c r="O3231" s="4" t="inlineStr">
        <is>
          <t>https://www.tcgplayer.com/product/138153</t>
        </is>
      </c>
    </row>
    <row r="3232">
      <c r="A3232" s="2" t="inlineStr">
        <is>
          <t>Burning Shadows 3 Pack Blister [Cosmog]</t>
        </is>
      </c>
      <c r="B3232" s="3">
        <f>IF(I3232&lt;&gt;"",I3232,IF(J3232&lt;&gt;"",J3232,IF(K3232&lt;&gt;"",K3232,L3232)))</f>
        <v>120.0</v>
      </c>
      <c r="C3232" s="3">
        <f>MEDIAN(I3232:L3232)</f>
        <v>129.99</v>
      </c>
      <c r="D3232" s="3">
        <f>ROUND(C3232*(1-Settings!$B$2),2)</f>
        <v>90.99</v>
      </c>
      <c r="E3232" s="3">
        <f>ROUND(C3232*(1-Settings!$B$3),2)</f>
        <v>90.99</v>
      </c>
      <c r="F3232" s="2" t="inlineStr">
        <is>
          <t>Pokemon</t>
        </is>
      </c>
      <c r="G3232" s="2" t="inlineStr">
        <is>
          <t>Pack</t>
        </is>
      </c>
      <c r="H3232" s="2" t="inlineStr">
        <is>
          <t>SM - Burning Shadows</t>
        </is>
      </c>
      <c r="I3232" s="3" t="n"/>
      <c r="J3232" s="3" t="n">
        <v>120</v>
      </c>
      <c r="K3232" s="3" t="n">
        <v>150.49</v>
      </c>
      <c r="L3232" s="3" t="n">
        <v>129.99</v>
      </c>
      <c r="M3232" s="2" t="inlineStr">
        <is>
          <t>TCGplayer</t>
        </is>
      </c>
      <c r="O3232" s="4" t="inlineStr">
        <is>
          <t>https://www.tcgplayer.com/product/136600</t>
        </is>
      </c>
    </row>
    <row r="3233">
      <c r="A3233" s="2" t="inlineStr">
        <is>
          <t>Burning Shadows Booster Pack</t>
        </is>
      </c>
      <c r="B3233" s="3">
        <f>IF(I3233&lt;&gt;"",I3233,IF(J3233&lt;&gt;"",J3233,IF(K3233&lt;&gt;"",K3233,L3233)))</f>
        <v>29.53</v>
      </c>
      <c r="C3233" s="3">
        <f>MEDIAN(I3233:L3233)</f>
        <v>30.175</v>
      </c>
      <c r="D3233" s="3">
        <f>ROUND(C3233*(1-Settings!$B$2),2)</f>
        <v>21.12</v>
      </c>
      <c r="E3233" s="3">
        <f>ROUND(C3233*(1-Settings!$B$3),2)</f>
        <v>21.12</v>
      </c>
      <c r="F3233" s="2" t="inlineStr">
        <is>
          <t>Pokemon</t>
        </is>
      </c>
      <c r="G3233" s="2" t="inlineStr">
        <is>
          <t>Pack</t>
        </is>
      </c>
      <c r="H3233" s="2" t="inlineStr">
        <is>
          <t>SM - Burning Shadows</t>
        </is>
      </c>
      <c r="I3233" s="3" t="n">
        <v>29.53</v>
      </c>
      <c r="J3233" s="3" t="n">
        <v>30.82</v>
      </c>
      <c r="K3233" s="3" t="n">
        <v>32.33</v>
      </c>
      <c r="L3233" s="3" t="n">
        <v>25.69</v>
      </c>
      <c r="M3233" s="2" t="inlineStr">
        <is>
          <t>PriceCharting + TCGplayer</t>
        </is>
      </c>
      <c r="N3233" s="4" t="inlineStr">
        <is>
          <t>https://www.pricecharting.com/game/pokemon-burning-shadows/booster-pack</t>
        </is>
      </c>
      <c r="O3233" s="4" t="inlineStr">
        <is>
          <t>https://www.tcgplayer.com/product/133774</t>
        </is>
      </c>
    </row>
    <row r="3234">
      <c r="A3234" s="2" t="inlineStr">
        <is>
          <t>Burning Shadows Single Pack Blister [Jangmo-o]</t>
        </is>
      </c>
      <c r="B3234" s="3">
        <f>IF(I3234&lt;&gt;"",I3234,IF(J3234&lt;&gt;"",J3234,IF(K3234&lt;&gt;"",K3234,L3234)))</f>
        <v>80.0</v>
      </c>
      <c r="C3234" s="3">
        <f>MEDIAN(I3234:L3234)</f>
        <v>80.0</v>
      </c>
      <c r="D3234" s="3">
        <f>ROUND(C3234*(1-Settings!$B$2),2)</f>
        <v>56.0</v>
      </c>
      <c r="E3234" s="3">
        <f>ROUND(C3234*(1-Settings!$B$3),2)</f>
        <v>56.0</v>
      </c>
      <c r="F3234" s="2" t="inlineStr">
        <is>
          <t>Pokemon</t>
        </is>
      </c>
      <c r="G3234" s="2" t="inlineStr">
        <is>
          <t>Pack</t>
        </is>
      </c>
      <c r="H3234" s="2" t="inlineStr">
        <is>
          <t>SM - Burning Shadows</t>
        </is>
      </c>
      <c r="I3234" s="3" t="n"/>
      <c r="J3234" s="3" t="n"/>
      <c r="K3234" s="3" t="n">
        <v>80</v>
      </c>
      <c r="L3234" s="3" t="n">
        <v>80</v>
      </c>
      <c r="M3234" s="2" t="inlineStr">
        <is>
          <t>TCGplayer</t>
        </is>
      </c>
      <c r="O3234" s="4" t="inlineStr">
        <is>
          <t>https://www.tcgplayer.com/product/136597</t>
        </is>
      </c>
    </row>
    <row r="3235">
      <c r="A3235" s="2" t="inlineStr">
        <is>
          <t>Burning Shadows Single Pack Blister [Komala]</t>
        </is>
      </c>
      <c r="B3235" s="3">
        <f>IF(I3235&lt;&gt;"",I3235,IF(J3235&lt;&gt;"",J3235,IF(K3235&lt;&gt;"",K3235,L3235)))</f>
        <v>43.99</v>
      </c>
      <c r="C3235" s="3">
        <f>MEDIAN(I3235:L3235)</f>
        <v>43.99</v>
      </c>
      <c r="D3235" s="3">
        <f>ROUND(C3235*(1-Settings!$B$2),2)</f>
        <v>30.79</v>
      </c>
      <c r="E3235" s="3">
        <f>ROUND(C3235*(1-Settings!$B$3),2)</f>
        <v>30.79</v>
      </c>
      <c r="F3235" s="2" t="inlineStr">
        <is>
          <t>Pokemon</t>
        </is>
      </c>
      <c r="G3235" s="2" t="inlineStr">
        <is>
          <t>Pack</t>
        </is>
      </c>
      <c r="H3235" s="2" t="inlineStr">
        <is>
          <t>SM - Burning Shadows</t>
        </is>
      </c>
      <c r="I3235" s="3" t="n"/>
      <c r="J3235" s="3" t="n">
        <v>43.99</v>
      </c>
      <c r="K3235" s="3" t="n"/>
      <c r="L3235" s="3" t="n"/>
      <c r="M3235" s="2" t="inlineStr">
        <is>
          <t>TCGplayer</t>
        </is>
      </c>
      <c r="O3235" s="4" t="inlineStr">
        <is>
          <t>https://www.tcgplayer.com/product/136598</t>
        </is>
      </c>
    </row>
    <row r="3236">
      <c r="A3236" s="2" t="inlineStr">
        <is>
          <t>Burning Shadows Sleeved Booster Pack</t>
        </is>
      </c>
      <c r="B3236" s="3">
        <f>IF(I3236&lt;&gt;"",I3236,IF(J3236&lt;&gt;"",J3236,IF(K3236&lt;&gt;"",K3236,L3236)))</f>
        <v>37.94</v>
      </c>
      <c r="C3236" s="3">
        <f>MEDIAN(I3236:L3236)</f>
        <v>36.735</v>
      </c>
      <c r="D3236" s="3">
        <f>ROUND(C3236*(1-Settings!$B$2),2)</f>
        <v>25.71</v>
      </c>
      <c r="E3236" s="3">
        <f>ROUND(C3236*(1-Settings!$B$3),2)</f>
        <v>25.71</v>
      </c>
      <c r="F3236" s="2" t="inlineStr">
        <is>
          <t>Pokemon</t>
        </is>
      </c>
      <c r="G3236" s="2" t="inlineStr">
        <is>
          <t>Pack</t>
        </is>
      </c>
      <c r="H3236" s="2" t="inlineStr">
        <is>
          <t>SM - Burning Shadows</t>
        </is>
      </c>
      <c r="I3236" s="3" t="n">
        <v>37.94</v>
      </c>
      <c r="J3236" s="3" t="n">
        <v>35.53</v>
      </c>
      <c r="K3236" s="3" t="n">
        <v>39.96</v>
      </c>
      <c r="L3236" s="3" t="n">
        <v>35</v>
      </c>
      <c r="M3236" s="2" t="inlineStr">
        <is>
          <t>PriceCharting + TCGplayer</t>
        </is>
      </c>
      <c r="N3236" s="4" t="inlineStr">
        <is>
          <t>https://www.pricecharting.com/game/pokemon-burning-shadows/sleeved-booster-pack</t>
        </is>
      </c>
      <c r="O3236" s="4" t="inlineStr">
        <is>
          <t>https://www.tcgplayer.com/product/550677</t>
        </is>
      </c>
    </row>
    <row r="3237">
      <c r="A3237" s="2" t="inlineStr">
        <is>
          <t>Celestial Storm 3 Pack Booster Blister [Tapu Lele]</t>
        </is>
      </c>
      <c r="B3237" s="3">
        <f>IF(I3237&lt;&gt;"",I3237,IF(J3237&lt;&gt;"",J3237,IF(K3237&lt;&gt;"",K3237,L3237)))</f>
        <v>229.99</v>
      </c>
      <c r="C3237" s="3">
        <f>MEDIAN(I3237:L3237)</f>
        <v>229.99</v>
      </c>
      <c r="D3237" s="3">
        <f>ROUND(C3237*(1-Settings!$B$2),2)</f>
        <v>160.99</v>
      </c>
      <c r="E3237" s="3">
        <f>ROUND(C3237*(1-Settings!$B$3),2)</f>
        <v>160.99</v>
      </c>
      <c r="F3237" s="2" t="inlineStr">
        <is>
          <t>Pokemon</t>
        </is>
      </c>
      <c r="G3237" s="2" t="inlineStr">
        <is>
          <t>Pack</t>
        </is>
      </c>
      <c r="H3237" s="2" t="inlineStr">
        <is>
          <t>SM - Celestial Storm</t>
        </is>
      </c>
      <c r="I3237" s="3" t="n"/>
      <c r="J3237" s="3" t="n"/>
      <c r="K3237" s="3" t="n"/>
      <c r="L3237" s="3" t="n">
        <v>229.99</v>
      </c>
      <c r="M3237" s="2" t="inlineStr">
        <is>
          <t>TCGplayer</t>
        </is>
      </c>
      <c r="O3237" s="4" t="inlineStr">
        <is>
          <t>https://www.tcgplayer.com/product/170276</t>
        </is>
      </c>
    </row>
    <row r="3238">
      <c r="A3238" s="2" t="inlineStr">
        <is>
          <t>Celestial Storm Booster Pack</t>
        </is>
      </c>
      <c r="B3238" s="3">
        <f>IF(I3238&lt;&gt;"",I3238,IF(J3238&lt;&gt;"",J3238,IF(K3238&lt;&gt;"",K3238,L3238)))</f>
        <v>111.14</v>
      </c>
      <c r="C3238" s="3">
        <f>MEDIAN(I3238:L3238)</f>
        <v>83.265</v>
      </c>
      <c r="D3238" s="3">
        <f>ROUND(C3238*(1-Settings!$B$2),2)</f>
        <v>58.29</v>
      </c>
      <c r="E3238" s="3">
        <f>ROUND(C3238*(1-Settings!$B$3),2)</f>
        <v>58.29</v>
      </c>
      <c r="F3238" s="2" t="inlineStr">
        <is>
          <t>Pokemon</t>
        </is>
      </c>
      <c r="G3238" s="2" t="inlineStr">
        <is>
          <t>Pack</t>
        </is>
      </c>
      <c r="H3238" s="2" t="inlineStr">
        <is>
          <t>SM - Celestial Storm</t>
        </is>
      </c>
      <c r="I3238" s="3" t="n">
        <v>111.14</v>
      </c>
      <c r="J3238" s="3" t="n">
        <v>66.54000000000001</v>
      </c>
      <c r="K3238" s="3" t="n">
        <v>99.98999999999999</v>
      </c>
      <c r="L3238" s="3" t="n">
        <v>29.98</v>
      </c>
      <c r="M3238" s="2" t="inlineStr">
        <is>
          <t>PriceCharting + TCGplayer</t>
        </is>
      </c>
      <c r="N3238" s="4" t="inlineStr">
        <is>
          <t>https://www.pricecharting.com/game/pokemon-celestial-storm/booster-pack</t>
        </is>
      </c>
      <c r="O3238" s="4" t="inlineStr">
        <is>
          <t>https://www.tcgplayer.com/product/170274</t>
        </is>
      </c>
    </row>
    <row r="3239">
      <c r="A3239" s="2" t="inlineStr">
        <is>
          <t>Celestial Storm Single Pack Blister [Tapu Bulu]</t>
        </is>
      </c>
      <c r="B3239" s="3">
        <f>IF(I3239&lt;&gt;"",I3239,IF(J3239&lt;&gt;"",J3239,IF(K3239&lt;&gt;"",K3239,L3239)))</f>
        <v>89.99</v>
      </c>
      <c r="C3239" s="3">
        <f>MEDIAN(I3239:L3239)</f>
        <v>90.0</v>
      </c>
      <c r="D3239" s="3">
        <f>ROUND(C3239*(1-Settings!$B$2),2)</f>
        <v>63.0</v>
      </c>
      <c r="E3239" s="3">
        <f>ROUND(C3239*(1-Settings!$B$3),2)</f>
        <v>63.0</v>
      </c>
      <c r="F3239" s="2" t="inlineStr">
        <is>
          <t>Pokemon</t>
        </is>
      </c>
      <c r="G3239" s="2" t="inlineStr">
        <is>
          <t>Pack</t>
        </is>
      </c>
      <c r="H3239" s="2" t="inlineStr">
        <is>
          <t>SM - Celestial Storm</t>
        </is>
      </c>
      <c r="I3239" s="3" t="n"/>
      <c r="J3239" s="3" t="n">
        <v>89.98999999999999</v>
      </c>
      <c r="K3239" s="3" t="n">
        <v>92.5</v>
      </c>
      <c r="L3239" s="3" t="n">
        <v>90</v>
      </c>
      <c r="M3239" s="2" t="inlineStr">
        <is>
          <t>TCGplayer</t>
        </is>
      </c>
      <c r="O3239" s="4" t="inlineStr">
        <is>
          <t>https://www.tcgplayer.com/product/177898</t>
        </is>
      </c>
    </row>
    <row r="3240">
      <c r="A3240" s="2" t="inlineStr">
        <is>
          <t>Celestial Storm Single Pack Blister [Tapu Fini]</t>
        </is>
      </c>
      <c r="B3240" s="3">
        <f>IF(I3240&lt;&gt;"",I3240,IF(J3240&lt;&gt;"",J3240,IF(K3240&lt;&gt;"",K3240,L3240)))</f>
        <v>89.99</v>
      </c>
      <c r="C3240" s="3">
        <f>MEDIAN(I3240:L3240)</f>
        <v>89.99</v>
      </c>
      <c r="D3240" s="3">
        <f>ROUND(C3240*(1-Settings!$B$2),2)</f>
        <v>62.99</v>
      </c>
      <c r="E3240" s="3">
        <f>ROUND(C3240*(1-Settings!$B$3),2)</f>
        <v>62.99</v>
      </c>
      <c r="F3240" s="2" t="inlineStr">
        <is>
          <t>Pokemon</t>
        </is>
      </c>
      <c r="G3240" s="2" t="inlineStr">
        <is>
          <t>Pack</t>
        </is>
      </c>
      <c r="H3240" s="2" t="inlineStr">
        <is>
          <t>SM - Celestial Storm</t>
        </is>
      </c>
      <c r="I3240" s="3" t="n"/>
      <c r="J3240" s="3" t="n">
        <v>89.98999999999999</v>
      </c>
      <c r="K3240" s="3" t="n">
        <v>99.98999999999999</v>
      </c>
      <c r="L3240" s="3" t="n">
        <v>86</v>
      </c>
      <c r="M3240" s="2" t="inlineStr">
        <is>
          <t>TCGplayer</t>
        </is>
      </c>
      <c r="O3240" s="4" t="inlineStr">
        <is>
          <t>https://www.tcgplayer.com/product/177899</t>
        </is>
      </c>
    </row>
    <row r="3241">
      <c r="A3241" s="2" t="inlineStr">
        <is>
          <t>Cosmic Eclipse Booster Pack</t>
        </is>
      </c>
      <c r="B3241" s="3">
        <f>IF(I3241&lt;&gt;"",I3241,IF(J3241&lt;&gt;"",J3241,IF(K3241&lt;&gt;"",K3241,L3241)))</f>
        <v>73.0</v>
      </c>
      <c r="C3241" s="3">
        <f>MEDIAN(I3241:L3241)</f>
        <v>72.575</v>
      </c>
      <c r="D3241" s="3">
        <f>ROUND(C3241*(1-Settings!$B$2),2)</f>
        <v>50.8</v>
      </c>
      <c r="E3241" s="3">
        <f>ROUND(C3241*(1-Settings!$B$3),2)</f>
        <v>50.8</v>
      </c>
      <c r="F3241" s="2" t="inlineStr">
        <is>
          <t>Pokemon</t>
        </is>
      </c>
      <c r="G3241" s="2" t="inlineStr">
        <is>
          <t>Pack</t>
        </is>
      </c>
      <c r="H3241" s="2" t="inlineStr">
        <is>
          <t>SM - Cosmic Eclipse</t>
        </is>
      </c>
      <c r="I3241" s="3" t="n">
        <v>73</v>
      </c>
      <c r="J3241" s="3" t="n">
        <v>72.15000000000001</v>
      </c>
      <c r="K3241" s="3" t="n">
        <v>91</v>
      </c>
      <c r="L3241" s="3" t="n">
        <v>68</v>
      </c>
      <c r="M3241" s="2" t="inlineStr">
        <is>
          <t>PriceCharting + TCGplayer</t>
        </is>
      </c>
      <c r="N3241" s="4" t="inlineStr">
        <is>
          <t>https://www.pricecharting.com/game/pokemon-cosmic-eclipse/booster-pack</t>
        </is>
      </c>
      <c r="O3241" s="4" t="inlineStr">
        <is>
          <t>https://www.tcgplayer.com/product/199263</t>
        </is>
      </c>
    </row>
    <row r="3242">
      <c r="A3242" s="2" t="inlineStr">
        <is>
          <t>Cosmic Eclipse Single Pack Blister [Mismagius]</t>
        </is>
      </c>
      <c r="B3242" s="3">
        <f>IF(I3242&lt;&gt;"",I3242,IF(J3242&lt;&gt;"",J3242,IF(K3242&lt;&gt;"",K3242,L3242)))</f>
        <v>186.47</v>
      </c>
      <c r="C3242" s="3">
        <f>MEDIAN(I3242:L3242)</f>
        <v>168.20499999999998</v>
      </c>
      <c r="D3242" s="3">
        <f>ROUND(C3242*(1-Settings!$B$2),2)</f>
        <v>117.74</v>
      </c>
      <c r="E3242" s="3">
        <f>ROUND(C3242*(1-Settings!$B$3),2)</f>
        <v>117.74</v>
      </c>
      <c r="F3242" s="2" t="inlineStr">
        <is>
          <t>Pokemon</t>
        </is>
      </c>
      <c r="G3242" s="2" t="inlineStr">
        <is>
          <t>Pack</t>
        </is>
      </c>
      <c r="H3242" s="2" t="inlineStr">
        <is>
          <t>SM - Cosmic Eclipse</t>
        </is>
      </c>
      <c r="I3242" s="3" t="n"/>
      <c r="J3242" s="3" t="n"/>
      <c r="K3242" s="3" t="n">
        <v>186.47</v>
      </c>
      <c r="L3242" s="3" t="n">
        <v>149.94</v>
      </c>
      <c r="M3242" s="2" t="inlineStr">
        <is>
          <t>TCGplayer</t>
        </is>
      </c>
      <c r="O3242" s="4" t="inlineStr">
        <is>
          <t>https://www.tcgplayer.com/product/199768</t>
        </is>
      </c>
    </row>
    <row r="3243">
      <c r="A3243" s="2" t="inlineStr">
        <is>
          <t>Cosmic Eclipse Single Pack Blister [Terrakion]</t>
        </is>
      </c>
      <c r="B3243" s="3">
        <f>IF(I3243&lt;&gt;"",I3243,IF(J3243&lt;&gt;"",J3243,IF(K3243&lt;&gt;"",K3243,L3243)))</f>
        <v>130.49</v>
      </c>
      <c r="C3243" s="3">
        <f>MEDIAN(I3243:L3243)</f>
        <v>140.0</v>
      </c>
      <c r="D3243" s="3">
        <f>ROUND(C3243*(1-Settings!$B$2),2)</f>
        <v>98.0</v>
      </c>
      <c r="E3243" s="3">
        <f>ROUND(C3243*(1-Settings!$B$3),2)</f>
        <v>98.0</v>
      </c>
      <c r="F3243" s="2" t="inlineStr">
        <is>
          <t>Pokemon</t>
        </is>
      </c>
      <c r="G3243" s="2" t="inlineStr">
        <is>
          <t>Pack</t>
        </is>
      </c>
      <c r="H3243" s="2" t="inlineStr">
        <is>
          <t>SM - Cosmic Eclipse</t>
        </is>
      </c>
      <c r="I3243" s="3" t="n"/>
      <c r="J3243" s="3" t="n">
        <v>130.49</v>
      </c>
      <c r="K3243" s="3" t="n">
        <v>200</v>
      </c>
      <c r="L3243" s="3" t="n">
        <v>140</v>
      </c>
      <c r="M3243" s="2" t="inlineStr">
        <is>
          <t>TCGplayer</t>
        </is>
      </c>
      <c r="O3243" s="4" t="inlineStr">
        <is>
          <t>https://www.tcgplayer.com/product/199769</t>
        </is>
      </c>
    </row>
    <row r="3244">
      <c r="A3244" s="2" t="inlineStr">
        <is>
          <t>SM - Cosmic Eclipse Sleeved Booster Pack</t>
        </is>
      </c>
      <c r="B3244" s="3">
        <f>IF(I3244&lt;&gt;"",I3244,IF(J3244&lt;&gt;"",J3244,IF(K3244&lt;&gt;"",K3244,L3244)))</f>
        <v>125.32</v>
      </c>
      <c r="C3244" s="3">
        <f>MEDIAN(I3244:L3244)</f>
        <v>125.32</v>
      </c>
      <c r="D3244" s="3">
        <f>ROUND(C3244*(1-Settings!$B$2),2)</f>
        <v>87.72</v>
      </c>
      <c r="E3244" s="3">
        <f>ROUND(C3244*(1-Settings!$B$3),2)</f>
        <v>87.72</v>
      </c>
      <c r="F3244" s="2" t="inlineStr">
        <is>
          <t>Pokemon</t>
        </is>
      </c>
      <c r="G3244" s="2" t="inlineStr">
        <is>
          <t>Pack</t>
        </is>
      </c>
      <c r="H3244" s="2" t="inlineStr">
        <is>
          <t>SM - Cosmic Eclipse</t>
        </is>
      </c>
      <c r="I3244" s="3" t="n"/>
      <c r="J3244" s="3" t="n">
        <v>125.32</v>
      </c>
      <c r="K3244" s="3" t="n">
        <v>136</v>
      </c>
      <c r="L3244" s="3" t="n">
        <v>121.99</v>
      </c>
      <c r="M3244" s="2" t="inlineStr">
        <is>
          <t>TCGplayer</t>
        </is>
      </c>
      <c r="O3244" s="4" t="inlineStr">
        <is>
          <t>https://www.tcgplayer.com/product/546609</t>
        </is>
      </c>
    </row>
    <row r="3245">
      <c r="A3245" s="2" t="inlineStr">
        <is>
          <t>Crimson Invasion 3 Pack Blister [Decidueye]</t>
        </is>
      </c>
      <c r="B3245" s="3">
        <f>IF(I3245&lt;&gt;"",I3245,IF(J3245&lt;&gt;"",J3245,IF(K3245&lt;&gt;"",K3245,L3245)))</f>
        <v>55.74</v>
      </c>
      <c r="C3245" s="3">
        <f>MEDIAN(I3245:L3245)</f>
        <v>55.74</v>
      </c>
      <c r="D3245" s="3">
        <f>ROUND(C3245*(1-Settings!$B$2),2)</f>
        <v>39.02</v>
      </c>
      <c r="E3245" s="3">
        <f>ROUND(C3245*(1-Settings!$B$3),2)</f>
        <v>39.02</v>
      </c>
      <c r="F3245" s="2" t="inlineStr">
        <is>
          <t>Pokemon</t>
        </is>
      </c>
      <c r="G3245" s="2" t="inlineStr">
        <is>
          <t>Pack</t>
        </is>
      </c>
      <c r="H3245" s="2" t="inlineStr">
        <is>
          <t>SM - Crimson Invasion</t>
        </is>
      </c>
      <c r="I3245" s="3" t="n"/>
      <c r="J3245" s="3" t="n">
        <v>55.74</v>
      </c>
      <c r="K3245" s="3" t="n"/>
      <c r="L3245" s="3" t="n"/>
      <c r="M3245" s="2" t="inlineStr">
        <is>
          <t>TCGplayer</t>
        </is>
      </c>
      <c r="O3245" s="4" t="inlineStr">
        <is>
          <t>https://www.tcgplayer.com/product/177872</t>
        </is>
      </c>
    </row>
    <row r="3246">
      <c r="A3246" s="2" t="inlineStr">
        <is>
          <t>Crimson Invasion 3 Pack Blister [Lucario]</t>
        </is>
      </c>
      <c r="B3246" s="3">
        <f>IF(I3246&lt;&gt;"",I3246,IF(J3246&lt;&gt;"",J3246,IF(K3246&lt;&gt;"",K3246,L3246)))</f>
        <v>55.74</v>
      </c>
      <c r="C3246" s="3">
        <f>MEDIAN(I3246:L3246)</f>
        <v>55.74</v>
      </c>
      <c r="D3246" s="3">
        <f>ROUND(C3246*(1-Settings!$B$2),2)</f>
        <v>39.02</v>
      </c>
      <c r="E3246" s="3">
        <f>ROUND(C3246*(1-Settings!$B$3),2)</f>
        <v>39.02</v>
      </c>
      <c r="F3246" s="2" t="inlineStr">
        <is>
          <t>Pokemon</t>
        </is>
      </c>
      <c r="G3246" s="2" t="inlineStr">
        <is>
          <t>Pack</t>
        </is>
      </c>
      <c r="H3246" s="2" t="inlineStr">
        <is>
          <t>SM - Crimson Invasion</t>
        </is>
      </c>
      <c r="I3246" s="3" t="n"/>
      <c r="J3246" s="3" t="n">
        <v>55.74</v>
      </c>
      <c r="K3246" s="3" t="n"/>
      <c r="L3246" s="3" t="n"/>
      <c r="M3246" s="2" t="inlineStr">
        <is>
          <t>TCGplayer</t>
        </is>
      </c>
      <c r="O3246" s="4" t="inlineStr">
        <is>
          <t>https://www.tcgplayer.com/product/177873</t>
        </is>
      </c>
    </row>
    <row r="3247">
      <c r="A3247" s="2" t="inlineStr">
        <is>
          <t>Crimson Invasion Booster Pack</t>
        </is>
      </c>
      <c r="B3247" s="3">
        <f>IF(I3247&lt;&gt;"",I3247,IF(J3247&lt;&gt;"",J3247,IF(K3247&lt;&gt;"",K3247,L3247)))</f>
        <v>19.83</v>
      </c>
      <c r="C3247" s="3">
        <f>MEDIAN(I3247:L3247)</f>
        <v>19.145</v>
      </c>
      <c r="D3247" s="3">
        <f>ROUND(C3247*(1-Settings!$B$2),2)</f>
        <v>13.4</v>
      </c>
      <c r="E3247" s="3">
        <f>ROUND(C3247*(1-Settings!$B$3),2)</f>
        <v>13.4</v>
      </c>
      <c r="F3247" s="2" t="inlineStr">
        <is>
          <t>Pokemon</t>
        </is>
      </c>
      <c r="G3247" s="2" t="inlineStr">
        <is>
          <t>Pack</t>
        </is>
      </c>
      <c r="H3247" s="2" t="inlineStr">
        <is>
          <t>SM - Crimson Invasion</t>
        </is>
      </c>
      <c r="I3247" s="3" t="n">
        <v>19.83</v>
      </c>
      <c r="J3247" s="3" t="n">
        <v>18.46</v>
      </c>
      <c r="K3247" s="3" t="n">
        <v>21.83</v>
      </c>
      <c r="L3247" s="3" t="n">
        <v>16</v>
      </c>
      <c r="M3247" s="2" t="inlineStr">
        <is>
          <t>PriceCharting + TCGplayer</t>
        </is>
      </c>
      <c r="N3247" s="4" t="inlineStr">
        <is>
          <t>https://www.pricecharting.com/game/pokemon-crimson-invasion/booster-pack</t>
        </is>
      </c>
      <c r="O3247" s="4" t="inlineStr">
        <is>
          <t>https://www.tcgplayer.com/product/146996</t>
        </is>
      </c>
    </row>
    <row r="3248">
      <c r="A3248" s="2" t="inlineStr">
        <is>
          <t>Crimson Invasion Single Pack Blister [Dhelmise]</t>
        </is>
      </c>
      <c r="B3248" s="3">
        <f>IF(I3248&lt;&gt;"",I3248,IF(J3248&lt;&gt;"",J3248,IF(K3248&lt;&gt;"",K3248,L3248)))</f>
        <v>33.84</v>
      </c>
      <c r="C3248" s="3">
        <f>MEDIAN(I3248:L3248)</f>
        <v>30.0</v>
      </c>
      <c r="D3248" s="3">
        <f>ROUND(C3248*(1-Settings!$B$2),2)</f>
        <v>21.0</v>
      </c>
      <c r="E3248" s="3">
        <f>ROUND(C3248*(1-Settings!$B$3),2)</f>
        <v>21.0</v>
      </c>
      <c r="F3248" s="2" t="inlineStr">
        <is>
          <t>Pokemon</t>
        </is>
      </c>
      <c r="G3248" s="2" t="inlineStr">
        <is>
          <t>Pack</t>
        </is>
      </c>
      <c r="H3248" s="2" t="inlineStr">
        <is>
          <t>SM - Crimson Invasion</t>
        </is>
      </c>
      <c r="I3248" s="3" t="n"/>
      <c r="J3248" s="3" t="n">
        <v>33.84</v>
      </c>
      <c r="K3248" s="3" t="n">
        <v>30</v>
      </c>
      <c r="L3248" s="3" t="n">
        <v>30</v>
      </c>
      <c r="M3248" s="2" t="inlineStr">
        <is>
          <t>TCGplayer</t>
        </is>
      </c>
      <c r="O3248" s="4" t="inlineStr">
        <is>
          <t>https://www.tcgplayer.com/product/177875</t>
        </is>
      </c>
    </row>
    <row r="3249">
      <c r="A3249" s="2" t="inlineStr">
        <is>
          <t>Forbidden Light 3 Pack Blister [Regigigas]</t>
        </is>
      </c>
      <c r="B3249" s="3">
        <f>IF(I3249&lt;&gt;"",I3249,IF(J3249&lt;&gt;"",J3249,IF(K3249&lt;&gt;"",K3249,L3249)))</f>
        <v>229.99</v>
      </c>
      <c r="C3249" s="3">
        <f>MEDIAN(I3249:L3249)</f>
        <v>229.99</v>
      </c>
      <c r="D3249" s="3">
        <f>ROUND(C3249*(1-Settings!$B$2),2)</f>
        <v>160.99</v>
      </c>
      <c r="E3249" s="3">
        <f>ROUND(C3249*(1-Settings!$B$3),2)</f>
        <v>160.99</v>
      </c>
      <c r="F3249" s="2" t="inlineStr">
        <is>
          <t>Pokemon</t>
        </is>
      </c>
      <c r="G3249" s="2" t="inlineStr">
        <is>
          <t>Pack</t>
        </is>
      </c>
      <c r="H3249" s="2" t="inlineStr">
        <is>
          <t>SM - Forbidden Light</t>
        </is>
      </c>
      <c r="I3249" s="3" t="n"/>
      <c r="J3249" s="3" t="n"/>
      <c r="K3249" s="3" t="n"/>
      <c r="L3249" s="3" t="n">
        <v>229.99</v>
      </c>
      <c r="M3249" s="2" t="inlineStr">
        <is>
          <t>TCGplayer</t>
        </is>
      </c>
      <c r="O3249" s="4" t="inlineStr">
        <is>
          <t>https://www.tcgplayer.com/product/164299</t>
        </is>
      </c>
    </row>
    <row r="3250">
      <c r="A3250" s="2" t="inlineStr">
        <is>
          <t>Forbidden Light Booster Pack</t>
        </is>
      </c>
      <c r="B3250" s="3">
        <f>IF(I3250&lt;&gt;"",I3250,IF(J3250&lt;&gt;"",J3250,IF(K3250&lt;&gt;"",K3250,L3250)))</f>
        <v>36.5</v>
      </c>
      <c r="C3250" s="3">
        <f>MEDIAN(I3250:L3250)</f>
        <v>44.805</v>
      </c>
      <c r="D3250" s="3">
        <f>ROUND(C3250*(1-Settings!$B$2),2)</f>
        <v>31.36</v>
      </c>
      <c r="E3250" s="3">
        <f>ROUND(C3250*(1-Settings!$B$3),2)</f>
        <v>31.36</v>
      </c>
      <c r="F3250" s="2" t="inlineStr">
        <is>
          <t>Pokemon</t>
        </is>
      </c>
      <c r="G3250" s="2" t="inlineStr">
        <is>
          <t>Pack</t>
        </is>
      </c>
      <c r="H3250" s="2" t="inlineStr">
        <is>
          <t>SM - Forbidden Light</t>
        </is>
      </c>
      <c r="I3250" s="3" t="n">
        <v>36.5</v>
      </c>
      <c r="J3250" s="3" t="n">
        <v>47.62</v>
      </c>
      <c r="K3250" s="3" t="n">
        <v>55.49</v>
      </c>
      <c r="L3250" s="3" t="n">
        <v>41.99</v>
      </c>
      <c r="M3250" s="2" t="inlineStr">
        <is>
          <t>PriceCharting + TCGplayer</t>
        </is>
      </c>
      <c r="N3250" s="4" t="inlineStr">
        <is>
          <t>https://www.pricecharting.com/game/pokemon-forbidden-light/booster-pack</t>
        </is>
      </c>
      <c r="O3250" s="4" t="inlineStr">
        <is>
          <t>https://www.tcgplayer.com/product/164297</t>
        </is>
      </c>
    </row>
    <row r="3251">
      <c r="A3251" s="2" t="inlineStr">
        <is>
          <t>Forbidden Light Single Pack Blister [Rockruff]</t>
        </is>
      </c>
      <c r="B3251" s="3">
        <f>IF(I3251&lt;&gt;"",I3251,IF(J3251&lt;&gt;"",J3251,IF(K3251&lt;&gt;"",K3251,L3251)))</f>
        <v>68.5</v>
      </c>
      <c r="C3251" s="3">
        <f>MEDIAN(I3251:L3251)</f>
        <v>68.5</v>
      </c>
      <c r="D3251" s="3">
        <f>ROUND(C3251*(1-Settings!$B$2),2)</f>
        <v>47.95</v>
      </c>
      <c r="E3251" s="3">
        <f>ROUND(C3251*(1-Settings!$B$3),2)</f>
        <v>47.95</v>
      </c>
      <c r="F3251" s="2" t="inlineStr">
        <is>
          <t>Pokemon</t>
        </is>
      </c>
      <c r="G3251" s="2" t="inlineStr">
        <is>
          <t>Pack</t>
        </is>
      </c>
      <c r="H3251" s="2" t="inlineStr">
        <is>
          <t>SM - Forbidden Light</t>
        </is>
      </c>
      <c r="I3251" s="3" t="n"/>
      <c r="J3251" s="3" t="n">
        <v>68.5</v>
      </c>
      <c r="K3251" s="3" t="n"/>
      <c r="L3251" s="3" t="n"/>
      <c r="M3251" s="2" t="inlineStr">
        <is>
          <t>TCGplayer</t>
        </is>
      </c>
      <c r="O3251" s="4" t="inlineStr">
        <is>
          <t>https://www.tcgplayer.com/product/164302</t>
        </is>
      </c>
    </row>
    <row r="3252">
      <c r="A3252" s="2" t="inlineStr">
        <is>
          <t>Guardians Rising 3 Pack Blister [Vikavolt]</t>
        </is>
      </c>
      <c r="B3252" s="3">
        <f>IF(I3252&lt;&gt;"",I3252,IF(J3252&lt;&gt;"",J3252,IF(K3252&lt;&gt;"",K3252,L3252)))</f>
        <v>116.99</v>
      </c>
      <c r="C3252" s="3">
        <f>MEDIAN(I3252:L3252)</f>
        <v>116.99</v>
      </c>
      <c r="D3252" s="3">
        <f>ROUND(C3252*(1-Settings!$B$2),2)</f>
        <v>81.89</v>
      </c>
      <c r="E3252" s="3">
        <f>ROUND(C3252*(1-Settings!$B$3),2)</f>
        <v>81.89</v>
      </c>
      <c r="F3252" s="2" t="inlineStr">
        <is>
          <t>Pokemon</t>
        </is>
      </c>
      <c r="G3252" s="2" t="inlineStr">
        <is>
          <t>Pack</t>
        </is>
      </c>
      <c r="H3252" s="2" t="inlineStr">
        <is>
          <t>SM - Guardians Rising</t>
        </is>
      </c>
      <c r="I3252" s="3" t="n"/>
      <c r="J3252" s="3" t="n"/>
      <c r="K3252" s="3" t="n">
        <v>116.99</v>
      </c>
      <c r="L3252" s="3" t="n">
        <v>116.99</v>
      </c>
      <c r="M3252" s="2" t="inlineStr">
        <is>
          <t>TCGplayer</t>
        </is>
      </c>
      <c r="O3252" s="4" t="inlineStr">
        <is>
          <t>https://www.tcgplayer.com/product/184339</t>
        </is>
      </c>
    </row>
    <row r="3253">
      <c r="A3253" s="2" t="inlineStr">
        <is>
          <t>Guardians Rising Booster Pack</t>
        </is>
      </c>
      <c r="B3253" s="3">
        <f>IF(I3253&lt;&gt;"",I3253,IF(J3253&lt;&gt;"",J3253,IF(K3253&lt;&gt;"",K3253,L3253)))</f>
        <v>21.07</v>
      </c>
      <c r="C3253" s="3">
        <f>MEDIAN(I3253:L3253)</f>
        <v>28.475</v>
      </c>
      <c r="D3253" s="3">
        <f>ROUND(C3253*(1-Settings!$B$2),2)</f>
        <v>19.93</v>
      </c>
      <c r="E3253" s="3">
        <f>ROUND(C3253*(1-Settings!$B$3),2)</f>
        <v>19.93</v>
      </c>
      <c r="F3253" s="2" t="inlineStr">
        <is>
          <t>Pokemon</t>
        </is>
      </c>
      <c r="G3253" s="2" t="inlineStr">
        <is>
          <t>Pack</t>
        </is>
      </c>
      <c r="H3253" s="2" t="inlineStr">
        <is>
          <t>SM - Guardians Rising</t>
        </is>
      </c>
      <c r="I3253" s="3" t="n">
        <v>21.07</v>
      </c>
      <c r="J3253" s="3" t="n">
        <v>35.88</v>
      </c>
      <c r="K3253" s="3" t="n">
        <v>39.99</v>
      </c>
      <c r="L3253" s="3" t="n">
        <v>14.99</v>
      </c>
      <c r="M3253" s="2" t="inlineStr">
        <is>
          <t>PriceCharting + TCGplayer</t>
        </is>
      </c>
      <c r="N3253" s="4" t="inlineStr">
        <is>
          <t>https://www.pricecharting.com/game/pokemon-guardians-rising/booster-pack</t>
        </is>
      </c>
      <c r="O3253" s="4" t="inlineStr">
        <is>
          <t>https://www.tcgplayer.com/product/129889</t>
        </is>
      </c>
    </row>
    <row r="3254">
      <c r="A3254" s="2" t="inlineStr">
        <is>
          <t>Guardians Rising Single Pack Blister [Alolan Persian]</t>
        </is>
      </c>
      <c r="B3254" s="3">
        <f>IF(I3254&lt;&gt;"",I3254,IF(J3254&lt;&gt;"",J3254,IF(K3254&lt;&gt;"",K3254,L3254)))</f>
        <v>92.39</v>
      </c>
      <c r="C3254" s="3">
        <f>MEDIAN(I3254:L3254)</f>
        <v>91.17</v>
      </c>
      <c r="D3254" s="3">
        <f>ROUND(C3254*(1-Settings!$B$2),2)</f>
        <v>63.82</v>
      </c>
      <c r="E3254" s="3">
        <f>ROUND(C3254*(1-Settings!$B$3),2)</f>
        <v>63.82</v>
      </c>
      <c r="F3254" s="2" t="inlineStr">
        <is>
          <t>Pokemon</t>
        </is>
      </c>
      <c r="G3254" s="2" t="inlineStr">
        <is>
          <t>Pack</t>
        </is>
      </c>
      <c r="H3254" s="2" t="inlineStr">
        <is>
          <t>SM - Guardians Rising</t>
        </is>
      </c>
      <c r="I3254" s="3" t="n"/>
      <c r="J3254" s="3" t="n"/>
      <c r="K3254" s="3" t="n">
        <v>92.39</v>
      </c>
      <c r="L3254" s="3" t="n">
        <v>89.95</v>
      </c>
      <c r="M3254" s="2" t="inlineStr">
        <is>
          <t>TCGplayer</t>
        </is>
      </c>
      <c r="O3254" s="4" t="inlineStr">
        <is>
          <t>https://www.tcgplayer.com/product/242964</t>
        </is>
      </c>
    </row>
    <row r="3255">
      <c r="A3255" s="2" t="inlineStr">
        <is>
          <t>Guardians Rising Single Pack Blister [Lurantis]</t>
        </is>
      </c>
      <c r="B3255" s="3">
        <f>IF(I3255&lt;&gt;"",I3255,IF(J3255&lt;&gt;"",J3255,IF(K3255&lt;&gt;"",K3255,L3255)))</f>
        <v>38.68</v>
      </c>
      <c r="C3255" s="3">
        <f>MEDIAN(I3255:L3255)</f>
        <v>54.0</v>
      </c>
      <c r="D3255" s="3">
        <f>ROUND(C3255*(1-Settings!$B$2),2)</f>
        <v>37.8</v>
      </c>
      <c r="E3255" s="3">
        <f>ROUND(C3255*(1-Settings!$B$3),2)</f>
        <v>37.8</v>
      </c>
      <c r="F3255" s="2" t="inlineStr">
        <is>
          <t>Pokemon</t>
        </is>
      </c>
      <c r="G3255" s="2" t="inlineStr">
        <is>
          <t>Pack</t>
        </is>
      </c>
      <c r="H3255" s="2" t="inlineStr">
        <is>
          <t>SM - Guardians Rising</t>
        </is>
      </c>
      <c r="I3255" s="3" t="n"/>
      <c r="J3255" s="3" t="n">
        <v>38.68</v>
      </c>
      <c r="K3255" s="3" t="n">
        <v>57.49</v>
      </c>
      <c r="L3255" s="3" t="n">
        <v>54</v>
      </c>
      <c r="M3255" s="2" t="inlineStr">
        <is>
          <t>TCGplayer</t>
        </is>
      </c>
      <c r="O3255" s="4" t="inlineStr">
        <is>
          <t>https://www.tcgplayer.com/product/184341</t>
        </is>
      </c>
    </row>
    <row r="3256">
      <c r="A3256" s="2" t="inlineStr">
        <is>
          <t>Guardians Rising Sleeved Booster Pack</t>
        </is>
      </c>
      <c r="B3256" s="3">
        <f>IF(I3256&lt;&gt;"",I3256,IF(J3256&lt;&gt;"",J3256,IF(K3256&lt;&gt;"",K3256,L3256)))</f>
        <v>40.0</v>
      </c>
      <c r="C3256" s="3">
        <f>MEDIAN(I3256:L3256)</f>
        <v>38.5</v>
      </c>
      <c r="D3256" s="3">
        <f>ROUND(C3256*(1-Settings!$B$2),2)</f>
        <v>26.95</v>
      </c>
      <c r="E3256" s="3">
        <f>ROUND(C3256*(1-Settings!$B$3),2)</f>
        <v>26.95</v>
      </c>
      <c r="F3256" s="2" t="inlineStr">
        <is>
          <t>Pokemon</t>
        </is>
      </c>
      <c r="G3256" s="2" t="inlineStr">
        <is>
          <t>Pack</t>
        </is>
      </c>
      <c r="H3256" s="2" t="inlineStr">
        <is>
          <t>SM - Guardians Rising</t>
        </is>
      </c>
      <c r="I3256" s="3" t="n">
        <v>40</v>
      </c>
      <c r="J3256" s="3" t="n">
        <v>36.89</v>
      </c>
      <c r="K3256" s="3" t="n">
        <v>49.99</v>
      </c>
      <c r="L3256" s="3" t="n">
        <v>37</v>
      </c>
      <c r="M3256" s="2" t="inlineStr">
        <is>
          <t>PriceCharting + TCGplayer</t>
        </is>
      </c>
      <c r="N3256" s="4" t="inlineStr">
        <is>
          <t>https://www.pricecharting.com/game/pokemon-guardians-rising/sleeved-booster-pack</t>
        </is>
      </c>
      <c r="O3256" s="4" t="inlineStr">
        <is>
          <t>https://www.tcgplayer.com/product/616825</t>
        </is>
      </c>
    </row>
    <row r="3257">
      <c r="A3257" s="2" t="inlineStr">
        <is>
          <t>Lost Thunder 3 Pack Blister [Altaria]</t>
        </is>
      </c>
      <c r="B3257" s="3">
        <f>IF(I3257&lt;&gt;"",I3257,IF(J3257&lt;&gt;"",J3257,IF(K3257&lt;&gt;"",K3257,L3257)))</f>
        <v>210.0</v>
      </c>
      <c r="C3257" s="3">
        <f>MEDIAN(I3257:L3257)</f>
        <v>210.0</v>
      </c>
      <c r="D3257" s="3">
        <f>ROUND(C3257*(1-Settings!$B$2),2)</f>
        <v>147.0</v>
      </c>
      <c r="E3257" s="3">
        <f>ROUND(C3257*(1-Settings!$B$3),2)</f>
        <v>147.0</v>
      </c>
      <c r="F3257" s="2" t="inlineStr">
        <is>
          <t>Pokemon</t>
        </is>
      </c>
      <c r="G3257" s="2" t="inlineStr">
        <is>
          <t>Pack</t>
        </is>
      </c>
      <c r="H3257" s="2" t="inlineStr">
        <is>
          <t>SM - Lost Thunder</t>
        </is>
      </c>
      <c r="I3257" s="3" t="n"/>
      <c r="J3257" s="3" t="n">
        <v>210</v>
      </c>
      <c r="K3257" s="3" t="n"/>
      <c r="L3257" s="3" t="n"/>
      <c r="M3257" s="2" t="inlineStr">
        <is>
          <t>TCGplayer</t>
        </is>
      </c>
      <c r="O3257" s="4" t="inlineStr">
        <is>
          <t>https://www.tcgplayer.com/product/177904</t>
        </is>
      </c>
    </row>
    <row r="3258">
      <c r="A3258" s="2" t="inlineStr">
        <is>
          <t>Lost Thunder Booster Pack</t>
        </is>
      </c>
      <c r="B3258" s="3">
        <f>IF(I3258&lt;&gt;"",I3258,IF(J3258&lt;&gt;"",J3258,IF(K3258&lt;&gt;"",K3258,L3258)))</f>
        <v>55.36</v>
      </c>
      <c r="C3258" s="3">
        <f>MEDIAN(I3258:L3258)</f>
        <v>56.739999999999995</v>
      </c>
      <c r="D3258" s="3">
        <f>ROUND(C3258*(1-Settings!$B$2),2)</f>
        <v>39.72</v>
      </c>
      <c r="E3258" s="3">
        <f>ROUND(C3258*(1-Settings!$B$3),2)</f>
        <v>39.72</v>
      </c>
      <c r="F3258" s="2" t="inlineStr">
        <is>
          <t>Pokemon</t>
        </is>
      </c>
      <c r="G3258" s="2" t="inlineStr">
        <is>
          <t>Pack</t>
        </is>
      </c>
      <c r="H3258" s="2" t="inlineStr">
        <is>
          <t>SM - Lost Thunder</t>
        </is>
      </c>
      <c r="I3258" s="3" t="n">
        <v>55.36</v>
      </c>
      <c r="J3258" s="3" t="n">
        <v>58.12</v>
      </c>
      <c r="K3258" s="3" t="n">
        <v>64.48999999999999</v>
      </c>
      <c r="L3258" s="3" t="n">
        <v>18</v>
      </c>
      <c r="M3258" s="2" t="inlineStr">
        <is>
          <t>PriceCharting + TCGplayer</t>
        </is>
      </c>
      <c r="N3258" s="4" t="inlineStr">
        <is>
          <t>https://www.pricecharting.com/game/pokemon-lost-thunder/booster-pack</t>
        </is>
      </c>
      <c r="O3258" s="4" t="inlineStr">
        <is>
          <t>https://www.tcgplayer.com/product/175510</t>
        </is>
      </c>
    </row>
    <row r="3259">
      <c r="A3259" s="2" t="inlineStr">
        <is>
          <t>Lost Thunder Single Pack Blister [Rowlett]</t>
        </is>
      </c>
      <c r="B3259" s="3">
        <f>IF(I3259&lt;&gt;"",I3259,IF(J3259&lt;&gt;"",J3259,IF(K3259&lt;&gt;"",K3259,L3259)))</f>
        <v>99.99</v>
      </c>
      <c r="C3259" s="3">
        <f>MEDIAN(I3259:L3259)</f>
        <v>90.99</v>
      </c>
      <c r="D3259" s="3">
        <f>ROUND(C3259*(1-Settings!$B$2),2)</f>
        <v>63.69</v>
      </c>
      <c r="E3259" s="3">
        <f>ROUND(C3259*(1-Settings!$B$3),2)</f>
        <v>63.69</v>
      </c>
      <c r="F3259" s="2" t="inlineStr">
        <is>
          <t>Pokemon</t>
        </is>
      </c>
      <c r="G3259" s="2" t="inlineStr">
        <is>
          <t>Pack</t>
        </is>
      </c>
      <c r="H3259" s="2" t="inlineStr">
        <is>
          <t>SM - Lost Thunder</t>
        </is>
      </c>
      <c r="I3259" s="3" t="n"/>
      <c r="J3259" s="3" t="n"/>
      <c r="K3259" s="3" t="n">
        <v>99.98999999999999</v>
      </c>
      <c r="L3259" s="3" t="n">
        <v>81.98999999999999</v>
      </c>
      <c r="M3259" s="2" t="inlineStr">
        <is>
          <t>TCGplayer</t>
        </is>
      </c>
      <c r="O3259" s="4" t="inlineStr">
        <is>
          <t>https://www.tcgplayer.com/product/177907</t>
        </is>
      </c>
    </row>
    <row r="3260">
      <c r="A3260" s="2" t="inlineStr">
        <is>
          <t>Lost Thunder Single Pack Blister [Salandit]</t>
        </is>
      </c>
      <c r="B3260" s="3">
        <f>IF(I3260&lt;&gt;"",I3260,IF(J3260&lt;&gt;"",J3260,IF(K3260&lt;&gt;"",K3260,L3260)))</f>
        <v>126.48</v>
      </c>
      <c r="C3260" s="3">
        <f>MEDIAN(I3260:L3260)</f>
        <v>125.74000000000001</v>
      </c>
      <c r="D3260" s="3">
        <f>ROUND(C3260*(1-Settings!$B$2),2)</f>
        <v>88.02</v>
      </c>
      <c r="E3260" s="3">
        <f>ROUND(C3260*(1-Settings!$B$3),2)</f>
        <v>88.02</v>
      </c>
      <c r="F3260" s="2" t="inlineStr">
        <is>
          <t>Pokemon</t>
        </is>
      </c>
      <c r="G3260" s="2" t="inlineStr">
        <is>
          <t>Pack</t>
        </is>
      </c>
      <c r="H3260" s="2" t="inlineStr">
        <is>
          <t>SM - Lost Thunder</t>
        </is>
      </c>
      <c r="I3260" s="3" t="n"/>
      <c r="J3260" s="3" t="n"/>
      <c r="K3260" s="3" t="n">
        <v>126.48</v>
      </c>
      <c r="L3260" s="3" t="n">
        <v>125</v>
      </c>
      <c r="M3260" s="2" t="inlineStr">
        <is>
          <t>TCGplayer</t>
        </is>
      </c>
      <c r="O3260" s="4" t="inlineStr">
        <is>
          <t>https://www.tcgplayer.com/product/177906</t>
        </is>
      </c>
    </row>
    <row r="3261">
      <c r="A3261" s="2" t="inlineStr">
        <is>
          <t>Team Up - Mini Booster Pack</t>
        </is>
      </c>
      <c r="B3261" s="3">
        <f>IF(I3261&lt;&gt;"",I3261,IF(J3261&lt;&gt;"",J3261,IF(K3261&lt;&gt;"",K3261,L3261)))</f>
        <v>69.99</v>
      </c>
      <c r="C3261" s="3">
        <f>MEDIAN(I3261:L3261)</f>
        <v>67.49</v>
      </c>
      <c r="D3261" s="3">
        <f>ROUND(C3261*(1-Settings!$B$2),2)</f>
        <v>47.24</v>
      </c>
      <c r="E3261" s="3">
        <f>ROUND(C3261*(1-Settings!$B$3),2)</f>
        <v>47.24</v>
      </c>
      <c r="F3261" s="2" t="inlineStr">
        <is>
          <t>Pokemon</t>
        </is>
      </c>
      <c r="G3261" s="2" t="inlineStr">
        <is>
          <t>Pack</t>
        </is>
      </c>
      <c r="H3261" s="2" t="inlineStr">
        <is>
          <t>SM - Team Up</t>
        </is>
      </c>
      <c r="I3261" s="3" t="n">
        <v>69.98999999999999</v>
      </c>
      <c r="J3261" s="3" t="n">
        <v>51.64</v>
      </c>
      <c r="K3261" s="3" t="n">
        <v>70</v>
      </c>
      <c r="L3261" s="3" t="n">
        <v>64.98999999999999</v>
      </c>
      <c r="M3261" s="2" t="inlineStr">
        <is>
          <t>PriceCharting + TCGplayer</t>
        </is>
      </c>
      <c r="N3261" s="4" t="inlineStr">
        <is>
          <t>https://www.pricecharting.com/game/pokemon-team-up/mini-booster-pack</t>
        </is>
      </c>
      <c r="O3261" s="4" t="inlineStr">
        <is>
          <t>https://www.tcgplayer.com/product/690691</t>
        </is>
      </c>
    </row>
    <row r="3262">
      <c r="A3262" s="2" t="inlineStr">
        <is>
          <t>Team Up Booster Pack</t>
        </is>
      </c>
      <c r="B3262" s="3">
        <f>IF(I3262&lt;&gt;"",I3262,IF(J3262&lt;&gt;"",J3262,IF(K3262&lt;&gt;"",K3262,L3262)))</f>
        <v>294.71</v>
      </c>
      <c r="C3262" s="3">
        <f>MEDIAN(I3262:L3262)</f>
        <v>305.865</v>
      </c>
      <c r="D3262" s="3">
        <f>ROUND(C3262*(1-Settings!$B$2),2)</f>
        <v>214.11</v>
      </c>
      <c r="E3262" s="3">
        <f>ROUND(C3262*(1-Settings!$B$3),2)</f>
        <v>214.11</v>
      </c>
      <c r="F3262" s="2" t="inlineStr">
        <is>
          <t>Pokemon</t>
        </is>
      </c>
      <c r="G3262" s="2" t="inlineStr">
        <is>
          <t>Pack</t>
        </is>
      </c>
      <c r="H3262" s="2" t="inlineStr">
        <is>
          <t>SM - Team Up</t>
        </is>
      </c>
      <c r="I3262" s="3" t="n">
        <v>294.71</v>
      </c>
      <c r="J3262" s="3" t="n">
        <v>317.02</v>
      </c>
      <c r="K3262" s="3" t="n">
        <v>399.99</v>
      </c>
      <c r="L3262" s="3" t="n">
        <v>119.99</v>
      </c>
      <c r="M3262" s="2" t="inlineStr">
        <is>
          <t>PriceCharting + TCGplayer</t>
        </is>
      </c>
      <c r="N3262" s="4" t="inlineStr">
        <is>
          <t>https://www.pricecharting.com/game/pokemon-team-up/booster-pack</t>
        </is>
      </c>
      <c r="O3262" s="4" t="inlineStr">
        <is>
          <t>https://www.tcgplayer.com/product/181699</t>
        </is>
      </c>
    </row>
    <row r="3263">
      <c r="A3263" s="2" t="inlineStr">
        <is>
          <t>Team Up Premium Checklane Blister [Gyarados]</t>
        </is>
      </c>
      <c r="B3263" s="3">
        <f>IF(I3263&lt;&gt;"",I3263,IF(J3263&lt;&gt;"",J3263,IF(K3263&lt;&gt;"",K3263,L3263)))</f>
        <v>750.0</v>
      </c>
      <c r="C3263" s="3">
        <f>MEDIAN(I3263:L3263)</f>
        <v>800.0</v>
      </c>
      <c r="D3263" s="3">
        <f>ROUND(C3263*(1-Settings!$B$2),2)</f>
        <v>560.0</v>
      </c>
      <c r="E3263" s="3">
        <f>ROUND(C3263*(1-Settings!$B$3),2)</f>
        <v>560.0</v>
      </c>
      <c r="F3263" s="2" t="inlineStr">
        <is>
          <t>Pokemon</t>
        </is>
      </c>
      <c r="G3263" s="2" t="inlineStr">
        <is>
          <t>Pack</t>
        </is>
      </c>
      <c r="H3263" s="2" t="inlineStr">
        <is>
          <t>SM - Team Up</t>
        </is>
      </c>
      <c r="I3263" s="3" t="n"/>
      <c r="J3263" s="3" t="n">
        <v>750</v>
      </c>
      <c r="K3263" s="3" t="n"/>
      <c r="L3263" s="3" t="n">
        <v>850</v>
      </c>
      <c r="M3263" s="2" t="inlineStr">
        <is>
          <t>TCGplayer</t>
        </is>
      </c>
      <c r="O3263" s="4" t="inlineStr">
        <is>
          <t>https://www.tcgplayer.com/product/624521</t>
        </is>
      </c>
    </row>
    <row r="3264">
      <c r="A3264" s="2" t="inlineStr">
        <is>
          <t>Team Up Premium Checklane Blister [Raichu]</t>
        </is>
      </c>
      <c r="B3264" s="3">
        <f>IF(I3264&lt;&gt;"",I3264,IF(J3264&lt;&gt;"",J3264,IF(K3264&lt;&gt;"",K3264,L3264)))</f>
        <v>750.0</v>
      </c>
      <c r="C3264" s="3">
        <f>MEDIAN(I3264:L3264)</f>
        <v>750.0</v>
      </c>
      <c r="D3264" s="3">
        <f>ROUND(C3264*(1-Settings!$B$2),2)</f>
        <v>525.0</v>
      </c>
      <c r="E3264" s="3">
        <f>ROUND(C3264*(1-Settings!$B$3),2)</f>
        <v>525.0</v>
      </c>
      <c r="F3264" s="2" t="inlineStr">
        <is>
          <t>Pokemon</t>
        </is>
      </c>
      <c r="G3264" s="2" t="inlineStr">
        <is>
          <t>Pack</t>
        </is>
      </c>
      <c r="H3264" s="2" t="inlineStr">
        <is>
          <t>SM - Team Up</t>
        </is>
      </c>
      <c r="I3264" s="3" t="n"/>
      <c r="J3264" s="3" t="n">
        <v>750</v>
      </c>
      <c r="K3264" s="3" t="n"/>
      <c r="L3264" s="3" t="n"/>
      <c r="M3264" s="2" t="inlineStr">
        <is>
          <t>TCGplayer</t>
        </is>
      </c>
      <c r="O3264" s="4" t="inlineStr">
        <is>
          <t>https://www.tcgplayer.com/product/624522</t>
        </is>
      </c>
    </row>
    <row r="3265">
      <c r="A3265" s="2" t="inlineStr">
        <is>
          <t>Team Up Single Pack Blister [Mimikyu]</t>
        </is>
      </c>
      <c r="B3265" s="3">
        <f>IF(I3265&lt;&gt;"",I3265,IF(J3265&lt;&gt;"",J3265,IF(K3265&lt;&gt;"",K3265,L3265)))</f>
        <v>384.19</v>
      </c>
      <c r="C3265" s="3">
        <f>MEDIAN(I3265:L3265)</f>
        <v>419.99</v>
      </c>
      <c r="D3265" s="3">
        <f>ROUND(C3265*(1-Settings!$B$2),2)</f>
        <v>293.99</v>
      </c>
      <c r="E3265" s="3">
        <f>ROUND(C3265*(1-Settings!$B$3),2)</f>
        <v>293.99</v>
      </c>
      <c r="F3265" s="2" t="inlineStr">
        <is>
          <t>Pokemon</t>
        </is>
      </c>
      <c r="G3265" s="2" t="inlineStr">
        <is>
          <t>Pack</t>
        </is>
      </c>
      <c r="H3265" s="2" t="inlineStr">
        <is>
          <t>SM - Team Up</t>
        </is>
      </c>
      <c r="I3265" s="3" t="n"/>
      <c r="J3265" s="3" t="n">
        <v>384.19</v>
      </c>
      <c r="K3265" s="3" t="n">
        <v>474.99</v>
      </c>
      <c r="L3265" s="3" t="n">
        <v>419.99</v>
      </c>
      <c r="M3265" s="2" t="inlineStr">
        <is>
          <t>TCGplayer</t>
        </is>
      </c>
      <c r="O3265" s="4" t="inlineStr">
        <is>
          <t>https://www.tcgplayer.com/product/181702</t>
        </is>
      </c>
    </row>
    <row r="3266">
      <c r="A3266" s="2" t="inlineStr">
        <is>
          <t>Team Up Sleeved Booster Pack</t>
        </is>
      </c>
      <c r="B3266" s="3">
        <f>IF(I3266&lt;&gt;"",I3266,IF(J3266&lt;&gt;"",J3266,IF(K3266&lt;&gt;"",K3266,L3266)))</f>
        <v>337.0</v>
      </c>
      <c r="C3266" s="3">
        <f>MEDIAN(I3266:L3266)</f>
        <v>346.61</v>
      </c>
      <c r="D3266" s="3">
        <f>ROUND(C3266*(1-Settings!$B$2),2)</f>
        <v>242.63</v>
      </c>
      <c r="E3266" s="3">
        <f>ROUND(C3266*(1-Settings!$B$3),2)</f>
        <v>242.63</v>
      </c>
      <c r="F3266" s="2" t="inlineStr">
        <is>
          <t>Pokemon</t>
        </is>
      </c>
      <c r="G3266" s="2" t="inlineStr">
        <is>
          <t>Pack</t>
        </is>
      </c>
      <c r="H3266" s="2" t="inlineStr">
        <is>
          <t>SM - Team Up</t>
        </is>
      </c>
      <c r="I3266" s="3" t="n">
        <v>337</v>
      </c>
      <c r="J3266" s="3" t="n">
        <v>343.22</v>
      </c>
      <c r="K3266" s="3" t="n">
        <v>452.98</v>
      </c>
      <c r="L3266" s="3" t="n">
        <v>350</v>
      </c>
      <c r="M3266" s="2" t="inlineStr">
        <is>
          <t>PriceCharting + TCGplayer</t>
        </is>
      </c>
      <c r="N3266" s="4" t="inlineStr">
        <is>
          <t>https://www.pricecharting.com/game/pokemon-team-up/sleeved-booster-pack</t>
        </is>
      </c>
      <c r="O3266" s="4" t="inlineStr">
        <is>
          <t>https://www.tcgplayer.com/product/524330</t>
        </is>
      </c>
    </row>
    <row r="3267">
      <c r="A3267" s="2" t="inlineStr">
        <is>
          <t>Ultra Prism 3 Pack Blister [Alolan Vulpix]</t>
        </is>
      </c>
      <c r="B3267" s="3">
        <f>IF(I3267&lt;&gt;"",I3267,IF(J3267&lt;&gt;"",J3267,IF(K3267&lt;&gt;"",K3267,L3267)))</f>
        <v>154.49</v>
      </c>
      <c r="C3267" s="3">
        <f>MEDIAN(I3267:L3267)</f>
        <v>154.49</v>
      </c>
      <c r="D3267" s="3">
        <f>ROUND(C3267*(1-Settings!$B$2),2)</f>
        <v>108.14</v>
      </c>
      <c r="E3267" s="3">
        <f>ROUND(C3267*(1-Settings!$B$3),2)</f>
        <v>108.14</v>
      </c>
      <c r="F3267" s="2" t="inlineStr">
        <is>
          <t>Pokemon</t>
        </is>
      </c>
      <c r="G3267" s="2" t="inlineStr">
        <is>
          <t>Pack</t>
        </is>
      </c>
      <c r="H3267" s="2" t="inlineStr">
        <is>
          <t>SM - Ultra Prism</t>
        </is>
      </c>
      <c r="I3267" s="3" t="n"/>
      <c r="J3267" s="3" t="n">
        <v>154.49</v>
      </c>
      <c r="K3267" s="3" t="n">
        <v>157.49</v>
      </c>
      <c r="L3267" s="3" t="n">
        <v>149.99</v>
      </c>
      <c r="M3267" s="2" t="inlineStr">
        <is>
          <t>TCGplayer</t>
        </is>
      </c>
      <c r="O3267" s="4" t="inlineStr">
        <is>
          <t>https://www.tcgplayer.com/product/162037</t>
        </is>
      </c>
    </row>
    <row r="3268">
      <c r="A3268" s="2" t="inlineStr">
        <is>
          <t>Ultra Prism 3 Pack Blister [Porygon-Z]</t>
        </is>
      </c>
      <c r="B3268" s="3">
        <f>IF(I3268&lt;&gt;"",I3268,IF(J3268&lt;&gt;"",J3268,IF(K3268&lt;&gt;"",K3268,L3268)))</f>
        <v>141.46</v>
      </c>
      <c r="C3268" s="3">
        <f>MEDIAN(I3268:L3268)</f>
        <v>159.99</v>
      </c>
      <c r="D3268" s="3">
        <f>ROUND(C3268*(1-Settings!$B$2),2)</f>
        <v>111.99</v>
      </c>
      <c r="E3268" s="3">
        <f>ROUND(C3268*(1-Settings!$B$3),2)</f>
        <v>111.99</v>
      </c>
      <c r="F3268" s="2" t="inlineStr">
        <is>
          <t>Pokemon</t>
        </is>
      </c>
      <c r="G3268" s="2" t="inlineStr">
        <is>
          <t>Pack</t>
        </is>
      </c>
      <c r="H3268" s="2" t="inlineStr">
        <is>
          <t>SM - Ultra Prism</t>
        </is>
      </c>
      <c r="I3268" s="3" t="n"/>
      <c r="J3268" s="3" t="n">
        <v>141.46</v>
      </c>
      <c r="K3268" s="3" t="n">
        <v>179.99</v>
      </c>
      <c r="L3268" s="3" t="n">
        <v>159.99</v>
      </c>
      <c r="M3268" s="2" t="inlineStr">
        <is>
          <t>TCGplayer</t>
        </is>
      </c>
      <c r="O3268" s="4" t="inlineStr">
        <is>
          <t>https://www.tcgplayer.com/product/162038</t>
        </is>
      </c>
    </row>
    <row r="3269">
      <c r="A3269" s="2" t="inlineStr">
        <is>
          <t>Ultra Prism Booster Pack</t>
        </is>
      </c>
      <c r="B3269" s="3">
        <f>IF(I3269&lt;&gt;"",I3269,IF(J3269&lt;&gt;"",J3269,IF(K3269&lt;&gt;"",K3269,L3269)))</f>
        <v>40.03</v>
      </c>
      <c r="C3269" s="3">
        <f>MEDIAN(I3269:L3269)</f>
        <v>45.010000000000005</v>
      </c>
      <c r="D3269" s="3">
        <f>ROUND(C3269*(1-Settings!$B$2),2)</f>
        <v>31.51</v>
      </c>
      <c r="E3269" s="3">
        <f>ROUND(C3269*(1-Settings!$B$3),2)</f>
        <v>31.51</v>
      </c>
      <c r="F3269" s="2" t="inlineStr">
        <is>
          <t>Pokemon</t>
        </is>
      </c>
      <c r="G3269" s="2" t="inlineStr">
        <is>
          <t>Pack</t>
        </is>
      </c>
      <c r="H3269" s="2" t="inlineStr">
        <is>
          <t>SM - Ultra Prism</t>
        </is>
      </c>
      <c r="I3269" s="3" t="n">
        <v>40.03</v>
      </c>
      <c r="J3269" s="3" t="n">
        <v>51.3</v>
      </c>
      <c r="K3269" s="3" t="n">
        <v>49.99</v>
      </c>
      <c r="L3269" s="3" t="n">
        <v>24.99</v>
      </c>
      <c r="M3269" s="2" t="inlineStr">
        <is>
          <t>PriceCharting + TCGplayer</t>
        </is>
      </c>
      <c r="N3269" s="4" t="inlineStr">
        <is>
          <t>https://www.pricecharting.com/game/pokemon-ultra-prism/booster-pack</t>
        </is>
      </c>
      <c r="O3269" s="4" t="inlineStr">
        <is>
          <t>https://www.tcgplayer.com/product/155662</t>
        </is>
      </c>
    </row>
    <row r="3270">
      <c r="A3270" s="2" t="inlineStr">
        <is>
          <t>Ultra Prism Single Pack Blister [Alolan Sandshrew]</t>
        </is>
      </c>
      <c r="B3270" s="3">
        <f>IF(I3270&lt;&gt;"",I3270,IF(J3270&lt;&gt;"",J3270,IF(K3270&lt;&gt;"",K3270,L3270)))</f>
        <v>148.47</v>
      </c>
      <c r="C3270" s="3">
        <f>MEDIAN(I3270:L3270)</f>
        <v>125.735</v>
      </c>
      <c r="D3270" s="3">
        <f>ROUND(C3270*(1-Settings!$B$2),2)</f>
        <v>88.01</v>
      </c>
      <c r="E3270" s="3">
        <f>ROUND(C3270*(1-Settings!$B$3),2)</f>
        <v>88.01</v>
      </c>
      <c r="F3270" s="2" t="inlineStr">
        <is>
          <t>Pokemon</t>
        </is>
      </c>
      <c r="G3270" s="2" t="inlineStr">
        <is>
          <t>Pack</t>
        </is>
      </c>
      <c r="H3270" s="2" t="inlineStr">
        <is>
          <t>SM - Ultra Prism</t>
        </is>
      </c>
      <c r="I3270" s="3" t="n"/>
      <c r="J3270" s="3" t="n"/>
      <c r="K3270" s="3" t="n">
        <v>148.47</v>
      </c>
      <c r="L3270" s="3" t="n">
        <v>103</v>
      </c>
      <c r="M3270" s="2" t="inlineStr">
        <is>
          <t>TCGplayer</t>
        </is>
      </c>
      <c r="O3270" s="4" t="inlineStr">
        <is>
          <t>https://www.tcgplayer.com/product/162039</t>
        </is>
      </c>
    </row>
    <row r="3271">
      <c r="A3271" s="2" t="inlineStr">
        <is>
          <t>Unbroken Bonds 3 Pack Blister [Sceptile]</t>
        </is>
      </c>
      <c r="B3271" s="3">
        <f>IF(I3271&lt;&gt;"",I3271,IF(J3271&lt;&gt;"",J3271,IF(K3271&lt;&gt;"",K3271,L3271)))</f>
        <v>249.74</v>
      </c>
      <c r="C3271" s="3">
        <f>MEDIAN(I3271:L3271)</f>
        <v>249.99</v>
      </c>
      <c r="D3271" s="3">
        <f>ROUND(C3271*(1-Settings!$B$2),2)</f>
        <v>174.99</v>
      </c>
      <c r="E3271" s="3">
        <f>ROUND(C3271*(1-Settings!$B$3),2)</f>
        <v>174.99</v>
      </c>
      <c r="F3271" s="2" t="inlineStr">
        <is>
          <t>Pokemon</t>
        </is>
      </c>
      <c r="G3271" s="2" t="inlineStr">
        <is>
          <t>Pack</t>
        </is>
      </c>
      <c r="H3271" s="2" t="inlineStr">
        <is>
          <t>SM - Unbroken Bonds</t>
        </is>
      </c>
      <c r="I3271" s="3" t="n"/>
      <c r="J3271" s="3" t="n">
        <v>249.74</v>
      </c>
      <c r="K3271" s="3" t="n">
        <v>284.97</v>
      </c>
      <c r="L3271" s="3" t="n">
        <v>249.99</v>
      </c>
      <c r="M3271" s="2" t="inlineStr">
        <is>
          <t>TCGplayer</t>
        </is>
      </c>
      <c r="O3271" s="4" t="inlineStr">
        <is>
          <t>https://www.tcgplayer.com/product/188410</t>
        </is>
      </c>
    </row>
    <row r="3272">
      <c r="A3272" s="2" t="inlineStr">
        <is>
          <t>Unbroken Bonds 3 Pack Blister [Typhlosion]</t>
        </is>
      </c>
      <c r="B3272" s="3">
        <f>IF(I3272&lt;&gt;"",I3272,IF(J3272&lt;&gt;"",J3272,IF(K3272&lt;&gt;"",K3272,L3272)))</f>
        <v>246.25</v>
      </c>
      <c r="C3272" s="3">
        <f>MEDIAN(I3272:L3272)</f>
        <v>299.87</v>
      </c>
      <c r="D3272" s="3">
        <f>ROUND(C3272*(1-Settings!$B$2),2)</f>
        <v>209.91</v>
      </c>
      <c r="E3272" s="3">
        <f>ROUND(C3272*(1-Settings!$B$3),2)</f>
        <v>209.91</v>
      </c>
      <c r="F3272" s="2" t="inlineStr">
        <is>
          <t>Pokemon</t>
        </is>
      </c>
      <c r="G3272" s="2" t="inlineStr">
        <is>
          <t>Pack</t>
        </is>
      </c>
      <c r="H3272" s="2" t="inlineStr">
        <is>
          <t>SM - Unbroken Bonds</t>
        </is>
      </c>
      <c r="I3272" s="3" t="n"/>
      <c r="J3272" s="3" t="n">
        <v>246.25</v>
      </c>
      <c r="K3272" s="3" t="n">
        <v>299.89</v>
      </c>
      <c r="L3272" s="3" t="n">
        <v>299.87</v>
      </c>
      <c r="M3272" s="2" t="inlineStr">
        <is>
          <t>TCGplayer</t>
        </is>
      </c>
      <c r="O3272" s="4" t="inlineStr">
        <is>
          <t>https://www.tcgplayer.com/product/188411</t>
        </is>
      </c>
    </row>
    <row r="3273">
      <c r="A3273" s="2" t="inlineStr">
        <is>
          <t>Unbroken Bonds Booster Pack</t>
        </is>
      </c>
      <c r="B3273" s="3">
        <f>IF(I3273&lt;&gt;"",I3273,IF(J3273&lt;&gt;"",J3273,IF(K3273&lt;&gt;"",K3273,L3273)))</f>
        <v>62.95</v>
      </c>
      <c r="C3273" s="3">
        <f>MEDIAN(I3273:L3273)</f>
        <v>65.43</v>
      </c>
      <c r="D3273" s="3">
        <f>ROUND(C3273*(1-Settings!$B$2),2)</f>
        <v>45.8</v>
      </c>
      <c r="E3273" s="3">
        <f>ROUND(C3273*(1-Settings!$B$3),2)</f>
        <v>45.8</v>
      </c>
      <c r="F3273" s="2" t="inlineStr">
        <is>
          <t>Pokemon</t>
        </is>
      </c>
      <c r="G3273" s="2" t="inlineStr">
        <is>
          <t>Pack</t>
        </is>
      </c>
      <c r="H3273" s="2" t="inlineStr">
        <is>
          <t>SM - Unbroken Bonds</t>
        </is>
      </c>
      <c r="I3273" s="3" t="n">
        <v>62.95</v>
      </c>
      <c r="J3273" s="3" t="n">
        <v>67.91</v>
      </c>
      <c r="K3273" s="3" t="n">
        <v>74</v>
      </c>
      <c r="L3273" s="3" t="n">
        <v>39.99</v>
      </c>
      <c r="M3273" s="2" t="inlineStr">
        <is>
          <t>PriceCharting + TCGplayer</t>
        </is>
      </c>
      <c r="N3273" s="4" t="inlineStr">
        <is>
          <t>https://www.pricecharting.com/game/pokemon-unbroken-bonds/booster-pack</t>
        </is>
      </c>
      <c r="O3273" s="4" t="inlineStr">
        <is>
          <t>https://www.tcgplayer.com/product/185718</t>
        </is>
      </c>
    </row>
    <row r="3274">
      <c r="A3274" s="2" t="inlineStr">
        <is>
          <t>Unbroken Bonds Single Pack Blister [Eevee]</t>
        </is>
      </c>
      <c r="B3274" s="3">
        <f>IF(I3274&lt;&gt;"",I3274,IF(J3274&lt;&gt;"",J3274,IF(K3274&lt;&gt;"",K3274,L3274)))</f>
        <v>86.69</v>
      </c>
      <c r="C3274" s="3">
        <f>MEDIAN(I3274:L3274)</f>
        <v>109.99</v>
      </c>
      <c r="D3274" s="3">
        <f>ROUND(C3274*(1-Settings!$B$2),2)</f>
        <v>76.99</v>
      </c>
      <c r="E3274" s="3">
        <f>ROUND(C3274*(1-Settings!$B$3),2)</f>
        <v>76.99</v>
      </c>
      <c r="F3274" s="2" t="inlineStr">
        <is>
          <t>Pokemon</t>
        </is>
      </c>
      <c r="G3274" s="2" t="inlineStr">
        <is>
          <t>Pack</t>
        </is>
      </c>
      <c r="H3274" s="2" t="inlineStr">
        <is>
          <t>SM - Unbroken Bonds</t>
        </is>
      </c>
      <c r="I3274" s="3" t="n"/>
      <c r="J3274" s="3" t="n">
        <v>86.69</v>
      </c>
      <c r="K3274" s="3" t="n">
        <v>112.44</v>
      </c>
      <c r="L3274" s="3" t="n">
        <v>109.99</v>
      </c>
      <c r="M3274" s="2" t="inlineStr">
        <is>
          <t>TCGplayer</t>
        </is>
      </c>
      <c r="O3274" s="4" t="inlineStr">
        <is>
          <t>https://www.tcgplayer.com/product/188412</t>
        </is>
      </c>
    </row>
    <row r="3275">
      <c r="A3275" s="2" t="inlineStr">
        <is>
          <t>Unbroken Bonds Single Pack Blister [Pikachu]</t>
        </is>
      </c>
      <c r="B3275" s="3">
        <f>IF(I3275&lt;&gt;"",I3275,IF(J3275&lt;&gt;"",J3275,IF(K3275&lt;&gt;"",K3275,L3275)))</f>
        <v>100.69</v>
      </c>
      <c r="C3275" s="3">
        <f>MEDIAN(I3275:L3275)</f>
        <v>108.68</v>
      </c>
      <c r="D3275" s="3">
        <f>ROUND(C3275*(1-Settings!$B$2),2)</f>
        <v>76.08</v>
      </c>
      <c r="E3275" s="3">
        <f>ROUND(C3275*(1-Settings!$B$3),2)</f>
        <v>76.08</v>
      </c>
      <c r="F3275" s="2" t="inlineStr">
        <is>
          <t>Pokemon</t>
        </is>
      </c>
      <c r="G3275" s="2" t="inlineStr">
        <is>
          <t>Pack</t>
        </is>
      </c>
      <c r="H3275" s="2" t="inlineStr">
        <is>
          <t>SM - Unbroken Bonds</t>
        </is>
      </c>
      <c r="I3275" s="3" t="n"/>
      <c r="J3275" s="3" t="n">
        <v>100.69</v>
      </c>
      <c r="K3275" s="3" t="n">
        <v>118.94</v>
      </c>
      <c r="L3275" s="3" t="n">
        <v>108.68</v>
      </c>
      <c r="M3275" s="2" t="inlineStr">
        <is>
          <t>TCGplayer</t>
        </is>
      </c>
      <c r="O3275" s="4" t="inlineStr">
        <is>
          <t>https://www.tcgplayer.com/product/188413</t>
        </is>
      </c>
    </row>
    <row r="3276">
      <c r="A3276" s="2" t="inlineStr">
        <is>
          <t>Unbroken Bonds Single Pack Blister [Steelix]</t>
        </is>
      </c>
      <c r="B3276" s="3">
        <f>IF(I3276&lt;&gt;"",I3276,IF(J3276&lt;&gt;"",J3276,IF(K3276&lt;&gt;"",K3276,L3276)))</f>
        <v>119.99</v>
      </c>
      <c r="C3276" s="3">
        <f>MEDIAN(I3276:L3276)</f>
        <v>119.99</v>
      </c>
      <c r="D3276" s="3">
        <f>ROUND(C3276*(1-Settings!$B$2),2)</f>
        <v>83.99</v>
      </c>
      <c r="E3276" s="3">
        <f>ROUND(C3276*(1-Settings!$B$3),2)</f>
        <v>83.99</v>
      </c>
      <c r="F3276" s="2" t="inlineStr">
        <is>
          <t>Pokemon</t>
        </is>
      </c>
      <c r="G3276" s="2" t="inlineStr">
        <is>
          <t>Pack</t>
        </is>
      </c>
      <c r="H3276" s="2" t="inlineStr">
        <is>
          <t>SM - Unbroken Bonds</t>
        </is>
      </c>
      <c r="I3276" s="3" t="n"/>
      <c r="J3276" s="3" t="n">
        <v>119.99</v>
      </c>
      <c r="K3276" s="3" t="n"/>
      <c r="L3276" s="3" t="n"/>
      <c r="M3276" s="2" t="inlineStr">
        <is>
          <t>TCGplayer</t>
        </is>
      </c>
      <c r="O3276" s="4" t="inlineStr">
        <is>
          <t>https://www.tcgplayer.com/product/240188</t>
        </is>
      </c>
    </row>
    <row r="3277">
      <c r="A3277" s="2" t="inlineStr">
        <is>
          <t>Unbroken Bonds Single Pack Blister [Wailord]</t>
        </is>
      </c>
      <c r="B3277" s="3">
        <f>IF(I3277&lt;&gt;"",I3277,IF(J3277&lt;&gt;"",J3277,IF(K3277&lt;&gt;"",K3277,L3277)))</f>
        <v>120.0</v>
      </c>
      <c r="C3277" s="3">
        <f>MEDIAN(I3277:L3277)</f>
        <v>120.0</v>
      </c>
      <c r="D3277" s="3">
        <f>ROUND(C3277*(1-Settings!$B$2),2)</f>
        <v>84.0</v>
      </c>
      <c r="E3277" s="3">
        <f>ROUND(C3277*(1-Settings!$B$3),2)</f>
        <v>84.0</v>
      </c>
      <c r="F3277" s="2" t="inlineStr">
        <is>
          <t>Pokemon</t>
        </is>
      </c>
      <c r="G3277" s="2" t="inlineStr">
        <is>
          <t>Pack</t>
        </is>
      </c>
      <c r="H3277" s="2" t="inlineStr">
        <is>
          <t>SM - Unbroken Bonds</t>
        </is>
      </c>
      <c r="I3277" s="3" t="n"/>
      <c r="J3277" s="3" t="n">
        <v>120</v>
      </c>
      <c r="K3277" s="3" t="n"/>
      <c r="L3277" s="3" t="n"/>
      <c r="M3277" s="2" t="inlineStr">
        <is>
          <t>TCGplayer</t>
        </is>
      </c>
      <c r="O3277" s="4" t="inlineStr">
        <is>
          <t>https://www.tcgplayer.com/product/240189</t>
        </is>
      </c>
    </row>
    <row r="3278">
      <c r="A3278" s="2" t="inlineStr">
        <is>
          <t>Unbroken Bonds Sleeved Booster Pack</t>
        </is>
      </c>
      <c r="B3278" s="3">
        <f>IF(I3278&lt;&gt;"",I3278,IF(J3278&lt;&gt;"",J3278,IF(K3278&lt;&gt;"",K3278,L3278)))</f>
        <v>86.66</v>
      </c>
      <c r="C3278" s="3">
        <f>MEDIAN(I3278:L3278)</f>
        <v>87.31</v>
      </c>
      <c r="D3278" s="3">
        <f>ROUND(C3278*(1-Settings!$B$2),2)</f>
        <v>61.12</v>
      </c>
      <c r="E3278" s="3">
        <f>ROUND(C3278*(1-Settings!$B$3),2)</f>
        <v>61.12</v>
      </c>
      <c r="F3278" s="2" t="inlineStr">
        <is>
          <t>Pokemon</t>
        </is>
      </c>
      <c r="G3278" s="2" t="inlineStr">
        <is>
          <t>Pack</t>
        </is>
      </c>
      <c r="H3278" s="2" t="inlineStr">
        <is>
          <t>SM - Unbroken Bonds</t>
        </is>
      </c>
      <c r="I3278" s="3" t="n">
        <v>86.66</v>
      </c>
      <c r="J3278" s="3" t="n">
        <v>87.95999999999999</v>
      </c>
      <c r="K3278" s="3" t="n"/>
      <c r="L3278" s="3" t="n"/>
      <c r="M3278" s="2" t="inlineStr">
        <is>
          <t>PriceCharting + TCGplayer</t>
        </is>
      </c>
      <c r="N3278" s="4" t="inlineStr">
        <is>
          <t>https://www.pricecharting.com/game/pokemon-unbroken-bonds/sleeved-booster-pack</t>
        </is>
      </c>
      <c r="O3278" s="4" t="inlineStr">
        <is>
          <t>https://www.tcgplayer.com/product/524331</t>
        </is>
      </c>
    </row>
    <row r="3279">
      <c r="A3279" s="2" t="inlineStr">
        <is>
          <t>Unified Minds 3 Pack Blister [Stakataka]</t>
        </is>
      </c>
      <c r="B3279" s="3">
        <f>IF(I3279&lt;&gt;"",I3279,IF(J3279&lt;&gt;"",J3279,IF(K3279&lt;&gt;"",K3279,L3279)))</f>
        <v>329.99</v>
      </c>
      <c r="C3279" s="3">
        <f>MEDIAN(I3279:L3279)</f>
        <v>319.995</v>
      </c>
      <c r="D3279" s="3">
        <f>ROUND(C3279*(1-Settings!$B$2),2)</f>
        <v>224.0</v>
      </c>
      <c r="E3279" s="3">
        <f>ROUND(C3279*(1-Settings!$B$3),2)</f>
        <v>224.0</v>
      </c>
      <c r="F3279" s="2" t="inlineStr">
        <is>
          <t>Pokemon</t>
        </is>
      </c>
      <c r="G3279" s="2" t="inlineStr">
        <is>
          <t>Pack</t>
        </is>
      </c>
      <c r="H3279" s="2" t="inlineStr">
        <is>
          <t>SM - Unified Minds</t>
        </is>
      </c>
      <c r="I3279" s="3" t="n"/>
      <c r="J3279" s="3" t="n"/>
      <c r="K3279" s="3" t="n">
        <v>329.99</v>
      </c>
      <c r="L3279" s="3" t="n">
        <v>310</v>
      </c>
      <c r="M3279" s="2" t="inlineStr">
        <is>
          <t>TCGplayer</t>
        </is>
      </c>
      <c r="O3279" s="4" t="inlineStr">
        <is>
          <t>https://www.tcgplayer.com/product/191884</t>
        </is>
      </c>
    </row>
    <row r="3280">
      <c r="A3280" s="2" t="inlineStr">
        <is>
          <t>Unified Minds 3 Pack Blister [Vikavolt]</t>
        </is>
      </c>
      <c r="B3280" s="3">
        <f>IF(I3280&lt;&gt;"",I3280,IF(J3280&lt;&gt;"",J3280,IF(K3280&lt;&gt;"",K3280,L3280)))</f>
        <v>328.9</v>
      </c>
      <c r="C3280" s="3">
        <f>MEDIAN(I3280:L3280)</f>
        <v>328.9</v>
      </c>
      <c r="D3280" s="3">
        <f>ROUND(C3280*(1-Settings!$B$2),2)</f>
        <v>230.23</v>
      </c>
      <c r="E3280" s="3">
        <f>ROUND(C3280*(1-Settings!$B$3),2)</f>
        <v>230.23</v>
      </c>
      <c r="F3280" s="2" t="inlineStr">
        <is>
          <t>Pokemon</t>
        </is>
      </c>
      <c r="G3280" s="2" t="inlineStr">
        <is>
          <t>Pack</t>
        </is>
      </c>
      <c r="H3280" s="2" t="inlineStr">
        <is>
          <t>SM - Unified Minds</t>
        </is>
      </c>
      <c r="I3280" s="3" t="n"/>
      <c r="J3280" s="3" t="n">
        <v>328.9</v>
      </c>
      <c r="K3280" s="3" t="n">
        <v>330</v>
      </c>
      <c r="L3280" s="3" t="n">
        <v>315</v>
      </c>
      <c r="M3280" s="2" t="inlineStr">
        <is>
          <t>TCGplayer</t>
        </is>
      </c>
      <c r="O3280" s="4" t="inlineStr">
        <is>
          <t>https://www.tcgplayer.com/product/191885</t>
        </is>
      </c>
    </row>
    <row r="3281">
      <c r="A3281" s="2" t="inlineStr">
        <is>
          <t>Unified Minds Booster Pack</t>
        </is>
      </c>
      <c r="B3281" s="3">
        <f>IF(I3281&lt;&gt;"",I3281,IF(J3281&lt;&gt;"",J3281,IF(K3281&lt;&gt;"",K3281,L3281)))</f>
        <v>69.68</v>
      </c>
      <c r="C3281" s="3">
        <f>MEDIAN(I3281:L3281)</f>
        <v>75.405</v>
      </c>
      <c r="D3281" s="3">
        <f>ROUND(C3281*(1-Settings!$B$2),2)</f>
        <v>52.78</v>
      </c>
      <c r="E3281" s="3">
        <f>ROUND(C3281*(1-Settings!$B$3),2)</f>
        <v>52.78</v>
      </c>
      <c r="F3281" s="2" t="inlineStr">
        <is>
          <t>Pokemon</t>
        </is>
      </c>
      <c r="G3281" s="2" t="inlineStr">
        <is>
          <t>Pack</t>
        </is>
      </c>
      <c r="H3281" s="2" t="inlineStr">
        <is>
          <t>SM - Unified Minds</t>
        </is>
      </c>
      <c r="I3281" s="3" t="n">
        <v>69.68000000000001</v>
      </c>
      <c r="J3281" s="3" t="n">
        <v>81.13</v>
      </c>
      <c r="K3281" s="3" t="n">
        <v>89.48999999999999</v>
      </c>
      <c r="L3281" s="3" t="n">
        <v>17.99</v>
      </c>
      <c r="M3281" s="2" t="inlineStr">
        <is>
          <t>PriceCharting + TCGplayer</t>
        </is>
      </c>
      <c r="N3281" s="4" t="inlineStr">
        <is>
          <t>https://www.pricecharting.com/game/pokemon-unified-minds/booster-pack</t>
        </is>
      </c>
      <c r="O3281" s="4" t="inlineStr">
        <is>
          <t>https://www.tcgplayer.com/product/191883</t>
        </is>
      </c>
    </row>
    <row r="3282">
      <c r="A3282" s="2" t="inlineStr">
        <is>
          <t>Unified Minds Mini Pack</t>
        </is>
      </c>
      <c r="B3282" s="3">
        <f>IF(I3282&lt;&gt;"",I3282,IF(J3282&lt;&gt;"",J3282,IF(K3282&lt;&gt;"",K3282,L3282)))</f>
        <v>20.7</v>
      </c>
      <c r="C3282" s="3">
        <f>MEDIAN(I3282:L3282)</f>
        <v>20.7</v>
      </c>
      <c r="D3282" s="3">
        <f>ROUND(C3282*(1-Settings!$B$2),2)</f>
        <v>14.49</v>
      </c>
      <c r="E3282" s="3">
        <f>ROUND(C3282*(1-Settings!$B$3),2)</f>
        <v>14.49</v>
      </c>
      <c r="F3282" s="2" t="inlineStr">
        <is>
          <t>Pokemon</t>
        </is>
      </c>
      <c r="G3282" s="2" t="inlineStr">
        <is>
          <t>Pack</t>
        </is>
      </c>
      <c r="H3282" s="2" t="inlineStr">
        <is>
          <t>SM - Unified Minds</t>
        </is>
      </c>
      <c r="I3282" s="3" t="n"/>
      <c r="J3282" s="3" t="n">
        <v>20.7</v>
      </c>
      <c r="K3282" s="3" t="n">
        <v>26.5</v>
      </c>
      <c r="L3282" s="3" t="n">
        <v>20.33</v>
      </c>
      <c r="M3282" s="2" t="inlineStr">
        <is>
          <t>TCGplayer</t>
        </is>
      </c>
      <c r="O3282" s="4" t="inlineStr">
        <is>
          <t>https://www.tcgplayer.com/product/686509</t>
        </is>
      </c>
    </row>
    <row r="3283">
      <c r="A3283" s="2" t="inlineStr">
        <is>
          <t>Unified Minds Premium Checklane Blister [Umbreon]</t>
        </is>
      </c>
      <c r="B3283" s="3">
        <f>IF(I3283&lt;&gt;"",I3283,IF(J3283&lt;&gt;"",J3283,IF(K3283&lt;&gt;"",K3283,L3283)))</f>
        <v>149.99</v>
      </c>
      <c r="C3283" s="3">
        <f>MEDIAN(I3283:L3283)</f>
        <v>149.99</v>
      </c>
      <c r="D3283" s="3">
        <f>ROUND(C3283*(1-Settings!$B$2),2)</f>
        <v>104.99</v>
      </c>
      <c r="E3283" s="3">
        <f>ROUND(C3283*(1-Settings!$B$3),2)</f>
        <v>104.99</v>
      </c>
      <c r="F3283" s="2" t="inlineStr">
        <is>
          <t>Pokemon</t>
        </is>
      </c>
      <c r="G3283" s="2" t="inlineStr">
        <is>
          <t>Pack</t>
        </is>
      </c>
      <c r="H3283" s="2" t="inlineStr">
        <is>
          <t>SM - Unified Minds</t>
        </is>
      </c>
      <c r="I3283" s="3" t="n"/>
      <c r="J3283" s="3" t="n">
        <v>149.99</v>
      </c>
      <c r="K3283" s="3" t="n"/>
      <c r="L3283" s="3" t="n"/>
      <c r="M3283" s="2" t="inlineStr">
        <is>
          <t>TCGplayer</t>
        </is>
      </c>
      <c r="O3283" s="4" t="inlineStr">
        <is>
          <t>https://www.tcgplayer.com/product/229579</t>
        </is>
      </c>
    </row>
    <row r="3284">
      <c r="A3284" s="2" t="inlineStr">
        <is>
          <t>Unified Minds Single Pack Blister [Pikachu]</t>
        </is>
      </c>
      <c r="B3284" s="3">
        <f>IF(I3284&lt;&gt;"",I3284,IF(J3284&lt;&gt;"",J3284,IF(K3284&lt;&gt;"",K3284,L3284)))</f>
        <v>200.0</v>
      </c>
      <c r="C3284" s="3">
        <f>MEDIAN(I3284:L3284)</f>
        <v>192.5</v>
      </c>
      <c r="D3284" s="3">
        <f>ROUND(C3284*(1-Settings!$B$2),2)</f>
        <v>134.75</v>
      </c>
      <c r="E3284" s="3">
        <f>ROUND(C3284*(1-Settings!$B$3),2)</f>
        <v>134.75</v>
      </c>
      <c r="F3284" s="2" t="inlineStr">
        <is>
          <t>Pokemon</t>
        </is>
      </c>
      <c r="G3284" s="2" t="inlineStr">
        <is>
          <t>Pack</t>
        </is>
      </c>
      <c r="H3284" s="2" t="inlineStr">
        <is>
          <t>SM - Unified Minds</t>
        </is>
      </c>
      <c r="I3284" s="3" t="n"/>
      <c r="J3284" s="3" t="n"/>
      <c r="K3284" s="3" t="n">
        <v>200</v>
      </c>
      <c r="L3284" s="3" t="n">
        <v>185</v>
      </c>
      <c r="M3284" s="2" t="inlineStr">
        <is>
          <t>TCGplayer</t>
        </is>
      </c>
      <c r="O3284" s="4" t="inlineStr">
        <is>
          <t>https://www.tcgplayer.com/product/191886</t>
        </is>
      </c>
    </row>
    <row r="3285">
      <c r="A3285" s="2" t="inlineStr">
        <is>
          <t>Unified Minds Single Pack Blister [Sudowoodo]</t>
        </is>
      </c>
      <c r="B3285" s="3">
        <f>IF(I3285&lt;&gt;"",I3285,IF(J3285&lt;&gt;"",J3285,IF(K3285&lt;&gt;"",K3285,L3285)))</f>
        <v>98.99</v>
      </c>
      <c r="C3285" s="3">
        <f>MEDIAN(I3285:L3285)</f>
        <v>148.01</v>
      </c>
      <c r="D3285" s="3">
        <f>ROUND(C3285*(1-Settings!$B$2),2)</f>
        <v>103.61</v>
      </c>
      <c r="E3285" s="3">
        <f>ROUND(C3285*(1-Settings!$B$3),2)</f>
        <v>103.61</v>
      </c>
      <c r="F3285" s="2" t="inlineStr">
        <is>
          <t>Pokemon</t>
        </is>
      </c>
      <c r="G3285" s="2" t="inlineStr">
        <is>
          <t>Pack</t>
        </is>
      </c>
      <c r="H3285" s="2" t="inlineStr">
        <is>
          <t>SM - Unified Minds</t>
        </is>
      </c>
      <c r="I3285" s="3" t="n"/>
      <c r="J3285" s="3" t="n">
        <v>98.98999999999999</v>
      </c>
      <c r="K3285" s="3" t="n">
        <v>150</v>
      </c>
      <c r="L3285" s="3" t="n">
        <v>148.01</v>
      </c>
      <c r="M3285" s="2" t="inlineStr">
        <is>
          <t>TCGplayer</t>
        </is>
      </c>
      <c r="O3285" s="4" t="inlineStr">
        <is>
          <t>https://www.tcgplayer.com/product/191887</t>
        </is>
      </c>
    </row>
    <row r="3286">
      <c r="A3286" s="2" t="inlineStr">
        <is>
          <t>Sun &amp; Moon Base Set 3 Pack Blister [Litten]</t>
        </is>
      </c>
      <c r="B3286" s="3">
        <f>IF(I3286&lt;&gt;"",I3286,IF(J3286&lt;&gt;"",J3286,IF(K3286&lt;&gt;"",K3286,L3286)))</f>
        <v>66.67</v>
      </c>
      <c r="C3286" s="3">
        <f>MEDIAN(I3286:L3286)</f>
        <v>66.67</v>
      </c>
      <c r="D3286" s="3">
        <f>ROUND(C3286*(1-Settings!$B$2),2)</f>
        <v>46.67</v>
      </c>
      <c r="E3286" s="3">
        <f>ROUND(C3286*(1-Settings!$B$3),2)</f>
        <v>46.67</v>
      </c>
      <c r="F3286" s="2" t="inlineStr">
        <is>
          <t>Pokemon</t>
        </is>
      </c>
      <c r="G3286" s="2" t="inlineStr">
        <is>
          <t>Pack</t>
        </is>
      </c>
      <c r="H3286" s="2" t="inlineStr">
        <is>
          <t>SM Base Set</t>
        </is>
      </c>
      <c r="I3286" s="3" t="n"/>
      <c r="J3286" s="3" t="n">
        <v>66.67</v>
      </c>
      <c r="K3286" s="3" t="n"/>
      <c r="L3286" s="3" t="n"/>
      <c r="M3286" s="2" t="inlineStr">
        <is>
          <t>TCGplayer</t>
        </is>
      </c>
      <c r="O3286" s="4" t="inlineStr">
        <is>
          <t>https://www.tcgplayer.com/product/126054</t>
        </is>
      </c>
    </row>
    <row r="3287">
      <c r="A3287" s="2" t="inlineStr">
        <is>
          <t>Sun &amp; Moon Booster Pack</t>
        </is>
      </c>
      <c r="B3287" s="3">
        <f>IF(I3287&lt;&gt;"",I3287,IF(J3287&lt;&gt;"",J3287,IF(K3287&lt;&gt;"",K3287,L3287)))</f>
        <v>23.19</v>
      </c>
      <c r="C3287" s="3">
        <f>MEDIAN(I3287:L3287)</f>
        <v>23.19</v>
      </c>
      <c r="D3287" s="3">
        <f>ROUND(C3287*(1-Settings!$B$2),2)</f>
        <v>16.23</v>
      </c>
      <c r="E3287" s="3">
        <f>ROUND(C3287*(1-Settings!$B$3),2)</f>
        <v>16.23</v>
      </c>
      <c r="F3287" s="2" t="inlineStr">
        <is>
          <t>Pokemon</t>
        </is>
      </c>
      <c r="G3287" s="2" t="inlineStr">
        <is>
          <t>Pack</t>
        </is>
      </c>
      <c r="H3287" s="2" t="inlineStr">
        <is>
          <t>SM Base Set</t>
        </is>
      </c>
      <c r="I3287" s="3" t="n"/>
      <c r="J3287" s="3" t="n">
        <v>23.19</v>
      </c>
      <c r="K3287" s="3" t="n">
        <v>24.99</v>
      </c>
      <c r="L3287" s="3" t="n">
        <v>20</v>
      </c>
      <c r="M3287" s="2" t="inlineStr">
        <is>
          <t>TCGplayer</t>
        </is>
      </c>
      <c r="O3287" s="4" t="inlineStr">
        <is>
          <t>https://www.tcgplayer.com/product/129385</t>
        </is>
      </c>
    </row>
    <row r="3288">
      <c r="A3288" s="2" t="inlineStr">
        <is>
          <t>Sun &amp; Moon Single Blister Pack [Pikipek]</t>
        </is>
      </c>
      <c r="B3288" s="3">
        <f>IF(I3288&lt;&gt;"",I3288,IF(J3288&lt;&gt;"",J3288,IF(K3288&lt;&gt;"",K3288,L3288)))</f>
        <v>124.99</v>
      </c>
      <c r="C3288" s="3">
        <f>MEDIAN(I3288:L3288)</f>
        <v>87.49</v>
      </c>
      <c r="D3288" s="3">
        <f>ROUND(C3288*(1-Settings!$B$2),2)</f>
        <v>61.24</v>
      </c>
      <c r="E3288" s="3">
        <f>ROUND(C3288*(1-Settings!$B$3),2)</f>
        <v>61.24</v>
      </c>
      <c r="F3288" s="2" t="inlineStr">
        <is>
          <t>Pokemon</t>
        </is>
      </c>
      <c r="G3288" s="2" t="inlineStr">
        <is>
          <t>Pack</t>
        </is>
      </c>
      <c r="H3288" s="2" t="inlineStr">
        <is>
          <t>SM Base Set</t>
        </is>
      </c>
      <c r="I3288" s="3" t="n"/>
      <c r="J3288" s="3" t="n"/>
      <c r="K3288" s="3" t="n">
        <v>124.99</v>
      </c>
      <c r="L3288" s="3" t="n">
        <v>49.99</v>
      </c>
      <c r="M3288" s="2" t="inlineStr">
        <is>
          <t>TCGplayer</t>
        </is>
      </c>
      <c r="O3288" s="4" t="inlineStr">
        <is>
          <t>https://www.tcgplayer.com/product/231690</t>
        </is>
      </c>
    </row>
    <row r="3289">
      <c r="A3289" s="2" t="inlineStr">
        <is>
          <t>Double Blaze Booster Pack</t>
        </is>
      </c>
      <c r="B3289" s="3">
        <f>IF(I3289&lt;&gt;"",I3289,IF(J3289&lt;&gt;"",J3289,IF(K3289&lt;&gt;"",K3289,L3289)))</f>
        <v>24.99</v>
      </c>
      <c r="C3289" s="3">
        <f>MEDIAN(I3289:L3289)</f>
        <v>24.99</v>
      </c>
      <c r="D3289" s="3">
        <f>ROUND(C3289*(1-Settings!$B$2),2)</f>
        <v>17.49</v>
      </c>
      <c r="E3289" s="3">
        <f>ROUND(C3289*(1-Settings!$B$3),2)</f>
        <v>17.49</v>
      </c>
      <c r="F3289" s="2" t="inlineStr">
        <is>
          <t>Pokemon</t>
        </is>
      </c>
      <c r="G3289" s="2" t="inlineStr">
        <is>
          <t>Pack</t>
        </is>
      </c>
      <c r="H3289" s="2" t="inlineStr">
        <is>
          <t>SM10: Double Blaze</t>
        </is>
      </c>
      <c r="I3289" s="3" t="n"/>
      <c r="J3289" s="3" t="n"/>
      <c r="K3289" s="3" t="n"/>
      <c r="L3289" s="3" t="n">
        <v>24.99</v>
      </c>
      <c r="M3289" s="2" t="inlineStr">
        <is>
          <t>TCGplayer</t>
        </is>
      </c>
      <c r="O3289" s="4" t="inlineStr">
        <is>
          <t>https://www.tcgplayer.com/product/576913</t>
        </is>
      </c>
    </row>
    <row r="3290">
      <c r="A3290" s="2" t="inlineStr">
        <is>
          <t>GG End Booster Pack</t>
        </is>
      </c>
      <c r="B3290" s="3">
        <f>IF(I3290&lt;&gt;"",I3290,IF(J3290&lt;&gt;"",J3290,IF(K3290&lt;&gt;"",K3290,L3290)))</f>
        <v>13.75</v>
      </c>
      <c r="C3290" s="3">
        <f>MEDIAN(I3290:L3290)</f>
        <v>11.875</v>
      </c>
      <c r="D3290" s="3">
        <f>ROUND(C3290*(1-Settings!$B$2),2)</f>
        <v>8.31</v>
      </c>
      <c r="E3290" s="3">
        <f>ROUND(C3290*(1-Settings!$B$3),2)</f>
        <v>8.31</v>
      </c>
      <c r="F3290" s="2" t="inlineStr">
        <is>
          <t>Pokemon</t>
        </is>
      </c>
      <c r="G3290" s="2" t="inlineStr">
        <is>
          <t>Pack</t>
        </is>
      </c>
      <c r="H3290" s="2" t="inlineStr">
        <is>
          <t>SM10a: GG End</t>
        </is>
      </c>
      <c r="I3290" s="3" t="n"/>
      <c r="J3290" s="3" t="n">
        <v>13.75</v>
      </c>
      <c r="K3290" s="3" t="n"/>
      <c r="L3290" s="3" t="n">
        <v>10</v>
      </c>
      <c r="M3290" s="2" t="inlineStr">
        <is>
          <t>TCGplayer</t>
        </is>
      </c>
      <c r="O3290" s="4" t="inlineStr">
        <is>
          <t>https://www.tcgplayer.com/product/576950</t>
        </is>
      </c>
    </row>
    <row r="3291">
      <c r="A3291" s="2" t="inlineStr">
        <is>
          <t>Sky Legend Booster Pack</t>
        </is>
      </c>
      <c r="B3291" s="3">
        <f>IF(I3291&lt;&gt;"",I3291,IF(J3291&lt;&gt;"",J3291,IF(K3291&lt;&gt;"",K3291,L3291)))</f>
        <v>17.49</v>
      </c>
      <c r="C3291" s="3">
        <f>MEDIAN(I3291:L3291)</f>
        <v>23.64</v>
      </c>
      <c r="D3291" s="3">
        <f>ROUND(C3291*(1-Settings!$B$2),2)</f>
        <v>16.55</v>
      </c>
      <c r="E3291" s="3">
        <f>ROUND(C3291*(1-Settings!$B$3),2)</f>
        <v>16.55</v>
      </c>
      <c r="F3291" s="2" t="inlineStr">
        <is>
          <t>Pokemon</t>
        </is>
      </c>
      <c r="G3291" s="2" t="inlineStr">
        <is>
          <t>Pack</t>
        </is>
      </c>
      <c r="H3291" s="2" t="inlineStr">
        <is>
          <t>SM10b: Sky Legend</t>
        </is>
      </c>
      <c r="I3291" s="3" t="n"/>
      <c r="J3291" s="3" t="n">
        <v>17.49</v>
      </c>
      <c r="K3291" s="3" t="n"/>
      <c r="L3291" s="3" t="n">
        <v>29.79</v>
      </c>
      <c r="M3291" s="2" t="inlineStr">
        <is>
          <t>TCGplayer</t>
        </is>
      </c>
      <c r="O3291" s="4" t="inlineStr">
        <is>
          <t>https://www.tcgplayer.com/product/576952</t>
        </is>
      </c>
    </row>
    <row r="3292">
      <c r="A3292" s="2" t="inlineStr">
        <is>
          <t>Miracle Twin Booster Pack</t>
        </is>
      </c>
      <c r="B3292" s="3">
        <f>IF(I3292&lt;&gt;"",I3292,IF(J3292&lt;&gt;"",J3292,IF(K3292&lt;&gt;"",K3292,L3292)))</f>
        <v>24.56</v>
      </c>
      <c r="C3292" s="3">
        <f>MEDIAN(I3292:L3292)</f>
        <v>15.78</v>
      </c>
      <c r="D3292" s="3">
        <f>ROUND(C3292*(1-Settings!$B$2),2)</f>
        <v>11.05</v>
      </c>
      <c r="E3292" s="3">
        <f>ROUND(C3292*(1-Settings!$B$3),2)</f>
        <v>11.05</v>
      </c>
      <c r="F3292" s="2" t="inlineStr">
        <is>
          <t>Pokemon</t>
        </is>
      </c>
      <c r="G3292" s="2" t="inlineStr">
        <is>
          <t>Pack</t>
        </is>
      </c>
      <c r="H3292" s="2" t="inlineStr">
        <is>
          <t>SM11: Miracle Twin</t>
        </is>
      </c>
      <c r="I3292" s="3" t="n"/>
      <c r="J3292" s="3" t="n">
        <v>24.56</v>
      </c>
      <c r="K3292" s="3" t="n"/>
      <c r="L3292" s="3" t="n">
        <v>7</v>
      </c>
      <c r="M3292" s="2" t="inlineStr">
        <is>
          <t>TCGplayer</t>
        </is>
      </c>
      <c r="O3292" s="4" t="inlineStr">
        <is>
          <t>https://www.tcgplayer.com/product/576916</t>
        </is>
      </c>
    </row>
    <row r="3293">
      <c r="A3293" s="2" t="inlineStr">
        <is>
          <t>Remix Bout Booster Pack</t>
        </is>
      </c>
      <c r="B3293" s="3">
        <f>IF(I3293&lt;&gt;"",I3293,IF(J3293&lt;&gt;"",J3293,IF(K3293&lt;&gt;"",K3293,L3293)))</f>
        <v>16.44</v>
      </c>
      <c r="C3293" s="3">
        <f>MEDIAN(I3293:L3293)</f>
        <v>18.22</v>
      </c>
      <c r="D3293" s="3">
        <f>ROUND(C3293*(1-Settings!$B$2),2)</f>
        <v>12.75</v>
      </c>
      <c r="E3293" s="3">
        <f>ROUND(C3293*(1-Settings!$B$3),2)</f>
        <v>12.75</v>
      </c>
      <c r="F3293" s="2" t="inlineStr">
        <is>
          <t>Pokemon</t>
        </is>
      </c>
      <c r="G3293" s="2" t="inlineStr">
        <is>
          <t>Pack</t>
        </is>
      </c>
      <c r="H3293" s="2" t="inlineStr">
        <is>
          <t>SM11a: Remix Bout</t>
        </is>
      </c>
      <c r="I3293" s="3" t="n"/>
      <c r="J3293" s="3" t="n">
        <v>16.44</v>
      </c>
      <c r="K3293" s="3" t="n"/>
      <c r="L3293" s="3" t="n">
        <v>20</v>
      </c>
      <c r="M3293" s="2" t="inlineStr">
        <is>
          <t>TCGplayer</t>
        </is>
      </c>
      <c r="O3293" s="4" t="inlineStr">
        <is>
          <t>https://www.tcgplayer.com/product/576954</t>
        </is>
      </c>
    </row>
    <row r="3294">
      <c r="A3294" s="2" t="inlineStr">
        <is>
          <t>Dream League Booster Pack</t>
        </is>
      </c>
      <c r="B3294" s="3">
        <f>IF(I3294&lt;&gt;"",I3294,IF(J3294&lt;&gt;"",J3294,IF(K3294&lt;&gt;"",K3294,L3294)))</f>
        <v>38.31</v>
      </c>
      <c r="C3294" s="3">
        <f>MEDIAN(I3294:L3294)</f>
        <v>39.105000000000004</v>
      </c>
      <c r="D3294" s="3">
        <f>ROUND(C3294*(1-Settings!$B$2),2)</f>
        <v>27.37</v>
      </c>
      <c r="E3294" s="3">
        <f>ROUND(C3294*(1-Settings!$B$3),2)</f>
        <v>27.37</v>
      </c>
      <c r="F3294" s="2" t="inlineStr">
        <is>
          <t>Pokemon</t>
        </is>
      </c>
      <c r="G3294" s="2" t="inlineStr">
        <is>
          <t>Pack</t>
        </is>
      </c>
      <c r="H3294" s="2" t="inlineStr">
        <is>
          <t>SM11b: Dream League</t>
        </is>
      </c>
      <c r="I3294" s="3" t="n"/>
      <c r="J3294" s="3" t="n">
        <v>38.31</v>
      </c>
      <c r="K3294" s="3" t="n"/>
      <c r="L3294" s="3" t="n">
        <v>39.9</v>
      </c>
      <c r="M3294" s="2" t="inlineStr">
        <is>
          <t>TCGplayer</t>
        </is>
      </c>
      <c r="O3294" s="4" t="inlineStr">
        <is>
          <t>https://www.tcgplayer.com/product/576956</t>
        </is>
      </c>
    </row>
    <row r="3295">
      <c r="A3295" s="2" t="inlineStr">
        <is>
          <t>Alter Genesis Booster Pack</t>
        </is>
      </c>
      <c r="B3295" s="3">
        <f>IF(I3295&lt;&gt;"",I3295,IF(J3295&lt;&gt;"",J3295,IF(K3295&lt;&gt;"",K3295,L3295)))</f>
        <v>14.17</v>
      </c>
      <c r="C3295" s="3">
        <f>MEDIAN(I3295:L3295)</f>
        <v>13.085</v>
      </c>
      <c r="D3295" s="3">
        <f>ROUND(C3295*(1-Settings!$B$2),2)</f>
        <v>9.16</v>
      </c>
      <c r="E3295" s="3">
        <f>ROUND(C3295*(1-Settings!$B$3),2)</f>
        <v>9.16</v>
      </c>
      <c r="F3295" s="2" t="inlineStr">
        <is>
          <t>Pokemon</t>
        </is>
      </c>
      <c r="G3295" s="2" t="inlineStr">
        <is>
          <t>Pack</t>
        </is>
      </c>
      <c r="H3295" s="2" t="inlineStr">
        <is>
          <t>SM12: Alter Genesis</t>
        </is>
      </c>
      <c r="I3295" s="3" t="n"/>
      <c r="J3295" s="3" t="n">
        <v>14.17</v>
      </c>
      <c r="K3295" s="3" t="n"/>
      <c r="L3295" s="3" t="n">
        <v>12</v>
      </c>
      <c r="M3295" s="2" t="inlineStr">
        <is>
          <t>TCGplayer</t>
        </is>
      </c>
      <c r="O3295" s="4" t="inlineStr">
        <is>
          <t>https://www.tcgplayer.com/product/576918</t>
        </is>
      </c>
    </row>
    <row r="3296">
      <c r="A3296" s="2" t="inlineStr">
        <is>
          <t>TAG TEAM GX: Tag All Stars Booster Pack</t>
        </is>
      </c>
      <c r="B3296" s="3">
        <f>IF(I3296&lt;&gt;"",I3296,IF(J3296&lt;&gt;"",J3296,IF(K3296&lt;&gt;"",K3296,L3296)))</f>
        <v>115.97</v>
      </c>
      <c r="C3296" s="3">
        <f>MEDIAN(I3296:L3296)</f>
        <v>117.97999999999999</v>
      </c>
      <c r="D3296" s="3">
        <f>ROUND(C3296*(1-Settings!$B$2),2)</f>
        <v>82.59</v>
      </c>
      <c r="E3296" s="3">
        <f>ROUND(C3296*(1-Settings!$B$3),2)</f>
        <v>82.59</v>
      </c>
      <c r="F3296" s="2" t="inlineStr">
        <is>
          <t>Pokemon</t>
        </is>
      </c>
      <c r="G3296" s="2" t="inlineStr">
        <is>
          <t>Pack</t>
        </is>
      </c>
      <c r="H3296" s="2" t="inlineStr">
        <is>
          <t>SM12a: TAG TEAM GX: Tag All Stars</t>
        </is>
      </c>
      <c r="I3296" s="3" t="n"/>
      <c r="J3296" s="3" t="n">
        <v>115.97</v>
      </c>
      <c r="K3296" s="3" t="n"/>
      <c r="L3296" s="3" t="n">
        <v>119.99</v>
      </c>
      <c r="M3296" s="2" t="inlineStr">
        <is>
          <t>TCGplayer</t>
        </is>
      </c>
      <c r="O3296" s="4" t="inlineStr">
        <is>
          <t>https://www.tcgplayer.com/product/576963</t>
        </is>
      </c>
    </row>
    <row r="3297">
      <c r="A3297" s="2" t="inlineStr">
        <is>
          <t>Shining Legends Booster Pack</t>
        </is>
      </c>
      <c r="B3297" s="3">
        <f>IF(I3297&lt;&gt;"",I3297,IF(J3297&lt;&gt;"",J3297,IF(K3297&lt;&gt;"",K3297,L3297)))</f>
        <v>239.01</v>
      </c>
      <c r="C3297" s="3">
        <f>MEDIAN(I3297:L3297)</f>
        <v>239.01</v>
      </c>
      <c r="D3297" s="3">
        <f>ROUND(C3297*(1-Settings!$B$2),2)</f>
        <v>167.31</v>
      </c>
      <c r="E3297" s="3">
        <f>ROUND(C3297*(1-Settings!$B$3),2)</f>
        <v>167.31</v>
      </c>
      <c r="F3297" s="2" t="inlineStr">
        <is>
          <t>Pokemon</t>
        </is>
      </c>
      <c r="G3297" s="2" t="inlineStr">
        <is>
          <t>Pack</t>
        </is>
      </c>
      <c r="H3297" s="2" t="inlineStr">
        <is>
          <t>SM3+: Shining Legends</t>
        </is>
      </c>
      <c r="I3297" s="3" t="n"/>
      <c r="J3297" s="3" t="n"/>
      <c r="K3297" s="3" t="n"/>
      <c r="L3297" s="3" t="n">
        <v>239.01</v>
      </c>
      <c r="M3297" s="2" t="inlineStr">
        <is>
          <t>TCGplayer</t>
        </is>
      </c>
      <c r="O3297" s="4" t="inlineStr">
        <is>
          <t>https://www.tcgplayer.com/product/576924</t>
        </is>
      </c>
    </row>
    <row r="3298">
      <c r="A3298" s="2" t="inlineStr">
        <is>
          <t>Awakened Heroes Booster Pack</t>
        </is>
      </c>
      <c r="B3298" s="3">
        <f>IF(I3298&lt;&gt;"",I3298,IF(J3298&lt;&gt;"",J3298,IF(K3298&lt;&gt;"",K3298,L3298)))</f>
        <v>32.0</v>
      </c>
      <c r="C3298" s="3">
        <f>MEDIAN(I3298:L3298)</f>
        <v>32.0</v>
      </c>
      <c r="D3298" s="3">
        <f>ROUND(C3298*(1-Settings!$B$2),2)</f>
        <v>22.4</v>
      </c>
      <c r="E3298" s="3">
        <f>ROUND(C3298*(1-Settings!$B$3),2)</f>
        <v>22.4</v>
      </c>
      <c r="F3298" s="2" t="inlineStr">
        <is>
          <t>Pokemon</t>
        </is>
      </c>
      <c r="G3298" s="2" t="inlineStr">
        <is>
          <t>Pack</t>
        </is>
      </c>
      <c r="H3298" s="2" t="inlineStr">
        <is>
          <t>SM4S: Awakened Heroes</t>
        </is>
      </c>
      <c r="I3298" s="3" t="n"/>
      <c r="J3298" s="3" t="n"/>
      <c r="K3298" s="3" t="n"/>
      <c r="L3298" s="3" t="n">
        <v>32</v>
      </c>
      <c r="M3298" s="2" t="inlineStr">
        <is>
          <t>TCGplayer</t>
        </is>
      </c>
      <c r="O3298" s="4" t="inlineStr">
        <is>
          <t>https://www.tcgplayer.com/product/576868</t>
        </is>
      </c>
    </row>
    <row r="3299">
      <c r="A3299" s="2" t="inlineStr">
        <is>
          <t>Ultra Force Booster Pack</t>
        </is>
      </c>
      <c r="B3299" s="3">
        <f>IF(I3299&lt;&gt;"",I3299,IF(J3299&lt;&gt;"",J3299,IF(K3299&lt;&gt;"",K3299,L3299)))</f>
        <v>12.0</v>
      </c>
      <c r="C3299" s="3">
        <f>MEDIAN(I3299:L3299)</f>
        <v>12.0</v>
      </c>
      <c r="D3299" s="3">
        <f>ROUND(C3299*(1-Settings!$B$2),2)</f>
        <v>8.4</v>
      </c>
      <c r="E3299" s="3">
        <f>ROUND(C3299*(1-Settings!$B$3),2)</f>
        <v>8.4</v>
      </c>
      <c r="F3299" s="2" t="inlineStr">
        <is>
          <t>Pokemon</t>
        </is>
      </c>
      <c r="G3299" s="2" t="inlineStr">
        <is>
          <t>Pack</t>
        </is>
      </c>
      <c r="H3299" s="2" t="inlineStr">
        <is>
          <t>SM5+: Ultra Force</t>
        </is>
      </c>
      <c r="I3299" s="3" t="n"/>
      <c r="J3299" s="3" t="n"/>
      <c r="K3299" s="3" t="n"/>
      <c r="L3299" s="3" t="n">
        <v>12</v>
      </c>
      <c r="M3299" s="2" t="inlineStr">
        <is>
          <t>TCGplayer</t>
        </is>
      </c>
      <c r="O3299" s="4" t="inlineStr">
        <is>
          <t>https://www.tcgplayer.com/product/576926</t>
        </is>
      </c>
    </row>
    <row r="3300">
      <c r="A3300" s="2" t="inlineStr">
        <is>
          <t>Ultra Moon Booster Pack</t>
        </is>
      </c>
      <c r="B3300" s="3">
        <f>IF(I3300&lt;&gt;"",I3300,IF(J3300&lt;&gt;"",J3300,IF(K3300&lt;&gt;"",K3300,L3300)))</f>
        <v>34.99</v>
      </c>
      <c r="C3300" s="3">
        <f>MEDIAN(I3300:L3300)</f>
        <v>34.99</v>
      </c>
      <c r="D3300" s="3">
        <f>ROUND(C3300*(1-Settings!$B$2),2)</f>
        <v>24.49</v>
      </c>
      <c r="E3300" s="3">
        <f>ROUND(C3300*(1-Settings!$B$3),2)</f>
        <v>24.49</v>
      </c>
      <c r="F3300" s="2" t="inlineStr">
        <is>
          <t>Pokemon</t>
        </is>
      </c>
      <c r="G3300" s="2" t="inlineStr">
        <is>
          <t>Pack</t>
        </is>
      </c>
      <c r="H3300" s="2" t="inlineStr">
        <is>
          <t>SM5M: Ultra Moon</t>
        </is>
      </c>
      <c r="I3300" s="3" t="n"/>
      <c r="J3300" s="3" t="n"/>
      <c r="K3300" s="3" t="n"/>
      <c r="L3300" s="3" t="n">
        <v>34.99</v>
      </c>
      <c r="M3300" s="2" t="inlineStr">
        <is>
          <t>TCGplayer</t>
        </is>
      </c>
      <c r="O3300" s="4" t="inlineStr">
        <is>
          <t>https://www.tcgplayer.com/product/576903</t>
        </is>
      </c>
    </row>
    <row r="3301">
      <c r="A3301" s="2" t="inlineStr">
        <is>
          <t>Ultra Sun Booster Pack</t>
        </is>
      </c>
      <c r="B3301" s="3">
        <f>IF(I3301&lt;&gt;"",I3301,IF(J3301&lt;&gt;"",J3301,IF(K3301&lt;&gt;"",K3301,L3301)))</f>
        <v>19.99</v>
      </c>
      <c r="C3301" s="3">
        <f>MEDIAN(I3301:L3301)</f>
        <v>19.99</v>
      </c>
      <c r="D3301" s="3">
        <f>ROUND(C3301*(1-Settings!$B$2),2)</f>
        <v>13.99</v>
      </c>
      <c r="E3301" s="3">
        <f>ROUND(C3301*(1-Settings!$B$3),2)</f>
        <v>13.99</v>
      </c>
      <c r="F3301" s="2" t="inlineStr">
        <is>
          <t>Pokemon</t>
        </is>
      </c>
      <c r="G3301" s="2" t="inlineStr">
        <is>
          <t>Pack</t>
        </is>
      </c>
      <c r="H3301" s="2" t="inlineStr">
        <is>
          <t>SM5S: Ultra Sun</t>
        </is>
      </c>
      <c r="I3301" s="3" t="n"/>
      <c r="J3301" s="3" t="n"/>
      <c r="K3301" s="3" t="n"/>
      <c r="L3301" s="3" t="n">
        <v>19.99</v>
      </c>
      <c r="M3301" s="2" t="inlineStr">
        <is>
          <t>TCGplayer</t>
        </is>
      </c>
      <c r="O3301" s="4" t="inlineStr">
        <is>
          <t>https://www.tcgplayer.com/product/576901</t>
        </is>
      </c>
    </row>
    <row r="3302">
      <c r="A3302" s="2" t="inlineStr">
        <is>
          <t>Forbidden Light Booster Pack</t>
        </is>
      </c>
      <c r="B3302" s="3">
        <f>IF(I3302&lt;&gt;"",I3302,IF(J3302&lt;&gt;"",J3302,IF(K3302&lt;&gt;"",K3302,L3302)))</f>
        <v>29.99</v>
      </c>
      <c r="C3302" s="3">
        <f>MEDIAN(I3302:L3302)</f>
        <v>29.99</v>
      </c>
      <c r="D3302" s="3">
        <f>ROUND(C3302*(1-Settings!$B$2),2)</f>
        <v>20.99</v>
      </c>
      <c r="E3302" s="3">
        <f>ROUND(C3302*(1-Settings!$B$3),2)</f>
        <v>20.99</v>
      </c>
      <c r="F3302" s="2" t="inlineStr">
        <is>
          <t>Pokemon</t>
        </is>
      </c>
      <c r="G3302" s="2" t="inlineStr">
        <is>
          <t>Pack</t>
        </is>
      </c>
      <c r="H3302" s="2" t="inlineStr">
        <is>
          <t>SM6: Forbidden Light</t>
        </is>
      </c>
      <c r="I3302" s="3" t="n"/>
      <c r="J3302" s="3" t="n"/>
      <c r="K3302" s="3" t="n"/>
      <c r="L3302" s="3" t="n">
        <v>29.99</v>
      </c>
      <c r="M3302" s="2" t="inlineStr">
        <is>
          <t>TCGplayer</t>
        </is>
      </c>
      <c r="O3302" s="4" t="inlineStr">
        <is>
          <t>https://www.tcgplayer.com/product/576905</t>
        </is>
      </c>
    </row>
    <row r="3303">
      <c r="A3303" s="2" t="inlineStr">
        <is>
          <t>Dragon Storm Booster Pack</t>
        </is>
      </c>
      <c r="B3303" s="3">
        <f>IF(I3303&lt;&gt;"",I3303,IF(J3303&lt;&gt;"",J3303,IF(K3303&lt;&gt;"",K3303,L3303)))</f>
        <v>39.99</v>
      </c>
      <c r="C3303" s="3">
        <f>MEDIAN(I3303:L3303)</f>
        <v>37.99</v>
      </c>
      <c r="D3303" s="3">
        <f>ROUND(C3303*(1-Settings!$B$2),2)</f>
        <v>26.59</v>
      </c>
      <c r="E3303" s="3">
        <f>ROUND(C3303*(1-Settings!$B$3),2)</f>
        <v>26.59</v>
      </c>
      <c r="F3303" s="2" t="inlineStr">
        <is>
          <t>Pokemon</t>
        </is>
      </c>
      <c r="G3303" s="2" t="inlineStr">
        <is>
          <t>Pack</t>
        </is>
      </c>
      <c r="H3303" s="2" t="inlineStr">
        <is>
          <t>SM6a: Dragon Storm</t>
        </is>
      </c>
      <c r="I3303" s="3" t="n"/>
      <c r="J3303" s="3" t="n">
        <v>39.99</v>
      </c>
      <c r="K3303" s="3" t="n"/>
      <c r="L3303" s="3" t="n">
        <v>35.99</v>
      </c>
      <c r="M3303" s="2" t="inlineStr">
        <is>
          <t>TCGplayer</t>
        </is>
      </c>
      <c r="O3303" s="4" t="inlineStr">
        <is>
          <t>https://www.tcgplayer.com/product/576928</t>
        </is>
      </c>
    </row>
    <row r="3304">
      <c r="A3304" s="2" t="inlineStr">
        <is>
          <t>Champion Road Booster Pack</t>
        </is>
      </c>
      <c r="B3304" s="3">
        <f>IF(I3304&lt;&gt;"",I3304,IF(J3304&lt;&gt;"",J3304,IF(K3304&lt;&gt;"",K3304,L3304)))</f>
        <v>32.99</v>
      </c>
      <c r="C3304" s="3">
        <f>MEDIAN(I3304:L3304)</f>
        <v>32.99</v>
      </c>
      <c r="D3304" s="3">
        <f>ROUND(C3304*(1-Settings!$B$2),2)</f>
        <v>23.09</v>
      </c>
      <c r="E3304" s="3">
        <f>ROUND(C3304*(1-Settings!$B$3),2)</f>
        <v>23.09</v>
      </c>
      <c r="F3304" s="2" t="inlineStr">
        <is>
          <t>Pokemon</t>
        </is>
      </c>
      <c r="G3304" s="2" t="inlineStr">
        <is>
          <t>Pack</t>
        </is>
      </c>
      <c r="H3304" s="2" t="inlineStr">
        <is>
          <t>SM6b: Champion Road</t>
        </is>
      </c>
      <c r="I3304" s="3" t="n"/>
      <c r="J3304" s="3" t="n"/>
      <c r="K3304" s="3" t="n"/>
      <c r="L3304" s="3" t="n">
        <v>32.99</v>
      </c>
      <c r="M3304" s="2" t="inlineStr">
        <is>
          <t>TCGplayer</t>
        </is>
      </c>
      <c r="O3304" s="4" t="inlineStr">
        <is>
          <t>https://www.tcgplayer.com/product/576930</t>
        </is>
      </c>
    </row>
    <row r="3305">
      <c r="A3305" s="2" t="inlineStr">
        <is>
          <t>Thunderclap Spark Booster Pack</t>
        </is>
      </c>
      <c r="B3305" s="3">
        <f>IF(I3305&lt;&gt;"",I3305,IF(J3305&lt;&gt;"",J3305,IF(K3305&lt;&gt;"",K3305,L3305)))</f>
        <v>8.0</v>
      </c>
      <c r="C3305" s="3">
        <f>MEDIAN(I3305:L3305)</f>
        <v>8.0</v>
      </c>
      <c r="D3305" s="3">
        <f>ROUND(C3305*(1-Settings!$B$2),2)</f>
        <v>5.6</v>
      </c>
      <c r="E3305" s="3">
        <f>ROUND(C3305*(1-Settings!$B$3),2)</f>
        <v>5.6</v>
      </c>
      <c r="F3305" s="2" t="inlineStr">
        <is>
          <t>Pokemon</t>
        </is>
      </c>
      <c r="G3305" s="2" t="inlineStr">
        <is>
          <t>Pack</t>
        </is>
      </c>
      <c r="H3305" s="2" t="inlineStr">
        <is>
          <t>SM7a: Thunderclap Spark</t>
        </is>
      </c>
      <c r="I3305" s="3" t="n"/>
      <c r="J3305" s="3" t="n"/>
      <c r="K3305" s="3" t="n"/>
      <c r="L3305" s="3" t="n">
        <v>8</v>
      </c>
      <c r="M3305" s="2" t="inlineStr">
        <is>
          <t>TCGplayer</t>
        </is>
      </c>
      <c r="O3305" s="4" t="inlineStr">
        <is>
          <t>https://www.tcgplayer.com/product/576932</t>
        </is>
      </c>
    </row>
    <row r="3306">
      <c r="A3306" s="2" t="inlineStr">
        <is>
          <t>Fairy Rise Booster Pack</t>
        </is>
      </c>
      <c r="B3306" s="3">
        <f>IF(I3306&lt;&gt;"",I3306,IF(J3306&lt;&gt;"",J3306,IF(K3306&lt;&gt;"",K3306,L3306)))</f>
        <v>29.77</v>
      </c>
      <c r="C3306" s="3">
        <f>MEDIAN(I3306:L3306)</f>
        <v>26.975</v>
      </c>
      <c r="D3306" s="3">
        <f>ROUND(C3306*(1-Settings!$B$2),2)</f>
        <v>18.88</v>
      </c>
      <c r="E3306" s="3">
        <f>ROUND(C3306*(1-Settings!$B$3),2)</f>
        <v>18.88</v>
      </c>
      <c r="F3306" s="2" t="inlineStr">
        <is>
          <t>Pokemon</t>
        </is>
      </c>
      <c r="G3306" s="2" t="inlineStr">
        <is>
          <t>Pack</t>
        </is>
      </c>
      <c r="H3306" s="2" t="inlineStr">
        <is>
          <t>SM7b: Fairy Rise</t>
        </is>
      </c>
      <c r="I3306" s="3" t="n"/>
      <c r="J3306" s="3" t="n">
        <v>29.77</v>
      </c>
      <c r="K3306" s="3" t="n"/>
      <c r="L3306" s="3" t="n">
        <v>24.18</v>
      </c>
      <c r="M3306" s="2" t="inlineStr">
        <is>
          <t>TCGplayer</t>
        </is>
      </c>
      <c r="O3306" s="4" t="inlineStr">
        <is>
          <t>https://www.tcgplayer.com/product/576941</t>
        </is>
      </c>
    </row>
    <row r="3307">
      <c r="A3307" s="2" t="inlineStr">
        <is>
          <t>Super-Burst Impact Booster Pack</t>
        </is>
      </c>
      <c r="B3307" s="3">
        <f>IF(I3307&lt;&gt;"",I3307,IF(J3307&lt;&gt;"",J3307,IF(K3307&lt;&gt;"",K3307,L3307)))</f>
        <v>39.99</v>
      </c>
      <c r="C3307" s="3">
        <f>MEDIAN(I3307:L3307)</f>
        <v>32.49</v>
      </c>
      <c r="D3307" s="3">
        <f>ROUND(C3307*(1-Settings!$B$2),2)</f>
        <v>22.74</v>
      </c>
      <c r="E3307" s="3">
        <f>ROUND(C3307*(1-Settings!$B$3),2)</f>
        <v>22.74</v>
      </c>
      <c r="F3307" s="2" t="inlineStr">
        <is>
          <t>Pokemon</t>
        </is>
      </c>
      <c r="G3307" s="2" t="inlineStr">
        <is>
          <t>Pack</t>
        </is>
      </c>
      <c r="H3307" s="2" t="inlineStr">
        <is>
          <t>SM8: Super-Burst Impact</t>
        </is>
      </c>
      <c r="I3307" s="3" t="n"/>
      <c r="J3307" s="3" t="n">
        <v>39.99</v>
      </c>
      <c r="K3307" s="3" t="n"/>
      <c r="L3307" s="3" t="n">
        <v>24.99</v>
      </c>
      <c r="M3307" s="2" t="inlineStr">
        <is>
          <t>TCGplayer</t>
        </is>
      </c>
      <c r="O3307" s="4" t="inlineStr">
        <is>
          <t>https://www.tcgplayer.com/product/576909</t>
        </is>
      </c>
    </row>
    <row r="3308">
      <c r="A3308" s="2" t="inlineStr">
        <is>
          <t>Dark Order Booster Pack</t>
        </is>
      </c>
      <c r="B3308" s="3">
        <f>IF(I3308&lt;&gt;"",I3308,IF(J3308&lt;&gt;"",J3308,IF(K3308&lt;&gt;"",K3308,L3308)))</f>
        <v>12.0</v>
      </c>
      <c r="C3308" s="3">
        <f>MEDIAN(I3308:L3308)</f>
        <v>12.0</v>
      </c>
      <c r="D3308" s="3">
        <f>ROUND(C3308*(1-Settings!$B$2),2)</f>
        <v>8.4</v>
      </c>
      <c r="E3308" s="3">
        <f>ROUND(C3308*(1-Settings!$B$3),2)</f>
        <v>8.4</v>
      </c>
      <c r="F3308" s="2" t="inlineStr">
        <is>
          <t>Pokemon</t>
        </is>
      </c>
      <c r="G3308" s="2" t="inlineStr">
        <is>
          <t>Pack</t>
        </is>
      </c>
      <c r="H3308" s="2" t="inlineStr">
        <is>
          <t>SM8a: Dark Order</t>
        </is>
      </c>
      <c r="I3308" s="3" t="n"/>
      <c r="J3308" s="3" t="n"/>
      <c r="K3308" s="3" t="n"/>
      <c r="L3308" s="3" t="n">
        <v>12</v>
      </c>
      <c r="M3308" s="2" t="inlineStr">
        <is>
          <t>TCGplayer</t>
        </is>
      </c>
      <c r="O3308" s="4" t="inlineStr">
        <is>
          <t>https://www.tcgplayer.com/product/576943</t>
        </is>
      </c>
    </row>
    <row r="3309">
      <c r="A3309" s="2" t="inlineStr">
        <is>
          <t>GX Ultra Shiny Booster Pack</t>
        </is>
      </c>
      <c r="B3309" s="3">
        <f>IF(I3309&lt;&gt;"",I3309,IF(J3309&lt;&gt;"",J3309,IF(K3309&lt;&gt;"",K3309,L3309)))</f>
        <v>85.0</v>
      </c>
      <c r="C3309" s="3">
        <f>MEDIAN(I3309:L3309)</f>
        <v>85.0</v>
      </c>
      <c r="D3309" s="3">
        <f>ROUND(C3309*(1-Settings!$B$2),2)</f>
        <v>59.5</v>
      </c>
      <c r="E3309" s="3">
        <f>ROUND(C3309*(1-Settings!$B$3),2)</f>
        <v>59.5</v>
      </c>
      <c r="F3309" s="2" t="inlineStr">
        <is>
          <t>Pokemon</t>
        </is>
      </c>
      <c r="G3309" s="2" t="inlineStr">
        <is>
          <t>Pack</t>
        </is>
      </c>
      <c r="H3309" s="2" t="inlineStr">
        <is>
          <t>SM8b: GX Ultra Shiny</t>
        </is>
      </c>
      <c r="I3309" s="3" t="n"/>
      <c r="J3309" s="3" t="n"/>
      <c r="K3309" s="3" t="n"/>
      <c r="L3309" s="3" t="n">
        <v>85</v>
      </c>
      <c r="M3309" s="2" t="inlineStr">
        <is>
          <t>TCGplayer</t>
        </is>
      </c>
      <c r="O3309" s="4" t="inlineStr">
        <is>
          <t>https://www.tcgplayer.com/product/576960</t>
        </is>
      </c>
    </row>
    <row r="3310">
      <c r="A3310" s="2" t="inlineStr">
        <is>
          <t>Tag Bolt Booster Pack</t>
        </is>
      </c>
      <c r="B3310" s="3">
        <f>IF(I3310&lt;&gt;"",I3310,IF(J3310&lt;&gt;"",J3310,IF(K3310&lt;&gt;"",K3310,L3310)))</f>
        <v>51.38</v>
      </c>
      <c r="C3310" s="3">
        <f>MEDIAN(I3310:L3310)</f>
        <v>75.655</v>
      </c>
      <c r="D3310" s="3">
        <f>ROUND(C3310*(1-Settings!$B$2),2)</f>
        <v>52.96</v>
      </c>
      <c r="E3310" s="3">
        <f>ROUND(C3310*(1-Settings!$B$3),2)</f>
        <v>52.96</v>
      </c>
      <c r="F3310" s="2" t="inlineStr">
        <is>
          <t>Pokemon</t>
        </is>
      </c>
      <c r="G3310" s="2" t="inlineStr">
        <is>
          <t>Pack</t>
        </is>
      </c>
      <c r="H3310" s="2" t="inlineStr">
        <is>
          <t>SM9: Tag Bolt</t>
        </is>
      </c>
      <c r="I3310" s="3" t="n"/>
      <c r="J3310" s="3" t="n">
        <v>51.38</v>
      </c>
      <c r="K3310" s="3" t="n"/>
      <c r="L3310" s="3" t="n">
        <v>99.93000000000001</v>
      </c>
      <c r="M3310" s="2" t="inlineStr">
        <is>
          <t>TCGplayer</t>
        </is>
      </c>
      <c r="O3310" s="4" t="inlineStr">
        <is>
          <t>https://www.tcgplayer.com/product/576911</t>
        </is>
      </c>
    </row>
    <row r="3311">
      <c r="A3311" s="2" t="inlineStr">
        <is>
          <t>Night Unison Booster Pack</t>
        </is>
      </c>
      <c r="B3311" s="3">
        <f>IF(I3311&lt;&gt;"",I3311,IF(J3311&lt;&gt;"",J3311,IF(K3311&lt;&gt;"",K3311,L3311)))</f>
        <v>49.98</v>
      </c>
      <c r="C3311" s="3">
        <f>MEDIAN(I3311:L3311)</f>
        <v>49.98</v>
      </c>
      <c r="D3311" s="3">
        <f>ROUND(C3311*(1-Settings!$B$2),2)</f>
        <v>34.99</v>
      </c>
      <c r="E3311" s="3">
        <f>ROUND(C3311*(1-Settings!$B$3),2)</f>
        <v>34.99</v>
      </c>
      <c r="F3311" s="2" t="inlineStr">
        <is>
          <t>Pokemon</t>
        </is>
      </c>
      <c r="G3311" s="2" t="inlineStr">
        <is>
          <t>Pack</t>
        </is>
      </c>
      <c r="H3311" s="2" t="inlineStr">
        <is>
          <t>SM9a: Night Unison</t>
        </is>
      </c>
      <c r="I3311" s="3" t="n"/>
      <c r="J3311" s="3" t="n"/>
      <c r="K3311" s="3" t="n"/>
      <c r="L3311" s="3" t="n">
        <v>49.98</v>
      </c>
      <c r="M3311" s="2" t="inlineStr">
        <is>
          <t>TCGplayer</t>
        </is>
      </c>
      <c r="O3311" s="4" t="inlineStr">
        <is>
          <t>https://www.tcgplayer.com/product/576945</t>
        </is>
      </c>
    </row>
    <row r="3312">
      <c r="A3312" s="2" t="inlineStr">
        <is>
          <t>Full Metal Wall Booster Pack</t>
        </is>
      </c>
      <c r="B3312" s="3">
        <f>IF(I3312&lt;&gt;"",I3312,IF(J3312&lt;&gt;"",J3312,IF(K3312&lt;&gt;"",K3312,L3312)))</f>
        <v>18.0</v>
      </c>
      <c r="C3312" s="3">
        <f>MEDIAN(I3312:L3312)</f>
        <v>18.0</v>
      </c>
      <c r="D3312" s="3">
        <f>ROUND(C3312*(1-Settings!$B$2),2)</f>
        <v>12.6</v>
      </c>
      <c r="E3312" s="3">
        <f>ROUND(C3312*(1-Settings!$B$3),2)</f>
        <v>12.6</v>
      </c>
      <c r="F3312" s="2" t="inlineStr">
        <is>
          <t>Pokemon</t>
        </is>
      </c>
      <c r="G3312" s="2" t="inlineStr">
        <is>
          <t>Pack</t>
        </is>
      </c>
      <c r="H3312" s="2" t="inlineStr">
        <is>
          <t>SM9b: Full Metal Wall</t>
        </is>
      </c>
      <c r="I3312" s="3" t="n"/>
      <c r="J3312" s="3" t="n"/>
      <c r="K3312" s="3" t="n"/>
      <c r="L3312" s="3" t="n">
        <v>18</v>
      </c>
      <c r="M3312" s="2" t="inlineStr">
        <is>
          <t>TCGplayer</t>
        </is>
      </c>
      <c r="O3312" s="4" t="inlineStr">
        <is>
          <t>https://www.tcgplayer.com/product/576947</t>
        </is>
      </c>
    </row>
    <row r="3313">
      <c r="A3313" s="2" t="inlineStr">
        <is>
          <t>Great Detective Pikachu Booster Pack</t>
        </is>
      </c>
      <c r="B3313" s="3">
        <f>IF(I3313&lt;&gt;"",I3313,IF(J3313&lt;&gt;"",J3313,IF(K3313&lt;&gt;"",K3313,L3313)))</f>
        <v>39.99</v>
      </c>
      <c r="C3313" s="3">
        <f>MEDIAN(I3313:L3313)</f>
        <v>39.790000000000006</v>
      </c>
      <c r="D3313" s="3">
        <f>ROUND(C3313*(1-Settings!$B$2),2)</f>
        <v>27.85</v>
      </c>
      <c r="E3313" s="3">
        <f>ROUND(C3313*(1-Settings!$B$3),2)</f>
        <v>27.85</v>
      </c>
      <c r="F3313" s="2" t="inlineStr">
        <is>
          <t>Pokemon</t>
        </is>
      </c>
      <c r="G3313" s="2" t="inlineStr">
        <is>
          <t>Pack</t>
        </is>
      </c>
      <c r="H3313" s="2" t="inlineStr">
        <is>
          <t>smP2: Great Detective Pikachu</t>
        </is>
      </c>
      <c r="I3313" s="3" t="n"/>
      <c r="J3313" s="3" t="n">
        <v>39.99</v>
      </c>
      <c r="K3313" s="3" t="n"/>
      <c r="L3313" s="3" t="n">
        <v>39.59</v>
      </c>
      <c r="M3313" s="2" t="inlineStr">
        <is>
          <t>TCGplayer</t>
        </is>
      </c>
      <c r="O3313" s="4" t="inlineStr">
        <is>
          <t>https://www.tcgplayer.com/product/656885</t>
        </is>
      </c>
    </row>
    <row r="3314">
      <c r="A3314" s="2" t="inlineStr">
        <is>
          <t>Steam Siege Blister Pack: Floette</t>
        </is>
      </c>
      <c r="B3314" s="3">
        <f>IF(I3314&lt;&gt;"",I3314,IF(J3314&lt;&gt;"",J3314,IF(K3314&lt;&gt;"",K3314,L3314)))</f>
        <v>39.92</v>
      </c>
      <c r="C3314" s="3">
        <f>MEDIAN(I3314:L3314)</f>
        <v>39.92</v>
      </c>
      <c r="D3314" s="3">
        <f>ROUND(C3314*(1-Settings!$B$2),2)</f>
        <v>27.94</v>
      </c>
      <c r="E3314" s="3">
        <f>ROUND(C3314*(1-Settings!$B$3),2)</f>
        <v>27.94</v>
      </c>
      <c r="F3314" s="2" t="inlineStr">
        <is>
          <t>Pokemon</t>
        </is>
      </c>
      <c r="G3314" s="2" t="inlineStr">
        <is>
          <t>Pack</t>
        </is>
      </c>
      <c r="H3314" s="2" t="inlineStr">
        <is>
          <t>Steam Siege</t>
        </is>
      </c>
      <c r="I3314" s="3" t="n">
        <v>39.92</v>
      </c>
      <c r="J3314" s="3" t="n"/>
      <c r="K3314" s="3" t="n"/>
      <c r="L3314" s="3" t="n"/>
      <c r="M3314" s="2" t="inlineStr">
        <is>
          <t>PriceCharting</t>
        </is>
      </c>
      <c r="N3314" s="4" t="inlineStr">
        <is>
          <t>https://www.pricecharting.com/game/pokemon-steam-siege/blister-pack-floette</t>
        </is>
      </c>
    </row>
    <row r="3315">
      <c r="A3315" s="2" t="inlineStr">
        <is>
          <t>Steam Siege Blister Pack: Lucario</t>
        </is>
      </c>
      <c r="B3315" s="3">
        <f>IF(I3315&lt;&gt;"",I3315,IF(J3315&lt;&gt;"",J3315,IF(K3315&lt;&gt;"",K3315,L3315)))</f>
        <v>59.95</v>
      </c>
      <c r="C3315" s="3">
        <f>MEDIAN(I3315:L3315)</f>
        <v>59.95</v>
      </c>
      <c r="D3315" s="3">
        <f>ROUND(C3315*(1-Settings!$B$2),2)</f>
        <v>41.97</v>
      </c>
      <c r="E3315" s="3">
        <f>ROUND(C3315*(1-Settings!$B$3),2)</f>
        <v>41.97</v>
      </c>
      <c r="F3315" s="2" t="inlineStr">
        <is>
          <t>Pokemon</t>
        </is>
      </c>
      <c r="G3315" s="2" t="inlineStr">
        <is>
          <t>Pack</t>
        </is>
      </c>
      <c r="H3315" s="2" t="inlineStr">
        <is>
          <t>Steam Siege</t>
        </is>
      </c>
      <c r="I3315" s="3" t="n">
        <v>59.95</v>
      </c>
      <c r="J3315" s="3" t="n"/>
      <c r="K3315" s="3" t="n"/>
      <c r="L3315" s="3" t="n"/>
      <c r="M3315" s="2" t="inlineStr">
        <is>
          <t>PriceCharting</t>
        </is>
      </c>
      <c r="N3315" s="4" t="inlineStr">
        <is>
          <t>https://www.pricecharting.com/game/pokemon-steam-siege/blister-pack-lucario</t>
        </is>
      </c>
    </row>
    <row r="3316">
      <c r="A3316" s="2" t="inlineStr">
        <is>
          <t>Steam Siege Booster Pack</t>
        </is>
      </c>
      <c r="B3316" s="3">
        <f>IF(I3316&lt;&gt;"",I3316,IF(J3316&lt;&gt;"",J3316,IF(K3316&lt;&gt;"",K3316,L3316)))</f>
        <v>25.15</v>
      </c>
      <c r="C3316" s="3">
        <f>MEDIAN(I3316:L3316)</f>
        <v>25.15</v>
      </c>
      <c r="D3316" s="3">
        <f>ROUND(C3316*(1-Settings!$B$2),2)</f>
        <v>17.61</v>
      </c>
      <c r="E3316" s="3">
        <f>ROUND(C3316*(1-Settings!$B$3),2)</f>
        <v>17.61</v>
      </c>
      <c r="F3316" s="2" t="inlineStr">
        <is>
          <t>Pokemon</t>
        </is>
      </c>
      <c r="G3316" s="2" t="inlineStr">
        <is>
          <t>Pack</t>
        </is>
      </c>
      <c r="H3316" s="2" t="inlineStr">
        <is>
          <t>Steam Siege</t>
        </is>
      </c>
      <c r="I3316" s="3" t="n">
        <v>25.15</v>
      </c>
      <c r="J3316" s="3" t="n"/>
      <c r="K3316" s="3" t="n"/>
      <c r="L3316" s="3" t="n"/>
      <c r="M3316" s="2" t="inlineStr">
        <is>
          <t>PriceCharting</t>
        </is>
      </c>
      <c r="N3316" s="4" t="inlineStr">
        <is>
          <t>https://www.pricecharting.com/game/pokemon-steam-siege/booster-pack</t>
        </is>
      </c>
    </row>
    <row r="3317">
      <c r="A3317" s="2" t="inlineStr">
        <is>
          <t>Steam Siege Sleeved Booster Pack</t>
        </is>
      </c>
      <c r="B3317" s="3">
        <f>IF(I3317&lt;&gt;"",I3317,IF(J3317&lt;&gt;"",J3317,IF(K3317&lt;&gt;"",K3317,L3317)))</f>
        <v>32.0</v>
      </c>
      <c r="C3317" s="3">
        <f>MEDIAN(I3317:L3317)</f>
        <v>32.0</v>
      </c>
      <c r="D3317" s="3">
        <f>ROUND(C3317*(1-Settings!$B$2),2)</f>
        <v>22.4</v>
      </c>
      <c r="E3317" s="3">
        <f>ROUND(C3317*(1-Settings!$B$3),2)</f>
        <v>22.4</v>
      </c>
      <c r="F3317" s="2" t="inlineStr">
        <is>
          <t>Pokemon</t>
        </is>
      </c>
      <c r="G3317" s="2" t="inlineStr">
        <is>
          <t>Pack</t>
        </is>
      </c>
      <c r="H3317" s="2" t="inlineStr">
        <is>
          <t>Steam Siege</t>
        </is>
      </c>
      <c r="I3317" s="3" t="n">
        <v>32</v>
      </c>
      <c r="J3317" s="3" t="n"/>
      <c r="K3317" s="3" t="n"/>
      <c r="L3317" s="3" t="n"/>
      <c r="M3317" s="2" t="inlineStr">
        <is>
          <t>PriceCharting</t>
        </is>
      </c>
      <c r="N3317" s="4" t="inlineStr">
        <is>
          <t>https://www.pricecharting.com/game/pokemon-steam-siege/sleeved-booster-pack</t>
        </is>
      </c>
    </row>
    <row r="3318">
      <c r="A3318" s="2" t="inlineStr">
        <is>
          <t>Stellar Crown Booster Pack</t>
        </is>
      </c>
      <c r="B3318" s="3">
        <f>IF(I3318&lt;&gt;"",I3318,IF(J3318&lt;&gt;"",J3318,IF(K3318&lt;&gt;"",K3318,L3318)))</f>
        <v>11.48</v>
      </c>
      <c r="C3318" s="3">
        <f>MEDIAN(I3318:L3318)</f>
        <v>11.48</v>
      </c>
      <c r="D3318" s="3">
        <f>ROUND(C3318*(1-Settings!$B$2),2)</f>
        <v>8.04</v>
      </c>
      <c r="E3318" s="3">
        <f>ROUND(C3318*(1-Settings!$B$3),2)</f>
        <v>8.04</v>
      </c>
      <c r="F3318" s="2" t="inlineStr">
        <is>
          <t>Pokemon</t>
        </is>
      </c>
      <c r="G3318" s="2" t="inlineStr">
        <is>
          <t>Pack</t>
        </is>
      </c>
      <c r="H3318" s="2" t="inlineStr">
        <is>
          <t>Stellar Crown</t>
        </is>
      </c>
      <c r="I3318" s="3" t="n">
        <v>11.48</v>
      </c>
      <c r="J3318" s="3" t="n"/>
      <c r="K3318" s="3" t="n"/>
      <c r="L3318" s="3" t="n"/>
      <c r="M3318" s="2" t="inlineStr">
        <is>
          <t>PriceCharting</t>
        </is>
      </c>
      <c r="N3318" s="4" t="inlineStr">
        <is>
          <t>https://www.pricecharting.com/game/pokemon-stellar-crown/booster-pack</t>
        </is>
      </c>
    </row>
    <row r="3319">
      <c r="A3319" s="2" t="inlineStr">
        <is>
          <t>Stellar Crown Horsea Blister Pack</t>
        </is>
      </c>
      <c r="B3319" s="3">
        <f>IF(I3319&lt;&gt;"",I3319,IF(J3319&lt;&gt;"",J3319,IF(K3319&lt;&gt;"",K3319,L3319)))</f>
        <v>16.54</v>
      </c>
      <c r="C3319" s="3">
        <f>MEDIAN(I3319:L3319)</f>
        <v>16.54</v>
      </c>
      <c r="D3319" s="3">
        <f>ROUND(C3319*(1-Settings!$B$2),2)</f>
        <v>11.58</v>
      </c>
      <c r="E3319" s="3">
        <f>ROUND(C3319*(1-Settings!$B$3),2)</f>
        <v>11.58</v>
      </c>
      <c r="F3319" s="2" t="inlineStr">
        <is>
          <t>Pokemon</t>
        </is>
      </c>
      <c r="G3319" s="2" t="inlineStr">
        <is>
          <t>Pack</t>
        </is>
      </c>
      <c r="H3319" s="2" t="inlineStr">
        <is>
          <t>Stellar Crown</t>
        </is>
      </c>
      <c r="I3319" s="3" t="n">
        <v>16.54</v>
      </c>
      <c r="J3319" s="3" t="n"/>
      <c r="K3319" s="3" t="n"/>
      <c r="L3319" s="3" t="n"/>
      <c r="M3319" s="2" t="inlineStr">
        <is>
          <t>PriceCharting</t>
        </is>
      </c>
      <c r="N3319" s="4" t="inlineStr">
        <is>
          <t>https://www.pricecharting.com/game/pokemon-stellar-crown/horsea-blister-pack</t>
        </is>
      </c>
    </row>
    <row r="3320">
      <c r="A3320" s="2" t="inlineStr">
        <is>
          <t>Stellar Crown Iron Thorns Blister Pack</t>
        </is>
      </c>
      <c r="B3320" s="3">
        <f>IF(I3320&lt;&gt;"",I3320,IF(J3320&lt;&gt;"",J3320,IF(K3320&lt;&gt;"",K3320,L3320)))</f>
        <v>14.77</v>
      </c>
      <c r="C3320" s="3">
        <f>MEDIAN(I3320:L3320)</f>
        <v>14.77</v>
      </c>
      <c r="D3320" s="3">
        <f>ROUND(C3320*(1-Settings!$B$2),2)</f>
        <v>10.34</v>
      </c>
      <c r="E3320" s="3">
        <f>ROUND(C3320*(1-Settings!$B$3),2)</f>
        <v>10.34</v>
      </c>
      <c r="F3320" s="2" t="inlineStr">
        <is>
          <t>Pokemon</t>
        </is>
      </c>
      <c r="G3320" s="2" t="inlineStr">
        <is>
          <t>Pack</t>
        </is>
      </c>
      <c r="H3320" s="2" t="inlineStr">
        <is>
          <t>Stellar Crown</t>
        </is>
      </c>
      <c r="I3320" s="3" t="n">
        <v>14.77</v>
      </c>
      <c r="J3320" s="3" t="n"/>
      <c r="K3320" s="3" t="n"/>
      <c r="L3320" s="3" t="n"/>
      <c r="M3320" s="2" t="inlineStr">
        <is>
          <t>PriceCharting</t>
        </is>
      </c>
      <c r="N3320" s="4" t="inlineStr">
        <is>
          <t>https://www.pricecharting.com/game/pokemon-stellar-crown/iron-thorns-blister-pack</t>
        </is>
      </c>
    </row>
    <row r="3321">
      <c r="A3321" s="2" t="inlineStr">
        <is>
          <t>Stellar Crown Latias 3 Pack Blister</t>
        </is>
      </c>
      <c r="B3321" s="3">
        <f>IF(I3321&lt;&gt;"",I3321,IF(J3321&lt;&gt;"",J3321,IF(K3321&lt;&gt;"",K3321,L3321)))</f>
        <v>36.0</v>
      </c>
      <c r="C3321" s="3">
        <f>MEDIAN(I3321:L3321)</f>
        <v>36.0</v>
      </c>
      <c r="D3321" s="3">
        <f>ROUND(C3321*(1-Settings!$B$2),2)</f>
        <v>25.2</v>
      </c>
      <c r="E3321" s="3">
        <f>ROUND(C3321*(1-Settings!$B$3),2)</f>
        <v>25.2</v>
      </c>
      <c r="F3321" s="2" t="inlineStr">
        <is>
          <t>Pokemon</t>
        </is>
      </c>
      <c r="G3321" s="2" t="inlineStr">
        <is>
          <t>Pack</t>
        </is>
      </c>
      <c r="H3321" s="2" t="inlineStr">
        <is>
          <t>Stellar Crown</t>
        </is>
      </c>
      <c r="I3321" s="3" t="n">
        <v>36</v>
      </c>
      <c r="J3321" s="3" t="n"/>
      <c r="K3321" s="3" t="n"/>
      <c r="L3321" s="3" t="n"/>
      <c r="M3321" s="2" t="inlineStr">
        <is>
          <t>PriceCharting</t>
        </is>
      </c>
      <c r="N3321" s="4" t="inlineStr">
        <is>
          <t>https://www.pricecharting.com/game/pokemon-stellar-crown/latias-3-pack-blister</t>
        </is>
      </c>
    </row>
    <row r="3322">
      <c r="A3322" s="2" t="inlineStr">
        <is>
          <t>Stellar Crown Porygon2 Blister Pack</t>
        </is>
      </c>
      <c r="B3322" s="3">
        <f>IF(I3322&lt;&gt;"",I3322,IF(J3322&lt;&gt;"",J3322,IF(K3322&lt;&gt;"",K3322,L3322)))</f>
        <v>14.99</v>
      </c>
      <c r="C3322" s="3">
        <f>MEDIAN(I3322:L3322)</f>
        <v>14.99</v>
      </c>
      <c r="D3322" s="3">
        <f>ROUND(C3322*(1-Settings!$B$2),2)</f>
        <v>10.49</v>
      </c>
      <c r="E3322" s="3">
        <f>ROUND(C3322*(1-Settings!$B$3),2)</f>
        <v>10.49</v>
      </c>
      <c r="F3322" s="2" t="inlineStr">
        <is>
          <t>Pokemon</t>
        </is>
      </c>
      <c r="G3322" s="2" t="inlineStr">
        <is>
          <t>Pack</t>
        </is>
      </c>
      <c r="H3322" s="2" t="inlineStr">
        <is>
          <t>Stellar Crown</t>
        </is>
      </c>
      <c r="I3322" s="3" t="n">
        <v>14.99</v>
      </c>
      <c r="J3322" s="3" t="n"/>
      <c r="K3322" s="3" t="n"/>
      <c r="L3322" s="3" t="n"/>
      <c r="M3322" s="2" t="inlineStr">
        <is>
          <t>PriceCharting</t>
        </is>
      </c>
      <c r="N3322" s="4" t="inlineStr">
        <is>
          <t>https://www.pricecharting.com/game/pokemon-stellar-crown/porygon2-blister-pack</t>
        </is>
      </c>
    </row>
    <row r="3323">
      <c r="A3323" s="2" t="inlineStr">
        <is>
          <t>Stellar Crown Roaring Moon Blister Pack</t>
        </is>
      </c>
      <c r="B3323" s="3">
        <f>IF(I3323&lt;&gt;"",I3323,IF(J3323&lt;&gt;"",J3323,IF(K3323&lt;&gt;"",K3323,L3323)))</f>
        <v>13.74</v>
      </c>
      <c r="C3323" s="3">
        <f>MEDIAN(I3323:L3323)</f>
        <v>13.74</v>
      </c>
      <c r="D3323" s="3">
        <f>ROUND(C3323*(1-Settings!$B$2),2)</f>
        <v>9.62</v>
      </c>
      <c r="E3323" s="3">
        <f>ROUND(C3323*(1-Settings!$B$3),2)</f>
        <v>9.62</v>
      </c>
      <c r="F3323" s="2" t="inlineStr">
        <is>
          <t>Pokemon</t>
        </is>
      </c>
      <c r="G3323" s="2" t="inlineStr">
        <is>
          <t>Pack</t>
        </is>
      </c>
      <c r="H3323" s="2" t="inlineStr">
        <is>
          <t>Stellar Crown</t>
        </is>
      </c>
      <c r="I3323" s="3" t="n">
        <v>13.74</v>
      </c>
      <c r="J3323" s="3" t="n"/>
      <c r="K3323" s="3" t="n"/>
      <c r="L3323" s="3" t="n"/>
      <c r="M3323" s="2" t="inlineStr">
        <is>
          <t>PriceCharting</t>
        </is>
      </c>
      <c r="N3323" s="4" t="inlineStr">
        <is>
          <t>https://www.pricecharting.com/game/pokemon-stellar-crown/roaring-moon-blister-pack</t>
        </is>
      </c>
    </row>
    <row r="3324">
      <c r="A3324" s="2" t="inlineStr">
        <is>
          <t>Stellar Crown Sleeved Booster Pack</t>
        </is>
      </c>
      <c r="B3324" s="3">
        <f>IF(I3324&lt;&gt;"",I3324,IF(J3324&lt;&gt;"",J3324,IF(K3324&lt;&gt;"",K3324,L3324)))</f>
        <v>11.32</v>
      </c>
      <c r="C3324" s="3">
        <f>MEDIAN(I3324:L3324)</f>
        <v>11.32</v>
      </c>
      <c r="D3324" s="3">
        <f>ROUND(C3324*(1-Settings!$B$2),2)</f>
        <v>7.92</v>
      </c>
      <c r="E3324" s="3">
        <f>ROUND(C3324*(1-Settings!$B$3),2)</f>
        <v>7.92</v>
      </c>
      <c r="F3324" s="2" t="inlineStr">
        <is>
          <t>Pokemon</t>
        </is>
      </c>
      <c r="G3324" s="2" t="inlineStr">
        <is>
          <t>Pack</t>
        </is>
      </c>
      <c r="H3324" s="2" t="inlineStr">
        <is>
          <t>Stellar Crown</t>
        </is>
      </c>
      <c r="I3324" s="3" t="n">
        <v>11.32</v>
      </c>
      <c r="J3324" s="3" t="n"/>
      <c r="K3324" s="3" t="n"/>
      <c r="L3324" s="3" t="n"/>
      <c r="M3324" s="2" t="inlineStr">
        <is>
          <t>PriceCharting</t>
        </is>
      </c>
      <c r="N3324" s="4" t="inlineStr">
        <is>
          <t>https://www.pricecharting.com/game/pokemon-stellar-crown/sleeved-booster-pack</t>
        </is>
      </c>
    </row>
    <row r="3325">
      <c r="A3325" s="2" t="inlineStr">
        <is>
          <t>Stormfront Blister Pack</t>
        </is>
      </c>
      <c r="B3325" s="3">
        <f>IF(I3325&lt;&gt;"",I3325,IF(J3325&lt;&gt;"",J3325,IF(K3325&lt;&gt;"",K3325,L3325)))</f>
        <v>599.99</v>
      </c>
      <c r="C3325" s="3">
        <f>MEDIAN(I3325:L3325)</f>
        <v>599.99</v>
      </c>
      <c r="D3325" s="3">
        <f>ROUND(C3325*(1-Settings!$B$2),2)</f>
        <v>419.99</v>
      </c>
      <c r="E3325" s="3">
        <f>ROUND(C3325*(1-Settings!$B$3),2)</f>
        <v>419.99</v>
      </c>
      <c r="F3325" s="2" t="inlineStr">
        <is>
          <t>Pokemon</t>
        </is>
      </c>
      <c r="G3325" s="2" t="inlineStr">
        <is>
          <t>Pack</t>
        </is>
      </c>
      <c r="H3325" s="2" t="inlineStr">
        <is>
          <t>Stormfront</t>
        </is>
      </c>
      <c r="I3325" s="3" t="n">
        <v>599.99</v>
      </c>
      <c r="J3325" s="3" t="n"/>
      <c r="K3325" s="3" t="n"/>
      <c r="L3325" s="3" t="n"/>
      <c r="M3325" s="2" t="inlineStr">
        <is>
          <t>PriceCharting</t>
        </is>
      </c>
      <c r="N3325" s="4" t="inlineStr">
        <is>
          <t>https://www.pricecharting.com/game/pokemon-stormfront/blister-pack</t>
        </is>
      </c>
    </row>
    <row r="3326">
      <c r="A3326" s="2" t="inlineStr">
        <is>
          <t>Stormfront Booster Pack</t>
        </is>
      </c>
      <c r="B3326" s="3">
        <f>IF(I3326&lt;&gt;"",I3326,IF(J3326&lt;&gt;"",J3326,IF(K3326&lt;&gt;"",K3326,L3326)))</f>
        <v>404.52</v>
      </c>
      <c r="C3326" s="3">
        <f>MEDIAN(I3326:L3326)</f>
        <v>404.52</v>
      </c>
      <c r="D3326" s="3">
        <f>ROUND(C3326*(1-Settings!$B$2),2)</f>
        <v>283.16</v>
      </c>
      <c r="E3326" s="3">
        <f>ROUND(C3326*(1-Settings!$B$3),2)</f>
        <v>283.16</v>
      </c>
      <c r="F3326" s="2" t="inlineStr">
        <is>
          <t>Pokemon</t>
        </is>
      </c>
      <c r="G3326" s="2" t="inlineStr">
        <is>
          <t>Pack</t>
        </is>
      </c>
      <c r="H3326" s="2" t="inlineStr">
        <is>
          <t>Stormfront</t>
        </is>
      </c>
      <c r="I3326" s="3" t="n">
        <v>404.52</v>
      </c>
      <c r="J3326" s="3" t="n"/>
      <c r="K3326" s="3" t="n"/>
      <c r="L3326" s="3" t="n"/>
      <c r="M3326" s="2" t="inlineStr">
        <is>
          <t>PriceCharting</t>
        </is>
      </c>
      <c r="N3326" s="4" t="inlineStr">
        <is>
          <t>https://www.pricecharting.com/game/pokemon-stormfront/booster-pack</t>
        </is>
      </c>
    </row>
    <row r="3327">
      <c r="A3327" s="2" t="inlineStr">
        <is>
          <t>Stormfront Booster Pack</t>
        </is>
      </c>
      <c r="B3327" s="3">
        <f>IF(I3327&lt;&gt;"",I3327,IF(J3327&lt;&gt;"",J3327,IF(K3327&lt;&gt;"",K3327,L3327)))</f>
        <v>545.27</v>
      </c>
      <c r="C3327" s="3">
        <f>MEDIAN(I3327:L3327)</f>
        <v>849.99</v>
      </c>
      <c r="D3327" s="3">
        <f>ROUND(C3327*(1-Settings!$B$2),2)</f>
        <v>594.99</v>
      </c>
      <c r="E3327" s="3">
        <f>ROUND(C3327*(1-Settings!$B$3),2)</f>
        <v>594.99</v>
      </c>
      <c r="F3327" s="2" t="inlineStr">
        <is>
          <t>Pokemon</t>
        </is>
      </c>
      <c r="G3327" s="2" t="inlineStr">
        <is>
          <t>Pack</t>
        </is>
      </c>
      <c r="H3327" s="2" t="inlineStr">
        <is>
          <t>Stormfront</t>
        </is>
      </c>
      <c r="I3327" s="3" t="n"/>
      <c r="J3327" s="3" t="n">
        <v>545.27</v>
      </c>
      <c r="K3327" s="3" t="n">
        <v>900</v>
      </c>
      <c r="L3327" s="3" t="n">
        <v>849.99</v>
      </c>
      <c r="M3327" s="2" t="inlineStr">
        <is>
          <t>TCGplayer</t>
        </is>
      </c>
      <c r="O3327" s="4" t="inlineStr">
        <is>
          <t>https://www.tcgplayer.com/product/98589</t>
        </is>
      </c>
    </row>
    <row r="3328">
      <c r="A3328" s="2" t="inlineStr">
        <is>
          <t>Supreme Victors Blister Pack</t>
        </is>
      </c>
      <c r="B3328" s="3">
        <f>IF(I3328&lt;&gt;"",I3328,IF(J3328&lt;&gt;"",J3328,IF(K3328&lt;&gt;"",K3328,L3328)))</f>
        <v>967.5</v>
      </c>
      <c r="C3328" s="3">
        <f>MEDIAN(I3328:L3328)</f>
        <v>967.5</v>
      </c>
      <c r="D3328" s="3">
        <f>ROUND(C3328*(1-Settings!$B$2),2)</f>
        <v>677.25</v>
      </c>
      <c r="E3328" s="3">
        <f>ROUND(C3328*(1-Settings!$B$3),2)</f>
        <v>677.25</v>
      </c>
      <c r="F3328" s="2" t="inlineStr">
        <is>
          <t>Pokemon</t>
        </is>
      </c>
      <c r="G3328" s="2" t="inlineStr">
        <is>
          <t>Pack</t>
        </is>
      </c>
      <c r="H3328" s="2" t="inlineStr">
        <is>
          <t>Supreme Victors</t>
        </is>
      </c>
      <c r="I3328" s="3" t="n">
        <v>967.5</v>
      </c>
      <c r="J3328" s="3" t="n"/>
      <c r="K3328" s="3" t="n"/>
      <c r="L3328" s="3" t="n"/>
      <c r="M3328" s="2" t="inlineStr">
        <is>
          <t>PriceCharting</t>
        </is>
      </c>
      <c r="N3328" s="4" t="inlineStr">
        <is>
          <t>https://www.pricecharting.com/game/pokemon-supreme-victors/blister-pack</t>
        </is>
      </c>
    </row>
    <row r="3329">
      <c r="A3329" s="2" t="inlineStr">
        <is>
          <t>Supreme Victors Booster Pack</t>
        </is>
      </c>
      <c r="B3329" s="3">
        <f>IF(I3329&lt;&gt;"",I3329,IF(J3329&lt;&gt;"",J3329,IF(K3329&lt;&gt;"",K3329,L3329)))</f>
        <v>464.4</v>
      </c>
      <c r="C3329" s="3">
        <f>MEDIAN(I3329:L3329)</f>
        <v>758.315</v>
      </c>
      <c r="D3329" s="3">
        <f>ROUND(C3329*(1-Settings!$B$2),2)</f>
        <v>530.82</v>
      </c>
      <c r="E3329" s="3">
        <f>ROUND(C3329*(1-Settings!$B$3),2)</f>
        <v>530.82</v>
      </c>
      <c r="F3329" s="2" t="inlineStr">
        <is>
          <t>Pokemon</t>
        </is>
      </c>
      <c r="G3329" s="2" t="inlineStr">
        <is>
          <t>Pack</t>
        </is>
      </c>
      <c r="H3329" s="2" t="inlineStr">
        <is>
          <t>Supreme Victors</t>
        </is>
      </c>
      <c r="I3329" s="3" t="n">
        <v>464.4</v>
      </c>
      <c r="J3329" s="3" t="n">
        <v>716.66</v>
      </c>
      <c r="K3329" s="3" t="n">
        <v>800</v>
      </c>
      <c r="L3329" s="3" t="n">
        <v>799.97</v>
      </c>
      <c r="M3329" s="2" t="inlineStr">
        <is>
          <t>PriceCharting + TCGplayer</t>
        </is>
      </c>
      <c r="N3329" s="4" t="inlineStr">
        <is>
          <t>https://www.pricecharting.com/game/pokemon-supreme-victors/booster-pack</t>
        </is>
      </c>
      <c r="O3329" s="4" t="inlineStr">
        <is>
          <t>https://www.tcgplayer.com/product/98574</t>
        </is>
      </c>
    </row>
    <row r="3330">
      <c r="A3330" s="2" t="inlineStr">
        <is>
          <t>Surging Sparks Abra Checklane Blister</t>
        </is>
      </c>
      <c r="B3330" s="3">
        <f>IF(I3330&lt;&gt;"",I3330,IF(J3330&lt;&gt;"",J3330,IF(K3330&lt;&gt;"",K3330,L3330)))</f>
        <v>34.0</v>
      </c>
      <c r="C3330" s="3">
        <f>MEDIAN(I3330:L3330)</f>
        <v>34.0</v>
      </c>
      <c r="D3330" s="3">
        <f>ROUND(C3330*(1-Settings!$B$2),2)</f>
        <v>23.8</v>
      </c>
      <c r="E3330" s="3">
        <f>ROUND(C3330*(1-Settings!$B$3),2)</f>
        <v>23.8</v>
      </c>
      <c r="F3330" s="2" t="inlineStr">
        <is>
          <t>Pokemon</t>
        </is>
      </c>
      <c r="G3330" s="2" t="inlineStr">
        <is>
          <t>Pack</t>
        </is>
      </c>
      <c r="H3330" s="2" t="inlineStr">
        <is>
          <t>Surging Sparks</t>
        </is>
      </c>
      <c r="I3330" s="3" t="n">
        <v>34</v>
      </c>
      <c r="J3330" s="3" t="n"/>
      <c r="K3330" s="3" t="n"/>
      <c r="L3330" s="3" t="n"/>
      <c r="M3330" s="2" t="inlineStr">
        <is>
          <t>PriceCharting</t>
        </is>
      </c>
      <c r="N3330" s="4" t="inlineStr">
        <is>
          <t>https://www.pricecharting.com/game/pokemon-surging-sparks/abra-checklane-blister</t>
        </is>
      </c>
    </row>
    <row r="3331">
      <c r="A3331" s="2" t="inlineStr">
        <is>
          <t>Surging Sparks Arcanine Checklane Blister</t>
        </is>
      </c>
      <c r="B3331" s="3">
        <f>IF(I3331&lt;&gt;"",I3331,IF(J3331&lt;&gt;"",J3331,IF(K3331&lt;&gt;"",K3331,L3331)))</f>
        <v>24.99</v>
      </c>
      <c r="C3331" s="3">
        <f>MEDIAN(I3331:L3331)</f>
        <v>24.99</v>
      </c>
      <c r="D3331" s="3">
        <f>ROUND(C3331*(1-Settings!$B$2),2)</f>
        <v>17.49</v>
      </c>
      <c r="E3331" s="3">
        <f>ROUND(C3331*(1-Settings!$B$3),2)</f>
        <v>17.49</v>
      </c>
      <c r="F3331" s="2" t="inlineStr">
        <is>
          <t>Pokemon</t>
        </is>
      </c>
      <c r="G3331" s="2" t="inlineStr">
        <is>
          <t>Pack</t>
        </is>
      </c>
      <c r="H3331" s="2" t="inlineStr">
        <is>
          <t>Surging Sparks</t>
        </is>
      </c>
      <c r="I3331" s="3" t="n">
        <v>24.99</v>
      </c>
      <c r="J3331" s="3" t="n"/>
      <c r="K3331" s="3" t="n"/>
      <c r="L3331" s="3" t="n"/>
      <c r="M3331" s="2" t="inlineStr">
        <is>
          <t>PriceCharting</t>
        </is>
      </c>
      <c r="N3331" s="4" t="inlineStr">
        <is>
          <t>https://www.pricecharting.com/game/pokemon-surging-sparks/arcanine-checklane-blister</t>
        </is>
      </c>
    </row>
    <row r="3332">
      <c r="A3332" s="2" t="inlineStr">
        <is>
          <t>Surging Sparks Litwick Checklane Blister</t>
        </is>
      </c>
      <c r="B3332" s="3">
        <f>IF(I3332&lt;&gt;"",I3332,IF(J3332&lt;&gt;"",J3332,IF(K3332&lt;&gt;"",K3332,L3332)))</f>
        <v>39.5</v>
      </c>
      <c r="C3332" s="3">
        <f>MEDIAN(I3332:L3332)</f>
        <v>39.5</v>
      </c>
      <c r="D3332" s="3">
        <f>ROUND(C3332*(1-Settings!$B$2),2)</f>
        <v>27.65</v>
      </c>
      <c r="E3332" s="3">
        <f>ROUND(C3332*(1-Settings!$B$3),2)</f>
        <v>27.65</v>
      </c>
      <c r="F3332" s="2" t="inlineStr">
        <is>
          <t>Pokemon</t>
        </is>
      </c>
      <c r="G3332" s="2" t="inlineStr">
        <is>
          <t>Pack</t>
        </is>
      </c>
      <c r="H3332" s="2" t="inlineStr">
        <is>
          <t>Surging Sparks</t>
        </is>
      </c>
      <c r="I3332" s="3" t="n">
        <v>39.5</v>
      </c>
      <c r="J3332" s="3" t="n"/>
      <c r="K3332" s="3" t="n"/>
      <c r="L3332" s="3" t="n"/>
      <c r="M3332" s="2" t="inlineStr">
        <is>
          <t>PriceCharting</t>
        </is>
      </c>
      <c r="N3332" s="4" t="inlineStr">
        <is>
          <t>https://www.pricecharting.com/game/pokemon-surging-sparks/litwick-checklane-blister</t>
        </is>
      </c>
    </row>
    <row r="3333">
      <c r="A3333" s="2" t="inlineStr">
        <is>
          <t>Surging Sparks Parchirisu Blister Pack</t>
        </is>
      </c>
      <c r="B3333" s="3">
        <f>IF(I3333&lt;&gt;"",I3333,IF(J3333&lt;&gt;"",J3333,IF(K3333&lt;&gt;"",K3333,L3333)))</f>
        <v>12.34</v>
      </c>
      <c r="C3333" s="3">
        <f>MEDIAN(I3333:L3333)</f>
        <v>12.34</v>
      </c>
      <c r="D3333" s="3">
        <f>ROUND(C3333*(1-Settings!$B$2),2)</f>
        <v>8.64</v>
      </c>
      <c r="E3333" s="3">
        <f>ROUND(C3333*(1-Settings!$B$3),2)</f>
        <v>8.64</v>
      </c>
      <c r="F3333" s="2" t="inlineStr">
        <is>
          <t>Pokemon</t>
        </is>
      </c>
      <c r="G3333" s="2" t="inlineStr">
        <is>
          <t>Pack</t>
        </is>
      </c>
      <c r="H3333" s="2" t="inlineStr">
        <is>
          <t>Surging Sparks</t>
        </is>
      </c>
      <c r="I3333" s="3" t="n">
        <v>12.34</v>
      </c>
      <c r="J3333" s="3" t="n"/>
      <c r="K3333" s="3" t="n"/>
      <c r="L3333" s="3" t="n"/>
      <c r="M3333" s="2" t="inlineStr">
        <is>
          <t>PriceCharting</t>
        </is>
      </c>
      <c r="N3333" s="4" t="inlineStr">
        <is>
          <t>https://www.pricecharting.com/game/pokemon-surging-sparks/parchirisu-blister-pack</t>
        </is>
      </c>
    </row>
    <row r="3334">
      <c r="A3334" s="2" t="inlineStr">
        <is>
          <t>Surging Sparks Premium Checklane Blister [Sinistcha]</t>
        </is>
      </c>
      <c r="B3334" s="3">
        <f>IF(I3334&lt;&gt;"",I3334,IF(J3334&lt;&gt;"",J3334,IF(K3334&lt;&gt;"",K3334,L3334)))</f>
        <v>15.07</v>
      </c>
      <c r="C3334" s="3">
        <f>MEDIAN(I3334:L3334)</f>
        <v>15.07</v>
      </c>
      <c r="D3334" s="3">
        <f>ROUND(C3334*(1-Settings!$B$2),2)</f>
        <v>10.55</v>
      </c>
      <c r="E3334" s="3">
        <f>ROUND(C3334*(1-Settings!$B$3),2)</f>
        <v>10.55</v>
      </c>
      <c r="F3334" s="2" t="inlineStr">
        <is>
          <t>Pokemon</t>
        </is>
      </c>
      <c r="G3334" s="2" t="inlineStr">
        <is>
          <t>Pack</t>
        </is>
      </c>
      <c r="H3334" s="2" t="inlineStr">
        <is>
          <t>Surging Sparks</t>
        </is>
      </c>
      <c r="I3334" s="3" t="n">
        <v>15.07</v>
      </c>
      <c r="J3334" s="3" t="n"/>
      <c r="K3334" s="3" t="n"/>
      <c r="L3334" s="3" t="n"/>
      <c r="M3334" s="2" t="inlineStr">
        <is>
          <t>PriceCharting</t>
        </is>
      </c>
      <c r="N3334" s="4" t="inlineStr">
        <is>
          <t>https://www.pricecharting.com/game/pokemon-surging-sparks/premium-checklane-blister-sinistcha</t>
        </is>
      </c>
    </row>
    <row r="3335">
      <c r="A3335" s="2" t="inlineStr">
        <is>
          <t>Surging Sparks Quagsire 3 Pack Blisters</t>
        </is>
      </c>
      <c r="B3335" s="3">
        <f>IF(I3335&lt;&gt;"",I3335,IF(J3335&lt;&gt;"",J3335,IF(K3335&lt;&gt;"",K3335,L3335)))</f>
        <v>42.0</v>
      </c>
      <c r="C3335" s="3">
        <f>MEDIAN(I3335:L3335)</f>
        <v>42.0</v>
      </c>
      <c r="D3335" s="3">
        <f>ROUND(C3335*(1-Settings!$B$2),2)</f>
        <v>29.4</v>
      </c>
      <c r="E3335" s="3">
        <f>ROUND(C3335*(1-Settings!$B$3),2)</f>
        <v>29.4</v>
      </c>
      <c r="F3335" s="2" t="inlineStr">
        <is>
          <t>Pokemon</t>
        </is>
      </c>
      <c r="G3335" s="2" t="inlineStr">
        <is>
          <t>Pack</t>
        </is>
      </c>
      <c r="H3335" s="2" t="inlineStr">
        <is>
          <t>Surging Sparks</t>
        </is>
      </c>
      <c r="I3335" s="3" t="n">
        <v>42</v>
      </c>
      <c r="J3335" s="3" t="n"/>
      <c r="K3335" s="3" t="n"/>
      <c r="L3335" s="3" t="n"/>
      <c r="M3335" s="2" t="inlineStr">
        <is>
          <t>PriceCharting</t>
        </is>
      </c>
      <c r="N3335" s="4" t="inlineStr">
        <is>
          <t>https://www.pricecharting.com/game/pokemon-surging-sparks/quagsire-3-pack-blisters</t>
        </is>
      </c>
    </row>
    <row r="3336">
      <c r="A3336" s="2" t="inlineStr">
        <is>
          <t>Surging Sparks Sealed Fun Pack</t>
        </is>
      </c>
      <c r="B3336" s="3">
        <f>IF(I3336&lt;&gt;"",I3336,IF(J3336&lt;&gt;"",J3336,IF(K3336&lt;&gt;"",K3336,L3336)))</f>
        <v>9.38</v>
      </c>
      <c r="C3336" s="3">
        <f>MEDIAN(I3336:L3336)</f>
        <v>9.38</v>
      </c>
      <c r="D3336" s="3">
        <f>ROUND(C3336*(1-Settings!$B$2),2)</f>
        <v>6.57</v>
      </c>
      <c r="E3336" s="3">
        <f>ROUND(C3336*(1-Settings!$B$3),2)</f>
        <v>6.57</v>
      </c>
      <c r="F3336" s="2" t="inlineStr">
        <is>
          <t>Pokemon</t>
        </is>
      </c>
      <c r="G3336" s="2" t="inlineStr">
        <is>
          <t>Pack</t>
        </is>
      </c>
      <c r="H3336" s="2" t="inlineStr">
        <is>
          <t>Surging Sparks</t>
        </is>
      </c>
      <c r="I3336" s="3" t="n">
        <v>9.380000000000001</v>
      </c>
      <c r="J3336" s="3" t="n"/>
      <c r="K3336" s="3" t="n"/>
      <c r="L3336" s="3" t="n"/>
      <c r="M3336" s="2" t="inlineStr">
        <is>
          <t>PriceCharting</t>
        </is>
      </c>
      <c r="N3336" s="4" t="inlineStr">
        <is>
          <t>https://www.pricecharting.com/game/pokemon-surging-sparks/sealed-fun-pack</t>
        </is>
      </c>
    </row>
    <row r="3337">
      <c r="A3337" s="2" t="inlineStr">
        <is>
          <t>Surging Sparks Wooper Blister Pack</t>
        </is>
      </c>
      <c r="B3337" s="3">
        <f>IF(I3337&lt;&gt;"",I3337,IF(J3337&lt;&gt;"",J3337,IF(K3337&lt;&gt;"",K3337,L3337)))</f>
        <v>13.82</v>
      </c>
      <c r="C3337" s="3">
        <f>MEDIAN(I3337:L3337)</f>
        <v>13.82</v>
      </c>
      <c r="D3337" s="3">
        <f>ROUND(C3337*(1-Settings!$B$2),2)</f>
        <v>9.67</v>
      </c>
      <c r="E3337" s="3">
        <f>ROUND(C3337*(1-Settings!$B$3),2)</f>
        <v>9.67</v>
      </c>
      <c r="F3337" s="2" t="inlineStr">
        <is>
          <t>Pokemon</t>
        </is>
      </c>
      <c r="G3337" s="2" t="inlineStr">
        <is>
          <t>Pack</t>
        </is>
      </c>
      <c r="H3337" s="2" t="inlineStr">
        <is>
          <t>Surging Sparks</t>
        </is>
      </c>
      <c r="I3337" s="3" t="n">
        <v>13.82</v>
      </c>
      <c r="J3337" s="3" t="n"/>
      <c r="K3337" s="3" t="n"/>
      <c r="L3337" s="3" t="n"/>
      <c r="M3337" s="2" t="inlineStr">
        <is>
          <t>PriceCharting</t>
        </is>
      </c>
      <c r="N3337" s="4" t="inlineStr">
        <is>
          <t>https://www.pricecharting.com/game/pokemon-surging-sparks/wooper-blister-pack</t>
        </is>
      </c>
    </row>
    <row r="3338">
      <c r="A3338" s="2" t="inlineStr">
        <is>
          <t>Surging Sparks Zapdos 3 Pack Blisters</t>
        </is>
      </c>
      <c r="B3338" s="3">
        <f>IF(I3338&lt;&gt;"",I3338,IF(J3338&lt;&gt;"",J3338,IF(K3338&lt;&gt;"",K3338,L3338)))</f>
        <v>32.86</v>
      </c>
      <c r="C3338" s="3">
        <f>MEDIAN(I3338:L3338)</f>
        <v>32.86</v>
      </c>
      <c r="D3338" s="3">
        <f>ROUND(C3338*(1-Settings!$B$2),2)</f>
        <v>23.0</v>
      </c>
      <c r="E3338" s="3">
        <f>ROUND(C3338*(1-Settings!$B$3),2)</f>
        <v>23.0</v>
      </c>
      <c r="F3338" s="2" t="inlineStr">
        <is>
          <t>Pokemon</t>
        </is>
      </c>
      <c r="G3338" s="2" t="inlineStr">
        <is>
          <t>Pack</t>
        </is>
      </c>
      <c r="H3338" s="2" t="inlineStr">
        <is>
          <t>Surging Sparks</t>
        </is>
      </c>
      <c r="I3338" s="3" t="n">
        <v>32.86</v>
      </c>
      <c r="J3338" s="3" t="n"/>
      <c r="K3338" s="3" t="n"/>
      <c r="L3338" s="3" t="n"/>
      <c r="M3338" s="2" t="inlineStr">
        <is>
          <t>PriceCharting</t>
        </is>
      </c>
      <c r="N3338" s="4" t="inlineStr">
        <is>
          <t>https://www.pricecharting.com/game/pokemon-surging-sparks/zapdos-3-pack-blisters</t>
        </is>
      </c>
    </row>
    <row r="3339">
      <c r="A3339" s="2" t="inlineStr">
        <is>
          <t>2024 Pokemon Japan Illustration Contest Promo 3-Card Pack</t>
        </is>
      </c>
      <c r="B3339" s="3">
        <f>IF(I3339&lt;&gt;"",I3339,IF(J3339&lt;&gt;"",J3339,IF(K3339&lt;&gt;"",K3339,L3339)))</f>
        <v>37.2</v>
      </c>
      <c r="C3339" s="3">
        <f>MEDIAN(I3339:L3339)</f>
        <v>34.945</v>
      </c>
      <c r="D3339" s="3">
        <f>ROUND(C3339*(1-Settings!$B$2),2)</f>
        <v>24.46</v>
      </c>
      <c r="E3339" s="3">
        <f>ROUND(C3339*(1-Settings!$B$3),2)</f>
        <v>24.46</v>
      </c>
      <c r="F3339" s="2" t="inlineStr">
        <is>
          <t>Pokemon</t>
        </is>
      </c>
      <c r="G3339" s="2" t="inlineStr">
        <is>
          <t>Pack</t>
        </is>
      </c>
      <c r="H3339" s="2" t="inlineStr">
        <is>
          <t>SV-P Promotional Cards</t>
        </is>
      </c>
      <c r="I3339" s="3" t="n"/>
      <c r="J3339" s="3" t="n">
        <v>37.2</v>
      </c>
      <c r="K3339" s="3" t="n"/>
      <c r="L3339" s="3" t="n">
        <v>32.69</v>
      </c>
      <c r="M3339" s="2" t="inlineStr">
        <is>
          <t>TCGplayer</t>
        </is>
      </c>
      <c r="O3339" s="4" t="inlineStr">
        <is>
          <t>https://www.tcgplayer.com/product/628278</t>
        </is>
      </c>
    </row>
    <row r="3340">
      <c r="A3340" s="2" t="inlineStr">
        <is>
          <t>Scarlet &amp; Violet 3 Pack Blister [Arcanine]</t>
        </is>
      </c>
      <c r="B3340" s="3">
        <f>IF(I3340&lt;&gt;"",I3340,IF(J3340&lt;&gt;"",J3340,IF(K3340&lt;&gt;"",K3340,L3340)))</f>
        <v>35.91</v>
      </c>
      <c r="C3340" s="3">
        <f>MEDIAN(I3340:L3340)</f>
        <v>35.91</v>
      </c>
      <c r="D3340" s="3">
        <f>ROUND(C3340*(1-Settings!$B$2),2)</f>
        <v>25.14</v>
      </c>
      <c r="E3340" s="3">
        <f>ROUND(C3340*(1-Settings!$B$3),2)</f>
        <v>25.14</v>
      </c>
      <c r="F3340" s="2" t="inlineStr">
        <is>
          <t>Pokemon</t>
        </is>
      </c>
      <c r="G3340" s="2" t="inlineStr">
        <is>
          <t>Pack</t>
        </is>
      </c>
      <c r="H3340" s="2" t="inlineStr">
        <is>
          <t>SV01: Scarlet &amp; Violet Base Set</t>
        </is>
      </c>
      <c r="I3340" s="3" t="n"/>
      <c r="J3340" s="3" t="n">
        <v>35.91</v>
      </c>
      <c r="K3340" s="3" t="n">
        <v>39.99</v>
      </c>
      <c r="L3340" s="3" t="n">
        <v>25</v>
      </c>
      <c r="M3340" s="2" t="inlineStr">
        <is>
          <t>TCGplayer</t>
        </is>
      </c>
      <c r="O3340" s="4" t="inlineStr">
        <is>
          <t>https://www.tcgplayer.com/product/478761</t>
        </is>
      </c>
    </row>
    <row r="3341">
      <c r="A3341" s="2" t="inlineStr">
        <is>
          <t>Scarlet &amp; Violet 3 Pack Blister [Dondozo]</t>
        </is>
      </c>
      <c r="B3341" s="3">
        <f>IF(I3341&lt;&gt;"",I3341,IF(J3341&lt;&gt;"",J3341,IF(K3341&lt;&gt;"",K3341,L3341)))</f>
        <v>30.95</v>
      </c>
      <c r="C3341" s="3">
        <f>MEDIAN(I3341:L3341)</f>
        <v>30.95</v>
      </c>
      <c r="D3341" s="3">
        <f>ROUND(C3341*(1-Settings!$B$2),2)</f>
        <v>21.67</v>
      </c>
      <c r="E3341" s="3">
        <f>ROUND(C3341*(1-Settings!$B$3),2)</f>
        <v>21.67</v>
      </c>
      <c r="F3341" s="2" t="inlineStr">
        <is>
          <t>Pokemon</t>
        </is>
      </c>
      <c r="G3341" s="2" t="inlineStr">
        <is>
          <t>Pack</t>
        </is>
      </c>
      <c r="H3341" s="2" t="inlineStr">
        <is>
          <t>SV01: Scarlet &amp; Violet Base Set</t>
        </is>
      </c>
      <c r="I3341" s="3" t="n"/>
      <c r="J3341" s="3" t="n">
        <v>30.95</v>
      </c>
      <c r="K3341" s="3" t="n">
        <v>35.49</v>
      </c>
      <c r="L3341" s="3" t="n">
        <v>30.95</v>
      </c>
      <c r="M3341" s="2" t="inlineStr">
        <is>
          <t>TCGplayer</t>
        </is>
      </c>
      <c r="O3341" s="4" t="inlineStr">
        <is>
          <t>https://www.tcgplayer.com/product/478762</t>
        </is>
      </c>
    </row>
    <row r="3342">
      <c r="A3342" s="2" t="inlineStr">
        <is>
          <t>Scarlet &amp; Violet 3 Pack Blister [Set of 2]</t>
        </is>
      </c>
      <c r="B3342" s="3">
        <f>IF(I3342&lt;&gt;"",I3342,IF(J3342&lt;&gt;"",J3342,IF(K3342&lt;&gt;"",K3342,L3342)))</f>
        <v>62.41</v>
      </c>
      <c r="C3342" s="3">
        <f>MEDIAN(I3342:L3342)</f>
        <v>74.99</v>
      </c>
      <c r="D3342" s="3">
        <f>ROUND(C3342*(1-Settings!$B$2),2)</f>
        <v>52.49</v>
      </c>
      <c r="E3342" s="3">
        <f>ROUND(C3342*(1-Settings!$B$3),2)</f>
        <v>52.49</v>
      </c>
      <c r="F3342" s="2" t="inlineStr">
        <is>
          <t>Pokemon</t>
        </is>
      </c>
      <c r="G3342" s="2" t="inlineStr">
        <is>
          <t>Pack</t>
        </is>
      </c>
      <c r="H3342" s="2" t="inlineStr">
        <is>
          <t>SV01: Scarlet &amp; Violet Base Set</t>
        </is>
      </c>
      <c r="I3342" s="3" t="n"/>
      <c r="J3342" s="3" t="n">
        <v>62.41</v>
      </c>
      <c r="K3342" s="3" t="n">
        <v>74.98999999999999</v>
      </c>
      <c r="L3342" s="3" t="n">
        <v>74.98999999999999</v>
      </c>
      <c r="M3342" s="2" t="inlineStr">
        <is>
          <t>TCGplayer</t>
        </is>
      </c>
      <c r="O3342" s="4" t="inlineStr">
        <is>
          <t>https://www.tcgplayer.com/product/478763</t>
        </is>
      </c>
    </row>
    <row r="3343">
      <c r="A3343" s="2" t="inlineStr">
        <is>
          <t>Scarlet &amp; Violet Booster Pack</t>
        </is>
      </c>
      <c r="B3343" s="3">
        <f>IF(I3343&lt;&gt;"",I3343,IF(J3343&lt;&gt;"",J3343,IF(K3343&lt;&gt;"",K3343,L3343)))</f>
        <v>8.86</v>
      </c>
      <c r="C3343" s="3">
        <f>MEDIAN(I3343:L3343)</f>
        <v>8.86</v>
      </c>
      <c r="D3343" s="3">
        <f>ROUND(C3343*(1-Settings!$B$2),2)</f>
        <v>6.2</v>
      </c>
      <c r="E3343" s="3">
        <f>ROUND(C3343*(1-Settings!$B$3),2)</f>
        <v>6.2</v>
      </c>
      <c r="F3343" s="2" t="inlineStr">
        <is>
          <t>Pokemon</t>
        </is>
      </c>
      <c r="G3343" s="2" t="inlineStr">
        <is>
          <t>Pack</t>
        </is>
      </c>
      <c r="H3343" s="2" t="inlineStr">
        <is>
          <t>SV01: Scarlet &amp; Violet Base Set</t>
        </is>
      </c>
      <c r="I3343" s="3" t="n"/>
      <c r="J3343" s="3" t="n">
        <v>8.859999999999999</v>
      </c>
      <c r="K3343" s="3" t="n">
        <v>9.5</v>
      </c>
      <c r="L3343" s="3" t="n">
        <v>7.99</v>
      </c>
      <c r="M3343" s="2" t="inlineStr">
        <is>
          <t>TCGplayer</t>
        </is>
      </c>
      <c r="O3343" s="4" t="inlineStr">
        <is>
          <t>https://www.tcgplayer.com/product/476451</t>
        </is>
      </c>
    </row>
    <row r="3344">
      <c r="A3344" s="2" t="inlineStr">
        <is>
          <t>Scarlet &amp; Violet Fun Pack</t>
        </is>
      </c>
      <c r="B3344" s="3">
        <f>IF(I3344&lt;&gt;"",I3344,IF(J3344&lt;&gt;"",J3344,IF(K3344&lt;&gt;"",K3344,L3344)))</f>
        <v>7.18</v>
      </c>
      <c r="C3344" s="3">
        <f>MEDIAN(I3344:L3344)</f>
        <v>7.18</v>
      </c>
      <c r="D3344" s="3">
        <f>ROUND(C3344*(1-Settings!$B$2),2)</f>
        <v>5.03</v>
      </c>
      <c r="E3344" s="3">
        <f>ROUND(C3344*(1-Settings!$B$3),2)</f>
        <v>5.03</v>
      </c>
      <c r="F3344" s="2" t="inlineStr">
        <is>
          <t>Pokemon</t>
        </is>
      </c>
      <c r="G3344" s="2" t="inlineStr">
        <is>
          <t>Pack</t>
        </is>
      </c>
      <c r="H3344" s="2" t="inlineStr">
        <is>
          <t>SV01: Scarlet &amp; Violet Base Set</t>
        </is>
      </c>
      <c r="I3344" s="3" t="n"/>
      <c r="J3344" s="3" t="n">
        <v>7.18</v>
      </c>
      <c r="K3344" s="3" t="n">
        <v>7.21</v>
      </c>
      <c r="L3344" s="3" t="n">
        <v>3.14</v>
      </c>
      <c r="M3344" s="2" t="inlineStr">
        <is>
          <t>TCGplayer</t>
        </is>
      </c>
      <c r="O3344" s="4" t="inlineStr">
        <is>
          <t>https://www.tcgplayer.com/product/530121</t>
        </is>
      </c>
    </row>
    <row r="3345">
      <c r="A3345" s="2" t="inlineStr">
        <is>
          <t>Scarlet &amp; Violet Premium Checklane Blister [Gengar]</t>
        </is>
      </c>
      <c r="B3345" s="3">
        <f>IF(I3345&lt;&gt;"",I3345,IF(J3345&lt;&gt;"",J3345,IF(K3345&lt;&gt;"",K3345,L3345)))</f>
        <v>30.0</v>
      </c>
      <c r="C3345" s="3">
        <f>MEDIAN(I3345:L3345)</f>
        <v>30.0</v>
      </c>
      <c r="D3345" s="3">
        <f>ROUND(C3345*(1-Settings!$B$2),2)</f>
        <v>21.0</v>
      </c>
      <c r="E3345" s="3">
        <f>ROUND(C3345*(1-Settings!$B$3),2)</f>
        <v>21.0</v>
      </c>
      <c r="F3345" s="2" t="inlineStr">
        <is>
          <t>Pokemon</t>
        </is>
      </c>
      <c r="G3345" s="2" t="inlineStr">
        <is>
          <t>Pack</t>
        </is>
      </c>
      <c r="H3345" s="2" t="inlineStr">
        <is>
          <t>SV01: Scarlet &amp; Violet Base Set</t>
        </is>
      </c>
      <c r="I3345" s="3" t="n"/>
      <c r="J3345" s="3" t="n">
        <v>30</v>
      </c>
      <c r="K3345" s="3" t="n"/>
      <c r="L3345" s="3" t="n"/>
      <c r="M3345" s="2" t="inlineStr">
        <is>
          <t>TCGplayer</t>
        </is>
      </c>
      <c r="O3345" s="4" t="inlineStr">
        <is>
          <t>https://www.tcgplayer.com/product/479328</t>
        </is>
      </c>
    </row>
    <row r="3346">
      <c r="A3346" s="2" t="inlineStr">
        <is>
          <t>Scarlet &amp; Violet Premium Checklane Blister [Hisuian Zoroark]</t>
        </is>
      </c>
      <c r="B3346" s="3">
        <f>IF(I3346&lt;&gt;"",I3346,IF(J3346&lt;&gt;"",J3346,IF(K3346&lt;&gt;"",K3346,L3346)))</f>
        <v>12.0</v>
      </c>
      <c r="C3346" s="3">
        <f>MEDIAN(I3346:L3346)</f>
        <v>12.0</v>
      </c>
      <c r="D3346" s="3">
        <f>ROUND(C3346*(1-Settings!$B$2),2)</f>
        <v>8.4</v>
      </c>
      <c r="E3346" s="3">
        <f>ROUND(C3346*(1-Settings!$B$3),2)</f>
        <v>8.4</v>
      </c>
      <c r="F3346" s="2" t="inlineStr">
        <is>
          <t>Pokemon</t>
        </is>
      </c>
      <c r="G3346" s="2" t="inlineStr">
        <is>
          <t>Pack</t>
        </is>
      </c>
      <c r="H3346" s="2" t="inlineStr">
        <is>
          <t>SV01: Scarlet &amp; Violet Base Set</t>
        </is>
      </c>
      <c r="I3346" s="3" t="n"/>
      <c r="J3346" s="3" t="n">
        <v>12</v>
      </c>
      <c r="K3346" s="3" t="n">
        <v>17.99</v>
      </c>
      <c r="L3346" s="3" t="n">
        <v>8</v>
      </c>
      <c r="M3346" s="2" t="inlineStr">
        <is>
          <t>TCGplayer</t>
        </is>
      </c>
      <c r="O3346" s="4" t="inlineStr">
        <is>
          <t>https://www.tcgplayer.com/product/497167</t>
        </is>
      </c>
    </row>
    <row r="3347">
      <c r="A3347" s="2" t="inlineStr">
        <is>
          <t>Scarlet &amp; Violet Premium Checklane Blister [Machamp]</t>
        </is>
      </c>
      <c r="B3347" s="3">
        <f>IF(I3347&lt;&gt;"",I3347,IF(J3347&lt;&gt;"",J3347,IF(K3347&lt;&gt;"",K3347,L3347)))</f>
        <v>30.0</v>
      </c>
      <c r="C3347" s="3">
        <f>MEDIAN(I3347:L3347)</f>
        <v>30.0</v>
      </c>
      <c r="D3347" s="3">
        <f>ROUND(C3347*(1-Settings!$B$2),2)</f>
        <v>21.0</v>
      </c>
      <c r="E3347" s="3">
        <f>ROUND(C3347*(1-Settings!$B$3),2)</f>
        <v>21.0</v>
      </c>
      <c r="F3347" s="2" t="inlineStr">
        <is>
          <t>Pokemon</t>
        </is>
      </c>
      <c r="G3347" s="2" t="inlineStr">
        <is>
          <t>Pack</t>
        </is>
      </c>
      <c r="H3347" s="2" t="inlineStr">
        <is>
          <t>SV01: Scarlet &amp; Violet Base Set</t>
        </is>
      </c>
      <c r="I3347" s="3" t="n"/>
      <c r="J3347" s="3" t="n">
        <v>30</v>
      </c>
      <c r="K3347" s="3" t="n">
        <v>30</v>
      </c>
      <c r="L3347" s="3" t="n">
        <v>30</v>
      </c>
      <c r="M3347" s="2" t="inlineStr">
        <is>
          <t>TCGplayer</t>
        </is>
      </c>
      <c r="O3347" s="4" t="inlineStr">
        <is>
          <t>https://www.tcgplayer.com/product/479330</t>
        </is>
      </c>
    </row>
    <row r="3348">
      <c r="A3348" s="2" t="inlineStr">
        <is>
          <t>Scarlet &amp; Violet Single Pack Blister [Espathra]</t>
        </is>
      </c>
      <c r="B3348" s="3">
        <f>IF(I3348&lt;&gt;"",I3348,IF(J3348&lt;&gt;"",J3348,IF(K3348&lt;&gt;"",K3348,L3348)))</f>
        <v>13.2</v>
      </c>
      <c r="C3348" s="3">
        <f>MEDIAN(I3348:L3348)</f>
        <v>13.2</v>
      </c>
      <c r="D3348" s="3">
        <f>ROUND(C3348*(1-Settings!$B$2),2)</f>
        <v>9.24</v>
      </c>
      <c r="E3348" s="3">
        <f>ROUND(C3348*(1-Settings!$B$3),2)</f>
        <v>9.24</v>
      </c>
      <c r="F3348" s="2" t="inlineStr">
        <is>
          <t>Pokemon</t>
        </is>
      </c>
      <c r="G3348" s="2" t="inlineStr">
        <is>
          <t>Pack</t>
        </is>
      </c>
      <c r="H3348" s="2" t="inlineStr">
        <is>
          <t>SV01: Scarlet &amp; Violet Base Set</t>
        </is>
      </c>
      <c r="I3348" s="3" t="n"/>
      <c r="J3348" s="3" t="n">
        <v>13.2</v>
      </c>
      <c r="K3348" s="3" t="n">
        <v>14.15</v>
      </c>
      <c r="L3348" s="3" t="n">
        <v>9.85</v>
      </c>
      <c r="M3348" s="2" t="inlineStr">
        <is>
          <t>TCGplayer</t>
        </is>
      </c>
      <c r="O3348" s="4" t="inlineStr">
        <is>
          <t>https://www.tcgplayer.com/product/478766</t>
        </is>
      </c>
    </row>
    <row r="3349">
      <c r="A3349" s="2" t="inlineStr">
        <is>
          <t>Scarlet &amp; Violet Single Pack Blister [Set of 2]</t>
        </is>
      </c>
      <c r="B3349" s="3">
        <f>IF(I3349&lt;&gt;"",I3349,IF(J3349&lt;&gt;"",J3349,IF(K3349&lt;&gt;"",K3349,L3349)))</f>
        <v>24.44</v>
      </c>
      <c r="C3349" s="3">
        <f>MEDIAN(I3349:L3349)</f>
        <v>23.19</v>
      </c>
      <c r="D3349" s="3">
        <f>ROUND(C3349*(1-Settings!$B$2),2)</f>
        <v>16.23</v>
      </c>
      <c r="E3349" s="3">
        <f>ROUND(C3349*(1-Settings!$B$3),2)</f>
        <v>16.23</v>
      </c>
      <c r="F3349" s="2" t="inlineStr">
        <is>
          <t>Pokemon</t>
        </is>
      </c>
      <c r="G3349" s="2" t="inlineStr">
        <is>
          <t>Pack</t>
        </is>
      </c>
      <c r="H3349" s="2" t="inlineStr">
        <is>
          <t>SV01: Scarlet &amp; Violet Base Set</t>
        </is>
      </c>
      <c r="I3349" s="3" t="n"/>
      <c r="J3349" s="3" t="n">
        <v>24.44</v>
      </c>
      <c r="K3349" s="3" t="n">
        <v>23.19</v>
      </c>
      <c r="L3349" s="3" t="n">
        <v>23.19</v>
      </c>
      <c r="M3349" s="2" t="inlineStr">
        <is>
          <t>TCGplayer</t>
        </is>
      </c>
      <c r="O3349" s="4" t="inlineStr">
        <is>
          <t>https://www.tcgplayer.com/product/478767</t>
        </is>
      </c>
    </row>
    <row r="3350">
      <c r="A3350" s="2" t="inlineStr">
        <is>
          <t>Scarlet &amp; Violet Single Pack Blister [Spidops]</t>
        </is>
      </c>
      <c r="B3350" s="3">
        <f>IF(I3350&lt;&gt;"",I3350,IF(J3350&lt;&gt;"",J3350,IF(K3350&lt;&gt;"",K3350,L3350)))</f>
        <v>13.01</v>
      </c>
      <c r="C3350" s="3">
        <f>MEDIAN(I3350:L3350)</f>
        <v>13.01</v>
      </c>
      <c r="D3350" s="3">
        <f>ROUND(C3350*(1-Settings!$B$2),2)</f>
        <v>9.11</v>
      </c>
      <c r="E3350" s="3">
        <f>ROUND(C3350*(1-Settings!$B$3),2)</f>
        <v>9.11</v>
      </c>
      <c r="F3350" s="2" t="inlineStr">
        <is>
          <t>Pokemon</t>
        </is>
      </c>
      <c r="G3350" s="2" t="inlineStr">
        <is>
          <t>Pack</t>
        </is>
      </c>
      <c r="H3350" s="2" t="inlineStr">
        <is>
          <t>SV01: Scarlet &amp; Violet Base Set</t>
        </is>
      </c>
      <c r="I3350" s="3" t="n"/>
      <c r="J3350" s="3" t="n">
        <v>13.01</v>
      </c>
      <c r="K3350" s="3" t="n">
        <v>14.99</v>
      </c>
      <c r="L3350" s="3" t="n">
        <v>11.8</v>
      </c>
      <c r="M3350" s="2" t="inlineStr">
        <is>
          <t>TCGplayer</t>
        </is>
      </c>
      <c r="O3350" s="4" t="inlineStr">
        <is>
          <t>https://www.tcgplayer.com/product/478765</t>
        </is>
      </c>
    </row>
    <row r="3351">
      <c r="A3351" s="2" t="inlineStr">
        <is>
          <t>Scarlet &amp; Violet Sleeved Booster Pack</t>
        </is>
      </c>
      <c r="B3351" s="3">
        <f>IF(I3351&lt;&gt;"",I3351,IF(J3351&lt;&gt;"",J3351,IF(K3351&lt;&gt;"",K3351,L3351)))</f>
        <v>10.78</v>
      </c>
      <c r="C3351" s="3">
        <f>MEDIAN(I3351:L3351)</f>
        <v>10.78</v>
      </c>
      <c r="D3351" s="3">
        <f>ROUND(C3351*(1-Settings!$B$2),2)</f>
        <v>7.55</v>
      </c>
      <c r="E3351" s="3">
        <f>ROUND(C3351*(1-Settings!$B$3),2)</f>
        <v>7.55</v>
      </c>
      <c r="F3351" s="2" t="inlineStr">
        <is>
          <t>Pokemon</t>
        </is>
      </c>
      <c r="G3351" s="2" t="inlineStr">
        <is>
          <t>Pack</t>
        </is>
      </c>
      <c r="H3351" s="2" t="inlineStr">
        <is>
          <t>SV01: Scarlet &amp; Violet Base Set</t>
        </is>
      </c>
      <c r="I3351" s="3" t="n"/>
      <c r="J3351" s="3" t="n">
        <v>10.78</v>
      </c>
      <c r="K3351" s="3" t="n">
        <v>11.12</v>
      </c>
      <c r="L3351" s="3" t="n">
        <v>8</v>
      </c>
      <c r="M3351" s="2" t="inlineStr">
        <is>
          <t>TCGplayer</t>
        </is>
      </c>
      <c r="O3351" s="4" t="inlineStr">
        <is>
          <t>https://www.tcgplayer.com/product/478273</t>
        </is>
      </c>
    </row>
    <row r="3352">
      <c r="A3352" s="2" t="inlineStr">
        <is>
          <t>Paldea Evolved 3 Pack Blister [Tinkatink]</t>
        </is>
      </c>
      <c r="B3352" s="3">
        <f>IF(I3352&lt;&gt;"",I3352,IF(J3352&lt;&gt;"",J3352,IF(K3352&lt;&gt;"",K3352,L3352)))</f>
        <v>48.76</v>
      </c>
      <c r="C3352" s="3">
        <f>MEDIAN(I3352:L3352)</f>
        <v>48.76</v>
      </c>
      <c r="D3352" s="3">
        <f>ROUND(C3352*(1-Settings!$B$2),2)</f>
        <v>34.13</v>
      </c>
      <c r="E3352" s="3">
        <f>ROUND(C3352*(1-Settings!$B$3),2)</f>
        <v>34.13</v>
      </c>
      <c r="F3352" s="2" t="inlineStr">
        <is>
          <t>Pokemon</t>
        </is>
      </c>
      <c r="G3352" s="2" t="inlineStr">
        <is>
          <t>Pack</t>
        </is>
      </c>
      <c r="H3352" s="2" t="inlineStr">
        <is>
          <t>SV02: Paldea Evolved</t>
        </is>
      </c>
      <c r="I3352" s="3" t="n"/>
      <c r="J3352" s="3" t="n">
        <v>48.76</v>
      </c>
      <c r="K3352" s="3" t="n">
        <v>55.95</v>
      </c>
      <c r="L3352" s="3" t="n">
        <v>44.99</v>
      </c>
      <c r="M3352" s="2" t="inlineStr">
        <is>
          <t>TCGplayer</t>
        </is>
      </c>
      <c r="O3352" s="4" t="inlineStr">
        <is>
          <t>https://www.tcgplayer.com/product/493997</t>
        </is>
      </c>
    </row>
    <row r="3353">
      <c r="A3353" s="2" t="inlineStr">
        <is>
          <t>Paldea Evolved 3 Pack Blister [Varoom]</t>
        </is>
      </c>
      <c r="B3353" s="3">
        <f>IF(I3353&lt;&gt;"",I3353,IF(J3353&lt;&gt;"",J3353,IF(K3353&lt;&gt;"",K3353,L3353)))</f>
        <v>51.03</v>
      </c>
      <c r="C3353" s="3">
        <f>MEDIAN(I3353:L3353)</f>
        <v>57.65</v>
      </c>
      <c r="D3353" s="3">
        <f>ROUND(C3353*(1-Settings!$B$2),2)</f>
        <v>40.36</v>
      </c>
      <c r="E3353" s="3">
        <f>ROUND(C3353*(1-Settings!$B$3),2)</f>
        <v>40.36</v>
      </c>
      <c r="F3353" s="2" t="inlineStr">
        <is>
          <t>Pokemon</t>
        </is>
      </c>
      <c r="G3353" s="2" t="inlineStr">
        <is>
          <t>Pack</t>
        </is>
      </c>
      <c r="H3353" s="2" t="inlineStr">
        <is>
          <t>SV02: Paldea Evolved</t>
        </is>
      </c>
      <c r="I3353" s="3" t="n"/>
      <c r="J3353" s="3" t="n">
        <v>51.03</v>
      </c>
      <c r="K3353" s="3" t="n">
        <v>59.97</v>
      </c>
      <c r="L3353" s="3" t="n">
        <v>57.65</v>
      </c>
      <c r="M3353" s="2" t="inlineStr">
        <is>
          <t>TCGplayer</t>
        </is>
      </c>
      <c r="O3353" s="4" t="inlineStr">
        <is>
          <t>https://www.tcgplayer.com/product/493998</t>
        </is>
      </c>
    </row>
    <row r="3354">
      <c r="A3354" s="2" t="inlineStr">
        <is>
          <t>Paldea Evolved Booster Pack</t>
        </is>
      </c>
      <c r="B3354" s="3">
        <f>IF(I3354&lt;&gt;"",I3354,IF(J3354&lt;&gt;"",J3354,IF(K3354&lt;&gt;"",K3354,L3354)))</f>
        <v>15.99</v>
      </c>
      <c r="C3354" s="3">
        <f>MEDIAN(I3354:L3354)</f>
        <v>16.115</v>
      </c>
      <c r="D3354" s="3">
        <f>ROUND(C3354*(1-Settings!$B$2),2)</f>
        <v>11.28</v>
      </c>
      <c r="E3354" s="3">
        <f>ROUND(C3354*(1-Settings!$B$3),2)</f>
        <v>11.28</v>
      </c>
      <c r="F3354" s="2" t="inlineStr">
        <is>
          <t>Pokemon</t>
        </is>
      </c>
      <c r="G3354" s="2" t="inlineStr">
        <is>
          <t>Pack</t>
        </is>
      </c>
      <c r="H3354" s="2" t="inlineStr">
        <is>
          <t>SV02: Paldea Evolved</t>
        </is>
      </c>
      <c r="I3354" s="3" t="n">
        <v>15.99</v>
      </c>
      <c r="J3354" s="3" t="n">
        <v>16.25</v>
      </c>
      <c r="K3354" s="3" t="n">
        <v>16.24</v>
      </c>
      <c r="L3354" s="3" t="n">
        <v>5.99</v>
      </c>
      <c r="M3354" s="2" t="inlineStr">
        <is>
          <t>PriceCharting + TCGplayer</t>
        </is>
      </c>
      <c r="N3354" s="4" t="inlineStr">
        <is>
          <t>https://www.pricecharting.com/game/pokemon-paldea-evolved/booster-pack</t>
        </is>
      </c>
      <c r="O3354" s="4" t="inlineStr">
        <is>
          <t>https://www.tcgplayer.com/product/493976</t>
        </is>
      </c>
    </row>
    <row r="3355">
      <c r="A3355" s="2" t="inlineStr">
        <is>
          <t>Paldea Evolved Fun Pack</t>
        </is>
      </c>
      <c r="B3355" s="3">
        <f>IF(I3355&lt;&gt;"",I3355,IF(J3355&lt;&gt;"",J3355,IF(K3355&lt;&gt;"",K3355,L3355)))</f>
        <v>7.64</v>
      </c>
      <c r="C3355" s="3">
        <f>MEDIAN(I3355:L3355)</f>
        <v>7.64</v>
      </c>
      <c r="D3355" s="3">
        <f>ROUND(C3355*(1-Settings!$B$2),2)</f>
        <v>5.35</v>
      </c>
      <c r="E3355" s="3">
        <f>ROUND(C3355*(1-Settings!$B$3),2)</f>
        <v>5.35</v>
      </c>
      <c r="F3355" s="2" t="inlineStr">
        <is>
          <t>Pokemon</t>
        </is>
      </c>
      <c r="G3355" s="2" t="inlineStr">
        <is>
          <t>Pack</t>
        </is>
      </c>
      <c r="H3355" s="2" t="inlineStr">
        <is>
          <t>SV02: Paldea Evolved</t>
        </is>
      </c>
      <c r="I3355" s="3" t="n"/>
      <c r="J3355" s="3" t="n">
        <v>7.64</v>
      </c>
      <c r="K3355" s="3" t="n">
        <v>7.74</v>
      </c>
      <c r="L3355" s="3" t="n">
        <v>5</v>
      </c>
      <c r="M3355" s="2" t="inlineStr">
        <is>
          <t>TCGplayer</t>
        </is>
      </c>
      <c r="O3355" s="4" t="inlineStr">
        <is>
          <t>https://www.tcgplayer.com/product/530106</t>
        </is>
      </c>
    </row>
    <row r="3356">
      <c r="A3356" s="2" t="inlineStr">
        <is>
          <t>Paldea Evolved Premium Checklane Blister [Arboliva]</t>
        </is>
      </c>
      <c r="B3356" s="3">
        <f>IF(I3356&lt;&gt;"",I3356,IF(J3356&lt;&gt;"",J3356,IF(K3356&lt;&gt;"",K3356,L3356)))</f>
        <v>29.99</v>
      </c>
      <c r="C3356" s="3">
        <f>MEDIAN(I3356:L3356)</f>
        <v>29.99</v>
      </c>
      <c r="D3356" s="3">
        <f>ROUND(C3356*(1-Settings!$B$2),2)</f>
        <v>20.99</v>
      </c>
      <c r="E3356" s="3">
        <f>ROUND(C3356*(1-Settings!$B$3),2)</f>
        <v>20.99</v>
      </c>
      <c r="F3356" s="2" t="inlineStr">
        <is>
          <t>Pokemon</t>
        </is>
      </c>
      <c r="G3356" s="2" t="inlineStr">
        <is>
          <t>Pack</t>
        </is>
      </c>
      <c r="H3356" s="2" t="inlineStr">
        <is>
          <t>SV02: Paldea Evolved</t>
        </is>
      </c>
      <c r="I3356" s="3" t="n"/>
      <c r="J3356" s="3" t="n">
        <v>29.99</v>
      </c>
      <c r="K3356" s="3" t="n"/>
      <c r="L3356" s="3" t="n"/>
      <c r="M3356" s="2" t="inlineStr">
        <is>
          <t>TCGplayer</t>
        </is>
      </c>
      <c r="O3356" s="4" t="inlineStr">
        <is>
          <t>https://www.tcgplayer.com/product/622968</t>
        </is>
      </c>
    </row>
    <row r="3357">
      <c r="A3357" s="2" t="inlineStr">
        <is>
          <t>Paldea Evolved Premium Checklane Blister [Pawmot]</t>
        </is>
      </c>
      <c r="B3357" s="3">
        <f>IF(I3357&lt;&gt;"",I3357,IF(J3357&lt;&gt;"",J3357,IF(K3357&lt;&gt;"",K3357,L3357)))</f>
        <v>24.95</v>
      </c>
      <c r="C3357" s="3">
        <f>MEDIAN(I3357:L3357)</f>
        <v>23.47</v>
      </c>
      <c r="D3357" s="3">
        <f>ROUND(C3357*(1-Settings!$B$2),2)</f>
        <v>16.43</v>
      </c>
      <c r="E3357" s="3">
        <f>ROUND(C3357*(1-Settings!$B$3),2)</f>
        <v>16.43</v>
      </c>
      <c r="F3357" s="2" t="inlineStr">
        <is>
          <t>Pokemon</t>
        </is>
      </c>
      <c r="G3357" s="2" t="inlineStr">
        <is>
          <t>Pack</t>
        </is>
      </c>
      <c r="H3357" s="2" t="inlineStr">
        <is>
          <t>SV02: Paldea Evolved</t>
        </is>
      </c>
      <c r="I3357" s="3" t="n"/>
      <c r="J3357" s="3" t="n">
        <v>24.95</v>
      </c>
      <c r="K3357" s="3" t="n"/>
      <c r="L3357" s="3" t="n">
        <v>21.99</v>
      </c>
      <c r="M3357" s="2" t="inlineStr">
        <is>
          <t>TCGplayer</t>
        </is>
      </c>
      <c r="O3357" s="4" t="inlineStr">
        <is>
          <t>https://www.tcgplayer.com/product/622967</t>
        </is>
      </c>
    </row>
    <row r="3358">
      <c r="A3358" s="2" t="inlineStr">
        <is>
          <t>Paldea Evolved Single Pack Blister [Armarouge]</t>
        </is>
      </c>
      <c r="B3358" s="3">
        <f>IF(I3358&lt;&gt;"",I3358,IF(J3358&lt;&gt;"",J3358,IF(K3358&lt;&gt;"",K3358,L3358)))</f>
        <v>46.96</v>
      </c>
      <c r="C3358" s="3">
        <f>MEDIAN(I3358:L3358)</f>
        <v>46.96</v>
      </c>
      <c r="D3358" s="3">
        <f>ROUND(C3358*(1-Settings!$B$2),2)</f>
        <v>32.87</v>
      </c>
      <c r="E3358" s="3">
        <f>ROUND(C3358*(1-Settings!$B$3),2)</f>
        <v>32.87</v>
      </c>
      <c r="F3358" s="2" t="inlineStr">
        <is>
          <t>Pokemon</t>
        </is>
      </c>
      <c r="G3358" s="2" t="inlineStr">
        <is>
          <t>Pack</t>
        </is>
      </c>
      <c r="H3358" s="2" t="inlineStr">
        <is>
          <t>SV02: Paldea Evolved</t>
        </is>
      </c>
      <c r="I3358" s="3" t="n"/>
      <c r="J3358" s="3" t="n">
        <v>46.96</v>
      </c>
      <c r="K3358" s="3" t="n"/>
      <c r="L3358" s="3" t="n"/>
      <c r="M3358" s="2" t="inlineStr">
        <is>
          <t>TCGplayer</t>
        </is>
      </c>
      <c r="O3358" s="4" t="inlineStr">
        <is>
          <t>https://www.tcgplayer.com/product/618829</t>
        </is>
      </c>
    </row>
    <row r="3359">
      <c r="A3359" s="2" t="inlineStr">
        <is>
          <t>Paldea Evolved Single Pack Blister [Dondonzo]</t>
        </is>
      </c>
      <c r="B3359" s="3">
        <f>IF(I3359&lt;&gt;"",I3359,IF(J3359&lt;&gt;"",J3359,IF(K3359&lt;&gt;"",K3359,L3359)))</f>
        <v>32.46</v>
      </c>
      <c r="C3359" s="3">
        <f>MEDIAN(I3359:L3359)</f>
        <v>32.99</v>
      </c>
      <c r="D3359" s="3">
        <f>ROUND(C3359*(1-Settings!$B$2),2)</f>
        <v>23.09</v>
      </c>
      <c r="E3359" s="3">
        <f>ROUND(C3359*(1-Settings!$B$3),2)</f>
        <v>23.09</v>
      </c>
      <c r="F3359" s="2" t="inlineStr">
        <is>
          <t>Pokemon</t>
        </is>
      </c>
      <c r="G3359" s="2" t="inlineStr">
        <is>
          <t>Pack</t>
        </is>
      </c>
      <c r="H3359" s="2" t="inlineStr">
        <is>
          <t>SV02: Paldea Evolved</t>
        </is>
      </c>
      <c r="I3359" s="3" t="n"/>
      <c r="J3359" s="3" t="n">
        <v>32.46</v>
      </c>
      <c r="K3359" s="3" t="n">
        <v>37.45</v>
      </c>
      <c r="L3359" s="3" t="n">
        <v>32.99</v>
      </c>
      <c r="M3359" s="2" t="inlineStr">
        <is>
          <t>TCGplayer</t>
        </is>
      </c>
      <c r="O3359" s="4" t="inlineStr">
        <is>
          <t>https://www.tcgplayer.com/product/617015</t>
        </is>
      </c>
    </row>
    <row r="3360">
      <c r="A3360" s="2" t="inlineStr">
        <is>
          <t>Paldea Evolved Single Pack Blister [Growlithe]</t>
        </is>
      </c>
      <c r="B3360" s="3">
        <f>IF(I3360&lt;&gt;"",I3360,IF(J3360&lt;&gt;"",J3360,IF(K3360&lt;&gt;"",K3360,L3360)))</f>
        <v>19.09</v>
      </c>
      <c r="C3360" s="3">
        <f>MEDIAN(I3360:L3360)</f>
        <v>19.09</v>
      </c>
      <c r="D3360" s="3">
        <f>ROUND(C3360*(1-Settings!$B$2),2)</f>
        <v>13.36</v>
      </c>
      <c r="E3360" s="3">
        <f>ROUND(C3360*(1-Settings!$B$3),2)</f>
        <v>13.36</v>
      </c>
      <c r="F3360" s="2" t="inlineStr">
        <is>
          <t>Pokemon</t>
        </is>
      </c>
      <c r="G3360" s="2" t="inlineStr">
        <is>
          <t>Pack</t>
        </is>
      </c>
      <c r="H3360" s="2" t="inlineStr">
        <is>
          <t>SV02: Paldea Evolved</t>
        </is>
      </c>
      <c r="I3360" s="3" t="n"/>
      <c r="J3360" s="3" t="n">
        <v>19.09</v>
      </c>
      <c r="K3360" s="3" t="n">
        <v>20.5</v>
      </c>
      <c r="L3360" s="3" t="n">
        <v>18.27</v>
      </c>
      <c r="M3360" s="2" t="inlineStr">
        <is>
          <t>TCGplayer</t>
        </is>
      </c>
      <c r="O3360" s="4" t="inlineStr">
        <is>
          <t>https://www.tcgplayer.com/product/494001</t>
        </is>
      </c>
    </row>
    <row r="3361">
      <c r="A3361" s="2" t="inlineStr">
        <is>
          <t>Paldea Evolved Sleeved Booster Pack</t>
        </is>
      </c>
      <c r="B3361" s="3">
        <f>IF(I3361&lt;&gt;"",I3361,IF(J3361&lt;&gt;"",J3361,IF(K3361&lt;&gt;"",K3361,L3361)))</f>
        <v>16.05</v>
      </c>
      <c r="C3361" s="3">
        <f>MEDIAN(I3361:L3361)</f>
        <v>16.32</v>
      </c>
      <c r="D3361" s="3">
        <f>ROUND(C3361*(1-Settings!$B$2),2)</f>
        <v>11.42</v>
      </c>
      <c r="E3361" s="3">
        <f>ROUND(C3361*(1-Settings!$B$3),2)</f>
        <v>11.42</v>
      </c>
      <c r="F3361" s="2" t="inlineStr">
        <is>
          <t>Pokemon</t>
        </is>
      </c>
      <c r="G3361" s="2" t="inlineStr">
        <is>
          <t>Pack</t>
        </is>
      </c>
      <c r="H3361" s="2" t="inlineStr">
        <is>
          <t>SV02: Paldea Evolved</t>
        </is>
      </c>
      <c r="I3361" s="3" t="n">
        <v>16.05</v>
      </c>
      <c r="J3361" s="3" t="n">
        <v>16.59</v>
      </c>
      <c r="K3361" s="3" t="n">
        <v>18.23</v>
      </c>
      <c r="L3361" s="3" t="n">
        <v>12</v>
      </c>
      <c r="M3361" s="2" t="inlineStr">
        <is>
          <t>PriceCharting + TCGplayer</t>
        </is>
      </c>
      <c r="N3361" s="4" t="inlineStr">
        <is>
          <t>https://www.pricecharting.com/game/pokemon-paldea-evolved/sleeved-booster-pack</t>
        </is>
      </c>
      <c r="O3361" s="4" t="inlineStr">
        <is>
          <t>https://www.tcgplayer.com/product/496927</t>
        </is>
      </c>
    </row>
    <row r="3362">
      <c r="A3362" s="2" t="inlineStr">
        <is>
          <t>Obsidian Flames 3 Pack Blister [Eevee]</t>
        </is>
      </c>
      <c r="B3362" s="3">
        <f>IF(I3362&lt;&gt;"",I3362,IF(J3362&lt;&gt;"",J3362,IF(K3362&lt;&gt;"",K3362,L3362)))</f>
        <v>41.16</v>
      </c>
      <c r="C3362" s="3">
        <f>MEDIAN(I3362:L3362)</f>
        <v>41.99</v>
      </c>
      <c r="D3362" s="3">
        <f>ROUND(C3362*(1-Settings!$B$2),2)</f>
        <v>29.39</v>
      </c>
      <c r="E3362" s="3">
        <f>ROUND(C3362*(1-Settings!$B$3),2)</f>
        <v>29.39</v>
      </c>
      <c r="F3362" s="2" t="inlineStr">
        <is>
          <t>Pokemon</t>
        </is>
      </c>
      <c r="G3362" s="2" t="inlineStr">
        <is>
          <t>Pack</t>
        </is>
      </c>
      <c r="H3362" s="2" t="inlineStr">
        <is>
          <t>SV03: Obsidian Flames</t>
        </is>
      </c>
      <c r="I3362" s="3" t="n"/>
      <c r="J3362" s="3" t="n">
        <v>41.16</v>
      </c>
      <c r="K3362" s="3" t="n">
        <v>42</v>
      </c>
      <c r="L3362" s="3" t="n">
        <v>41.99</v>
      </c>
      <c r="M3362" s="2" t="inlineStr">
        <is>
          <t>TCGplayer</t>
        </is>
      </c>
      <c r="O3362" s="4" t="inlineStr">
        <is>
          <t>https://www.tcgplayer.com/product/501259</t>
        </is>
      </c>
    </row>
    <row r="3363">
      <c r="A3363" s="2" t="inlineStr">
        <is>
          <t>Obsidian Flames 3 Pack Blister [Houndstone]</t>
        </is>
      </c>
      <c r="B3363" s="3">
        <f>IF(I3363&lt;&gt;"",I3363,IF(J3363&lt;&gt;"",J3363,IF(K3363&lt;&gt;"",K3363,L3363)))</f>
        <v>39.13</v>
      </c>
      <c r="C3363" s="3">
        <f>MEDIAN(I3363:L3363)</f>
        <v>39.13</v>
      </c>
      <c r="D3363" s="3">
        <f>ROUND(C3363*(1-Settings!$B$2),2)</f>
        <v>27.39</v>
      </c>
      <c r="E3363" s="3">
        <f>ROUND(C3363*(1-Settings!$B$3),2)</f>
        <v>27.39</v>
      </c>
      <c r="F3363" s="2" t="inlineStr">
        <is>
          <t>Pokemon</t>
        </is>
      </c>
      <c r="G3363" s="2" t="inlineStr">
        <is>
          <t>Pack</t>
        </is>
      </c>
      <c r="H3363" s="2" t="inlineStr">
        <is>
          <t>SV03: Obsidian Flames</t>
        </is>
      </c>
      <c r="I3363" s="3" t="n"/>
      <c r="J3363" s="3" t="n">
        <v>39.13</v>
      </c>
      <c r="K3363" s="3" t="n">
        <v>41.98</v>
      </c>
      <c r="L3363" s="3" t="n">
        <v>38.98</v>
      </c>
      <c r="M3363" s="2" t="inlineStr">
        <is>
          <t>TCGplayer</t>
        </is>
      </c>
      <c r="O3363" s="4" t="inlineStr">
        <is>
          <t>https://www.tcgplayer.com/product/501260</t>
        </is>
      </c>
    </row>
    <row r="3364">
      <c r="A3364" s="2" t="inlineStr">
        <is>
          <t>Obsidian Flames 3 Pack Blister [Set of 2]</t>
        </is>
      </c>
      <c r="B3364" s="3">
        <f>IF(I3364&lt;&gt;"",I3364,IF(J3364&lt;&gt;"",J3364,IF(K3364&lt;&gt;"",K3364,L3364)))</f>
        <v>49.66</v>
      </c>
      <c r="C3364" s="3">
        <f>MEDIAN(I3364:L3364)</f>
        <v>99.0</v>
      </c>
      <c r="D3364" s="3">
        <f>ROUND(C3364*(1-Settings!$B$2),2)</f>
        <v>69.3</v>
      </c>
      <c r="E3364" s="3">
        <f>ROUND(C3364*(1-Settings!$B$3),2)</f>
        <v>69.3</v>
      </c>
      <c r="F3364" s="2" t="inlineStr">
        <is>
          <t>Pokemon</t>
        </is>
      </c>
      <c r="G3364" s="2" t="inlineStr">
        <is>
          <t>Pack</t>
        </is>
      </c>
      <c r="H3364" s="2" t="inlineStr">
        <is>
          <t>SV03: Obsidian Flames</t>
        </is>
      </c>
      <c r="I3364" s="3" t="n"/>
      <c r="J3364" s="3" t="n">
        <v>49.66</v>
      </c>
      <c r="K3364" s="3" t="n">
        <v>99</v>
      </c>
      <c r="L3364" s="3" t="n">
        <v>99</v>
      </c>
      <c r="M3364" s="2" t="inlineStr">
        <is>
          <t>TCGplayer</t>
        </is>
      </c>
      <c r="O3364" s="4" t="inlineStr">
        <is>
          <t>https://www.tcgplayer.com/product/501261</t>
        </is>
      </c>
    </row>
    <row r="3365">
      <c r="A3365" s="2" t="inlineStr">
        <is>
          <t>Obsidian Flames Booster Pack</t>
        </is>
      </c>
      <c r="B3365" s="3">
        <f>IF(I3365&lt;&gt;"",I3365,IF(J3365&lt;&gt;"",J3365,IF(K3365&lt;&gt;"",K3365,L3365)))</f>
        <v>12.91</v>
      </c>
      <c r="C3365" s="3">
        <f>MEDIAN(I3365:L3365)</f>
        <v>12.705</v>
      </c>
      <c r="D3365" s="3">
        <f>ROUND(C3365*(1-Settings!$B$2),2)</f>
        <v>8.89</v>
      </c>
      <c r="E3365" s="3">
        <f>ROUND(C3365*(1-Settings!$B$3),2)</f>
        <v>8.89</v>
      </c>
      <c r="F3365" s="2" t="inlineStr">
        <is>
          <t>Pokemon</t>
        </is>
      </c>
      <c r="G3365" s="2" t="inlineStr">
        <is>
          <t>Pack</t>
        </is>
      </c>
      <c r="H3365" s="2" t="inlineStr">
        <is>
          <t>SV03: Obsidian Flames</t>
        </is>
      </c>
      <c r="I3365" s="3" t="n">
        <v>12.91</v>
      </c>
      <c r="J3365" s="3" t="n">
        <v>12.5</v>
      </c>
      <c r="K3365" s="3" t="n">
        <v>13</v>
      </c>
      <c r="L3365" s="3" t="n">
        <v>9.99</v>
      </c>
      <c r="M3365" s="2" t="inlineStr">
        <is>
          <t>PriceCharting + TCGplayer</t>
        </is>
      </c>
      <c r="N3365" s="4" t="inlineStr">
        <is>
          <t>https://www.pricecharting.com/game/pokemon-obsidian-flames/booster-pack</t>
        </is>
      </c>
      <c r="O3365" s="4" t="inlineStr">
        <is>
          <t>https://www.tcgplayer.com/product/501256</t>
        </is>
      </c>
    </row>
    <row r="3366">
      <c r="A3366" s="2" t="inlineStr">
        <is>
          <t>Obsidian Flames Single Blister Pack [Annihilape]</t>
        </is>
      </c>
      <c r="B3366" s="3">
        <f>IF(I3366&lt;&gt;"",I3366,IF(J3366&lt;&gt;"",J3366,IF(K3366&lt;&gt;"",K3366,L3366)))</f>
        <v>63.99</v>
      </c>
      <c r="C3366" s="3">
        <f>MEDIAN(I3366:L3366)</f>
        <v>68.6</v>
      </c>
      <c r="D3366" s="3">
        <f>ROUND(C3366*(1-Settings!$B$2),2)</f>
        <v>48.02</v>
      </c>
      <c r="E3366" s="3">
        <f>ROUND(C3366*(1-Settings!$B$3),2)</f>
        <v>48.02</v>
      </c>
      <c r="F3366" s="2" t="inlineStr">
        <is>
          <t>Pokemon</t>
        </is>
      </c>
      <c r="G3366" s="2" t="inlineStr">
        <is>
          <t>Pack</t>
        </is>
      </c>
      <c r="H3366" s="2" t="inlineStr">
        <is>
          <t>SV03: Obsidian Flames</t>
        </is>
      </c>
      <c r="I3366" s="3" t="n"/>
      <c r="J3366" s="3" t="n">
        <v>63.99</v>
      </c>
      <c r="K3366" s="3" t="n">
        <v>68.59999999999999</v>
      </c>
      <c r="L3366" s="3" t="n">
        <v>68.59999999999999</v>
      </c>
      <c r="M3366" s="2" t="inlineStr">
        <is>
          <t>TCGplayer</t>
        </is>
      </c>
      <c r="O3366" s="4" t="inlineStr">
        <is>
          <t>https://www.tcgplayer.com/product/557084</t>
        </is>
      </c>
    </row>
    <row r="3367">
      <c r="A3367" s="2" t="inlineStr">
        <is>
          <t>Obsidian Flames Single Blister Pack [Houndstone]</t>
        </is>
      </c>
      <c r="B3367" s="3">
        <f>IF(I3367&lt;&gt;"",I3367,IF(J3367&lt;&gt;"",J3367,IF(K3367&lt;&gt;"",K3367,L3367)))</f>
        <v>21.49</v>
      </c>
      <c r="C3367" s="3">
        <f>MEDIAN(I3367:L3367)</f>
        <v>21.49</v>
      </c>
      <c r="D3367" s="3">
        <f>ROUND(C3367*(1-Settings!$B$2),2)</f>
        <v>15.04</v>
      </c>
      <c r="E3367" s="3">
        <f>ROUND(C3367*(1-Settings!$B$3),2)</f>
        <v>15.04</v>
      </c>
      <c r="F3367" s="2" t="inlineStr">
        <is>
          <t>Pokemon</t>
        </is>
      </c>
      <c r="G3367" s="2" t="inlineStr">
        <is>
          <t>Pack</t>
        </is>
      </c>
      <c r="H3367" s="2" t="inlineStr">
        <is>
          <t>SV03: Obsidian Flames</t>
        </is>
      </c>
      <c r="I3367" s="3" t="n"/>
      <c r="J3367" s="3" t="n">
        <v>21.49</v>
      </c>
      <c r="K3367" s="3" t="n">
        <v>23.22</v>
      </c>
      <c r="L3367" s="3" t="n">
        <v>21.49</v>
      </c>
      <c r="M3367" s="2" t="inlineStr">
        <is>
          <t>TCGplayer</t>
        </is>
      </c>
      <c r="O3367" s="4" t="inlineStr">
        <is>
          <t>https://www.tcgplayer.com/product/557086</t>
        </is>
      </c>
    </row>
    <row r="3368">
      <c r="A3368" s="2" t="inlineStr">
        <is>
          <t>Obsidian Flames Single Blister Pack [Kingambit]</t>
        </is>
      </c>
      <c r="B3368" s="3">
        <f>IF(I3368&lt;&gt;"",I3368,IF(J3368&lt;&gt;"",J3368,IF(K3368&lt;&gt;"",K3368,L3368)))</f>
        <v>49.99</v>
      </c>
      <c r="C3368" s="3">
        <f>MEDIAN(I3368:L3368)</f>
        <v>29.99</v>
      </c>
      <c r="D3368" s="3">
        <f>ROUND(C3368*(1-Settings!$B$2),2)</f>
        <v>20.99</v>
      </c>
      <c r="E3368" s="3">
        <f>ROUND(C3368*(1-Settings!$B$3),2)</f>
        <v>20.99</v>
      </c>
      <c r="F3368" s="2" t="inlineStr">
        <is>
          <t>Pokemon</t>
        </is>
      </c>
      <c r="G3368" s="2" t="inlineStr">
        <is>
          <t>Pack</t>
        </is>
      </c>
      <c r="H3368" s="2" t="inlineStr">
        <is>
          <t>SV03: Obsidian Flames</t>
        </is>
      </c>
      <c r="I3368" s="3" t="n"/>
      <c r="J3368" s="3" t="n">
        <v>49.99</v>
      </c>
      <c r="K3368" s="3" t="n">
        <v>29.99</v>
      </c>
      <c r="L3368" s="3" t="n">
        <v>29.99</v>
      </c>
      <c r="M3368" s="2" t="inlineStr">
        <is>
          <t>TCGplayer</t>
        </is>
      </c>
      <c r="O3368" s="4" t="inlineStr">
        <is>
          <t>https://www.tcgplayer.com/product/557085</t>
        </is>
      </c>
    </row>
    <row r="3369">
      <c r="A3369" s="2" t="inlineStr">
        <is>
          <t>Obsidian Flames Single Blister Pack [Revavroom]</t>
        </is>
      </c>
      <c r="B3369" s="3">
        <f>IF(I3369&lt;&gt;"",I3369,IF(J3369&lt;&gt;"",J3369,IF(K3369&lt;&gt;"",K3369,L3369)))</f>
        <v>18.4</v>
      </c>
      <c r="C3369" s="3">
        <f>MEDIAN(I3369:L3369)</f>
        <v>20.0</v>
      </c>
      <c r="D3369" s="3">
        <f>ROUND(C3369*(1-Settings!$B$2),2)</f>
        <v>14.0</v>
      </c>
      <c r="E3369" s="3">
        <f>ROUND(C3369*(1-Settings!$B$3),2)</f>
        <v>14.0</v>
      </c>
      <c r="F3369" s="2" t="inlineStr">
        <is>
          <t>Pokemon</t>
        </is>
      </c>
      <c r="G3369" s="2" t="inlineStr">
        <is>
          <t>Pack</t>
        </is>
      </c>
      <c r="H3369" s="2" t="inlineStr">
        <is>
          <t>SV03: Obsidian Flames</t>
        </is>
      </c>
      <c r="I3369" s="3" t="n"/>
      <c r="J3369" s="3" t="n">
        <v>18.4</v>
      </c>
      <c r="K3369" s="3" t="n">
        <v>20.49</v>
      </c>
      <c r="L3369" s="3" t="n">
        <v>20</v>
      </c>
      <c r="M3369" s="2" t="inlineStr">
        <is>
          <t>TCGplayer</t>
        </is>
      </c>
      <c r="O3369" s="4" t="inlineStr">
        <is>
          <t>https://www.tcgplayer.com/product/557087</t>
        </is>
      </c>
    </row>
    <row r="3370">
      <c r="A3370" s="2" t="inlineStr">
        <is>
          <t>Obsidian Flames Single Pack Blister [Paldean Wooper]</t>
        </is>
      </c>
      <c r="B3370" s="3">
        <f>IF(I3370&lt;&gt;"",I3370,IF(J3370&lt;&gt;"",J3370,IF(K3370&lt;&gt;"",K3370,L3370)))</f>
        <v>15.1</v>
      </c>
      <c r="C3370" s="3">
        <f>MEDIAN(I3370:L3370)</f>
        <v>15.1</v>
      </c>
      <c r="D3370" s="3">
        <f>ROUND(C3370*(1-Settings!$B$2),2)</f>
        <v>10.57</v>
      </c>
      <c r="E3370" s="3">
        <f>ROUND(C3370*(1-Settings!$B$3),2)</f>
        <v>10.57</v>
      </c>
      <c r="F3370" s="2" t="inlineStr">
        <is>
          <t>Pokemon</t>
        </is>
      </c>
      <c r="G3370" s="2" t="inlineStr">
        <is>
          <t>Pack</t>
        </is>
      </c>
      <c r="H3370" s="2" t="inlineStr">
        <is>
          <t>SV03: Obsidian Flames</t>
        </is>
      </c>
      <c r="I3370" s="3" t="n"/>
      <c r="J3370" s="3" t="n">
        <v>15.1</v>
      </c>
      <c r="K3370" s="3" t="n">
        <v>19.6</v>
      </c>
      <c r="L3370" s="3" t="n">
        <v>14.5</v>
      </c>
      <c r="M3370" s="2" t="inlineStr">
        <is>
          <t>TCGplayer</t>
        </is>
      </c>
      <c r="O3370" s="4" t="inlineStr">
        <is>
          <t>https://www.tcgplayer.com/product/512047</t>
        </is>
      </c>
    </row>
    <row r="3371">
      <c r="A3371" s="2" t="inlineStr">
        <is>
          <t>Obsidian Flames Single Pack Blister [Pawmi]</t>
        </is>
      </c>
      <c r="B3371" s="3">
        <f>IF(I3371&lt;&gt;"",I3371,IF(J3371&lt;&gt;"",J3371,IF(K3371&lt;&gt;"",K3371,L3371)))</f>
        <v>14.63</v>
      </c>
      <c r="C3371" s="3">
        <f>MEDIAN(I3371:L3371)</f>
        <v>14.63</v>
      </c>
      <c r="D3371" s="3">
        <f>ROUND(C3371*(1-Settings!$B$2),2)</f>
        <v>10.24</v>
      </c>
      <c r="E3371" s="3">
        <f>ROUND(C3371*(1-Settings!$B$3),2)</f>
        <v>10.24</v>
      </c>
      <c r="F3371" s="2" t="inlineStr">
        <is>
          <t>Pokemon</t>
        </is>
      </c>
      <c r="G3371" s="2" t="inlineStr">
        <is>
          <t>Pack</t>
        </is>
      </c>
      <c r="H3371" s="2" t="inlineStr">
        <is>
          <t>SV03: Obsidian Flames</t>
        </is>
      </c>
      <c r="I3371" s="3" t="n"/>
      <c r="J3371" s="3" t="n">
        <v>14.63</v>
      </c>
      <c r="K3371" s="3" t="n">
        <v>16.03</v>
      </c>
      <c r="L3371" s="3" t="n">
        <v>14</v>
      </c>
      <c r="M3371" s="2" t="inlineStr">
        <is>
          <t>TCGplayer</t>
        </is>
      </c>
      <c r="O3371" s="4" t="inlineStr">
        <is>
          <t>https://www.tcgplayer.com/product/501262</t>
        </is>
      </c>
    </row>
    <row r="3372">
      <c r="A3372" s="2" t="inlineStr">
        <is>
          <t>Obsidian Flames Sleeved Booster Pack</t>
        </is>
      </c>
      <c r="B3372" s="3">
        <f>IF(I3372&lt;&gt;"",I3372,IF(J3372&lt;&gt;"",J3372,IF(K3372&lt;&gt;"",K3372,L3372)))</f>
        <v>12.99</v>
      </c>
      <c r="C3372" s="3">
        <f>MEDIAN(I3372:L3372)</f>
        <v>13.475000000000001</v>
      </c>
      <c r="D3372" s="3">
        <f>ROUND(C3372*(1-Settings!$B$2),2)</f>
        <v>9.43</v>
      </c>
      <c r="E3372" s="3">
        <f>ROUND(C3372*(1-Settings!$B$3),2)</f>
        <v>9.43</v>
      </c>
      <c r="F3372" s="2" t="inlineStr">
        <is>
          <t>Pokemon</t>
        </is>
      </c>
      <c r="G3372" s="2" t="inlineStr">
        <is>
          <t>Pack</t>
        </is>
      </c>
      <c r="H3372" s="2" t="inlineStr">
        <is>
          <t>SV03: Obsidian Flames</t>
        </is>
      </c>
      <c r="I3372" s="3" t="n">
        <v>12.99</v>
      </c>
      <c r="J3372" s="3" t="n">
        <v>13.96</v>
      </c>
      <c r="K3372" s="3" t="n">
        <v>13.96</v>
      </c>
      <c r="L3372" s="3" t="n">
        <v>11.99</v>
      </c>
      <c r="M3372" s="2" t="inlineStr">
        <is>
          <t>PriceCharting + TCGplayer</t>
        </is>
      </c>
      <c r="N3372" s="4" t="inlineStr">
        <is>
          <t>https://www.pricecharting.com/game/pokemon-obsidian-flames/sleeved-booster-pack</t>
        </is>
      </c>
      <c r="O3372" s="4" t="inlineStr">
        <is>
          <t>https://www.tcgplayer.com/product/534087</t>
        </is>
      </c>
    </row>
    <row r="3373">
      <c r="A3373" s="2" t="inlineStr">
        <is>
          <t>Paradox Rift 3 Pack Blister [Arctibax]</t>
        </is>
      </c>
      <c r="B3373" s="3">
        <f>IF(I3373&lt;&gt;"",I3373,IF(J3373&lt;&gt;"",J3373,IF(K3373&lt;&gt;"",K3373,L3373)))</f>
        <v>31.01</v>
      </c>
      <c r="C3373" s="3">
        <f>MEDIAN(I3373:L3373)</f>
        <v>31.01</v>
      </c>
      <c r="D3373" s="3">
        <f>ROUND(C3373*(1-Settings!$B$2),2)</f>
        <v>21.71</v>
      </c>
      <c r="E3373" s="3">
        <f>ROUND(C3373*(1-Settings!$B$3),2)</f>
        <v>21.71</v>
      </c>
      <c r="F3373" s="2" t="inlineStr">
        <is>
          <t>Pokemon</t>
        </is>
      </c>
      <c r="G3373" s="2" t="inlineStr">
        <is>
          <t>Pack</t>
        </is>
      </c>
      <c r="H3373" s="2" t="inlineStr">
        <is>
          <t>SV04: Paradox Rift</t>
        </is>
      </c>
      <c r="I3373" s="3" t="n"/>
      <c r="J3373" s="3" t="n">
        <v>31.01</v>
      </c>
      <c r="K3373" s="3" t="n">
        <v>31.01</v>
      </c>
      <c r="L3373" s="3" t="n">
        <v>30.18</v>
      </c>
      <c r="M3373" s="2" t="inlineStr">
        <is>
          <t>TCGplayer</t>
        </is>
      </c>
      <c r="O3373" s="4" t="inlineStr">
        <is>
          <t>https://www.tcgplayer.com/product/513433</t>
        </is>
      </c>
    </row>
    <row r="3374">
      <c r="A3374" s="2" t="inlineStr">
        <is>
          <t>Paradox Rift 3 Pack Blister [Set of 2]</t>
        </is>
      </c>
      <c r="B3374" s="3">
        <f>IF(I3374&lt;&gt;"",I3374,IF(J3374&lt;&gt;"",J3374,IF(K3374&lt;&gt;"",K3374,L3374)))</f>
        <v>63.84</v>
      </c>
      <c r="C3374" s="3">
        <f>MEDIAN(I3374:L3374)</f>
        <v>74.67</v>
      </c>
      <c r="D3374" s="3">
        <f>ROUND(C3374*(1-Settings!$B$2),2)</f>
        <v>52.27</v>
      </c>
      <c r="E3374" s="3">
        <f>ROUND(C3374*(1-Settings!$B$3),2)</f>
        <v>52.27</v>
      </c>
      <c r="F3374" s="2" t="inlineStr">
        <is>
          <t>Pokemon</t>
        </is>
      </c>
      <c r="G3374" s="2" t="inlineStr">
        <is>
          <t>Pack</t>
        </is>
      </c>
      <c r="H3374" s="2" t="inlineStr">
        <is>
          <t>SV04: Paradox Rift</t>
        </is>
      </c>
      <c r="I3374" s="3" t="n"/>
      <c r="J3374" s="3" t="n">
        <v>63.84</v>
      </c>
      <c r="K3374" s="3" t="n">
        <v>74.67</v>
      </c>
      <c r="L3374" s="3" t="n">
        <v>74.67</v>
      </c>
      <c r="M3374" s="2" t="inlineStr">
        <is>
          <t>TCGplayer</t>
        </is>
      </c>
      <c r="O3374" s="4" t="inlineStr">
        <is>
          <t>https://www.tcgplayer.com/product/513437</t>
        </is>
      </c>
    </row>
    <row r="3375">
      <c r="A3375" s="2" t="inlineStr">
        <is>
          <t>Paradox Rift Booster Pack</t>
        </is>
      </c>
      <c r="B3375" s="3">
        <f>IF(I3375&lt;&gt;"",I3375,IF(J3375&lt;&gt;"",J3375,IF(K3375&lt;&gt;"",K3375,L3375)))</f>
        <v>11.25</v>
      </c>
      <c r="C3375" s="3">
        <f>MEDIAN(I3375:L3375)</f>
        <v>8.775</v>
      </c>
      <c r="D3375" s="3">
        <f>ROUND(C3375*(1-Settings!$B$2),2)</f>
        <v>6.14</v>
      </c>
      <c r="E3375" s="3">
        <f>ROUND(C3375*(1-Settings!$B$3),2)</f>
        <v>6.14</v>
      </c>
      <c r="F3375" s="2" t="inlineStr">
        <is>
          <t>Pokemon</t>
        </is>
      </c>
      <c r="G3375" s="2" t="inlineStr">
        <is>
          <t>Pack</t>
        </is>
      </c>
      <c r="H3375" s="2" t="inlineStr">
        <is>
          <t>SV04: Paradox Rift</t>
        </is>
      </c>
      <c r="I3375" s="3" t="n">
        <v>11.25</v>
      </c>
      <c r="J3375" s="3" t="n">
        <v>8.550000000000001</v>
      </c>
      <c r="K3375" s="3" t="n">
        <v>9</v>
      </c>
      <c r="L3375" s="3" t="n">
        <v>7</v>
      </c>
      <c r="M3375" s="2" t="inlineStr">
        <is>
          <t>PriceCharting + TCGplayer</t>
        </is>
      </c>
      <c r="N3375" s="4" t="inlineStr">
        <is>
          <t>https://www.pricecharting.com/game/pokemon-paradox-rift/booster-pack</t>
        </is>
      </c>
      <c r="O3375" s="4" t="inlineStr">
        <is>
          <t>https://www.tcgplayer.com/product/512822</t>
        </is>
      </c>
    </row>
    <row r="3376">
      <c r="A3376" s="2" t="inlineStr">
        <is>
          <t>Paradox Rift Fun Pack</t>
        </is>
      </c>
      <c r="B3376" s="3">
        <f>IF(I3376&lt;&gt;"",I3376,IF(J3376&lt;&gt;"",J3376,IF(K3376&lt;&gt;"",K3376,L3376)))</f>
        <v>13.48</v>
      </c>
      <c r="C3376" s="3">
        <f>MEDIAN(I3376:L3376)</f>
        <v>13.48</v>
      </c>
      <c r="D3376" s="3">
        <f>ROUND(C3376*(1-Settings!$B$2),2)</f>
        <v>9.44</v>
      </c>
      <c r="E3376" s="3">
        <f>ROUND(C3376*(1-Settings!$B$3),2)</f>
        <v>9.44</v>
      </c>
      <c r="F3376" s="2" t="inlineStr">
        <is>
          <t>Pokemon</t>
        </is>
      </c>
      <c r="G3376" s="2" t="inlineStr">
        <is>
          <t>Pack</t>
        </is>
      </c>
      <c r="H3376" s="2" t="inlineStr">
        <is>
          <t>SV04: Paradox Rift</t>
        </is>
      </c>
      <c r="I3376" s="3" t="n"/>
      <c r="J3376" s="3" t="n">
        <v>13.48</v>
      </c>
      <c r="K3376" s="3" t="n">
        <v>13.48</v>
      </c>
      <c r="L3376" s="3" t="n">
        <v>8.99</v>
      </c>
      <c r="M3376" s="2" t="inlineStr">
        <is>
          <t>TCGplayer</t>
        </is>
      </c>
      <c r="O3376" s="4" t="inlineStr">
        <is>
          <t>https://www.tcgplayer.com/product/607504</t>
        </is>
      </c>
    </row>
    <row r="3377">
      <c r="A3377" s="2" t="inlineStr">
        <is>
          <t>Paradox Rift Premium Checklane Blister [Hydreigon]</t>
        </is>
      </c>
      <c r="B3377" s="3">
        <f>IF(I3377&lt;&gt;"",I3377,IF(J3377&lt;&gt;"",J3377,IF(K3377&lt;&gt;"",K3377,L3377)))</f>
        <v>34.67</v>
      </c>
      <c r="C3377" s="3">
        <f>MEDIAN(I3377:L3377)</f>
        <v>50.0</v>
      </c>
      <c r="D3377" s="3">
        <f>ROUND(C3377*(1-Settings!$B$2),2)</f>
        <v>35.0</v>
      </c>
      <c r="E3377" s="3">
        <f>ROUND(C3377*(1-Settings!$B$3),2)</f>
        <v>35.0</v>
      </c>
      <c r="F3377" s="2" t="inlineStr">
        <is>
          <t>Pokemon</t>
        </is>
      </c>
      <c r="G3377" s="2" t="inlineStr">
        <is>
          <t>Pack</t>
        </is>
      </c>
      <c r="H3377" s="2" t="inlineStr">
        <is>
          <t>SV04: Paradox Rift</t>
        </is>
      </c>
      <c r="I3377" s="3" t="n"/>
      <c r="J3377" s="3" t="n">
        <v>34.67</v>
      </c>
      <c r="K3377" s="3" t="n">
        <v>50</v>
      </c>
      <c r="L3377" s="3" t="n">
        <v>50</v>
      </c>
      <c r="M3377" s="2" t="inlineStr">
        <is>
          <t>TCGplayer</t>
        </is>
      </c>
      <c r="O3377" s="4" t="inlineStr">
        <is>
          <t>https://www.tcgplayer.com/product/546605</t>
        </is>
      </c>
    </row>
    <row r="3378">
      <c r="A3378" s="2" t="inlineStr">
        <is>
          <t>Paradox Rift Premium Checklane Blister [Tinkaton]</t>
        </is>
      </c>
      <c r="B3378" s="3">
        <f>IF(I3378&lt;&gt;"",I3378,IF(J3378&lt;&gt;"",J3378,IF(K3378&lt;&gt;"",K3378,L3378)))</f>
        <v>10.0</v>
      </c>
      <c r="C3378" s="3">
        <f>MEDIAN(I3378:L3378)</f>
        <v>49.0</v>
      </c>
      <c r="D3378" s="3">
        <f>ROUND(C3378*(1-Settings!$B$2),2)</f>
        <v>34.3</v>
      </c>
      <c r="E3378" s="3">
        <f>ROUND(C3378*(1-Settings!$B$3),2)</f>
        <v>34.3</v>
      </c>
      <c r="F3378" s="2" t="inlineStr">
        <is>
          <t>Pokemon</t>
        </is>
      </c>
      <c r="G3378" s="2" t="inlineStr">
        <is>
          <t>Pack</t>
        </is>
      </c>
      <c r="H3378" s="2" t="inlineStr">
        <is>
          <t>SV04: Paradox Rift</t>
        </is>
      </c>
      <c r="I3378" s="3" t="n"/>
      <c r="J3378" s="3" t="n">
        <v>10</v>
      </c>
      <c r="K3378" s="3" t="n">
        <v>49</v>
      </c>
      <c r="L3378" s="3" t="n">
        <v>49</v>
      </c>
      <c r="M3378" s="2" t="inlineStr">
        <is>
          <t>TCGplayer</t>
        </is>
      </c>
      <c r="O3378" s="4" t="inlineStr">
        <is>
          <t>https://www.tcgplayer.com/product/546606</t>
        </is>
      </c>
    </row>
    <row r="3379">
      <c r="A3379" s="2" t="inlineStr">
        <is>
          <t>Paradox Rift Single Pack Blister [Ceruledge]</t>
        </is>
      </c>
      <c r="B3379" s="3">
        <f>IF(I3379&lt;&gt;"",I3379,IF(J3379&lt;&gt;"",J3379,IF(K3379&lt;&gt;"",K3379,L3379)))</f>
        <v>40.98</v>
      </c>
      <c r="C3379" s="3">
        <f>MEDIAN(I3379:L3379)</f>
        <v>35.0</v>
      </c>
      <c r="D3379" s="3">
        <f>ROUND(C3379*(1-Settings!$B$2),2)</f>
        <v>24.5</v>
      </c>
      <c r="E3379" s="3">
        <f>ROUND(C3379*(1-Settings!$B$3),2)</f>
        <v>24.5</v>
      </c>
      <c r="F3379" s="2" t="inlineStr">
        <is>
          <t>Pokemon</t>
        </is>
      </c>
      <c r="G3379" s="2" t="inlineStr">
        <is>
          <t>Pack</t>
        </is>
      </c>
      <c r="H3379" s="2" t="inlineStr">
        <is>
          <t>SV04: Paradox Rift</t>
        </is>
      </c>
      <c r="I3379" s="3" t="n"/>
      <c r="J3379" s="3" t="n">
        <v>40.98</v>
      </c>
      <c r="K3379" s="3" t="n">
        <v>35</v>
      </c>
      <c r="L3379" s="3" t="n">
        <v>34.96</v>
      </c>
      <c r="M3379" s="2" t="inlineStr">
        <is>
          <t>TCGplayer</t>
        </is>
      </c>
      <c r="O3379" s="4" t="inlineStr">
        <is>
          <t>https://www.tcgplayer.com/product/625582</t>
        </is>
      </c>
    </row>
    <row r="3380">
      <c r="A3380" s="2" t="inlineStr">
        <is>
          <t>Paradox Rift Single Pack Blister [Glimmora]</t>
        </is>
      </c>
      <c r="B3380" s="3">
        <f>IF(I3380&lt;&gt;"",I3380,IF(J3380&lt;&gt;"",J3380,IF(K3380&lt;&gt;"",K3380,L3380)))</f>
        <v>40.0</v>
      </c>
      <c r="C3380" s="3">
        <f>MEDIAN(I3380:L3380)</f>
        <v>30.0</v>
      </c>
      <c r="D3380" s="3">
        <f>ROUND(C3380*(1-Settings!$B$2),2)</f>
        <v>21.0</v>
      </c>
      <c r="E3380" s="3">
        <f>ROUND(C3380*(1-Settings!$B$3),2)</f>
        <v>21.0</v>
      </c>
      <c r="F3380" s="2" t="inlineStr">
        <is>
          <t>Pokemon</t>
        </is>
      </c>
      <c r="G3380" s="2" t="inlineStr">
        <is>
          <t>Pack</t>
        </is>
      </c>
      <c r="H3380" s="2" t="inlineStr">
        <is>
          <t>SV04: Paradox Rift</t>
        </is>
      </c>
      <c r="I3380" s="3" t="n"/>
      <c r="J3380" s="3" t="n"/>
      <c r="K3380" s="3" t="n">
        <v>40</v>
      </c>
      <c r="L3380" s="3" t="n">
        <v>20</v>
      </c>
      <c r="M3380" s="2" t="inlineStr">
        <is>
          <t>TCGplayer</t>
        </is>
      </c>
      <c r="O3380" s="4" t="inlineStr">
        <is>
          <t>https://www.tcgplayer.com/product/625581</t>
        </is>
      </c>
    </row>
    <row r="3381">
      <c r="A3381" s="2" t="inlineStr">
        <is>
          <t>Paradox Rift Single Pack Blister [Pineco]</t>
        </is>
      </c>
      <c r="B3381" s="3">
        <f>IF(I3381&lt;&gt;"",I3381,IF(J3381&lt;&gt;"",J3381,IF(K3381&lt;&gt;"",K3381,L3381)))</f>
        <v>10.85</v>
      </c>
      <c r="C3381" s="3">
        <f>MEDIAN(I3381:L3381)</f>
        <v>10.85</v>
      </c>
      <c r="D3381" s="3">
        <f>ROUND(C3381*(1-Settings!$B$2),2)</f>
        <v>7.6</v>
      </c>
      <c r="E3381" s="3">
        <f>ROUND(C3381*(1-Settings!$B$3),2)</f>
        <v>7.6</v>
      </c>
      <c r="F3381" s="2" t="inlineStr">
        <is>
          <t>Pokemon</t>
        </is>
      </c>
      <c r="G3381" s="2" t="inlineStr">
        <is>
          <t>Pack</t>
        </is>
      </c>
      <c r="H3381" s="2" t="inlineStr">
        <is>
          <t>SV04: Paradox Rift</t>
        </is>
      </c>
      <c r="I3381" s="3" t="n"/>
      <c r="J3381" s="3" t="n">
        <v>10.85</v>
      </c>
      <c r="K3381" s="3" t="n">
        <v>14.99</v>
      </c>
      <c r="L3381" s="3" t="n">
        <v>10.49</v>
      </c>
      <c r="M3381" s="2" t="inlineStr">
        <is>
          <t>TCGplayer</t>
        </is>
      </c>
      <c r="O3381" s="4" t="inlineStr">
        <is>
          <t>https://www.tcgplayer.com/product/514224</t>
        </is>
      </c>
    </row>
    <row r="3382">
      <c r="A3382" s="2" t="inlineStr">
        <is>
          <t>Paradox Rift Single Pack Blister [Sinistea]</t>
        </is>
      </c>
      <c r="B3382" s="3">
        <f>IF(I3382&lt;&gt;"",I3382,IF(J3382&lt;&gt;"",J3382,IF(K3382&lt;&gt;"",K3382,L3382)))</f>
        <v>11.11</v>
      </c>
      <c r="C3382" s="3">
        <f>MEDIAN(I3382:L3382)</f>
        <v>11.11</v>
      </c>
      <c r="D3382" s="3">
        <f>ROUND(C3382*(1-Settings!$B$2),2)</f>
        <v>7.78</v>
      </c>
      <c r="E3382" s="3">
        <f>ROUND(C3382*(1-Settings!$B$3),2)</f>
        <v>7.78</v>
      </c>
      <c r="F3382" s="2" t="inlineStr">
        <is>
          <t>Pokemon</t>
        </is>
      </c>
      <c r="G3382" s="2" t="inlineStr">
        <is>
          <t>Pack</t>
        </is>
      </c>
      <c r="H3382" s="2" t="inlineStr">
        <is>
          <t>SV04: Paradox Rift</t>
        </is>
      </c>
      <c r="I3382" s="3" t="n"/>
      <c r="J3382" s="3" t="n">
        <v>11.11</v>
      </c>
      <c r="K3382" s="3" t="n">
        <v>14.99</v>
      </c>
      <c r="L3382" s="3" t="n">
        <v>1.49</v>
      </c>
      <c r="M3382" s="2" t="inlineStr">
        <is>
          <t>TCGplayer</t>
        </is>
      </c>
      <c r="O3382" s="4" t="inlineStr">
        <is>
          <t>https://www.tcgplayer.com/product/514223</t>
        </is>
      </c>
    </row>
    <row r="3383">
      <c r="A3383" s="2" t="inlineStr">
        <is>
          <t>Paradox Rift Sleeved Booster Pack</t>
        </is>
      </c>
      <c r="B3383" s="3">
        <f>IF(I3383&lt;&gt;"",I3383,IF(J3383&lt;&gt;"",J3383,IF(K3383&lt;&gt;"",K3383,L3383)))</f>
        <v>11.24</v>
      </c>
      <c r="C3383" s="3">
        <f>MEDIAN(I3383:L3383)</f>
        <v>11.245000000000001</v>
      </c>
      <c r="D3383" s="3">
        <f>ROUND(C3383*(1-Settings!$B$2),2)</f>
        <v>7.87</v>
      </c>
      <c r="E3383" s="3">
        <f>ROUND(C3383*(1-Settings!$B$3),2)</f>
        <v>7.87</v>
      </c>
      <c r="F3383" s="2" t="inlineStr">
        <is>
          <t>Pokemon</t>
        </is>
      </c>
      <c r="G3383" s="2" t="inlineStr">
        <is>
          <t>Pack</t>
        </is>
      </c>
      <c r="H3383" s="2" t="inlineStr">
        <is>
          <t>SV04: Paradox Rift</t>
        </is>
      </c>
      <c r="I3383" s="3" t="n">
        <v>11.24</v>
      </c>
      <c r="J3383" s="3" t="n">
        <v>11.25</v>
      </c>
      <c r="K3383" s="3" t="n">
        <v>11.69</v>
      </c>
      <c r="L3383" s="3" t="n">
        <v>9.5</v>
      </c>
      <c r="M3383" s="2" t="inlineStr">
        <is>
          <t>PriceCharting + TCGplayer</t>
        </is>
      </c>
      <c r="N3383" s="4" t="inlineStr">
        <is>
          <t>https://www.pricecharting.com/game/pokemon-paradox-rift/sleeved-booster-pack</t>
        </is>
      </c>
      <c r="O3383" s="4" t="inlineStr">
        <is>
          <t>https://www.tcgplayer.com/product/517210</t>
        </is>
      </c>
    </row>
    <row r="3384">
      <c r="A3384" s="2" t="inlineStr">
        <is>
          <t>Temporal Forces 3 Pack Blister [Cleffa]</t>
        </is>
      </c>
      <c r="B3384" s="3">
        <f>IF(I3384&lt;&gt;"",I3384,IF(J3384&lt;&gt;"",J3384,IF(K3384&lt;&gt;"",K3384,L3384)))</f>
        <v>30.56</v>
      </c>
      <c r="C3384" s="3">
        <f>MEDIAN(I3384:L3384)</f>
        <v>35.96</v>
      </c>
      <c r="D3384" s="3">
        <f>ROUND(C3384*(1-Settings!$B$2),2)</f>
        <v>25.17</v>
      </c>
      <c r="E3384" s="3">
        <f>ROUND(C3384*(1-Settings!$B$3),2)</f>
        <v>25.17</v>
      </c>
      <c r="F3384" s="2" t="inlineStr">
        <is>
          <t>Pokemon</t>
        </is>
      </c>
      <c r="G3384" s="2" t="inlineStr">
        <is>
          <t>Pack</t>
        </is>
      </c>
      <c r="H3384" s="2" t="inlineStr">
        <is>
          <t>SV05: Temporal Forces</t>
        </is>
      </c>
      <c r="I3384" s="3" t="n"/>
      <c r="J3384" s="3" t="n">
        <v>30.56</v>
      </c>
      <c r="K3384" s="3" t="n">
        <v>39.5</v>
      </c>
      <c r="L3384" s="3" t="n">
        <v>35.96</v>
      </c>
      <c r="M3384" s="2" t="inlineStr">
        <is>
          <t>TCGplayer</t>
        </is>
      </c>
      <c r="O3384" s="4" t="inlineStr">
        <is>
          <t>https://www.tcgplayer.com/product/536229</t>
        </is>
      </c>
    </row>
    <row r="3385">
      <c r="A3385" s="2" t="inlineStr">
        <is>
          <t>Temporal Forces 3 Pack Blister [Cyclizar]</t>
        </is>
      </c>
      <c r="B3385" s="3">
        <f>IF(I3385&lt;&gt;"",I3385,IF(J3385&lt;&gt;"",J3385,IF(K3385&lt;&gt;"",K3385,L3385)))</f>
        <v>33.37</v>
      </c>
      <c r="C3385" s="3">
        <f>MEDIAN(I3385:L3385)</f>
        <v>33.18</v>
      </c>
      <c r="D3385" s="3">
        <f>ROUND(C3385*(1-Settings!$B$2),2)</f>
        <v>23.23</v>
      </c>
      <c r="E3385" s="3">
        <f>ROUND(C3385*(1-Settings!$B$3),2)</f>
        <v>23.23</v>
      </c>
      <c r="F3385" s="2" t="inlineStr">
        <is>
          <t>Pokemon</t>
        </is>
      </c>
      <c r="G3385" s="2" t="inlineStr">
        <is>
          <t>Pack</t>
        </is>
      </c>
      <c r="H3385" s="2" t="inlineStr">
        <is>
          <t>SV05: Temporal Forces</t>
        </is>
      </c>
      <c r="I3385" s="3" t="n">
        <v>33.37</v>
      </c>
      <c r="J3385" s="3" t="n">
        <v>31.02</v>
      </c>
      <c r="K3385" s="3" t="n">
        <v>39.74</v>
      </c>
      <c r="L3385" s="3" t="n">
        <v>32.99</v>
      </c>
      <c r="M3385" s="2" t="inlineStr">
        <is>
          <t>PriceCharting + TCGplayer</t>
        </is>
      </c>
      <c r="N3385" s="4" t="inlineStr">
        <is>
          <t>https://www.pricecharting.com/game/pokemon-temporal-forces/3-pack-blister-cyclizar</t>
        </is>
      </c>
      <c r="O3385" s="4" t="inlineStr">
        <is>
          <t>https://www.tcgplayer.com/product/536227</t>
        </is>
      </c>
    </row>
    <row r="3386">
      <c r="A3386" s="2" t="inlineStr">
        <is>
          <t>Temporal Forces Booster Pack</t>
        </is>
      </c>
      <c r="B3386" s="3">
        <f>IF(I3386&lt;&gt;"",I3386,IF(J3386&lt;&gt;"",J3386,IF(K3386&lt;&gt;"",K3386,L3386)))</f>
        <v>10.51</v>
      </c>
      <c r="C3386" s="3">
        <f>MEDIAN(I3386:L3386)</f>
        <v>10.225</v>
      </c>
      <c r="D3386" s="3">
        <f>ROUND(C3386*(1-Settings!$B$2),2)</f>
        <v>7.16</v>
      </c>
      <c r="E3386" s="3">
        <f>ROUND(C3386*(1-Settings!$B$3),2)</f>
        <v>7.16</v>
      </c>
      <c r="F3386" s="2" t="inlineStr">
        <is>
          <t>Pokemon</t>
        </is>
      </c>
      <c r="G3386" s="2" t="inlineStr">
        <is>
          <t>Pack</t>
        </is>
      </c>
      <c r="H3386" s="2" t="inlineStr">
        <is>
          <t>SV05: Temporal Forces</t>
        </is>
      </c>
      <c r="I3386" s="3" t="n">
        <v>10.51</v>
      </c>
      <c r="J3386" s="3" t="n">
        <v>9.94</v>
      </c>
      <c r="K3386" s="3" t="n">
        <v>11.99</v>
      </c>
      <c r="L3386" s="3" t="n">
        <v>8</v>
      </c>
      <c r="M3386" s="2" t="inlineStr">
        <is>
          <t>PriceCharting + TCGplayer</t>
        </is>
      </c>
      <c r="N3386" s="4" t="inlineStr">
        <is>
          <t>https://www.pricecharting.com/game/pokemon-temporal-forces/booster-pack</t>
        </is>
      </c>
      <c r="O3386" s="4" t="inlineStr">
        <is>
          <t>https://www.tcgplayer.com/product/532841</t>
        </is>
      </c>
    </row>
    <row r="3387">
      <c r="A3387" s="2" t="inlineStr">
        <is>
          <t>Temporal Forces Fun Pack</t>
        </is>
      </c>
      <c r="B3387" s="3">
        <f>IF(I3387&lt;&gt;"",I3387,IF(J3387&lt;&gt;"",J3387,IF(K3387&lt;&gt;"",K3387,L3387)))</f>
        <v>12.16</v>
      </c>
      <c r="C3387" s="3">
        <f>MEDIAN(I3387:L3387)</f>
        <v>12.16</v>
      </c>
      <c r="D3387" s="3">
        <f>ROUND(C3387*(1-Settings!$B$2),2)</f>
        <v>8.51</v>
      </c>
      <c r="E3387" s="3">
        <f>ROUND(C3387*(1-Settings!$B$3),2)</f>
        <v>8.51</v>
      </c>
      <c r="F3387" s="2" t="inlineStr">
        <is>
          <t>Pokemon</t>
        </is>
      </c>
      <c r="G3387" s="2" t="inlineStr">
        <is>
          <t>Pack</t>
        </is>
      </c>
      <c r="H3387" s="2" t="inlineStr">
        <is>
          <t>SV05: Temporal Forces</t>
        </is>
      </c>
      <c r="I3387" s="3" t="n"/>
      <c r="J3387" s="3" t="n">
        <v>12.16</v>
      </c>
      <c r="K3387" s="3" t="n">
        <v>12.16</v>
      </c>
      <c r="L3387" s="3" t="n">
        <v>12.16</v>
      </c>
      <c r="M3387" s="2" t="inlineStr">
        <is>
          <t>TCGplayer</t>
        </is>
      </c>
      <c r="O3387" s="4" t="inlineStr">
        <is>
          <t>https://www.tcgplayer.com/product/607502</t>
        </is>
      </c>
    </row>
    <row r="3388">
      <c r="A3388" s="2" t="inlineStr">
        <is>
          <t>Temporal Forces Premium Checklane Blister [Baxcalibur]</t>
        </is>
      </c>
      <c r="B3388" s="3">
        <f>IF(I3388&lt;&gt;"",I3388,IF(J3388&lt;&gt;"",J3388,IF(K3388&lt;&gt;"",K3388,L3388)))</f>
        <v>17.06</v>
      </c>
      <c r="C3388" s="3">
        <f>MEDIAN(I3388:L3388)</f>
        <v>17.06</v>
      </c>
      <c r="D3388" s="3">
        <f>ROUND(C3388*(1-Settings!$B$2),2)</f>
        <v>11.94</v>
      </c>
      <c r="E3388" s="3">
        <f>ROUND(C3388*(1-Settings!$B$3),2)</f>
        <v>11.94</v>
      </c>
      <c r="F3388" s="2" t="inlineStr">
        <is>
          <t>Pokemon</t>
        </is>
      </c>
      <c r="G3388" s="2" t="inlineStr">
        <is>
          <t>Pack</t>
        </is>
      </c>
      <c r="H3388" s="2" t="inlineStr">
        <is>
          <t>SV05: Temporal Forces</t>
        </is>
      </c>
      <c r="I3388" s="3" t="n"/>
      <c r="J3388" s="3" t="n">
        <v>17.06</v>
      </c>
      <c r="K3388" s="3" t="n">
        <v>18.41</v>
      </c>
      <c r="L3388" s="3" t="n">
        <v>15.25</v>
      </c>
      <c r="M3388" s="2" t="inlineStr">
        <is>
          <t>TCGplayer</t>
        </is>
      </c>
      <c r="O3388" s="4" t="inlineStr">
        <is>
          <t>https://www.tcgplayer.com/product/544679</t>
        </is>
      </c>
    </row>
    <row r="3389">
      <c r="A3389" s="2" t="inlineStr">
        <is>
          <t>Temporal Forces Premium Checklane Blister [Togekiss]</t>
        </is>
      </c>
      <c r="B3389" s="3">
        <f>IF(I3389&lt;&gt;"",I3389,IF(J3389&lt;&gt;"",J3389,IF(K3389&lt;&gt;"",K3389,L3389)))</f>
        <v>20.48</v>
      </c>
      <c r="C3389" s="3">
        <f>MEDIAN(I3389:L3389)</f>
        <v>20.18</v>
      </c>
      <c r="D3389" s="3">
        <f>ROUND(C3389*(1-Settings!$B$2),2)</f>
        <v>14.13</v>
      </c>
      <c r="E3389" s="3">
        <f>ROUND(C3389*(1-Settings!$B$3),2)</f>
        <v>14.13</v>
      </c>
      <c r="F3389" s="2" t="inlineStr">
        <is>
          <t>Pokemon</t>
        </is>
      </c>
      <c r="G3389" s="2" t="inlineStr">
        <is>
          <t>Pack</t>
        </is>
      </c>
      <c r="H3389" s="2" t="inlineStr">
        <is>
          <t>SV05: Temporal Forces</t>
        </is>
      </c>
      <c r="I3389" s="3" t="n"/>
      <c r="J3389" s="3" t="n">
        <v>20.48</v>
      </c>
      <c r="K3389" s="3" t="n">
        <v>20.18</v>
      </c>
      <c r="L3389" s="3" t="n">
        <v>1.45</v>
      </c>
      <c r="M3389" s="2" t="inlineStr">
        <is>
          <t>TCGplayer</t>
        </is>
      </c>
      <c r="O3389" s="4" t="inlineStr">
        <is>
          <t>https://www.tcgplayer.com/product/544687</t>
        </is>
      </c>
    </row>
    <row r="3390">
      <c r="A3390" s="2" t="inlineStr">
        <is>
          <t>Temporal Forces Single Pack Blister [Bellibolt]</t>
        </is>
      </c>
      <c r="B3390" s="3">
        <f>IF(I3390&lt;&gt;"",I3390,IF(J3390&lt;&gt;"",J3390,IF(K3390&lt;&gt;"",K3390,L3390)))</f>
        <v>11.43</v>
      </c>
      <c r="C3390" s="3">
        <f>MEDIAN(I3390:L3390)</f>
        <v>10.86</v>
      </c>
      <c r="D3390" s="3">
        <f>ROUND(C3390*(1-Settings!$B$2),2)</f>
        <v>7.6</v>
      </c>
      <c r="E3390" s="3">
        <f>ROUND(C3390*(1-Settings!$B$3),2)</f>
        <v>7.6</v>
      </c>
      <c r="F3390" s="2" t="inlineStr">
        <is>
          <t>Pokemon</t>
        </is>
      </c>
      <c r="G3390" s="2" t="inlineStr">
        <is>
          <t>Pack</t>
        </is>
      </c>
      <c r="H3390" s="2" t="inlineStr">
        <is>
          <t>SV05: Temporal Forces</t>
        </is>
      </c>
      <c r="I3390" s="3" t="n"/>
      <c r="J3390" s="3" t="n">
        <v>11.43</v>
      </c>
      <c r="K3390" s="3" t="n">
        <v>10.86</v>
      </c>
      <c r="L3390" s="3" t="n">
        <v>9.99</v>
      </c>
      <c r="M3390" s="2" t="inlineStr">
        <is>
          <t>TCGplayer</t>
        </is>
      </c>
      <c r="O3390" s="4" t="inlineStr">
        <is>
          <t>https://www.tcgplayer.com/product/536594</t>
        </is>
      </c>
    </row>
    <row r="3391">
      <c r="A3391" s="2" t="inlineStr">
        <is>
          <t>Temporal Forces Single Pack Blister [Carvanha]</t>
        </is>
      </c>
      <c r="B3391" s="3">
        <f>IF(I3391&lt;&gt;"",I3391,IF(J3391&lt;&gt;"",J3391,IF(K3391&lt;&gt;"",K3391,L3391)))</f>
        <v>11.08</v>
      </c>
      <c r="C3391" s="3">
        <f>MEDIAN(I3391:L3391)</f>
        <v>10.1</v>
      </c>
      <c r="D3391" s="3">
        <f>ROUND(C3391*(1-Settings!$B$2),2)</f>
        <v>7.07</v>
      </c>
      <c r="E3391" s="3">
        <f>ROUND(C3391*(1-Settings!$B$3),2)</f>
        <v>7.07</v>
      </c>
      <c r="F3391" s="2" t="inlineStr">
        <is>
          <t>Pokemon</t>
        </is>
      </c>
      <c r="G3391" s="2" t="inlineStr">
        <is>
          <t>Pack</t>
        </is>
      </c>
      <c r="H3391" s="2" t="inlineStr">
        <is>
          <t>SV05: Temporal Forces</t>
        </is>
      </c>
      <c r="I3391" s="3" t="n"/>
      <c r="J3391" s="3" t="n">
        <v>11.08</v>
      </c>
      <c r="K3391" s="3" t="n">
        <v>10.1</v>
      </c>
      <c r="L3391" s="3" t="n">
        <v>4.33</v>
      </c>
      <c r="M3391" s="2" t="inlineStr">
        <is>
          <t>TCGplayer</t>
        </is>
      </c>
      <c r="O3391" s="4" t="inlineStr">
        <is>
          <t>https://www.tcgplayer.com/product/536284</t>
        </is>
      </c>
    </row>
    <row r="3392">
      <c r="A3392" s="2" t="inlineStr">
        <is>
          <t>Temporal Forces Single Pack Blister [Scovillain]</t>
        </is>
      </c>
      <c r="B3392" s="3">
        <f>IF(I3392&lt;&gt;"",I3392,IF(J3392&lt;&gt;"",J3392,IF(K3392&lt;&gt;"",K3392,L3392)))</f>
        <v>25.0</v>
      </c>
      <c r="C3392" s="3">
        <f>MEDIAN(I3392:L3392)</f>
        <v>25.0</v>
      </c>
      <c r="D3392" s="3">
        <f>ROUND(C3392*(1-Settings!$B$2),2)</f>
        <v>17.5</v>
      </c>
      <c r="E3392" s="3">
        <f>ROUND(C3392*(1-Settings!$B$3),2)</f>
        <v>17.5</v>
      </c>
      <c r="F3392" s="2" t="inlineStr">
        <is>
          <t>Pokemon</t>
        </is>
      </c>
      <c r="G3392" s="2" t="inlineStr">
        <is>
          <t>Pack</t>
        </is>
      </c>
      <c r="H3392" s="2" t="inlineStr">
        <is>
          <t>SV05: Temporal Forces</t>
        </is>
      </c>
      <c r="I3392" s="3" t="n"/>
      <c r="J3392" s="3" t="n">
        <v>25</v>
      </c>
      <c r="K3392" s="3" t="n"/>
      <c r="L3392" s="3" t="n"/>
      <c r="M3392" s="2" t="inlineStr">
        <is>
          <t>TCGplayer</t>
        </is>
      </c>
      <c r="O3392" s="4" t="inlineStr">
        <is>
          <t>https://www.tcgplayer.com/product/617011</t>
        </is>
      </c>
    </row>
    <row r="3393">
      <c r="A3393" s="2" t="inlineStr">
        <is>
          <t>Temporal Forces Sleeved Booster Pack</t>
        </is>
      </c>
      <c r="B3393" s="3">
        <f>IF(I3393&lt;&gt;"",I3393,IF(J3393&lt;&gt;"",J3393,IF(K3393&lt;&gt;"",K3393,L3393)))</f>
        <v>11.74</v>
      </c>
      <c r="C3393" s="3">
        <f>MEDIAN(I3393:L3393)</f>
        <v>11.705</v>
      </c>
      <c r="D3393" s="3">
        <f>ROUND(C3393*(1-Settings!$B$2),2)</f>
        <v>8.19</v>
      </c>
      <c r="E3393" s="3">
        <f>ROUND(C3393*(1-Settings!$B$3),2)</f>
        <v>8.19</v>
      </c>
      <c r="F3393" s="2" t="inlineStr">
        <is>
          <t>Pokemon</t>
        </is>
      </c>
      <c r="G3393" s="2" t="inlineStr">
        <is>
          <t>Pack</t>
        </is>
      </c>
      <c r="H3393" s="2" t="inlineStr">
        <is>
          <t>SV05: Temporal Forces</t>
        </is>
      </c>
      <c r="I3393" s="3" t="n">
        <v>11.74</v>
      </c>
      <c r="J3393" s="3" t="n">
        <v>11.67</v>
      </c>
      <c r="K3393" s="3" t="n">
        <v>11.99</v>
      </c>
      <c r="L3393" s="3" t="n">
        <v>11</v>
      </c>
      <c r="M3393" s="2" t="inlineStr">
        <is>
          <t>PriceCharting + TCGplayer</t>
        </is>
      </c>
      <c r="N3393" s="4" t="inlineStr">
        <is>
          <t>https://www.pricecharting.com/game/pokemon-temporal-forces/sleeved-booster-pack</t>
        </is>
      </c>
      <c r="O3393" s="4" t="inlineStr">
        <is>
          <t>https://www.tcgplayer.com/product/538787</t>
        </is>
      </c>
    </row>
    <row r="3394">
      <c r="A3394" s="2" t="inlineStr">
        <is>
          <t>Twilight Masquerade 3 Pack Blister [Revavroom]</t>
        </is>
      </c>
      <c r="B3394" s="3">
        <f>IF(I3394&lt;&gt;"",I3394,IF(J3394&lt;&gt;"",J3394,IF(K3394&lt;&gt;"",K3394,L3394)))</f>
        <v>18.13</v>
      </c>
      <c r="C3394" s="3">
        <f>MEDIAN(I3394:L3394)</f>
        <v>29.955</v>
      </c>
      <c r="D3394" s="3">
        <f>ROUND(C3394*(1-Settings!$B$2),2)</f>
        <v>20.97</v>
      </c>
      <c r="E3394" s="3">
        <f>ROUND(C3394*(1-Settings!$B$3),2)</f>
        <v>20.97</v>
      </c>
      <c r="F3394" s="2" t="inlineStr">
        <is>
          <t>Pokemon</t>
        </is>
      </c>
      <c r="G3394" s="2" t="inlineStr">
        <is>
          <t>Pack</t>
        </is>
      </c>
      <c r="H3394" s="2" t="inlineStr">
        <is>
          <t>SV06: Twilight Masquerade</t>
        </is>
      </c>
      <c r="I3394" s="3" t="n">
        <v>18.13</v>
      </c>
      <c r="J3394" s="3" t="n">
        <v>34.91</v>
      </c>
      <c r="K3394" s="3" t="n">
        <v>35.99</v>
      </c>
      <c r="L3394" s="3" t="n">
        <v>25</v>
      </c>
      <c r="M3394" s="2" t="inlineStr">
        <is>
          <t>PriceCharting + TCGplayer</t>
        </is>
      </c>
      <c r="N3394" s="4" t="inlineStr">
        <is>
          <t>https://www.pricecharting.com/game/pokemon-twilight-masquerade/3-pack-blister-revavroom</t>
        </is>
      </c>
      <c r="O3394" s="4" t="inlineStr">
        <is>
          <t>https://www.tcgplayer.com/product/544172</t>
        </is>
      </c>
    </row>
    <row r="3395">
      <c r="A3395" s="2" t="inlineStr">
        <is>
          <t>Twilight Masquerade 3 Pack Blister [Snorlax]</t>
        </is>
      </c>
      <c r="B3395" s="3">
        <f>IF(I3395&lt;&gt;"",I3395,IF(J3395&lt;&gt;"",J3395,IF(K3395&lt;&gt;"",K3395,L3395)))</f>
        <v>37.27</v>
      </c>
      <c r="C3395" s="3">
        <f>MEDIAN(I3395:L3395)</f>
        <v>47.34</v>
      </c>
      <c r="D3395" s="3">
        <f>ROUND(C3395*(1-Settings!$B$2),2)</f>
        <v>33.14</v>
      </c>
      <c r="E3395" s="3">
        <f>ROUND(C3395*(1-Settings!$B$3),2)</f>
        <v>33.14</v>
      </c>
      <c r="F3395" s="2" t="inlineStr">
        <is>
          <t>Pokemon</t>
        </is>
      </c>
      <c r="G3395" s="2" t="inlineStr">
        <is>
          <t>Pack</t>
        </is>
      </c>
      <c r="H3395" s="2" t="inlineStr">
        <is>
          <t>SV06: Twilight Masquerade</t>
        </is>
      </c>
      <c r="I3395" s="3" t="n">
        <v>37.27</v>
      </c>
      <c r="J3395" s="3" t="n">
        <v>45.69</v>
      </c>
      <c r="K3395" s="3" t="n">
        <v>59.99</v>
      </c>
      <c r="L3395" s="3" t="n">
        <v>48.99</v>
      </c>
      <c r="M3395" s="2" t="inlineStr">
        <is>
          <t>PriceCharting + TCGplayer</t>
        </is>
      </c>
      <c r="N3395" s="4" t="inlineStr">
        <is>
          <t>https://www.pricecharting.com/game/pokemon-twilight-masquerade/3-pack-blister-snorlax</t>
        </is>
      </c>
      <c r="O3395" s="4" t="inlineStr">
        <is>
          <t>https://www.tcgplayer.com/product/544171</t>
        </is>
      </c>
    </row>
    <row r="3396">
      <c r="A3396" s="2" t="inlineStr">
        <is>
          <t>Twilight Masquerade Booster Pack</t>
        </is>
      </c>
      <c r="B3396" s="3">
        <f>IF(I3396&lt;&gt;"",I3396,IF(J3396&lt;&gt;"",J3396,IF(K3396&lt;&gt;"",K3396,L3396)))</f>
        <v>9.49</v>
      </c>
      <c r="C3396" s="3">
        <f>MEDIAN(I3396:L3396)</f>
        <v>9.34</v>
      </c>
      <c r="D3396" s="3">
        <f>ROUND(C3396*(1-Settings!$B$2),2)</f>
        <v>6.54</v>
      </c>
      <c r="E3396" s="3">
        <f>ROUND(C3396*(1-Settings!$B$3),2)</f>
        <v>6.54</v>
      </c>
      <c r="F3396" s="2" t="inlineStr">
        <is>
          <t>Pokemon</t>
        </is>
      </c>
      <c r="G3396" s="2" t="inlineStr">
        <is>
          <t>Pack</t>
        </is>
      </c>
      <c r="H3396" s="2" t="inlineStr">
        <is>
          <t>SV06: Twilight Masquerade</t>
        </is>
      </c>
      <c r="I3396" s="3" t="n">
        <v>9.49</v>
      </c>
      <c r="J3396" s="3" t="n">
        <v>9.19</v>
      </c>
      <c r="K3396" s="3" t="n">
        <v>10</v>
      </c>
      <c r="L3396" s="3" t="n">
        <v>2.5</v>
      </c>
      <c r="M3396" s="2" t="inlineStr">
        <is>
          <t>PriceCharting + TCGplayer</t>
        </is>
      </c>
      <c r="N3396" s="4" t="inlineStr">
        <is>
          <t>https://www.pricecharting.com/game/pokemon-twilight-masquerade/booster-pack</t>
        </is>
      </c>
      <c r="O3396" s="4" t="inlineStr">
        <is>
          <t>https://www.tcgplayer.com/product/543843</t>
        </is>
      </c>
    </row>
    <row r="3397">
      <c r="A3397" s="2" t="inlineStr">
        <is>
          <t>Twilight Masquerade Fun Pack</t>
        </is>
      </c>
      <c r="B3397" s="3">
        <f>IF(I3397&lt;&gt;"",I3397,IF(J3397&lt;&gt;"",J3397,IF(K3397&lt;&gt;"",K3397,L3397)))</f>
        <v>11.01</v>
      </c>
      <c r="C3397" s="3">
        <f>MEDIAN(I3397:L3397)</f>
        <v>11.01</v>
      </c>
      <c r="D3397" s="3">
        <f>ROUND(C3397*(1-Settings!$B$2),2)</f>
        <v>7.71</v>
      </c>
      <c r="E3397" s="3">
        <f>ROUND(C3397*(1-Settings!$B$3),2)</f>
        <v>7.71</v>
      </c>
      <c r="F3397" s="2" t="inlineStr">
        <is>
          <t>Pokemon</t>
        </is>
      </c>
      <c r="G3397" s="2" t="inlineStr">
        <is>
          <t>Pack</t>
        </is>
      </c>
      <c r="H3397" s="2" t="inlineStr">
        <is>
          <t>SV06: Twilight Masquerade</t>
        </is>
      </c>
      <c r="I3397" s="3" t="n"/>
      <c r="J3397" s="3" t="n">
        <v>11.01</v>
      </c>
      <c r="K3397" s="3" t="n">
        <v>15.5</v>
      </c>
      <c r="L3397" s="3" t="n">
        <v>11.01</v>
      </c>
      <c r="M3397" s="2" t="inlineStr">
        <is>
          <t>TCGplayer</t>
        </is>
      </c>
      <c r="O3397" s="4" t="inlineStr">
        <is>
          <t>https://www.tcgplayer.com/product/607501</t>
        </is>
      </c>
    </row>
    <row r="3398">
      <c r="A3398" s="2" t="inlineStr">
        <is>
          <t>Twilight Masquerade Premium Checklane Blister [Horsea]</t>
        </is>
      </c>
      <c r="B3398" s="3">
        <f>IF(I3398&lt;&gt;"",I3398,IF(J3398&lt;&gt;"",J3398,IF(K3398&lt;&gt;"",K3398,L3398)))</f>
        <v>23.0</v>
      </c>
      <c r="C3398" s="3">
        <f>MEDIAN(I3398:L3398)</f>
        <v>24.0</v>
      </c>
      <c r="D3398" s="3">
        <f>ROUND(C3398*(1-Settings!$B$2),2)</f>
        <v>16.8</v>
      </c>
      <c r="E3398" s="3">
        <f>ROUND(C3398*(1-Settings!$B$3),2)</f>
        <v>16.8</v>
      </c>
      <c r="F3398" s="2" t="inlineStr">
        <is>
          <t>Pokemon</t>
        </is>
      </c>
      <c r="G3398" s="2" t="inlineStr">
        <is>
          <t>Pack</t>
        </is>
      </c>
      <c r="H3398" s="2" t="inlineStr">
        <is>
          <t>SV06: Twilight Masquerade</t>
        </is>
      </c>
      <c r="I3398" s="3" t="n">
        <v>23</v>
      </c>
      <c r="J3398" s="3" t="n">
        <v>25</v>
      </c>
      <c r="K3398" s="3" t="n">
        <v>29.99</v>
      </c>
      <c r="L3398" s="3" t="n">
        <v>1.5</v>
      </c>
      <c r="M3398" s="2" t="inlineStr">
        <is>
          <t>PriceCharting + TCGplayer</t>
        </is>
      </c>
      <c r="N3398" s="4" t="inlineStr">
        <is>
          <t>https://www.pricecharting.com/game/pokemon-twilight-masquerade/premium-checklane-blister-horsea</t>
        </is>
      </c>
      <c r="O3398" s="4" t="inlineStr">
        <is>
          <t>https://www.tcgplayer.com/product/544182</t>
        </is>
      </c>
    </row>
    <row r="3399">
      <c r="A3399" s="2" t="inlineStr">
        <is>
          <t>Twilight Masquerade Premium Checklane Blister [Lokix]</t>
        </is>
      </c>
      <c r="B3399" s="3">
        <f>IF(I3399&lt;&gt;"",I3399,IF(J3399&lt;&gt;"",J3399,IF(K3399&lt;&gt;"",K3399,L3399)))</f>
        <v>23.22</v>
      </c>
      <c r="C3399" s="3">
        <f>MEDIAN(I3399:L3399)</f>
        <v>35.97</v>
      </c>
      <c r="D3399" s="3">
        <f>ROUND(C3399*(1-Settings!$B$2),2)</f>
        <v>25.18</v>
      </c>
      <c r="E3399" s="3">
        <f>ROUND(C3399*(1-Settings!$B$3),2)</f>
        <v>25.18</v>
      </c>
      <c r="F3399" s="2" t="inlineStr">
        <is>
          <t>Pokemon</t>
        </is>
      </c>
      <c r="G3399" s="2" t="inlineStr">
        <is>
          <t>Pack</t>
        </is>
      </c>
      <c r="H3399" s="2" t="inlineStr">
        <is>
          <t>SV06: Twilight Masquerade</t>
        </is>
      </c>
      <c r="I3399" s="3" t="n"/>
      <c r="J3399" s="3" t="n">
        <v>23.22</v>
      </c>
      <c r="K3399" s="3" t="n">
        <v>39.69</v>
      </c>
      <c r="L3399" s="3" t="n">
        <v>35.97</v>
      </c>
      <c r="M3399" s="2" t="inlineStr">
        <is>
          <t>TCGplayer</t>
        </is>
      </c>
      <c r="O3399" s="4" t="inlineStr">
        <is>
          <t>https://www.tcgplayer.com/product/617190</t>
        </is>
      </c>
    </row>
    <row r="3400">
      <c r="A3400" s="2" t="inlineStr">
        <is>
          <t>Twilight Masquerade Premium Checklane Blister [Porygon]</t>
        </is>
      </c>
      <c r="B3400" s="3">
        <f>IF(I3400&lt;&gt;"",I3400,IF(J3400&lt;&gt;"",J3400,IF(K3400&lt;&gt;"",K3400,L3400)))</f>
        <v>23.68</v>
      </c>
      <c r="C3400" s="3">
        <f>MEDIAN(I3400:L3400)</f>
        <v>24.335</v>
      </c>
      <c r="D3400" s="3">
        <f>ROUND(C3400*(1-Settings!$B$2),2)</f>
        <v>17.03</v>
      </c>
      <c r="E3400" s="3">
        <f>ROUND(C3400*(1-Settings!$B$3),2)</f>
        <v>17.03</v>
      </c>
      <c r="F3400" s="2" t="inlineStr">
        <is>
          <t>Pokemon</t>
        </is>
      </c>
      <c r="G3400" s="2" t="inlineStr">
        <is>
          <t>Pack</t>
        </is>
      </c>
      <c r="H3400" s="2" t="inlineStr">
        <is>
          <t>SV06: Twilight Masquerade</t>
        </is>
      </c>
      <c r="I3400" s="3" t="n">
        <v>23.68</v>
      </c>
      <c r="J3400" s="3" t="n">
        <v>24.99</v>
      </c>
      <c r="K3400" s="3" t="n">
        <v>24.99</v>
      </c>
      <c r="L3400" s="3" t="n">
        <v>23</v>
      </c>
      <c r="M3400" s="2" t="inlineStr">
        <is>
          <t>PriceCharting + TCGplayer</t>
        </is>
      </c>
      <c r="N3400" s="4" t="inlineStr">
        <is>
          <t>https://www.pricecharting.com/game/pokemon-twilight-masquerade/premium-checklane-blister-porygon</t>
        </is>
      </c>
      <c r="O3400" s="4" t="inlineStr">
        <is>
          <t>https://www.tcgplayer.com/product/544180</t>
        </is>
      </c>
    </row>
    <row r="3401">
      <c r="A3401" s="2" t="inlineStr">
        <is>
          <t>Twilight Masquerade Premium Checklane Blister [Steelix]</t>
        </is>
      </c>
      <c r="B3401" s="3">
        <f>IF(I3401&lt;&gt;"",I3401,IF(J3401&lt;&gt;"",J3401,IF(K3401&lt;&gt;"",K3401,L3401)))</f>
        <v>30.0</v>
      </c>
      <c r="C3401" s="3">
        <f>MEDIAN(I3401:L3401)</f>
        <v>30.0</v>
      </c>
      <c r="D3401" s="3">
        <f>ROUND(C3401*(1-Settings!$B$2),2)</f>
        <v>21.0</v>
      </c>
      <c r="E3401" s="3">
        <f>ROUND(C3401*(1-Settings!$B$3),2)</f>
        <v>21.0</v>
      </c>
      <c r="F3401" s="2" t="inlineStr">
        <is>
          <t>Pokemon</t>
        </is>
      </c>
      <c r="G3401" s="2" t="inlineStr">
        <is>
          <t>Pack</t>
        </is>
      </c>
      <c r="H3401" s="2" t="inlineStr">
        <is>
          <t>SV06: Twilight Masquerade</t>
        </is>
      </c>
      <c r="I3401" s="3" t="n"/>
      <c r="J3401" s="3" t="n">
        <v>30</v>
      </c>
      <c r="K3401" s="3" t="n">
        <v>39.99</v>
      </c>
      <c r="L3401" s="3" t="n">
        <v>29.01</v>
      </c>
      <c r="M3401" s="2" t="inlineStr">
        <is>
          <t>TCGplayer</t>
        </is>
      </c>
      <c r="O3401" s="4" t="inlineStr">
        <is>
          <t>https://www.tcgplayer.com/product/617189</t>
        </is>
      </c>
    </row>
    <row r="3402">
      <c r="A3402" s="2" t="inlineStr">
        <is>
          <t>Twilight Masquerade Single Pack Blister [Toxel]</t>
        </is>
      </c>
      <c r="B3402" s="3">
        <f>IF(I3402&lt;&gt;"",I3402,IF(J3402&lt;&gt;"",J3402,IF(K3402&lt;&gt;"",K3402,L3402)))</f>
        <v>9.9</v>
      </c>
      <c r="C3402" s="3">
        <f>MEDIAN(I3402:L3402)</f>
        <v>9.9</v>
      </c>
      <c r="D3402" s="3">
        <f>ROUND(C3402*(1-Settings!$B$2),2)</f>
        <v>6.93</v>
      </c>
      <c r="E3402" s="3">
        <f>ROUND(C3402*(1-Settings!$B$3),2)</f>
        <v>6.93</v>
      </c>
      <c r="F3402" s="2" t="inlineStr">
        <is>
          <t>Pokemon</t>
        </is>
      </c>
      <c r="G3402" s="2" t="inlineStr">
        <is>
          <t>Pack</t>
        </is>
      </c>
      <c r="H3402" s="2" t="inlineStr">
        <is>
          <t>SV06: Twilight Masquerade</t>
        </is>
      </c>
      <c r="I3402" s="3" t="n"/>
      <c r="J3402" s="3" t="n">
        <v>9.9</v>
      </c>
      <c r="K3402" s="3" t="n">
        <v>10.01</v>
      </c>
      <c r="L3402" s="3" t="n">
        <v>9</v>
      </c>
      <c r="M3402" s="2" t="inlineStr">
        <is>
          <t>TCGplayer</t>
        </is>
      </c>
      <c r="O3402" s="4" t="inlineStr">
        <is>
          <t>https://www.tcgplayer.com/product/544179</t>
        </is>
      </c>
    </row>
    <row r="3403">
      <c r="A3403" s="2" t="inlineStr">
        <is>
          <t>Twilight Masquerade Sleeved Booster Pack</t>
        </is>
      </c>
      <c r="B3403" s="3">
        <f>IF(I3403&lt;&gt;"",I3403,IF(J3403&lt;&gt;"",J3403,IF(K3403&lt;&gt;"",K3403,L3403)))</f>
        <v>10.5</v>
      </c>
      <c r="C3403" s="3">
        <f>MEDIAN(I3403:L3403)</f>
        <v>10.635</v>
      </c>
      <c r="D3403" s="3">
        <f>ROUND(C3403*(1-Settings!$B$2),2)</f>
        <v>7.44</v>
      </c>
      <c r="E3403" s="3">
        <f>ROUND(C3403*(1-Settings!$B$3),2)</f>
        <v>7.44</v>
      </c>
      <c r="F3403" s="2" t="inlineStr">
        <is>
          <t>Pokemon</t>
        </is>
      </c>
      <c r="G3403" s="2" t="inlineStr">
        <is>
          <t>Pack</t>
        </is>
      </c>
      <c r="H3403" s="2" t="inlineStr">
        <is>
          <t>SV06: Twilight Masquerade</t>
        </is>
      </c>
      <c r="I3403" s="3" t="n">
        <v>10.5</v>
      </c>
      <c r="J3403" s="3" t="n">
        <v>10.77</v>
      </c>
      <c r="K3403" s="3" t="n">
        <v>11.99</v>
      </c>
      <c r="L3403" s="3" t="n">
        <v>2.89</v>
      </c>
      <c r="M3403" s="2" t="inlineStr">
        <is>
          <t>PriceCharting + TCGplayer</t>
        </is>
      </c>
      <c r="N3403" s="4" t="inlineStr">
        <is>
          <t>https://www.pricecharting.com/game/pokemon-twilight-masquerade/sleeved-booster-pack</t>
        </is>
      </c>
      <c r="O3403" s="4" t="inlineStr">
        <is>
          <t>https://www.tcgplayer.com/product/544170</t>
        </is>
      </c>
    </row>
    <row r="3404">
      <c r="A3404" s="2" t="inlineStr">
        <is>
          <t>Stellar Crown 3 Pack Blisters [Latias]</t>
        </is>
      </c>
      <c r="B3404" s="3">
        <f>IF(I3404&lt;&gt;"",I3404,IF(J3404&lt;&gt;"",J3404,IF(K3404&lt;&gt;"",K3404,L3404)))</f>
        <v>35.81</v>
      </c>
      <c r="C3404" s="3">
        <f>MEDIAN(I3404:L3404)</f>
        <v>35.81</v>
      </c>
      <c r="D3404" s="3">
        <f>ROUND(C3404*(1-Settings!$B$2),2)</f>
        <v>25.07</v>
      </c>
      <c r="E3404" s="3">
        <f>ROUND(C3404*(1-Settings!$B$3),2)</f>
        <v>25.07</v>
      </c>
      <c r="F3404" s="2" t="inlineStr">
        <is>
          <t>Pokemon</t>
        </is>
      </c>
      <c r="G3404" s="2" t="inlineStr">
        <is>
          <t>Pack</t>
        </is>
      </c>
      <c r="H3404" s="2" t="inlineStr">
        <is>
          <t>SV07: Stellar Crown</t>
        </is>
      </c>
      <c r="I3404" s="3" t="n"/>
      <c r="J3404" s="3" t="n">
        <v>35.81</v>
      </c>
      <c r="K3404" s="3" t="n">
        <v>40</v>
      </c>
      <c r="L3404" s="3" t="n">
        <v>35</v>
      </c>
      <c r="M3404" s="2" t="inlineStr">
        <is>
          <t>TCGplayer</t>
        </is>
      </c>
      <c r="O3404" s="4" t="inlineStr">
        <is>
          <t>https://www.tcgplayer.com/product/557334</t>
        </is>
      </c>
    </row>
    <row r="3405">
      <c r="A3405" s="2" t="inlineStr">
        <is>
          <t>Stellar Crown 3 Pack Blisters [Tinkaton]</t>
        </is>
      </c>
      <c r="B3405" s="3">
        <f>IF(I3405&lt;&gt;"",I3405,IF(J3405&lt;&gt;"",J3405,IF(K3405&lt;&gt;"",K3405,L3405)))</f>
        <v>37.03</v>
      </c>
      <c r="C3405" s="3">
        <f>MEDIAN(I3405:L3405)</f>
        <v>37.03</v>
      </c>
      <c r="D3405" s="3">
        <f>ROUND(C3405*(1-Settings!$B$2),2)</f>
        <v>25.92</v>
      </c>
      <c r="E3405" s="3">
        <f>ROUND(C3405*(1-Settings!$B$3),2)</f>
        <v>25.92</v>
      </c>
      <c r="F3405" s="2" t="inlineStr">
        <is>
          <t>Pokemon</t>
        </is>
      </c>
      <c r="G3405" s="2" t="inlineStr">
        <is>
          <t>Pack</t>
        </is>
      </c>
      <c r="H3405" s="2" t="inlineStr">
        <is>
          <t>SV07: Stellar Crown</t>
        </is>
      </c>
      <c r="I3405" s="3" t="n"/>
      <c r="J3405" s="3" t="n">
        <v>37.03</v>
      </c>
      <c r="K3405" s="3" t="n">
        <v>65</v>
      </c>
      <c r="L3405" s="3" t="n">
        <v>30</v>
      </c>
      <c r="M3405" s="2" t="inlineStr">
        <is>
          <t>TCGplayer</t>
        </is>
      </c>
      <c r="O3405" s="4" t="inlineStr">
        <is>
          <t>https://www.tcgplayer.com/product/557337</t>
        </is>
      </c>
    </row>
    <row r="3406">
      <c r="A3406" s="2" t="inlineStr">
        <is>
          <t>Stellar Crown Booster Pack</t>
        </is>
      </c>
      <c r="B3406" s="3">
        <f>IF(I3406&lt;&gt;"",I3406,IF(J3406&lt;&gt;"",J3406,IF(K3406&lt;&gt;"",K3406,L3406)))</f>
        <v>10.79</v>
      </c>
      <c r="C3406" s="3">
        <f>MEDIAN(I3406:L3406)</f>
        <v>10.79</v>
      </c>
      <c r="D3406" s="3">
        <f>ROUND(C3406*(1-Settings!$B$2),2)</f>
        <v>7.55</v>
      </c>
      <c r="E3406" s="3">
        <f>ROUND(C3406*(1-Settings!$B$3),2)</f>
        <v>7.55</v>
      </c>
      <c r="F3406" s="2" t="inlineStr">
        <is>
          <t>Pokemon</t>
        </is>
      </c>
      <c r="G3406" s="2" t="inlineStr">
        <is>
          <t>Pack</t>
        </is>
      </c>
      <c r="H3406" s="2" t="inlineStr">
        <is>
          <t>SV07: Stellar Crown</t>
        </is>
      </c>
      <c r="I3406" s="3" t="n"/>
      <c r="J3406" s="3" t="n">
        <v>10.79</v>
      </c>
      <c r="K3406" s="3" t="n">
        <v>10.99</v>
      </c>
      <c r="L3406" s="3" t="n">
        <v>9</v>
      </c>
      <c r="M3406" s="2" t="inlineStr">
        <is>
          <t>TCGplayer</t>
        </is>
      </c>
      <c r="O3406" s="4" t="inlineStr">
        <is>
          <t>https://www.tcgplayer.com/product/557331</t>
        </is>
      </c>
    </row>
    <row r="3407">
      <c r="A3407" s="2" t="inlineStr">
        <is>
          <t>Stellar Crown Premium Checklane Blister [Koraidon]</t>
        </is>
      </c>
      <c r="B3407" s="3">
        <f>IF(I3407&lt;&gt;"",I3407,IF(J3407&lt;&gt;"",J3407,IF(K3407&lt;&gt;"",K3407,L3407)))</f>
        <v>14.0</v>
      </c>
      <c r="C3407" s="3">
        <f>MEDIAN(I3407:L3407)</f>
        <v>27.65</v>
      </c>
      <c r="D3407" s="3">
        <f>ROUND(C3407*(1-Settings!$B$2),2)</f>
        <v>19.36</v>
      </c>
      <c r="E3407" s="3">
        <f>ROUND(C3407*(1-Settings!$B$3),2)</f>
        <v>19.36</v>
      </c>
      <c r="F3407" s="2" t="inlineStr">
        <is>
          <t>Pokemon</t>
        </is>
      </c>
      <c r="G3407" s="2" t="inlineStr">
        <is>
          <t>Pack</t>
        </is>
      </c>
      <c r="H3407" s="2" t="inlineStr">
        <is>
          <t>SV07: Stellar Crown</t>
        </is>
      </c>
      <c r="I3407" s="3" t="n"/>
      <c r="J3407" s="3" t="n">
        <v>14</v>
      </c>
      <c r="K3407" s="3" t="n">
        <v>27.65</v>
      </c>
      <c r="L3407" s="3" t="n">
        <v>27.65</v>
      </c>
      <c r="M3407" s="2" t="inlineStr">
        <is>
          <t>TCGplayer</t>
        </is>
      </c>
      <c r="O3407" s="4" t="inlineStr">
        <is>
          <t>https://www.tcgplayer.com/product/616948</t>
        </is>
      </c>
    </row>
    <row r="3408">
      <c r="A3408" s="2" t="inlineStr">
        <is>
          <t>Stellar Crown Premium Checklane Blister [Miraidon]</t>
        </is>
      </c>
      <c r="B3408" s="3">
        <f>IF(I3408&lt;&gt;"",I3408,IF(J3408&lt;&gt;"",J3408,IF(K3408&lt;&gt;"",K3408,L3408)))</f>
        <v>20.99</v>
      </c>
      <c r="C3408" s="3">
        <f>MEDIAN(I3408:L3408)</f>
        <v>21.0</v>
      </c>
      <c r="D3408" s="3">
        <f>ROUND(C3408*(1-Settings!$B$2),2)</f>
        <v>14.7</v>
      </c>
      <c r="E3408" s="3">
        <f>ROUND(C3408*(1-Settings!$B$3),2)</f>
        <v>14.7</v>
      </c>
      <c r="F3408" s="2" t="inlineStr">
        <is>
          <t>Pokemon</t>
        </is>
      </c>
      <c r="G3408" s="2" t="inlineStr">
        <is>
          <t>Pack</t>
        </is>
      </c>
      <c r="H3408" s="2" t="inlineStr">
        <is>
          <t>SV07: Stellar Crown</t>
        </is>
      </c>
      <c r="I3408" s="3" t="n"/>
      <c r="J3408" s="3" t="n">
        <v>20.99</v>
      </c>
      <c r="K3408" s="3" t="n">
        <v>23</v>
      </c>
      <c r="L3408" s="3" t="n">
        <v>21</v>
      </c>
      <c r="M3408" s="2" t="inlineStr">
        <is>
          <t>TCGplayer</t>
        </is>
      </c>
      <c r="O3408" s="4" t="inlineStr">
        <is>
          <t>https://www.tcgplayer.com/product/616947</t>
        </is>
      </c>
    </row>
    <row r="3409">
      <c r="A3409" s="2" t="inlineStr">
        <is>
          <t>Stellar Crown Premium Checklane Blister [Roaring Moon]</t>
        </is>
      </c>
      <c r="B3409" s="3">
        <f>IF(I3409&lt;&gt;"",I3409,IF(J3409&lt;&gt;"",J3409,IF(K3409&lt;&gt;"",K3409,L3409)))</f>
        <v>13.74</v>
      </c>
      <c r="C3409" s="3">
        <f>MEDIAN(I3409:L3409)</f>
        <v>13.85</v>
      </c>
      <c r="D3409" s="3">
        <f>ROUND(C3409*(1-Settings!$B$2),2)</f>
        <v>9.7</v>
      </c>
      <c r="E3409" s="3">
        <f>ROUND(C3409*(1-Settings!$B$3),2)</f>
        <v>9.7</v>
      </c>
      <c r="F3409" s="2" t="inlineStr">
        <is>
          <t>Pokemon</t>
        </is>
      </c>
      <c r="G3409" s="2" t="inlineStr">
        <is>
          <t>Pack</t>
        </is>
      </c>
      <c r="H3409" s="2" t="inlineStr">
        <is>
          <t>SV07: Stellar Crown</t>
        </is>
      </c>
      <c r="I3409" s="3" t="n"/>
      <c r="J3409" s="3" t="n">
        <v>13.74</v>
      </c>
      <c r="K3409" s="3" t="n">
        <v>20.09</v>
      </c>
      <c r="L3409" s="3" t="n">
        <v>13.85</v>
      </c>
      <c r="M3409" s="2" t="inlineStr">
        <is>
          <t>TCGplayer</t>
        </is>
      </c>
      <c r="O3409" s="4" t="inlineStr">
        <is>
          <t>https://www.tcgplayer.com/product/599942</t>
        </is>
      </c>
    </row>
    <row r="3410">
      <c r="A3410" s="2" t="inlineStr">
        <is>
          <t>Stellar Crown Single Pack Blister [Horsea]</t>
        </is>
      </c>
      <c r="B3410" s="3">
        <f>IF(I3410&lt;&gt;"",I3410,IF(J3410&lt;&gt;"",J3410,IF(K3410&lt;&gt;"",K3410,L3410)))</f>
        <v>12.72</v>
      </c>
      <c r="C3410" s="3">
        <f>MEDIAN(I3410:L3410)</f>
        <v>19.99</v>
      </c>
      <c r="D3410" s="3">
        <f>ROUND(C3410*(1-Settings!$B$2),2)</f>
        <v>13.99</v>
      </c>
      <c r="E3410" s="3">
        <f>ROUND(C3410*(1-Settings!$B$3),2)</f>
        <v>13.99</v>
      </c>
      <c r="F3410" s="2" t="inlineStr">
        <is>
          <t>Pokemon</t>
        </is>
      </c>
      <c r="G3410" s="2" t="inlineStr">
        <is>
          <t>Pack</t>
        </is>
      </c>
      <c r="H3410" s="2" t="inlineStr">
        <is>
          <t>SV07: Stellar Crown</t>
        </is>
      </c>
      <c r="I3410" s="3" t="n"/>
      <c r="J3410" s="3" t="n">
        <v>12.72</v>
      </c>
      <c r="K3410" s="3" t="n">
        <v>21.49</v>
      </c>
      <c r="L3410" s="3" t="n">
        <v>19.99</v>
      </c>
      <c r="M3410" s="2" t="inlineStr">
        <is>
          <t>TCGplayer</t>
        </is>
      </c>
      <c r="O3410" s="4" t="inlineStr">
        <is>
          <t>https://www.tcgplayer.com/product/557338</t>
        </is>
      </c>
    </row>
    <row r="3411">
      <c r="A3411" s="2" t="inlineStr">
        <is>
          <t>Stellar Crown Single Pack Blister [Porygon2]</t>
        </is>
      </c>
      <c r="B3411" s="3">
        <f>IF(I3411&lt;&gt;"",I3411,IF(J3411&lt;&gt;"",J3411,IF(K3411&lt;&gt;"",K3411,L3411)))</f>
        <v>12.8</v>
      </c>
      <c r="C3411" s="3">
        <f>MEDIAN(I3411:L3411)</f>
        <v>12.8</v>
      </c>
      <c r="D3411" s="3">
        <f>ROUND(C3411*(1-Settings!$B$2),2)</f>
        <v>8.96</v>
      </c>
      <c r="E3411" s="3">
        <f>ROUND(C3411*(1-Settings!$B$3),2)</f>
        <v>8.96</v>
      </c>
      <c r="F3411" s="2" t="inlineStr">
        <is>
          <t>Pokemon</t>
        </is>
      </c>
      <c r="G3411" s="2" t="inlineStr">
        <is>
          <t>Pack</t>
        </is>
      </c>
      <c r="H3411" s="2" t="inlineStr">
        <is>
          <t>SV07: Stellar Crown</t>
        </is>
      </c>
      <c r="I3411" s="3" t="n"/>
      <c r="J3411" s="3" t="n">
        <v>12.8</v>
      </c>
      <c r="K3411" s="3" t="n">
        <v>13.74</v>
      </c>
      <c r="L3411" s="3" t="n">
        <v>11.99</v>
      </c>
      <c r="M3411" s="2" t="inlineStr">
        <is>
          <t>TCGplayer</t>
        </is>
      </c>
      <c r="O3411" s="4" t="inlineStr">
        <is>
          <t>https://www.tcgplayer.com/product/557341</t>
        </is>
      </c>
    </row>
    <row r="3412">
      <c r="A3412" s="2" t="inlineStr">
        <is>
          <t>Stellar Crown Sleeved Booster Pack</t>
        </is>
      </c>
      <c r="B3412" s="3">
        <f>IF(I3412&lt;&gt;"",I3412,IF(J3412&lt;&gt;"",J3412,IF(K3412&lt;&gt;"",K3412,L3412)))</f>
        <v>11.08</v>
      </c>
      <c r="C3412" s="3">
        <f>MEDIAN(I3412:L3412)</f>
        <v>11.08</v>
      </c>
      <c r="D3412" s="3">
        <f>ROUND(C3412*(1-Settings!$B$2),2)</f>
        <v>7.76</v>
      </c>
      <c r="E3412" s="3">
        <f>ROUND(C3412*(1-Settings!$B$3),2)</f>
        <v>7.76</v>
      </c>
      <c r="F3412" s="2" t="inlineStr">
        <is>
          <t>Pokemon</t>
        </is>
      </c>
      <c r="G3412" s="2" t="inlineStr">
        <is>
          <t>Pack</t>
        </is>
      </c>
      <c r="H3412" s="2" t="inlineStr">
        <is>
          <t>SV07: Stellar Crown</t>
        </is>
      </c>
      <c r="I3412" s="3" t="n"/>
      <c r="J3412" s="3" t="n">
        <v>11.08</v>
      </c>
      <c r="K3412" s="3" t="n">
        <v>11.24</v>
      </c>
      <c r="L3412" s="3" t="n">
        <v>8.99</v>
      </c>
      <c r="M3412" s="2" t="inlineStr">
        <is>
          <t>TCGplayer</t>
        </is>
      </c>
      <c r="O3412" s="4" t="inlineStr">
        <is>
          <t>https://www.tcgplayer.com/product/557352</t>
        </is>
      </c>
    </row>
    <row r="3413">
      <c r="A3413" s="2" t="inlineStr">
        <is>
          <t>Surging Sparks 3 Pack Blisters [Quagsire]</t>
        </is>
      </c>
      <c r="B3413" s="3">
        <f>IF(I3413&lt;&gt;"",I3413,IF(J3413&lt;&gt;"",J3413,IF(K3413&lt;&gt;"",K3413,L3413)))</f>
        <v>44.34</v>
      </c>
      <c r="C3413" s="3">
        <f>MEDIAN(I3413:L3413)</f>
        <v>44.34</v>
      </c>
      <c r="D3413" s="3">
        <f>ROUND(C3413*(1-Settings!$B$2),2)</f>
        <v>31.04</v>
      </c>
      <c r="E3413" s="3">
        <f>ROUND(C3413*(1-Settings!$B$3),2)</f>
        <v>31.04</v>
      </c>
      <c r="F3413" s="2" t="inlineStr">
        <is>
          <t>Pokemon</t>
        </is>
      </c>
      <c r="G3413" s="2" t="inlineStr">
        <is>
          <t>Pack</t>
        </is>
      </c>
      <c r="H3413" s="2" t="inlineStr">
        <is>
          <t>SV08: Surging Sparks</t>
        </is>
      </c>
      <c r="I3413" s="3" t="n"/>
      <c r="J3413" s="3" t="n">
        <v>44.34</v>
      </c>
      <c r="K3413" s="3" t="n">
        <v>44.99</v>
      </c>
      <c r="L3413" s="3" t="n">
        <v>30</v>
      </c>
      <c r="M3413" s="2" t="inlineStr">
        <is>
          <t>TCGplayer</t>
        </is>
      </c>
      <c r="O3413" s="4" t="inlineStr">
        <is>
          <t>https://www.tcgplayer.com/product/565635</t>
        </is>
      </c>
    </row>
    <row r="3414">
      <c r="A3414" s="2" t="inlineStr">
        <is>
          <t>Surging Sparks 3 Pack Blisters [Zapdos]</t>
        </is>
      </c>
      <c r="B3414" s="3">
        <f>IF(I3414&lt;&gt;"",I3414,IF(J3414&lt;&gt;"",J3414,IF(K3414&lt;&gt;"",K3414,L3414)))</f>
        <v>47.53</v>
      </c>
      <c r="C3414" s="3">
        <f>MEDIAN(I3414:L3414)</f>
        <v>47.53</v>
      </c>
      <c r="D3414" s="3">
        <f>ROUND(C3414*(1-Settings!$B$2),2)</f>
        <v>33.27</v>
      </c>
      <c r="E3414" s="3">
        <f>ROUND(C3414*(1-Settings!$B$3),2)</f>
        <v>33.27</v>
      </c>
      <c r="F3414" s="2" t="inlineStr">
        <is>
          <t>Pokemon</t>
        </is>
      </c>
      <c r="G3414" s="2" t="inlineStr">
        <is>
          <t>Pack</t>
        </is>
      </c>
      <c r="H3414" s="2" t="inlineStr">
        <is>
          <t>SV08: Surging Sparks</t>
        </is>
      </c>
      <c r="I3414" s="3" t="n"/>
      <c r="J3414" s="3" t="n">
        <v>47.53</v>
      </c>
      <c r="K3414" s="3" t="n">
        <v>47.76</v>
      </c>
      <c r="L3414" s="3" t="n">
        <v>36</v>
      </c>
      <c r="M3414" s="2" t="inlineStr">
        <is>
          <t>TCGplayer</t>
        </is>
      </c>
      <c r="O3414" s="4" t="inlineStr">
        <is>
          <t>https://www.tcgplayer.com/product/565634</t>
        </is>
      </c>
    </row>
    <row r="3415">
      <c r="A3415" s="2" t="inlineStr">
        <is>
          <t>Surging Sparks Booster Pack</t>
        </is>
      </c>
      <c r="B3415" s="3">
        <f>IF(I3415&lt;&gt;"",I3415,IF(J3415&lt;&gt;"",J3415,IF(K3415&lt;&gt;"",K3415,L3415)))</f>
        <v>8.09</v>
      </c>
      <c r="C3415" s="3">
        <f>MEDIAN(I3415:L3415)</f>
        <v>8.405000000000001</v>
      </c>
      <c r="D3415" s="3">
        <f>ROUND(C3415*(1-Settings!$B$2),2)</f>
        <v>5.88</v>
      </c>
      <c r="E3415" s="3">
        <f>ROUND(C3415*(1-Settings!$B$3),2)</f>
        <v>5.88</v>
      </c>
      <c r="F3415" s="2" t="inlineStr">
        <is>
          <t>Pokemon</t>
        </is>
      </c>
      <c r="G3415" s="2" t="inlineStr">
        <is>
          <t>Pack</t>
        </is>
      </c>
      <c r="H3415" s="2" t="inlineStr">
        <is>
          <t>SV08: Surging Sparks</t>
        </is>
      </c>
      <c r="I3415" s="3" t="n">
        <v>8.09</v>
      </c>
      <c r="J3415" s="3" t="n">
        <v>8.720000000000001</v>
      </c>
      <c r="K3415" s="3" t="n">
        <v>9</v>
      </c>
      <c r="L3415" s="3" t="n">
        <v>2.24</v>
      </c>
      <c r="M3415" s="2" t="inlineStr">
        <is>
          <t>PriceCharting + TCGplayer</t>
        </is>
      </c>
      <c r="N3415" s="4" t="inlineStr">
        <is>
          <t>https://www.pricecharting.com/game/pokemon-surging-sparks/booster-pack</t>
        </is>
      </c>
      <c r="O3415" s="4" t="inlineStr">
        <is>
          <t>https://www.tcgplayer.com/product/565604</t>
        </is>
      </c>
    </row>
    <row r="3416">
      <c r="A3416" s="2" t="inlineStr">
        <is>
          <t>Surging Sparks Premium Checklane Blister [Alakazam]</t>
        </is>
      </c>
      <c r="B3416" s="3">
        <f>IF(I3416&lt;&gt;"",I3416,IF(J3416&lt;&gt;"",J3416,IF(K3416&lt;&gt;"",K3416,L3416)))</f>
        <v>30.75</v>
      </c>
      <c r="C3416" s="3">
        <f>MEDIAN(I3416:L3416)</f>
        <v>30.75</v>
      </c>
      <c r="D3416" s="3">
        <f>ROUND(C3416*(1-Settings!$B$2),2)</f>
        <v>21.53</v>
      </c>
      <c r="E3416" s="3">
        <f>ROUND(C3416*(1-Settings!$B$3),2)</f>
        <v>21.53</v>
      </c>
      <c r="F3416" s="2" t="inlineStr">
        <is>
          <t>Pokemon</t>
        </is>
      </c>
      <c r="G3416" s="2" t="inlineStr">
        <is>
          <t>Pack</t>
        </is>
      </c>
      <c r="H3416" s="2" t="inlineStr">
        <is>
          <t>SV08: Surging Sparks</t>
        </is>
      </c>
      <c r="I3416" s="3" t="n"/>
      <c r="J3416" s="3" t="n">
        <v>30.75</v>
      </c>
      <c r="K3416" s="3" t="n">
        <v>35</v>
      </c>
      <c r="L3416" s="3" t="n">
        <v>28</v>
      </c>
      <c r="M3416" s="2" t="inlineStr">
        <is>
          <t>TCGplayer</t>
        </is>
      </c>
      <c r="O3416" s="4" t="inlineStr">
        <is>
          <t>https://www.tcgplayer.com/product/565638</t>
        </is>
      </c>
    </row>
    <row r="3417">
      <c r="A3417" s="2" t="inlineStr">
        <is>
          <t>Surging Sparks Premium Checklane Blister [Chandelure]</t>
        </is>
      </c>
      <c r="B3417" s="3">
        <f>IF(I3417&lt;&gt;"",I3417,IF(J3417&lt;&gt;"",J3417,IF(K3417&lt;&gt;"",K3417,L3417)))</f>
        <v>38.25</v>
      </c>
      <c r="C3417" s="3">
        <f>MEDIAN(I3417:L3417)</f>
        <v>38.25</v>
      </c>
      <c r="D3417" s="3">
        <f>ROUND(C3417*(1-Settings!$B$2),2)</f>
        <v>26.78</v>
      </c>
      <c r="E3417" s="3">
        <f>ROUND(C3417*(1-Settings!$B$3),2)</f>
        <v>26.78</v>
      </c>
      <c r="F3417" s="2" t="inlineStr">
        <is>
          <t>Pokemon</t>
        </is>
      </c>
      <c r="G3417" s="2" t="inlineStr">
        <is>
          <t>Pack</t>
        </is>
      </c>
      <c r="H3417" s="2" t="inlineStr">
        <is>
          <t>SV08: Surging Sparks</t>
        </is>
      </c>
      <c r="I3417" s="3" t="n"/>
      <c r="J3417" s="3" t="n">
        <v>38.25</v>
      </c>
      <c r="K3417" s="3" t="n">
        <v>41.62</v>
      </c>
      <c r="L3417" s="3" t="n">
        <v>38.25</v>
      </c>
      <c r="M3417" s="2" t="inlineStr">
        <is>
          <t>TCGplayer</t>
        </is>
      </c>
      <c r="O3417" s="4" t="inlineStr">
        <is>
          <t>https://www.tcgplayer.com/product/565639</t>
        </is>
      </c>
    </row>
    <row r="3418">
      <c r="A3418" s="2" t="inlineStr">
        <is>
          <t>Surging Sparks Single Pack Blister [Hisuian Arcanine]</t>
        </is>
      </c>
      <c r="B3418" s="3">
        <f>IF(I3418&lt;&gt;"",I3418,IF(J3418&lt;&gt;"",J3418,IF(K3418&lt;&gt;"",K3418,L3418)))</f>
        <v>24.92</v>
      </c>
      <c r="C3418" s="3">
        <f>MEDIAN(I3418:L3418)</f>
        <v>34.99</v>
      </c>
      <c r="D3418" s="3">
        <f>ROUND(C3418*(1-Settings!$B$2),2)</f>
        <v>24.49</v>
      </c>
      <c r="E3418" s="3">
        <f>ROUND(C3418*(1-Settings!$B$3),2)</f>
        <v>24.49</v>
      </c>
      <c r="F3418" s="2" t="inlineStr">
        <is>
          <t>Pokemon</t>
        </is>
      </c>
      <c r="G3418" s="2" t="inlineStr">
        <is>
          <t>Pack</t>
        </is>
      </c>
      <c r="H3418" s="2" t="inlineStr">
        <is>
          <t>SV08: Surging Sparks</t>
        </is>
      </c>
      <c r="I3418" s="3" t="n"/>
      <c r="J3418" s="3" t="n">
        <v>24.92</v>
      </c>
      <c r="K3418" s="3" t="n">
        <v>38.24</v>
      </c>
      <c r="L3418" s="3" t="n">
        <v>34.99</v>
      </c>
      <c r="M3418" s="2" t="inlineStr">
        <is>
          <t>TCGplayer</t>
        </is>
      </c>
      <c r="O3418" s="4" t="inlineStr">
        <is>
          <t>https://www.tcgplayer.com/product/606613</t>
        </is>
      </c>
    </row>
    <row r="3419">
      <c r="A3419" s="2" t="inlineStr">
        <is>
          <t>Surging Sparks Single Pack Blister [Pachirisu]</t>
        </is>
      </c>
      <c r="B3419" s="3">
        <f>IF(I3419&lt;&gt;"",I3419,IF(J3419&lt;&gt;"",J3419,IF(K3419&lt;&gt;"",K3419,L3419)))</f>
        <v>12.14</v>
      </c>
      <c r="C3419" s="3">
        <f>MEDIAN(I3419:L3419)</f>
        <v>12.14</v>
      </c>
      <c r="D3419" s="3">
        <f>ROUND(C3419*(1-Settings!$B$2),2)</f>
        <v>8.5</v>
      </c>
      <c r="E3419" s="3">
        <f>ROUND(C3419*(1-Settings!$B$3),2)</f>
        <v>8.5</v>
      </c>
      <c r="F3419" s="2" t="inlineStr">
        <is>
          <t>Pokemon</t>
        </is>
      </c>
      <c r="G3419" s="2" t="inlineStr">
        <is>
          <t>Pack</t>
        </is>
      </c>
      <c r="H3419" s="2" t="inlineStr">
        <is>
          <t>SV08: Surging Sparks</t>
        </is>
      </c>
      <c r="I3419" s="3" t="n"/>
      <c r="J3419" s="3" t="n">
        <v>12.14</v>
      </c>
      <c r="K3419" s="3" t="n">
        <v>15</v>
      </c>
      <c r="L3419" s="3" t="n">
        <v>10.99</v>
      </c>
      <c r="M3419" s="2" t="inlineStr">
        <is>
          <t>TCGplayer</t>
        </is>
      </c>
      <c r="O3419" s="4" t="inlineStr">
        <is>
          <t>https://www.tcgplayer.com/product/565637</t>
        </is>
      </c>
    </row>
    <row r="3420">
      <c r="A3420" s="2" t="inlineStr">
        <is>
          <t>Surging Sparks Single Pack Blister [Sinistcha]</t>
        </is>
      </c>
      <c r="B3420" s="3">
        <f>IF(I3420&lt;&gt;"",I3420,IF(J3420&lt;&gt;"",J3420,IF(K3420&lt;&gt;"",K3420,L3420)))</f>
        <v>15.01</v>
      </c>
      <c r="C3420" s="3">
        <f>MEDIAN(I3420:L3420)</f>
        <v>14.97</v>
      </c>
      <c r="D3420" s="3">
        <f>ROUND(C3420*(1-Settings!$B$2),2)</f>
        <v>10.48</v>
      </c>
      <c r="E3420" s="3">
        <f>ROUND(C3420*(1-Settings!$B$3),2)</f>
        <v>10.48</v>
      </c>
      <c r="F3420" s="2" t="inlineStr">
        <is>
          <t>Pokemon</t>
        </is>
      </c>
      <c r="G3420" s="2" t="inlineStr">
        <is>
          <t>Pack</t>
        </is>
      </c>
      <c r="H3420" s="2" t="inlineStr">
        <is>
          <t>SV08: Surging Sparks</t>
        </is>
      </c>
      <c r="I3420" s="3" t="n"/>
      <c r="J3420" s="3" t="n">
        <v>15.01</v>
      </c>
      <c r="K3420" s="3" t="n">
        <v>14.97</v>
      </c>
      <c r="L3420" s="3" t="n">
        <v>14.96</v>
      </c>
      <c r="M3420" s="2" t="inlineStr">
        <is>
          <t>TCGplayer</t>
        </is>
      </c>
      <c r="O3420" s="4" t="inlineStr">
        <is>
          <t>https://www.tcgplayer.com/product/606614</t>
        </is>
      </c>
    </row>
    <row r="3421">
      <c r="A3421" s="2" t="inlineStr">
        <is>
          <t>Surging Sparks Single Pack Blister [Wooper]</t>
        </is>
      </c>
      <c r="B3421" s="3">
        <f>IF(I3421&lt;&gt;"",I3421,IF(J3421&lt;&gt;"",J3421,IF(K3421&lt;&gt;"",K3421,L3421)))</f>
        <v>12.54</v>
      </c>
      <c r="C3421" s="3">
        <f>MEDIAN(I3421:L3421)</f>
        <v>12.54</v>
      </c>
      <c r="D3421" s="3">
        <f>ROUND(C3421*(1-Settings!$B$2),2)</f>
        <v>8.78</v>
      </c>
      <c r="E3421" s="3">
        <f>ROUND(C3421*(1-Settings!$B$3),2)</f>
        <v>8.78</v>
      </c>
      <c r="F3421" s="2" t="inlineStr">
        <is>
          <t>Pokemon</t>
        </is>
      </c>
      <c r="G3421" s="2" t="inlineStr">
        <is>
          <t>Pack</t>
        </is>
      </c>
      <c r="H3421" s="2" t="inlineStr">
        <is>
          <t>SV08: Surging Sparks</t>
        </is>
      </c>
      <c r="I3421" s="3" t="n"/>
      <c r="J3421" s="3" t="n">
        <v>12.54</v>
      </c>
      <c r="K3421" s="3" t="n">
        <v>14.99</v>
      </c>
      <c r="L3421" s="3" t="n">
        <v>12</v>
      </c>
      <c r="M3421" s="2" t="inlineStr">
        <is>
          <t>TCGplayer</t>
        </is>
      </c>
      <c r="O3421" s="4" t="inlineStr">
        <is>
          <t>https://www.tcgplayer.com/product/565636</t>
        </is>
      </c>
    </row>
    <row r="3422">
      <c r="A3422" s="2" t="inlineStr">
        <is>
          <t>Surging Sparks Sleeved Booster Pack</t>
        </is>
      </c>
      <c r="B3422" s="3">
        <f>IF(I3422&lt;&gt;"",I3422,IF(J3422&lt;&gt;"",J3422,IF(K3422&lt;&gt;"",K3422,L3422)))</f>
        <v>11.25</v>
      </c>
      <c r="C3422" s="3">
        <f>MEDIAN(I3422:L3422)</f>
        <v>11.36</v>
      </c>
      <c r="D3422" s="3">
        <f>ROUND(C3422*(1-Settings!$B$2),2)</f>
        <v>7.95</v>
      </c>
      <c r="E3422" s="3">
        <f>ROUND(C3422*(1-Settings!$B$3),2)</f>
        <v>7.95</v>
      </c>
      <c r="F3422" s="2" t="inlineStr">
        <is>
          <t>Pokemon</t>
        </is>
      </c>
      <c r="G3422" s="2" t="inlineStr">
        <is>
          <t>Pack</t>
        </is>
      </c>
      <c r="H3422" s="2" t="inlineStr">
        <is>
          <t>SV08: Surging Sparks</t>
        </is>
      </c>
      <c r="I3422" s="3" t="n">
        <v>11.25</v>
      </c>
      <c r="J3422" s="3" t="n">
        <v>11.47</v>
      </c>
      <c r="K3422" s="3" t="n">
        <v>12.8</v>
      </c>
      <c r="L3422" s="3" t="n">
        <v>0.01</v>
      </c>
      <c r="M3422" s="2" t="inlineStr">
        <is>
          <t>PriceCharting + TCGplayer</t>
        </is>
      </c>
      <c r="N3422" s="4" t="inlineStr">
        <is>
          <t>https://www.pricecharting.com/game/pokemon-surging-sparks/sleeved-booster-pack</t>
        </is>
      </c>
      <c r="O3422" s="4" t="inlineStr">
        <is>
          <t>https://www.tcgplayer.com/product/565602</t>
        </is>
      </c>
    </row>
    <row r="3423">
      <c r="A3423" s="2" t="inlineStr">
        <is>
          <t>Journey Together 3 Pack Blister [Scrafty]</t>
        </is>
      </c>
      <c r="B3423" s="3">
        <f>IF(I3423&lt;&gt;"",I3423,IF(J3423&lt;&gt;"",J3423,IF(K3423&lt;&gt;"",K3423,L3423)))</f>
        <v>26.59</v>
      </c>
      <c r="C3423" s="3">
        <f>MEDIAN(I3423:L3423)</f>
        <v>26.83</v>
      </c>
      <c r="D3423" s="3">
        <f>ROUND(C3423*(1-Settings!$B$2),2)</f>
        <v>18.78</v>
      </c>
      <c r="E3423" s="3">
        <f>ROUND(C3423*(1-Settings!$B$3),2)</f>
        <v>18.78</v>
      </c>
      <c r="F3423" s="2" t="inlineStr">
        <is>
          <t>Pokemon</t>
        </is>
      </c>
      <c r="G3423" s="2" t="inlineStr">
        <is>
          <t>Pack</t>
        </is>
      </c>
      <c r="H3423" s="2" t="inlineStr">
        <is>
          <t>SV09: Journey Together</t>
        </is>
      </c>
      <c r="I3423" s="3" t="n">
        <v>26.59</v>
      </c>
      <c r="J3423" s="3" t="n">
        <v>27.07</v>
      </c>
      <c r="K3423" s="3" t="n">
        <v>28</v>
      </c>
      <c r="L3423" s="3" t="n">
        <v>21</v>
      </c>
      <c r="M3423" s="2" t="inlineStr">
        <is>
          <t>PriceCharting + TCGplayer</t>
        </is>
      </c>
      <c r="N3423" s="4" t="inlineStr">
        <is>
          <t>https://www.pricecharting.com/game/pokemon-journey-together/3-pack-blister-scrafty</t>
        </is>
      </c>
      <c r="O3423" s="4" t="inlineStr">
        <is>
          <t>https://www.tcgplayer.com/product/610948</t>
        </is>
      </c>
    </row>
    <row r="3424">
      <c r="A3424" s="2" t="inlineStr">
        <is>
          <t>Journey Together 3 Pack Blister [Set of 2]</t>
        </is>
      </c>
      <c r="B3424" s="3">
        <f>IF(I3424&lt;&gt;"",I3424,IF(J3424&lt;&gt;"",J3424,IF(K3424&lt;&gt;"",K3424,L3424)))</f>
        <v>43.14</v>
      </c>
      <c r="C3424" s="3">
        <f>MEDIAN(I3424:L3424)</f>
        <v>49.99</v>
      </c>
      <c r="D3424" s="3">
        <f>ROUND(C3424*(1-Settings!$B$2),2)</f>
        <v>34.99</v>
      </c>
      <c r="E3424" s="3">
        <f>ROUND(C3424*(1-Settings!$B$3),2)</f>
        <v>34.99</v>
      </c>
      <c r="F3424" s="2" t="inlineStr">
        <is>
          <t>Pokemon</t>
        </is>
      </c>
      <c r="G3424" s="2" t="inlineStr">
        <is>
          <t>Pack</t>
        </is>
      </c>
      <c r="H3424" s="2" t="inlineStr">
        <is>
          <t>SV09: Journey Together</t>
        </is>
      </c>
      <c r="I3424" s="3" t="n"/>
      <c r="J3424" s="3" t="n">
        <v>43.14</v>
      </c>
      <c r="K3424" s="3" t="n">
        <v>54.88</v>
      </c>
      <c r="L3424" s="3" t="n">
        <v>49.99</v>
      </c>
      <c r="M3424" s="2" t="inlineStr">
        <is>
          <t>TCGplayer</t>
        </is>
      </c>
      <c r="O3424" s="4" t="inlineStr">
        <is>
          <t>https://www.tcgplayer.com/product/631972</t>
        </is>
      </c>
    </row>
    <row r="3425">
      <c r="A3425" s="2" t="inlineStr">
        <is>
          <t>Journey Together 3 Pack Blister [Yanmega]</t>
        </is>
      </c>
      <c r="B3425" s="3">
        <f>IF(I3425&lt;&gt;"",I3425,IF(J3425&lt;&gt;"",J3425,IF(K3425&lt;&gt;"",K3425,L3425)))</f>
        <v>24.44</v>
      </c>
      <c r="C3425" s="3">
        <f>MEDIAN(I3425:L3425)</f>
        <v>24.335</v>
      </c>
      <c r="D3425" s="3">
        <f>ROUND(C3425*(1-Settings!$B$2),2)</f>
        <v>17.03</v>
      </c>
      <c r="E3425" s="3">
        <f>ROUND(C3425*(1-Settings!$B$3),2)</f>
        <v>17.03</v>
      </c>
      <c r="F3425" s="2" t="inlineStr">
        <is>
          <t>Pokemon</t>
        </is>
      </c>
      <c r="G3425" s="2" t="inlineStr">
        <is>
          <t>Pack</t>
        </is>
      </c>
      <c r="H3425" s="2" t="inlineStr">
        <is>
          <t>SV09: Journey Together</t>
        </is>
      </c>
      <c r="I3425" s="3" t="n">
        <v>24.44</v>
      </c>
      <c r="J3425" s="3" t="n">
        <v>24.23</v>
      </c>
      <c r="K3425" s="3" t="n">
        <v>28</v>
      </c>
      <c r="L3425" s="3" t="n">
        <v>20</v>
      </c>
      <c r="M3425" s="2" t="inlineStr">
        <is>
          <t>PriceCharting + TCGplayer</t>
        </is>
      </c>
      <c r="N3425" s="4" t="inlineStr">
        <is>
          <t>https://www.pricecharting.com/game/pokemon-journey-together/3-pack-blister-yanmega</t>
        </is>
      </c>
      <c r="O3425" s="4" t="inlineStr">
        <is>
          <t>https://www.tcgplayer.com/product/610940</t>
        </is>
      </c>
    </row>
    <row r="3426">
      <c r="A3426" s="2" t="inlineStr">
        <is>
          <t>Journey Together Booster Pack</t>
        </is>
      </c>
      <c r="B3426" s="3">
        <f>IF(I3426&lt;&gt;"",I3426,IF(J3426&lt;&gt;"",J3426,IF(K3426&lt;&gt;"",K3426,L3426)))</f>
        <v>6.74</v>
      </c>
      <c r="C3426" s="3">
        <f>MEDIAN(I3426:L3426)</f>
        <v>6.495</v>
      </c>
      <c r="D3426" s="3">
        <f>ROUND(C3426*(1-Settings!$B$2),2)</f>
        <v>4.55</v>
      </c>
      <c r="E3426" s="3">
        <f>ROUND(C3426*(1-Settings!$B$3),2)</f>
        <v>4.55</v>
      </c>
      <c r="F3426" s="2" t="inlineStr">
        <is>
          <t>Pokemon</t>
        </is>
      </c>
      <c r="G3426" s="2" t="inlineStr">
        <is>
          <t>Pack</t>
        </is>
      </c>
      <c r="H3426" s="2" t="inlineStr">
        <is>
          <t>SV09: Journey Together</t>
        </is>
      </c>
      <c r="I3426" s="3" t="n">
        <v>6.74</v>
      </c>
      <c r="J3426" s="3" t="n">
        <v>6.25</v>
      </c>
      <c r="K3426" s="3" t="n">
        <v>6.99</v>
      </c>
      <c r="L3426" s="3" t="n">
        <v>5.27</v>
      </c>
      <c r="M3426" s="2" t="inlineStr">
        <is>
          <t>PriceCharting + TCGplayer</t>
        </is>
      </c>
      <c r="N3426" s="4" t="inlineStr">
        <is>
          <t>https://www.pricecharting.com/game/pokemon-journey-together/booster-pack</t>
        </is>
      </c>
      <c r="O3426" s="4" t="inlineStr">
        <is>
          <t>https://www.tcgplayer.com/product/610935</t>
        </is>
      </c>
    </row>
    <row r="3427">
      <c r="A3427" s="2" t="inlineStr">
        <is>
          <t>Journey Together Fun Pack</t>
        </is>
      </c>
      <c r="B3427" s="3">
        <f>IF(I3427&lt;&gt;"",I3427,IF(J3427&lt;&gt;"",J3427,IF(K3427&lt;&gt;"",K3427,L3427)))</f>
        <v>4.1</v>
      </c>
      <c r="C3427" s="3">
        <f>MEDIAN(I3427:L3427)</f>
        <v>4.1</v>
      </c>
      <c r="D3427" s="3">
        <f>ROUND(C3427*(1-Settings!$B$2),2)</f>
        <v>2.87</v>
      </c>
      <c r="E3427" s="3">
        <f>ROUND(C3427*(1-Settings!$B$3),2)</f>
        <v>2.87</v>
      </c>
      <c r="F3427" s="2" t="inlineStr">
        <is>
          <t>Pokemon</t>
        </is>
      </c>
      <c r="G3427" s="2" t="inlineStr">
        <is>
          <t>Pack</t>
        </is>
      </c>
      <c r="H3427" s="2" t="inlineStr">
        <is>
          <t>SV09: Journey Together</t>
        </is>
      </c>
      <c r="I3427" s="3" t="n"/>
      <c r="J3427" s="3" t="n">
        <v>4.1</v>
      </c>
      <c r="K3427" s="3" t="n">
        <v>4.99</v>
      </c>
      <c r="L3427" s="3" t="n">
        <v>3.89</v>
      </c>
      <c r="M3427" s="2" t="inlineStr">
        <is>
          <t>TCGplayer</t>
        </is>
      </c>
      <c r="O3427" s="4" t="inlineStr">
        <is>
          <t>https://www.tcgplayer.com/product/647762</t>
        </is>
      </c>
    </row>
    <row r="3428">
      <c r="A3428" s="2" t="inlineStr">
        <is>
          <t>Journey Together Premium Checklane Blister [Klinklang]</t>
        </is>
      </c>
      <c r="B3428" s="3">
        <f>IF(I3428&lt;&gt;"",I3428,IF(J3428&lt;&gt;"",J3428,IF(K3428&lt;&gt;"",K3428,L3428)))</f>
        <v>36.77</v>
      </c>
      <c r="C3428" s="3">
        <f>MEDIAN(I3428:L3428)</f>
        <v>18.880000000000003</v>
      </c>
      <c r="D3428" s="3">
        <f>ROUND(C3428*(1-Settings!$B$2),2)</f>
        <v>13.22</v>
      </c>
      <c r="E3428" s="3">
        <f>ROUND(C3428*(1-Settings!$B$3),2)</f>
        <v>13.22</v>
      </c>
      <c r="F3428" s="2" t="inlineStr">
        <is>
          <t>Pokemon</t>
        </is>
      </c>
      <c r="G3428" s="2" t="inlineStr">
        <is>
          <t>Pack</t>
        </is>
      </c>
      <c r="H3428" s="2" t="inlineStr">
        <is>
          <t>SV09: Journey Together</t>
        </is>
      </c>
      <c r="I3428" s="3" t="n"/>
      <c r="J3428" s="3" t="n">
        <v>36.77</v>
      </c>
      <c r="K3428" s="3" t="n"/>
      <c r="L3428" s="3" t="n">
        <v>0.99</v>
      </c>
      <c r="M3428" s="2" t="inlineStr">
        <is>
          <t>TCGplayer</t>
        </is>
      </c>
      <c r="O3428" s="4" t="inlineStr">
        <is>
          <t>https://www.tcgplayer.com/product/610952</t>
        </is>
      </c>
    </row>
    <row r="3429">
      <c r="A3429" s="2" t="inlineStr">
        <is>
          <t>Journey Together Premium Checklane Blister [Rhyperior]</t>
        </is>
      </c>
      <c r="B3429" s="3">
        <f>IF(I3429&lt;&gt;"",I3429,IF(J3429&lt;&gt;"",J3429,IF(K3429&lt;&gt;"",K3429,L3429)))</f>
        <v>41.99</v>
      </c>
      <c r="C3429" s="3">
        <f>MEDIAN(I3429:L3429)</f>
        <v>41.99</v>
      </c>
      <c r="D3429" s="3">
        <f>ROUND(C3429*(1-Settings!$B$2),2)</f>
        <v>29.39</v>
      </c>
      <c r="E3429" s="3">
        <f>ROUND(C3429*(1-Settings!$B$3),2)</f>
        <v>29.39</v>
      </c>
      <c r="F3429" s="2" t="inlineStr">
        <is>
          <t>Pokemon</t>
        </is>
      </c>
      <c r="G3429" s="2" t="inlineStr">
        <is>
          <t>Pack</t>
        </is>
      </c>
      <c r="H3429" s="2" t="inlineStr">
        <is>
          <t>SV09: Journey Together</t>
        </is>
      </c>
      <c r="I3429" s="3" t="n"/>
      <c r="J3429" s="3" t="n">
        <v>41.99</v>
      </c>
      <c r="K3429" s="3" t="n">
        <v>41.99</v>
      </c>
      <c r="L3429" s="3" t="n">
        <v>38.98</v>
      </c>
      <c r="M3429" s="2" t="inlineStr">
        <is>
          <t>TCGplayer</t>
        </is>
      </c>
      <c r="O3429" s="4" t="inlineStr">
        <is>
          <t>https://www.tcgplayer.com/product/610951</t>
        </is>
      </c>
    </row>
    <row r="3430">
      <c r="A3430" s="2" t="inlineStr">
        <is>
          <t>Journey Together Single Pack Blister [Archaludon]</t>
        </is>
      </c>
      <c r="B3430" s="3">
        <f>IF(I3430&lt;&gt;"",I3430,IF(J3430&lt;&gt;"",J3430,IF(K3430&lt;&gt;"",K3430,L3430)))</f>
        <v>13.38</v>
      </c>
      <c r="C3430" s="3">
        <f>MEDIAN(I3430:L3430)</f>
        <v>13.38</v>
      </c>
      <c r="D3430" s="3">
        <f>ROUND(C3430*(1-Settings!$B$2),2)</f>
        <v>9.37</v>
      </c>
      <c r="E3430" s="3">
        <f>ROUND(C3430*(1-Settings!$B$3),2)</f>
        <v>9.37</v>
      </c>
      <c r="F3430" s="2" t="inlineStr">
        <is>
          <t>Pokemon</t>
        </is>
      </c>
      <c r="G3430" s="2" t="inlineStr">
        <is>
          <t>Pack</t>
        </is>
      </c>
      <c r="H3430" s="2" t="inlineStr">
        <is>
          <t>SV09: Journey Together</t>
        </is>
      </c>
      <c r="I3430" s="3" t="n"/>
      <c r="J3430" s="3" t="n">
        <v>13.38</v>
      </c>
      <c r="K3430" s="3" t="n">
        <v>16.72</v>
      </c>
      <c r="L3430" s="3" t="n">
        <v>11</v>
      </c>
      <c r="M3430" s="2" t="inlineStr">
        <is>
          <t>TCGplayer</t>
        </is>
      </c>
      <c r="O3430" s="4" t="inlineStr">
        <is>
          <t>https://www.tcgplayer.com/product/626562</t>
        </is>
      </c>
    </row>
    <row r="3431">
      <c r="A3431" s="2" t="inlineStr">
        <is>
          <t>Journey Together Single Pack Blister [Melmetal]</t>
        </is>
      </c>
      <c r="B3431" s="3">
        <f>IF(I3431&lt;&gt;"",I3431,IF(J3431&lt;&gt;"",J3431,IF(K3431&lt;&gt;"",K3431,L3431)))</f>
        <v>35.39</v>
      </c>
      <c r="C3431" s="3">
        <f>MEDIAN(I3431:L3431)</f>
        <v>35.39</v>
      </c>
      <c r="D3431" s="3">
        <f>ROUND(C3431*(1-Settings!$B$2),2)</f>
        <v>24.77</v>
      </c>
      <c r="E3431" s="3">
        <f>ROUND(C3431*(1-Settings!$B$3),2)</f>
        <v>24.77</v>
      </c>
      <c r="F3431" s="2" t="inlineStr">
        <is>
          <t>Pokemon</t>
        </is>
      </c>
      <c r="G3431" s="2" t="inlineStr">
        <is>
          <t>Pack</t>
        </is>
      </c>
      <c r="H3431" s="2" t="inlineStr">
        <is>
          <t>SV09: Journey Together</t>
        </is>
      </c>
      <c r="I3431" s="3" t="n"/>
      <c r="J3431" s="3" t="n">
        <v>35.39</v>
      </c>
      <c r="K3431" s="3" t="n">
        <v>35.49</v>
      </c>
      <c r="L3431" s="3" t="n">
        <v>30</v>
      </c>
      <c r="M3431" s="2" t="inlineStr">
        <is>
          <t>TCGplayer</t>
        </is>
      </c>
      <c r="O3431" s="4" t="inlineStr">
        <is>
          <t>https://www.tcgplayer.com/product/626630</t>
        </is>
      </c>
    </row>
    <row r="3432">
      <c r="A3432" s="2" t="inlineStr">
        <is>
          <t>Journey Together Single Pack Blister [Scraggy]</t>
        </is>
      </c>
      <c r="B3432" s="3">
        <f>IF(I3432&lt;&gt;"",I3432,IF(J3432&lt;&gt;"",J3432,IF(K3432&lt;&gt;"",K3432,L3432)))</f>
        <v>10.1</v>
      </c>
      <c r="C3432" s="3">
        <f>MEDIAN(I3432:L3432)</f>
        <v>10.1</v>
      </c>
      <c r="D3432" s="3">
        <f>ROUND(C3432*(1-Settings!$B$2),2)</f>
        <v>7.07</v>
      </c>
      <c r="E3432" s="3">
        <f>ROUND(C3432*(1-Settings!$B$3),2)</f>
        <v>7.07</v>
      </c>
      <c r="F3432" s="2" t="inlineStr">
        <is>
          <t>Pokemon</t>
        </is>
      </c>
      <c r="G3432" s="2" t="inlineStr">
        <is>
          <t>Pack</t>
        </is>
      </c>
      <c r="H3432" s="2" t="inlineStr">
        <is>
          <t>SV09: Journey Together</t>
        </is>
      </c>
      <c r="I3432" s="3" t="n"/>
      <c r="J3432" s="3" t="n">
        <v>10.1</v>
      </c>
      <c r="K3432" s="3" t="n">
        <v>14.7</v>
      </c>
      <c r="L3432" s="3" t="n">
        <v>9.99</v>
      </c>
      <c r="M3432" s="2" t="inlineStr">
        <is>
          <t>TCGplayer</t>
        </is>
      </c>
      <c r="O3432" s="4" t="inlineStr">
        <is>
          <t>https://www.tcgplayer.com/product/610949</t>
        </is>
      </c>
    </row>
    <row r="3433">
      <c r="A3433" s="2" t="inlineStr">
        <is>
          <t>Journey Together Single Pack Blister [Yanma]</t>
        </is>
      </c>
      <c r="B3433" s="3">
        <f>IF(I3433&lt;&gt;"",I3433,IF(J3433&lt;&gt;"",J3433,IF(K3433&lt;&gt;"",K3433,L3433)))</f>
        <v>11.51</v>
      </c>
      <c r="C3433" s="3">
        <f>MEDIAN(I3433:L3433)</f>
        <v>11.51</v>
      </c>
      <c r="D3433" s="3">
        <f>ROUND(C3433*(1-Settings!$B$2),2)</f>
        <v>8.06</v>
      </c>
      <c r="E3433" s="3">
        <f>ROUND(C3433*(1-Settings!$B$3),2)</f>
        <v>8.06</v>
      </c>
      <c r="F3433" s="2" t="inlineStr">
        <is>
          <t>Pokemon</t>
        </is>
      </c>
      <c r="G3433" s="2" t="inlineStr">
        <is>
          <t>Pack</t>
        </is>
      </c>
      <c r="H3433" s="2" t="inlineStr">
        <is>
          <t>SV09: Journey Together</t>
        </is>
      </c>
      <c r="I3433" s="3" t="n"/>
      <c r="J3433" s="3" t="n">
        <v>11.51</v>
      </c>
      <c r="K3433" s="3" t="n">
        <v>13.69</v>
      </c>
      <c r="L3433" s="3" t="n">
        <v>8</v>
      </c>
      <c r="M3433" s="2" t="inlineStr">
        <is>
          <t>TCGplayer</t>
        </is>
      </c>
      <c r="O3433" s="4" t="inlineStr">
        <is>
          <t>https://www.tcgplayer.com/product/610950</t>
        </is>
      </c>
    </row>
    <row r="3434">
      <c r="A3434" s="2" t="inlineStr">
        <is>
          <t>Journey Together Sleeved Booster Pack</t>
        </is>
      </c>
      <c r="B3434" s="3">
        <f>IF(I3434&lt;&gt;"",I3434,IF(J3434&lt;&gt;"",J3434,IF(K3434&lt;&gt;"",K3434,L3434)))</f>
        <v>9.18</v>
      </c>
      <c r="C3434" s="3">
        <f>MEDIAN(I3434:L3434)</f>
        <v>8.95</v>
      </c>
      <c r="D3434" s="3">
        <f>ROUND(C3434*(1-Settings!$B$2),2)</f>
        <v>6.27</v>
      </c>
      <c r="E3434" s="3">
        <f>ROUND(C3434*(1-Settings!$B$3),2)</f>
        <v>6.27</v>
      </c>
      <c r="F3434" s="2" t="inlineStr">
        <is>
          <t>Pokemon</t>
        </is>
      </c>
      <c r="G3434" s="2" t="inlineStr">
        <is>
          <t>Pack</t>
        </is>
      </c>
      <c r="H3434" s="2" t="inlineStr">
        <is>
          <t>SV09: Journey Together</t>
        </is>
      </c>
      <c r="I3434" s="3" t="n">
        <v>9.18</v>
      </c>
      <c r="J3434" s="3" t="n">
        <v>8.720000000000001</v>
      </c>
      <c r="K3434" s="3" t="n">
        <v>9.19</v>
      </c>
      <c r="L3434" s="3" t="n">
        <v>6.87</v>
      </c>
      <c r="M3434" s="2" t="inlineStr">
        <is>
          <t>PriceCharting + TCGplayer</t>
        </is>
      </c>
      <c r="N3434" s="4" t="inlineStr">
        <is>
          <t>https://www.pricecharting.com/game/pokemon-journey-together/sleeved-booster-pack</t>
        </is>
      </c>
      <c r="O3434" s="4" t="inlineStr">
        <is>
          <t>https://www.tcgplayer.com/product/610934</t>
        </is>
      </c>
    </row>
    <row r="3435">
      <c r="A3435" s="2" t="inlineStr">
        <is>
          <t>Destined Rivals 3 Pack Blister [Kangaskhan]</t>
        </is>
      </c>
      <c r="B3435" s="3">
        <f>IF(I3435&lt;&gt;"",I3435,IF(J3435&lt;&gt;"",J3435,IF(K3435&lt;&gt;"",K3435,L3435)))</f>
        <v>49.49</v>
      </c>
      <c r="C3435" s="3">
        <f>MEDIAN(I3435:L3435)</f>
        <v>49.74</v>
      </c>
      <c r="D3435" s="3">
        <f>ROUND(C3435*(1-Settings!$B$2),2)</f>
        <v>34.82</v>
      </c>
      <c r="E3435" s="3">
        <f>ROUND(C3435*(1-Settings!$B$3),2)</f>
        <v>34.82</v>
      </c>
      <c r="F3435" s="2" t="inlineStr">
        <is>
          <t>Pokemon</t>
        </is>
      </c>
      <c r="G3435" s="2" t="inlineStr">
        <is>
          <t>Pack</t>
        </is>
      </c>
      <c r="H3435" s="2" t="inlineStr">
        <is>
          <t>SV10: Destined Rivals</t>
        </is>
      </c>
      <c r="I3435" s="3" t="n">
        <v>49.49</v>
      </c>
      <c r="J3435" s="3" t="n">
        <v>50.42</v>
      </c>
      <c r="K3435" s="3" t="n">
        <v>49.99</v>
      </c>
      <c r="L3435" s="3" t="n">
        <v>36.99</v>
      </c>
      <c r="M3435" s="2" t="inlineStr">
        <is>
          <t>PriceCharting + TCGplayer</t>
        </is>
      </c>
      <c r="N3435" s="4" t="inlineStr">
        <is>
          <t>https://www.pricecharting.com/game/pokemon-destined-rivals/3-pack-blister-kangaskhan</t>
        </is>
      </c>
      <c r="O3435" s="4" t="inlineStr">
        <is>
          <t>https://www.tcgplayer.com/product/625683</t>
        </is>
      </c>
    </row>
    <row r="3436">
      <c r="A3436" s="2" t="inlineStr">
        <is>
          <t>Destined Rivals 3 Pack Blister [Zebstrika]</t>
        </is>
      </c>
      <c r="B3436" s="3">
        <f>IF(I3436&lt;&gt;"",I3436,IF(J3436&lt;&gt;"",J3436,IF(K3436&lt;&gt;"",K3436,L3436)))</f>
        <v>46.8</v>
      </c>
      <c r="C3436" s="3">
        <f>MEDIAN(I3436:L3436)</f>
        <v>47.42</v>
      </c>
      <c r="D3436" s="3">
        <f>ROUND(C3436*(1-Settings!$B$2),2)</f>
        <v>33.19</v>
      </c>
      <c r="E3436" s="3">
        <f>ROUND(C3436*(1-Settings!$B$3),2)</f>
        <v>33.19</v>
      </c>
      <c r="F3436" s="2" t="inlineStr">
        <is>
          <t>Pokemon</t>
        </is>
      </c>
      <c r="G3436" s="2" t="inlineStr">
        <is>
          <t>Pack</t>
        </is>
      </c>
      <c r="H3436" s="2" t="inlineStr">
        <is>
          <t>SV10: Destined Rivals</t>
        </is>
      </c>
      <c r="I3436" s="3" t="n">
        <v>46.8</v>
      </c>
      <c r="J3436" s="3" t="n">
        <v>48.04</v>
      </c>
      <c r="K3436" s="3" t="n">
        <v>48.04</v>
      </c>
      <c r="L3436" s="3" t="n">
        <v>36.99</v>
      </c>
      <c r="M3436" s="2" t="inlineStr">
        <is>
          <t>PriceCharting + TCGplayer</t>
        </is>
      </c>
      <c r="N3436" s="4" t="inlineStr">
        <is>
          <t>https://www.pricecharting.com/game/pokemon-destined-rivals/3-pack-blister-zebstrika</t>
        </is>
      </c>
      <c r="O3436" s="4" t="inlineStr">
        <is>
          <t>https://www.tcgplayer.com/product/625684</t>
        </is>
      </c>
    </row>
    <row r="3437">
      <c r="A3437" s="2" t="inlineStr">
        <is>
          <t>Destined Rivals Booster Pack</t>
        </is>
      </c>
      <c r="B3437" s="3">
        <f>IF(I3437&lt;&gt;"",I3437,IF(J3437&lt;&gt;"",J3437,IF(K3437&lt;&gt;"",K3437,L3437)))</f>
        <v>9.0</v>
      </c>
      <c r="C3437" s="3">
        <f>MEDIAN(I3437:L3437)</f>
        <v>8.905000000000001</v>
      </c>
      <c r="D3437" s="3">
        <f>ROUND(C3437*(1-Settings!$B$2),2)</f>
        <v>6.23</v>
      </c>
      <c r="E3437" s="3">
        <f>ROUND(C3437*(1-Settings!$B$3),2)</f>
        <v>6.23</v>
      </c>
      <c r="F3437" s="2" t="inlineStr">
        <is>
          <t>Pokemon</t>
        </is>
      </c>
      <c r="G3437" s="2" t="inlineStr">
        <is>
          <t>Pack</t>
        </is>
      </c>
      <c r="H3437" s="2" t="inlineStr">
        <is>
          <t>SV10: Destined Rivals</t>
        </is>
      </c>
      <c r="I3437" s="3" t="n">
        <v>9</v>
      </c>
      <c r="J3437" s="3" t="n">
        <v>8.81</v>
      </c>
      <c r="K3437" s="3" t="n">
        <v>9.5</v>
      </c>
      <c r="L3437" s="3" t="n">
        <v>2.29</v>
      </c>
      <c r="M3437" s="2" t="inlineStr">
        <is>
          <t>PriceCharting + TCGplayer</t>
        </is>
      </c>
      <c r="N3437" s="4" t="inlineStr">
        <is>
          <t>https://www.pricecharting.com/game/pokemon-destined-rivals/booster-pack</t>
        </is>
      </c>
      <c r="O3437" s="4" t="inlineStr">
        <is>
          <t>https://www.tcgplayer.com/product/624683</t>
        </is>
      </c>
    </row>
    <row r="3438">
      <c r="A3438" s="2" t="inlineStr">
        <is>
          <t>Destined Rivals Fun Pack</t>
        </is>
      </c>
      <c r="B3438" s="3">
        <f>IF(I3438&lt;&gt;"",I3438,IF(J3438&lt;&gt;"",J3438,IF(K3438&lt;&gt;"",K3438,L3438)))</f>
        <v>6.54</v>
      </c>
      <c r="C3438" s="3">
        <f>MEDIAN(I3438:L3438)</f>
        <v>6.18</v>
      </c>
      <c r="D3438" s="3">
        <f>ROUND(C3438*(1-Settings!$B$2),2)</f>
        <v>4.33</v>
      </c>
      <c r="E3438" s="3">
        <f>ROUND(C3438*(1-Settings!$B$3),2)</f>
        <v>4.33</v>
      </c>
      <c r="F3438" s="2" t="inlineStr">
        <is>
          <t>Pokemon</t>
        </is>
      </c>
      <c r="G3438" s="2" t="inlineStr">
        <is>
          <t>Pack</t>
        </is>
      </c>
      <c r="H3438" s="2" t="inlineStr">
        <is>
          <t>SV10: Destined Rivals</t>
        </is>
      </c>
      <c r="I3438" s="3" t="n">
        <v>6.54</v>
      </c>
      <c r="J3438" s="3" t="n">
        <v>6.24</v>
      </c>
      <c r="K3438" s="3" t="n">
        <v>6.12</v>
      </c>
      <c r="L3438" s="3" t="n">
        <v>5.48</v>
      </c>
      <c r="M3438" s="2" t="inlineStr">
        <is>
          <t>PriceCharting + TCGplayer</t>
        </is>
      </c>
      <c r="N3438" s="4" t="inlineStr">
        <is>
          <t>https://www.pricecharting.com/game/pokemon-destined-rivals/fun-pack</t>
        </is>
      </c>
      <c r="O3438" s="4" t="inlineStr">
        <is>
          <t>https://www.tcgplayer.com/product/650765</t>
        </is>
      </c>
    </row>
    <row r="3439">
      <c r="A3439" s="2" t="inlineStr">
        <is>
          <t>Destined Rivals Premium Checklane Blister [Skeledirge]</t>
        </is>
      </c>
      <c r="B3439" s="3">
        <f>IF(I3439&lt;&gt;"",I3439,IF(J3439&lt;&gt;"",J3439,IF(K3439&lt;&gt;"",K3439,L3439)))</f>
        <v>54.02</v>
      </c>
      <c r="C3439" s="3">
        <f>MEDIAN(I3439:L3439)</f>
        <v>41.995000000000005</v>
      </c>
      <c r="D3439" s="3">
        <f>ROUND(C3439*(1-Settings!$B$2),2)</f>
        <v>29.4</v>
      </c>
      <c r="E3439" s="3">
        <f>ROUND(C3439*(1-Settings!$B$3),2)</f>
        <v>29.4</v>
      </c>
      <c r="F3439" s="2" t="inlineStr">
        <is>
          <t>Pokemon</t>
        </is>
      </c>
      <c r="G3439" s="2" t="inlineStr">
        <is>
          <t>Pack</t>
        </is>
      </c>
      <c r="H3439" s="2" t="inlineStr">
        <is>
          <t>SV10: Destined Rivals</t>
        </is>
      </c>
      <c r="I3439" s="3" t="n">
        <v>54.02</v>
      </c>
      <c r="J3439" s="3" t="n">
        <v>43.99</v>
      </c>
      <c r="K3439" s="3" t="n">
        <v>40</v>
      </c>
      <c r="L3439" s="3" t="n">
        <v>35.75</v>
      </c>
      <c r="M3439" s="2" t="inlineStr">
        <is>
          <t>PriceCharting + TCGplayer</t>
        </is>
      </c>
      <c r="N3439" s="4" t="inlineStr">
        <is>
          <t>https://www.pricecharting.com/game/pokemon-destined-rivals/premium-checklane-blister-skeledirge</t>
        </is>
      </c>
      <c r="O3439" s="4" t="inlineStr">
        <is>
          <t>https://www.tcgplayer.com/product/625687</t>
        </is>
      </c>
    </row>
    <row r="3440">
      <c r="A3440" s="2" t="inlineStr">
        <is>
          <t>Destined Rivals Premium Checklane Blister [Togekiss]</t>
        </is>
      </c>
      <c r="B3440" s="3">
        <f>IF(I3440&lt;&gt;"",I3440,IF(J3440&lt;&gt;"",J3440,IF(K3440&lt;&gt;"",K3440,L3440)))</f>
        <v>37.83</v>
      </c>
      <c r="C3440" s="3">
        <f>MEDIAN(I3440:L3440)</f>
        <v>38.480000000000004</v>
      </c>
      <c r="D3440" s="3">
        <f>ROUND(C3440*(1-Settings!$B$2),2)</f>
        <v>26.94</v>
      </c>
      <c r="E3440" s="3">
        <f>ROUND(C3440*(1-Settings!$B$3),2)</f>
        <v>26.94</v>
      </c>
      <c r="F3440" s="2" t="inlineStr">
        <is>
          <t>Pokemon</t>
        </is>
      </c>
      <c r="G3440" s="2" t="inlineStr">
        <is>
          <t>Pack</t>
        </is>
      </c>
      <c r="H3440" s="2" t="inlineStr">
        <is>
          <t>SV10: Destined Rivals</t>
        </is>
      </c>
      <c r="I3440" s="3" t="n">
        <v>37.83</v>
      </c>
      <c r="J3440" s="3" t="n">
        <v>39.13</v>
      </c>
      <c r="K3440" s="3" t="n">
        <v>43.97</v>
      </c>
      <c r="L3440" s="3" t="n">
        <v>36.75</v>
      </c>
      <c r="M3440" s="2" t="inlineStr">
        <is>
          <t>PriceCharting + TCGplayer</t>
        </is>
      </c>
      <c r="N3440" s="4" t="inlineStr">
        <is>
          <t>https://www.pricecharting.com/game/pokemon-destined-rivals/premium-checklane-blister-togekiss</t>
        </is>
      </c>
      <c r="O3440" s="4" t="inlineStr">
        <is>
          <t>https://www.tcgplayer.com/product/625688</t>
        </is>
      </c>
    </row>
    <row r="3441">
      <c r="A3441" s="2" t="inlineStr">
        <is>
          <t>Destined Rivals Sleeved Booster Pack</t>
        </is>
      </c>
      <c r="B3441" s="3">
        <f>IF(I3441&lt;&gt;"",I3441,IF(J3441&lt;&gt;"",J3441,IF(K3441&lt;&gt;"",K3441,L3441)))</f>
        <v>10.99</v>
      </c>
      <c r="C3441" s="3">
        <f>MEDIAN(I3441:L3441)</f>
        <v>10.58</v>
      </c>
      <c r="D3441" s="3">
        <f>ROUND(C3441*(1-Settings!$B$2),2)</f>
        <v>7.41</v>
      </c>
      <c r="E3441" s="3">
        <f>ROUND(C3441*(1-Settings!$B$3),2)</f>
        <v>7.41</v>
      </c>
      <c r="F3441" s="2" t="inlineStr">
        <is>
          <t>Pokemon</t>
        </is>
      </c>
      <c r="G3441" s="2" t="inlineStr">
        <is>
          <t>Pack</t>
        </is>
      </c>
      <c r="H3441" s="2" t="inlineStr">
        <is>
          <t>SV10: Destined Rivals</t>
        </is>
      </c>
      <c r="I3441" s="3" t="n">
        <v>10.99</v>
      </c>
      <c r="J3441" s="3" t="n">
        <v>10.17</v>
      </c>
      <c r="K3441" s="3" t="n">
        <v>12.08</v>
      </c>
      <c r="L3441" s="3" t="n">
        <v>8</v>
      </c>
      <c r="M3441" s="2" t="inlineStr">
        <is>
          <t>PriceCharting + TCGplayer</t>
        </is>
      </c>
      <c r="N3441" s="4" t="inlineStr">
        <is>
          <t>https://www.pricecharting.com/game/pokemon-destined-rivals/sleeved-booster-pack</t>
        </is>
      </c>
      <c r="O3441" s="4" t="inlineStr">
        <is>
          <t>https://www.tcgplayer.com/product/624684</t>
        </is>
      </c>
    </row>
    <row r="3442">
      <c r="A3442" s="2" t="inlineStr">
        <is>
          <t>Glory of Team Rocket Booster Pack</t>
        </is>
      </c>
      <c r="B3442" s="3">
        <f>IF(I3442&lt;&gt;"",I3442,IF(J3442&lt;&gt;"",J3442,IF(K3442&lt;&gt;"",K3442,L3442)))</f>
        <v>5.54</v>
      </c>
      <c r="C3442" s="3">
        <f>MEDIAN(I3442:L3442)</f>
        <v>4.11</v>
      </c>
      <c r="D3442" s="3">
        <f>ROUND(C3442*(1-Settings!$B$2),2)</f>
        <v>2.88</v>
      </c>
      <c r="E3442" s="3">
        <f>ROUND(C3442*(1-Settings!$B$3),2)</f>
        <v>2.88</v>
      </c>
      <c r="F3442" s="2" t="inlineStr">
        <is>
          <t>Pokemon</t>
        </is>
      </c>
      <c r="G3442" s="2" t="inlineStr">
        <is>
          <t>Pack</t>
        </is>
      </c>
      <c r="H3442" s="2" t="inlineStr">
        <is>
          <t>SV10: The Glory of Team Rocket</t>
        </is>
      </c>
      <c r="I3442" s="3" t="n"/>
      <c r="J3442" s="3" t="n">
        <v>5.54</v>
      </c>
      <c r="K3442" s="3" t="n"/>
      <c r="L3442" s="3" t="n">
        <v>2.68</v>
      </c>
      <c r="M3442" s="2" t="inlineStr">
        <is>
          <t>TCGplayer</t>
        </is>
      </c>
      <c r="O3442" s="4" t="inlineStr">
        <is>
          <t>https://www.tcgplayer.com/product/629198</t>
        </is>
      </c>
    </row>
    <row r="3443">
      <c r="A3443" s="2" t="inlineStr">
        <is>
          <t>Black Bolt Booster Pack</t>
        </is>
      </c>
      <c r="B3443" s="3">
        <f>IF(I3443&lt;&gt;"",I3443,IF(J3443&lt;&gt;"",J3443,IF(K3443&lt;&gt;"",K3443,L3443)))</f>
        <v>9.78</v>
      </c>
      <c r="C3443" s="3">
        <f>MEDIAN(I3443:L3443)</f>
        <v>6.885</v>
      </c>
      <c r="D3443" s="3">
        <f>ROUND(C3443*(1-Settings!$B$2),2)</f>
        <v>4.82</v>
      </c>
      <c r="E3443" s="3">
        <f>ROUND(C3443*(1-Settings!$B$3),2)</f>
        <v>4.82</v>
      </c>
      <c r="F3443" s="2" t="inlineStr">
        <is>
          <t>Pokemon</t>
        </is>
      </c>
      <c r="G3443" s="2" t="inlineStr">
        <is>
          <t>Pack</t>
        </is>
      </c>
      <c r="H3443" s="2" t="inlineStr">
        <is>
          <t>SV11B: Black Bolt</t>
        </is>
      </c>
      <c r="I3443" s="3" t="n"/>
      <c r="J3443" s="3" t="n">
        <v>9.779999999999999</v>
      </c>
      <c r="K3443" s="3" t="n"/>
      <c r="L3443" s="3" t="n">
        <v>3.99</v>
      </c>
      <c r="M3443" s="2" t="inlineStr">
        <is>
          <t>TCGplayer</t>
        </is>
      </c>
      <c r="O3443" s="4" t="inlineStr">
        <is>
          <t>https://www.tcgplayer.com/product/636736</t>
        </is>
      </c>
    </row>
    <row r="3444">
      <c r="A3444" s="2" t="inlineStr">
        <is>
          <t>Black Bolt Deluxe Booster Pack</t>
        </is>
      </c>
      <c r="B3444" s="3">
        <f>IF(I3444&lt;&gt;"",I3444,IF(J3444&lt;&gt;"",J3444,IF(K3444&lt;&gt;"",K3444,L3444)))</f>
        <v>58.75</v>
      </c>
      <c r="C3444" s="3">
        <f>MEDIAN(I3444:L3444)</f>
        <v>66.875</v>
      </c>
      <c r="D3444" s="3">
        <f>ROUND(C3444*(1-Settings!$B$2),2)</f>
        <v>46.81</v>
      </c>
      <c r="E3444" s="3">
        <f>ROUND(C3444*(1-Settings!$B$3),2)</f>
        <v>46.81</v>
      </c>
      <c r="F3444" s="2" t="inlineStr">
        <is>
          <t>Pokemon</t>
        </is>
      </c>
      <c r="G3444" s="2" t="inlineStr">
        <is>
          <t>Pack</t>
        </is>
      </c>
      <c r="H3444" s="2" t="inlineStr">
        <is>
          <t>SV11B: Black Bolt</t>
        </is>
      </c>
      <c r="I3444" s="3" t="n"/>
      <c r="J3444" s="3" t="n">
        <v>58.75</v>
      </c>
      <c r="K3444" s="3" t="n"/>
      <c r="L3444" s="3" t="n">
        <v>75</v>
      </c>
      <c r="M3444" s="2" t="inlineStr">
        <is>
          <t>TCGplayer</t>
        </is>
      </c>
      <c r="O3444" s="4" t="inlineStr">
        <is>
          <t>https://www.tcgplayer.com/product/636739</t>
        </is>
      </c>
    </row>
    <row r="3445">
      <c r="A3445" s="2" t="inlineStr">
        <is>
          <t>White Flare Booster Pack</t>
        </is>
      </c>
      <c r="B3445" s="3">
        <f>IF(I3445&lt;&gt;"",I3445,IF(J3445&lt;&gt;"",J3445,IF(K3445&lt;&gt;"",K3445,L3445)))</f>
        <v>9.84</v>
      </c>
      <c r="C3445" s="3">
        <f>MEDIAN(I3445:L3445)</f>
        <v>6.915</v>
      </c>
      <c r="D3445" s="3">
        <f>ROUND(C3445*(1-Settings!$B$2),2)</f>
        <v>4.84</v>
      </c>
      <c r="E3445" s="3">
        <f>ROUND(C3445*(1-Settings!$B$3),2)</f>
        <v>4.84</v>
      </c>
      <c r="F3445" s="2" t="inlineStr">
        <is>
          <t>Pokemon</t>
        </is>
      </c>
      <c r="G3445" s="2" t="inlineStr">
        <is>
          <t>Pack</t>
        </is>
      </c>
      <c r="H3445" s="2" t="inlineStr">
        <is>
          <t>SV11W: White Flare</t>
        </is>
      </c>
      <c r="I3445" s="3" t="n"/>
      <c r="J3445" s="3" t="n">
        <v>9.84</v>
      </c>
      <c r="K3445" s="3" t="n"/>
      <c r="L3445" s="3" t="n">
        <v>3.99</v>
      </c>
      <c r="M3445" s="2" t="inlineStr">
        <is>
          <t>TCGplayer</t>
        </is>
      </c>
      <c r="O3445" s="4" t="inlineStr">
        <is>
          <t>https://www.tcgplayer.com/product/636737</t>
        </is>
      </c>
    </row>
    <row r="3446">
      <c r="A3446" s="2" t="inlineStr">
        <is>
          <t>White Flare Deluxe Booster Pack</t>
        </is>
      </c>
      <c r="B3446" s="3">
        <f>IF(I3446&lt;&gt;"",I3446,IF(J3446&lt;&gt;"",J3446,IF(K3446&lt;&gt;"",K3446,L3446)))</f>
        <v>36.92</v>
      </c>
      <c r="C3446" s="3">
        <f>MEDIAN(I3446:L3446)</f>
        <v>40.96</v>
      </c>
      <c r="D3446" s="3">
        <f>ROUND(C3446*(1-Settings!$B$2),2)</f>
        <v>28.67</v>
      </c>
      <c r="E3446" s="3">
        <f>ROUND(C3446*(1-Settings!$B$3),2)</f>
        <v>28.67</v>
      </c>
      <c r="F3446" s="2" t="inlineStr">
        <is>
          <t>Pokemon</t>
        </is>
      </c>
      <c r="G3446" s="2" t="inlineStr">
        <is>
          <t>Pack</t>
        </is>
      </c>
      <c r="H3446" s="2" t="inlineStr">
        <is>
          <t>SV11W: White Flare</t>
        </is>
      </c>
      <c r="I3446" s="3" t="n"/>
      <c r="J3446" s="3" t="n">
        <v>36.92</v>
      </c>
      <c r="K3446" s="3" t="n"/>
      <c r="L3446" s="3" t="n">
        <v>45</v>
      </c>
      <c r="M3446" s="2" t="inlineStr">
        <is>
          <t>TCGplayer</t>
        </is>
      </c>
      <c r="O3446" s="4" t="inlineStr">
        <is>
          <t>https://www.tcgplayer.com/product/636738</t>
        </is>
      </c>
    </row>
    <row r="3447">
      <c r="A3447" s="2" t="inlineStr">
        <is>
          <t>Triple Beat Booster Pack</t>
        </is>
      </c>
      <c r="B3447" s="3">
        <f>IF(I3447&lt;&gt;"",I3447,IF(J3447&lt;&gt;"",J3447,IF(K3447&lt;&gt;"",K3447,L3447)))</f>
        <v>5.78</v>
      </c>
      <c r="C3447" s="3">
        <f>MEDIAN(I3447:L3447)</f>
        <v>4.015000000000001</v>
      </c>
      <c r="D3447" s="3">
        <f>ROUND(C3447*(1-Settings!$B$2),2)</f>
        <v>2.81</v>
      </c>
      <c r="E3447" s="3">
        <f>ROUND(C3447*(1-Settings!$B$3),2)</f>
        <v>2.81</v>
      </c>
      <c r="F3447" s="2" t="inlineStr">
        <is>
          <t>Pokemon</t>
        </is>
      </c>
      <c r="G3447" s="2" t="inlineStr">
        <is>
          <t>Pack</t>
        </is>
      </c>
      <c r="H3447" s="2" t="inlineStr">
        <is>
          <t>SV1a: Triplet Beat</t>
        </is>
      </c>
      <c r="I3447" s="3" t="n"/>
      <c r="J3447" s="3" t="n">
        <v>5.78</v>
      </c>
      <c r="K3447" s="3" t="n"/>
      <c r="L3447" s="3" t="n">
        <v>2.25</v>
      </c>
      <c r="M3447" s="2" t="inlineStr">
        <is>
          <t>TCGplayer</t>
        </is>
      </c>
      <c r="O3447" s="4" t="inlineStr">
        <is>
          <t>https://www.tcgplayer.com/product/565249</t>
        </is>
      </c>
    </row>
    <row r="3448">
      <c r="A3448" s="2" t="inlineStr">
        <is>
          <t>Scarlet ex Booster Pack</t>
        </is>
      </c>
      <c r="B3448" s="3">
        <f>IF(I3448&lt;&gt;"",I3448,IF(J3448&lt;&gt;"",J3448,IF(K3448&lt;&gt;"",K3448,L3448)))</f>
        <v>3.84</v>
      </c>
      <c r="C3448" s="3">
        <f>MEDIAN(I3448:L3448)</f>
        <v>3.415</v>
      </c>
      <c r="D3448" s="3">
        <f>ROUND(C3448*(1-Settings!$B$2),2)</f>
        <v>2.39</v>
      </c>
      <c r="E3448" s="3">
        <f>ROUND(C3448*(1-Settings!$B$3),2)</f>
        <v>2.39</v>
      </c>
      <c r="F3448" s="2" t="inlineStr">
        <is>
          <t>Pokemon</t>
        </is>
      </c>
      <c r="G3448" s="2" t="inlineStr">
        <is>
          <t>Pack</t>
        </is>
      </c>
      <c r="H3448" s="2" t="inlineStr">
        <is>
          <t>SV1S: Scarlet ex</t>
        </is>
      </c>
      <c r="I3448" s="3" t="n"/>
      <c r="J3448" s="3" t="n">
        <v>3.84</v>
      </c>
      <c r="K3448" s="3" t="n"/>
      <c r="L3448" s="3" t="n">
        <v>2.99</v>
      </c>
      <c r="M3448" s="2" t="inlineStr">
        <is>
          <t>TCGplayer</t>
        </is>
      </c>
      <c r="O3448" s="4" t="inlineStr">
        <is>
          <t>https://www.tcgplayer.com/product/565246</t>
        </is>
      </c>
    </row>
    <row r="3449">
      <c r="A3449" s="2" t="inlineStr">
        <is>
          <t>Violet ex Booster Pack</t>
        </is>
      </c>
      <c r="B3449" s="3">
        <f>IF(I3449&lt;&gt;"",I3449,IF(J3449&lt;&gt;"",J3449,IF(K3449&lt;&gt;"",K3449,L3449)))</f>
        <v>3.18</v>
      </c>
      <c r="C3449" s="3">
        <f>MEDIAN(I3449:L3449)</f>
        <v>3.085</v>
      </c>
      <c r="D3449" s="3">
        <f>ROUND(C3449*(1-Settings!$B$2),2)</f>
        <v>2.16</v>
      </c>
      <c r="E3449" s="3">
        <f>ROUND(C3449*(1-Settings!$B$3),2)</f>
        <v>2.16</v>
      </c>
      <c r="F3449" s="2" t="inlineStr">
        <is>
          <t>Pokemon</t>
        </is>
      </c>
      <c r="G3449" s="2" t="inlineStr">
        <is>
          <t>Pack</t>
        </is>
      </c>
      <c r="H3449" s="2" t="inlineStr">
        <is>
          <t>SV1V: Violet ex</t>
        </is>
      </c>
      <c r="I3449" s="3" t="n"/>
      <c r="J3449" s="3" t="n">
        <v>3.18</v>
      </c>
      <c r="K3449" s="3" t="n"/>
      <c r="L3449" s="3" t="n">
        <v>2.99</v>
      </c>
      <c r="M3449" s="2" t="inlineStr">
        <is>
          <t>TCGplayer</t>
        </is>
      </c>
      <c r="O3449" s="4" t="inlineStr">
        <is>
          <t>https://www.tcgplayer.com/product/565245</t>
        </is>
      </c>
    </row>
    <row r="3450">
      <c r="A3450" s="2" t="inlineStr">
        <is>
          <t>Pokemon Card 151 Booster Pack</t>
        </is>
      </c>
      <c r="B3450" s="3">
        <f>IF(I3450&lt;&gt;"",I3450,IF(J3450&lt;&gt;"",J3450,IF(K3450&lt;&gt;"",K3450,L3450)))</f>
        <v>20.2</v>
      </c>
      <c r="C3450" s="3">
        <f>MEDIAN(I3450:L3450)</f>
        <v>11.395</v>
      </c>
      <c r="D3450" s="3">
        <f>ROUND(C3450*(1-Settings!$B$2),2)</f>
        <v>7.98</v>
      </c>
      <c r="E3450" s="3">
        <f>ROUND(C3450*(1-Settings!$B$3),2)</f>
        <v>7.98</v>
      </c>
      <c r="F3450" s="2" t="inlineStr">
        <is>
          <t>Pokemon</t>
        </is>
      </c>
      <c r="G3450" s="2" t="inlineStr">
        <is>
          <t>Pack</t>
        </is>
      </c>
      <c r="H3450" s="2" t="inlineStr">
        <is>
          <t>SV2a: Pokemon Card 151</t>
        </is>
      </c>
      <c r="I3450" s="3" t="n"/>
      <c r="J3450" s="3" t="n">
        <v>20.2</v>
      </c>
      <c r="K3450" s="3" t="n"/>
      <c r="L3450" s="3" t="n">
        <v>2.59</v>
      </c>
      <c r="M3450" s="2" t="inlineStr">
        <is>
          <t>TCGplayer</t>
        </is>
      </c>
      <c r="O3450" s="4" t="inlineStr">
        <is>
          <t>https://www.tcgplayer.com/product/565242</t>
        </is>
      </c>
    </row>
    <row r="3451">
      <c r="A3451" s="2" t="inlineStr">
        <is>
          <t>Clay Burst Booster Pack</t>
        </is>
      </c>
      <c r="B3451" s="3">
        <f>IF(I3451&lt;&gt;"",I3451,IF(J3451&lt;&gt;"",J3451,IF(K3451&lt;&gt;"",K3451,L3451)))</f>
        <v>3.69</v>
      </c>
      <c r="C3451" s="3">
        <f>MEDIAN(I3451:L3451)</f>
        <v>3.34</v>
      </c>
      <c r="D3451" s="3">
        <f>ROUND(C3451*(1-Settings!$B$2),2)</f>
        <v>2.34</v>
      </c>
      <c r="E3451" s="3">
        <f>ROUND(C3451*(1-Settings!$B$3),2)</f>
        <v>2.34</v>
      </c>
      <c r="F3451" s="2" t="inlineStr">
        <is>
          <t>Pokemon</t>
        </is>
      </c>
      <c r="G3451" s="2" t="inlineStr">
        <is>
          <t>Pack</t>
        </is>
      </c>
      <c r="H3451" s="2" t="inlineStr">
        <is>
          <t>SV2D: Clay Burst</t>
        </is>
      </c>
      <c r="I3451" s="3" t="n"/>
      <c r="J3451" s="3" t="n">
        <v>3.69</v>
      </c>
      <c r="K3451" s="3" t="n"/>
      <c r="L3451" s="3" t="n">
        <v>2.99</v>
      </c>
      <c r="M3451" s="2" t="inlineStr">
        <is>
          <t>TCGplayer</t>
        </is>
      </c>
      <c r="O3451" s="4" t="inlineStr">
        <is>
          <t>https://www.tcgplayer.com/product/565241</t>
        </is>
      </c>
    </row>
    <row r="3452">
      <c r="A3452" s="2" t="inlineStr">
        <is>
          <t>Snow Hazard Booster Pack</t>
        </is>
      </c>
      <c r="B3452" s="3">
        <f>IF(I3452&lt;&gt;"",I3452,IF(J3452&lt;&gt;"",J3452,IF(K3452&lt;&gt;"",K3452,L3452)))</f>
        <v>3.84</v>
      </c>
      <c r="C3452" s="3">
        <f>MEDIAN(I3452:L3452)</f>
        <v>2.92</v>
      </c>
      <c r="D3452" s="3">
        <f>ROUND(C3452*(1-Settings!$B$2),2)</f>
        <v>2.04</v>
      </c>
      <c r="E3452" s="3">
        <f>ROUND(C3452*(1-Settings!$B$3),2)</f>
        <v>2.04</v>
      </c>
      <c r="F3452" s="2" t="inlineStr">
        <is>
          <t>Pokemon</t>
        </is>
      </c>
      <c r="G3452" s="2" t="inlineStr">
        <is>
          <t>Pack</t>
        </is>
      </c>
      <c r="H3452" s="2" t="inlineStr">
        <is>
          <t>SV2P: Snow Hazard</t>
        </is>
      </c>
      <c r="I3452" s="3" t="n"/>
      <c r="J3452" s="3" t="n">
        <v>3.84</v>
      </c>
      <c r="K3452" s="3" t="n"/>
      <c r="L3452" s="3" t="n">
        <v>2</v>
      </c>
      <c r="M3452" s="2" t="inlineStr">
        <is>
          <t>TCGplayer</t>
        </is>
      </c>
      <c r="O3452" s="4" t="inlineStr">
        <is>
          <t>https://www.tcgplayer.com/product/565238</t>
        </is>
      </c>
    </row>
    <row r="3453">
      <c r="A3453" s="2" t="inlineStr">
        <is>
          <t>Ruler of the Black Flame Booster Pack</t>
        </is>
      </c>
      <c r="B3453" s="3">
        <f>IF(I3453&lt;&gt;"",I3453,IF(J3453&lt;&gt;"",J3453,IF(K3453&lt;&gt;"",K3453,L3453)))</f>
        <v>4.68</v>
      </c>
      <c r="C3453" s="3">
        <f>MEDIAN(I3453:L3453)</f>
        <v>4.0649999999999995</v>
      </c>
      <c r="D3453" s="3">
        <f>ROUND(C3453*(1-Settings!$B$2),2)</f>
        <v>2.85</v>
      </c>
      <c r="E3453" s="3">
        <f>ROUND(C3453*(1-Settings!$B$3),2)</f>
        <v>2.85</v>
      </c>
      <c r="F3453" s="2" t="inlineStr">
        <is>
          <t>Pokemon</t>
        </is>
      </c>
      <c r="G3453" s="2" t="inlineStr">
        <is>
          <t>Pack</t>
        </is>
      </c>
      <c r="H3453" s="2" t="inlineStr">
        <is>
          <t>SV3: Ruler of the Black Flame</t>
        </is>
      </c>
      <c r="I3453" s="3" t="n"/>
      <c r="J3453" s="3" t="n">
        <v>4.68</v>
      </c>
      <c r="K3453" s="3" t="n"/>
      <c r="L3453" s="3" t="n">
        <v>3.45</v>
      </c>
      <c r="M3453" s="2" t="inlineStr">
        <is>
          <t>TCGplayer</t>
        </is>
      </c>
      <c r="O3453" s="4" t="inlineStr">
        <is>
          <t>https://www.tcgplayer.com/product/565237</t>
        </is>
      </c>
    </row>
    <row r="3454">
      <c r="A3454" s="2" t="inlineStr">
        <is>
          <t>Raging Surf Booster Pack</t>
        </is>
      </c>
      <c r="B3454" s="3">
        <f>IF(I3454&lt;&gt;"",I3454,IF(J3454&lt;&gt;"",J3454,IF(K3454&lt;&gt;"",K3454,L3454)))</f>
        <v>5.53</v>
      </c>
      <c r="C3454" s="3">
        <f>MEDIAN(I3454:L3454)</f>
        <v>4.01</v>
      </c>
      <c r="D3454" s="3">
        <f>ROUND(C3454*(1-Settings!$B$2),2)</f>
        <v>2.81</v>
      </c>
      <c r="E3454" s="3">
        <f>ROUND(C3454*(1-Settings!$B$3),2)</f>
        <v>2.81</v>
      </c>
      <c r="F3454" s="2" t="inlineStr">
        <is>
          <t>Pokemon</t>
        </is>
      </c>
      <c r="G3454" s="2" t="inlineStr">
        <is>
          <t>Pack</t>
        </is>
      </c>
      <c r="H3454" s="2" t="inlineStr">
        <is>
          <t>SV3a: Raging Surf</t>
        </is>
      </c>
      <c r="I3454" s="3" t="n"/>
      <c r="J3454" s="3" t="n">
        <v>5.53</v>
      </c>
      <c r="K3454" s="3" t="n"/>
      <c r="L3454" s="3" t="n">
        <v>2.49</v>
      </c>
      <c r="M3454" s="2" t="inlineStr">
        <is>
          <t>TCGplayer</t>
        </is>
      </c>
      <c r="O3454" s="4" t="inlineStr">
        <is>
          <t>https://www.tcgplayer.com/product/565234</t>
        </is>
      </c>
    </row>
    <row r="3455">
      <c r="A3455" s="2" t="inlineStr">
        <is>
          <t>Shiny Treasure ex High Class Booster Pack</t>
        </is>
      </c>
      <c r="B3455" s="3">
        <f>IF(I3455&lt;&gt;"",I3455,IF(J3455&lt;&gt;"",J3455,IF(K3455&lt;&gt;"",K3455,L3455)))</f>
        <v>13.41</v>
      </c>
      <c r="C3455" s="3">
        <f>MEDIAN(I3455:L3455)</f>
        <v>11.705</v>
      </c>
      <c r="D3455" s="3">
        <f>ROUND(C3455*(1-Settings!$B$2),2)</f>
        <v>8.19</v>
      </c>
      <c r="E3455" s="3">
        <f>ROUND(C3455*(1-Settings!$B$3),2)</f>
        <v>8.19</v>
      </c>
      <c r="F3455" s="2" t="inlineStr">
        <is>
          <t>Pokemon</t>
        </is>
      </c>
      <c r="G3455" s="2" t="inlineStr">
        <is>
          <t>Pack</t>
        </is>
      </c>
      <c r="H3455" s="2" t="inlineStr">
        <is>
          <t>SV4a: Shiny Treasure ex</t>
        </is>
      </c>
      <c r="I3455" s="3" t="n"/>
      <c r="J3455" s="3" t="n">
        <v>13.41</v>
      </c>
      <c r="K3455" s="3" t="n"/>
      <c r="L3455" s="3" t="n">
        <v>10</v>
      </c>
      <c r="M3455" s="2" t="inlineStr">
        <is>
          <t>TCGplayer</t>
        </is>
      </c>
      <c r="O3455" s="4" t="inlineStr">
        <is>
          <t>https://www.tcgplayer.com/product/565233</t>
        </is>
      </c>
    </row>
    <row r="3456">
      <c r="A3456" s="2" t="inlineStr">
        <is>
          <t>Ancient Roar Booster Pack</t>
        </is>
      </c>
      <c r="B3456" s="3">
        <f>IF(I3456&lt;&gt;"",I3456,IF(J3456&lt;&gt;"",J3456,IF(K3456&lt;&gt;"",K3456,L3456)))</f>
        <v>3.65</v>
      </c>
      <c r="C3456" s="3">
        <f>MEDIAN(I3456:L3456)</f>
        <v>2.985</v>
      </c>
      <c r="D3456" s="3">
        <f>ROUND(C3456*(1-Settings!$B$2),2)</f>
        <v>2.09</v>
      </c>
      <c r="E3456" s="3">
        <f>ROUND(C3456*(1-Settings!$B$3),2)</f>
        <v>2.09</v>
      </c>
      <c r="F3456" s="2" t="inlineStr">
        <is>
          <t>Pokemon</t>
        </is>
      </c>
      <c r="G3456" s="2" t="inlineStr">
        <is>
          <t>Pack</t>
        </is>
      </c>
      <c r="H3456" s="2" t="inlineStr">
        <is>
          <t>SV4K: Ancient Roar</t>
        </is>
      </c>
      <c r="I3456" s="3" t="n"/>
      <c r="J3456" s="3" t="n">
        <v>3.65</v>
      </c>
      <c r="K3456" s="3" t="n"/>
      <c r="L3456" s="3" t="n">
        <v>2.32</v>
      </c>
      <c r="M3456" s="2" t="inlineStr">
        <is>
          <t>TCGplayer</t>
        </is>
      </c>
      <c r="O3456" s="4" t="inlineStr">
        <is>
          <t>https://www.tcgplayer.com/product/565230</t>
        </is>
      </c>
    </row>
    <row r="3457">
      <c r="A3457" s="2" t="inlineStr">
        <is>
          <t>Future Flash Booster Pack</t>
        </is>
      </c>
      <c r="B3457" s="3">
        <f>IF(I3457&lt;&gt;"",I3457,IF(J3457&lt;&gt;"",J3457,IF(K3457&lt;&gt;"",K3457,L3457)))</f>
        <v>3.58</v>
      </c>
      <c r="C3457" s="3">
        <f>MEDIAN(I3457:L3457)</f>
        <v>2.79</v>
      </c>
      <c r="D3457" s="3">
        <f>ROUND(C3457*(1-Settings!$B$2),2)</f>
        <v>1.95</v>
      </c>
      <c r="E3457" s="3">
        <f>ROUND(C3457*(1-Settings!$B$3),2)</f>
        <v>1.95</v>
      </c>
      <c r="F3457" s="2" t="inlineStr">
        <is>
          <t>Pokemon</t>
        </is>
      </c>
      <c r="G3457" s="2" t="inlineStr">
        <is>
          <t>Pack</t>
        </is>
      </c>
      <c r="H3457" s="2" t="inlineStr">
        <is>
          <t>SV4M: Future Flash</t>
        </is>
      </c>
      <c r="I3457" s="3" t="n"/>
      <c r="J3457" s="3" t="n">
        <v>3.58</v>
      </c>
      <c r="K3457" s="3" t="n"/>
      <c r="L3457" s="3" t="n">
        <v>2</v>
      </c>
      <c r="M3457" s="2" t="inlineStr">
        <is>
          <t>TCGplayer</t>
        </is>
      </c>
      <c r="O3457" s="4" t="inlineStr">
        <is>
          <t>https://www.tcgplayer.com/product/565229</t>
        </is>
      </c>
    </row>
    <row r="3458">
      <c r="A3458" s="2" t="inlineStr">
        <is>
          <t>Crimson Haze Booster Pack</t>
        </is>
      </c>
      <c r="B3458" s="3">
        <f>IF(I3458&lt;&gt;"",I3458,IF(J3458&lt;&gt;"",J3458,IF(K3458&lt;&gt;"",K3458,L3458)))</f>
        <v>4.33</v>
      </c>
      <c r="C3458" s="3">
        <f>MEDIAN(I3458:L3458)</f>
        <v>3.29</v>
      </c>
      <c r="D3458" s="3">
        <f>ROUND(C3458*(1-Settings!$B$2),2)</f>
        <v>2.3</v>
      </c>
      <c r="E3458" s="3">
        <f>ROUND(C3458*(1-Settings!$B$3),2)</f>
        <v>2.3</v>
      </c>
      <c r="F3458" s="2" t="inlineStr">
        <is>
          <t>Pokemon</t>
        </is>
      </c>
      <c r="G3458" s="2" t="inlineStr">
        <is>
          <t>Pack</t>
        </is>
      </c>
      <c r="H3458" s="2" t="inlineStr">
        <is>
          <t>SV5a: Crimson Haze</t>
        </is>
      </c>
      <c r="I3458" s="3" t="n"/>
      <c r="J3458" s="3" t="n">
        <v>4.33</v>
      </c>
      <c r="K3458" s="3" t="n"/>
      <c r="L3458" s="3" t="n">
        <v>2.25</v>
      </c>
      <c r="M3458" s="2" t="inlineStr">
        <is>
          <t>TCGplayer</t>
        </is>
      </c>
      <c r="O3458" s="4" t="inlineStr">
        <is>
          <t>https://www.tcgplayer.com/product/565227</t>
        </is>
      </c>
    </row>
    <row r="3459">
      <c r="A3459" s="2" t="inlineStr">
        <is>
          <t>Wild Force Booster Pack</t>
        </is>
      </c>
      <c r="B3459" s="3">
        <f>IF(I3459&lt;&gt;"",I3459,IF(J3459&lt;&gt;"",J3459,IF(K3459&lt;&gt;"",K3459,L3459)))</f>
        <v>3.95</v>
      </c>
      <c r="C3459" s="3">
        <f>MEDIAN(I3459:L3459)</f>
        <v>3.1</v>
      </c>
      <c r="D3459" s="3">
        <f>ROUND(C3459*(1-Settings!$B$2),2)</f>
        <v>2.17</v>
      </c>
      <c r="E3459" s="3">
        <f>ROUND(C3459*(1-Settings!$B$3),2)</f>
        <v>2.17</v>
      </c>
      <c r="F3459" s="2" t="inlineStr">
        <is>
          <t>Pokemon</t>
        </is>
      </c>
      <c r="G3459" s="2" t="inlineStr">
        <is>
          <t>Pack</t>
        </is>
      </c>
      <c r="H3459" s="2" t="inlineStr">
        <is>
          <t>SV5K: Wild Force</t>
        </is>
      </c>
      <c r="I3459" s="3" t="n"/>
      <c r="J3459" s="3" t="n">
        <v>3.95</v>
      </c>
      <c r="K3459" s="3" t="n"/>
      <c r="L3459" s="3" t="n">
        <v>2.25</v>
      </c>
      <c r="M3459" s="2" t="inlineStr">
        <is>
          <t>TCGplayer</t>
        </is>
      </c>
      <c r="O3459" s="4" t="inlineStr">
        <is>
          <t>https://www.tcgplayer.com/product/565224</t>
        </is>
      </c>
    </row>
    <row r="3460">
      <c r="A3460" s="2" t="inlineStr">
        <is>
          <t>Cyber Judge Booster Pack</t>
        </is>
      </c>
      <c r="B3460" s="3">
        <f>IF(I3460&lt;&gt;"",I3460,IF(J3460&lt;&gt;"",J3460,IF(K3460&lt;&gt;"",K3460,L3460)))</f>
        <v>3.56</v>
      </c>
      <c r="C3460" s="3">
        <f>MEDIAN(I3460:L3460)</f>
        <v>2.94</v>
      </c>
      <c r="D3460" s="3">
        <f>ROUND(C3460*(1-Settings!$B$2),2)</f>
        <v>2.06</v>
      </c>
      <c r="E3460" s="3">
        <f>ROUND(C3460*(1-Settings!$B$3),2)</f>
        <v>2.06</v>
      </c>
      <c r="F3460" s="2" t="inlineStr">
        <is>
          <t>Pokemon</t>
        </is>
      </c>
      <c r="G3460" s="2" t="inlineStr">
        <is>
          <t>Pack</t>
        </is>
      </c>
      <c r="H3460" s="2" t="inlineStr">
        <is>
          <t>SV5M: Cyber Judge</t>
        </is>
      </c>
      <c r="I3460" s="3" t="n"/>
      <c r="J3460" s="3" t="n">
        <v>3.56</v>
      </c>
      <c r="K3460" s="3" t="n"/>
      <c r="L3460" s="3" t="n">
        <v>2.32</v>
      </c>
      <c r="M3460" s="2" t="inlineStr">
        <is>
          <t>TCGplayer</t>
        </is>
      </c>
      <c r="O3460" s="4" t="inlineStr">
        <is>
          <t>https://www.tcgplayer.com/product/565223</t>
        </is>
      </c>
    </row>
    <row r="3461">
      <c r="A3461" s="2" t="inlineStr">
        <is>
          <t>Transformation Mask Booster Pack</t>
        </is>
      </c>
      <c r="B3461" s="3">
        <f>IF(I3461&lt;&gt;"",I3461,IF(J3461&lt;&gt;"",J3461,IF(K3461&lt;&gt;"",K3461,L3461)))</f>
        <v>3.9</v>
      </c>
      <c r="C3461" s="3">
        <f>MEDIAN(I3461:L3461)</f>
        <v>3.1799999999999997</v>
      </c>
      <c r="D3461" s="3">
        <f>ROUND(C3461*(1-Settings!$B$2),2)</f>
        <v>2.23</v>
      </c>
      <c r="E3461" s="3">
        <f>ROUND(C3461*(1-Settings!$B$3),2)</f>
        <v>2.23</v>
      </c>
      <c r="F3461" s="2" t="inlineStr">
        <is>
          <t>Pokemon</t>
        </is>
      </c>
      <c r="G3461" s="2" t="inlineStr">
        <is>
          <t>Pack</t>
        </is>
      </c>
      <c r="H3461" s="2" t="inlineStr">
        <is>
          <t>SV6: Transformation Mask</t>
        </is>
      </c>
      <c r="I3461" s="3" t="n"/>
      <c r="J3461" s="3" t="n">
        <v>3.9</v>
      </c>
      <c r="K3461" s="3" t="n"/>
      <c r="L3461" s="3" t="n">
        <v>2.46</v>
      </c>
      <c r="M3461" s="2" t="inlineStr">
        <is>
          <t>TCGplayer</t>
        </is>
      </c>
      <c r="O3461" s="4" t="inlineStr">
        <is>
          <t>https://www.tcgplayer.com/product/565220</t>
        </is>
      </c>
    </row>
    <row r="3462">
      <c r="A3462" s="2" t="inlineStr">
        <is>
          <t>Night Wanderer Booster Pack</t>
        </is>
      </c>
      <c r="B3462" s="3">
        <f>IF(I3462&lt;&gt;"",I3462,IF(J3462&lt;&gt;"",J3462,IF(K3462&lt;&gt;"",K3462,L3462)))</f>
        <v>3.72</v>
      </c>
      <c r="C3462" s="3">
        <f>MEDIAN(I3462:L3462)</f>
        <v>3.01</v>
      </c>
      <c r="D3462" s="3">
        <f>ROUND(C3462*(1-Settings!$B$2),2)</f>
        <v>2.11</v>
      </c>
      <c r="E3462" s="3">
        <f>ROUND(C3462*(1-Settings!$B$3),2)</f>
        <v>2.11</v>
      </c>
      <c r="F3462" s="2" t="inlineStr">
        <is>
          <t>Pokemon</t>
        </is>
      </c>
      <c r="G3462" s="2" t="inlineStr">
        <is>
          <t>Pack</t>
        </is>
      </c>
      <c r="H3462" s="2" t="inlineStr">
        <is>
          <t>SV6a: Night Wanderer</t>
        </is>
      </c>
      <c r="I3462" s="3" t="n"/>
      <c r="J3462" s="3" t="n">
        <v>3.72</v>
      </c>
      <c r="K3462" s="3" t="n"/>
      <c r="L3462" s="3" t="n">
        <v>2.3</v>
      </c>
      <c r="M3462" s="2" t="inlineStr">
        <is>
          <t>TCGplayer</t>
        </is>
      </c>
      <c r="O3462" s="4" t="inlineStr">
        <is>
          <t>https://www.tcgplayer.com/product/565219</t>
        </is>
      </c>
    </row>
    <row r="3463">
      <c r="A3463" s="2" t="inlineStr">
        <is>
          <t>Stellar Miracle Booster Pack</t>
        </is>
      </c>
      <c r="B3463" s="3">
        <f>IF(I3463&lt;&gt;"",I3463,IF(J3463&lt;&gt;"",J3463,IF(K3463&lt;&gt;"",K3463,L3463)))</f>
        <v>3.91</v>
      </c>
      <c r="C3463" s="3">
        <f>MEDIAN(I3463:L3463)</f>
        <v>2.955</v>
      </c>
      <c r="D3463" s="3">
        <f>ROUND(C3463*(1-Settings!$B$2),2)</f>
        <v>2.07</v>
      </c>
      <c r="E3463" s="3">
        <f>ROUND(C3463*(1-Settings!$B$3),2)</f>
        <v>2.07</v>
      </c>
      <c r="F3463" s="2" t="inlineStr">
        <is>
          <t>Pokemon</t>
        </is>
      </c>
      <c r="G3463" s="2" t="inlineStr">
        <is>
          <t>Pack</t>
        </is>
      </c>
      <c r="H3463" s="2" t="inlineStr">
        <is>
          <t>SV7: Stellar Miracle</t>
        </is>
      </c>
      <c r="I3463" s="3" t="n"/>
      <c r="J3463" s="3" t="n">
        <v>3.91</v>
      </c>
      <c r="K3463" s="3" t="n"/>
      <c r="L3463" s="3" t="n">
        <v>2</v>
      </c>
      <c r="M3463" s="2" t="inlineStr">
        <is>
          <t>TCGplayer</t>
        </is>
      </c>
      <c r="O3463" s="4" t="inlineStr">
        <is>
          <t>https://www.tcgplayer.com/product/565216</t>
        </is>
      </c>
    </row>
    <row r="3464">
      <c r="A3464" s="2" t="inlineStr">
        <is>
          <t>Paradise Dragona Booster Pack</t>
        </is>
      </c>
      <c r="B3464" s="3">
        <f>IF(I3464&lt;&gt;"",I3464,IF(J3464&lt;&gt;"",J3464,IF(K3464&lt;&gt;"",K3464,L3464)))</f>
        <v>4.14</v>
      </c>
      <c r="C3464" s="3">
        <f>MEDIAN(I3464:L3464)</f>
        <v>4.06</v>
      </c>
      <c r="D3464" s="3">
        <f>ROUND(C3464*(1-Settings!$B$2),2)</f>
        <v>2.84</v>
      </c>
      <c r="E3464" s="3">
        <f>ROUND(C3464*(1-Settings!$B$3),2)</f>
        <v>2.84</v>
      </c>
      <c r="F3464" s="2" t="inlineStr">
        <is>
          <t>Pokemon</t>
        </is>
      </c>
      <c r="G3464" s="2" t="inlineStr">
        <is>
          <t>Pack</t>
        </is>
      </c>
      <c r="H3464" s="2" t="inlineStr">
        <is>
          <t>SV7a: Paradise Dragona</t>
        </is>
      </c>
      <c r="I3464" s="3" t="n"/>
      <c r="J3464" s="3" t="n">
        <v>4.14</v>
      </c>
      <c r="K3464" s="3" t="n"/>
      <c r="L3464" s="3" t="n">
        <v>3.98</v>
      </c>
      <c r="M3464" s="2" t="inlineStr">
        <is>
          <t>TCGplayer</t>
        </is>
      </c>
      <c r="O3464" s="4" t="inlineStr">
        <is>
          <t>https://www.tcgplayer.com/product/580710</t>
        </is>
      </c>
    </row>
    <row r="3465">
      <c r="A3465" s="2" t="inlineStr">
        <is>
          <t>Super Electric Breaker Booster Pack</t>
        </is>
      </c>
      <c r="B3465" s="3">
        <f>IF(I3465&lt;&gt;"",I3465,IF(J3465&lt;&gt;"",J3465,IF(K3465&lt;&gt;"",K3465,L3465)))</f>
        <v>5.1</v>
      </c>
      <c r="C3465" s="3">
        <f>MEDIAN(I3465:L3465)</f>
        <v>3.75</v>
      </c>
      <c r="D3465" s="3">
        <f>ROUND(C3465*(1-Settings!$B$2),2)</f>
        <v>2.63</v>
      </c>
      <c r="E3465" s="3">
        <f>ROUND(C3465*(1-Settings!$B$3),2)</f>
        <v>2.63</v>
      </c>
      <c r="F3465" s="2" t="inlineStr">
        <is>
          <t>Pokemon</t>
        </is>
      </c>
      <c r="G3465" s="2" t="inlineStr">
        <is>
          <t>Pack</t>
        </is>
      </c>
      <c r="H3465" s="2" t="inlineStr">
        <is>
          <t>SV8: Super Electric Breaker</t>
        </is>
      </c>
      <c r="I3465" s="3" t="n"/>
      <c r="J3465" s="3" t="n">
        <v>5.1</v>
      </c>
      <c r="K3465" s="3" t="n"/>
      <c r="L3465" s="3" t="n">
        <v>2.4</v>
      </c>
      <c r="M3465" s="2" t="inlineStr">
        <is>
          <t>TCGplayer</t>
        </is>
      </c>
      <c r="O3465" s="4" t="inlineStr">
        <is>
          <t>https://www.tcgplayer.com/product/587727</t>
        </is>
      </c>
    </row>
    <row r="3466">
      <c r="A3466" s="2" t="inlineStr">
        <is>
          <t>Terastal Fest ex Booster Pack</t>
        </is>
      </c>
      <c r="B3466" s="3">
        <f>IF(I3466&lt;&gt;"",I3466,IF(J3466&lt;&gt;"",J3466,IF(K3466&lt;&gt;"",K3466,L3466)))</f>
        <v>10.52</v>
      </c>
      <c r="C3466" s="3">
        <f>MEDIAN(I3466:L3466)</f>
        <v>9.11</v>
      </c>
      <c r="D3466" s="3">
        <f>ROUND(C3466*(1-Settings!$B$2),2)</f>
        <v>6.38</v>
      </c>
      <c r="E3466" s="3">
        <f>ROUND(C3466*(1-Settings!$B$3),2)</f>
        <v>6.38</v>
      </c>
      <c r="F3466" s="2" t="inlineStr">
        <is>
          <t>Pokemon</t>
        </is>
      </c>
      <c r="G3466" s="2" t="inlineStr">
        <is>
          <t>Pack</t>
        </is>
      </c>
      <c r="H3466" s="2" t="inlineStr">
        <is>
          <t>SV8a: Terastal Fest ex</t>
        </is>
      </c>
      <c r="I3466" s="3" t="n"/>
      <c r="J3466" s="3" t="n">
        <v>10.52</v>
      </c>
      <c r="K3466" s="3" t="n"/>
      <c r="L3466" s="3" t="n">
        <v>7.7</v>
      </c>
      <c r="M3466" s="2" t="inlineStr">
        <is>
          <t>TCGplayer</t>
        </is>
      </c>
      <c r="O3466" s="4" t="inlineStr">
        <is>
          <t>https://www.tcgplayer.com/product/603429</t>
        </is>
      </c>
    </row>
    <row r="3467">
      <c r="A3467" s="2" t="inlineStr">
        <is>
          <t>Battle Partner Booster Pack</t>
        </is>
      </c>
      <c r="B3467" s="3">
        <f>IF(I3467&lt;&gt;"",I3467,IF(J3467&lt;&gt;"",J3467,IF(K3467&lt;&gt;"",K3467,L3467)))</f>
        <v>3.72</v>
      </c>
      <c r="C3467" s="3">
        <f>MEDIAN(I3467:L3467)</f>
        <v>2.835</v>
      </c>
      <c r="D3467" s="3">
        <f>ROUND(C3467*(1-Settings!$B$2),2)</f>
        <v>1.98</v>
      </c>
      <c r="E3467" s="3">
        <f>ROUND(C3467*(1-Settings!$B$3),2)</f>
        <v>1.98</v>
      </c>
      <c r="F3467" s="2" t="inlineStr">
        <is>
          <t>Pokemon</t>
        </is>
      </c>
      <c r="G3467" s="2" t="inlineStr">
        <is>
          <t>Pack</t>
        </is>
      </c>
      <c r="H3467" s="2" t="inlineStr">
        <is>
          <t>SV9: Battle Partners</t>
        </is>
      </c>
      <c r="I3467" s="3" t="n"/>
      <c r="J3467" s="3" t="n">
        <v>3.72</v>
      </c>
      <c r="K3467" s="3" t="n"/>
      <c r="L3467" s="3" t="n">
        <v>1.95</v>
      </c>
      <c r="M3467" s="2" t="inlineStr">
        <is>
          <t>TCGplayer</t>
        </is>
      </c>
      <c r="O3467" s="4" t="inlineStr">
        <is>
          <t>https://www.tcgplayer.com/product/614703</t>
        </is>
      </c>
    </row>
    <row r="3468">
      <c r="A3468" s="2" t="inlineStr">
        <is>
          <t>Heat Wave Arena Booster Pack</t>
        </is>
      </c>
      <c r="B3468" s="3">
        <f>IF(I3468&lt;&gt;"",I3468,IF(J3468&lt;&gt;"",J3468,IF(K3468&lt;&gt;"",K3468,L3468)))</f>
        <v>3.68</v>
      </c>
      <c r="C3468" s="3">
        <f>MEDIAN(I3468:L3468)</f>
        <v>3.04</v>
      </c>
      <c r="D3468" s="3">
        <f>ROUND(C3468*(1-Settings!$B$2),2)</f>
        <v>2.13</v>
      </c>
      <c r="E3468" s="3">
        <f>ROUND(C3468*(1-Settings!$B$3),2)</f>
        <v>2.13</v>
      </c>
      <c r="F3468" s="2" t="inlineStr">
        <is>
          <t>Pokemon</t>
        </is>
      </c>
      <c r="G3468" s="2" t="inlineStr">
        <is>
          <t>Pack</t>
        </is>
      </c>
      <c r="H3468" s="2" t="inlineStr">
        <is>
          <t>SV9a: Heat Wave Arena</t>
        </is>
      </c>
      <c r="I3468" s="3" t="n"/>
      <c r="J3468" s="3" t="n">
        <v>3.68</v>
      </c>
      <c r="K3468" s="3" t="n"/>
      <c r="L3468" s="3" t="n">
        <v>2.4</v>
      </c>
      <c r="M3468" s="2" t="inlineStr">
        <is>
          <t>TCGplayer</t>
        </is>
      </c>
      <c r="O3468" s="4" t="inlineStr">
        <is>
          <t>https://www.tcgplayer.com/product/623311</t>
        </is>
      </c>
    </row>
    <row r="3469">
      <c r="A3469" s="2" t="inlineStr">
        <is>
          <t>Black Bolt Booster Pack</t>
        </is>
      </c>
      <c r="B3469" s="3">
        <f>IF(I3469&lt;&gt;"",I3469,IF(J3469&lt;&gt;"",J3469,IF(K3469&lt;&gt;"",K3469,L3469)))</f>
        <v>13.92</v>
      </c>
      <c r="C3469" s="3">
        <f>MEDIAN(I3469:L3469)</f>
        <v>14.305</v>
      </c>
      <c r="D3469" s="3">
        <f>ROUND(C3469*(1-Settings!$B$2),2)</f>
        <v>10.01</v>
      </c>
      <c r="E3469" s="3">
        <f>ROUND(C3469*(1-Settings!$B$3),2)</f>
        <v>10.01</v>
      </c>
      <c r="F3469" s="2" t="inlineStr">
        <is>
          <t>Pokemon</t>
        </is>
      </c>
      <c r="G3469" s="2" t="inlineStr">
        <is>
          <t>Pack</t>
        </is>
      </c>
      <c r="H3469" s="2" t="inlineStr">
        <is>
          <t>SV: Black Bolt</t>
        </is>
      </c>
      <c r="I3469" s="3" t="n">
        <v>13.92</v>
      </c>
      <c r="J3469" s="3" t="n">
        <v>14.69</v>
      </c>
      <c r="K3469" s="3" t="n">
        <v>15.95</v>
      </c>
      <c r="L3469" s="3" t="n">
        <v>12.79</v>
      </c>
      <c r="M3469" s="2" t="inlineStr">
        <is>
          <t>PriceCharting + TCGplayer</t>
        </is>
      </c>
      <c r="N3469" s="4" t="inlineStr">
        <is>
          <t>https://www.pricecharting.com/game/pokemon-black-bolt/booster-pack</t>
        </is>
      </c>
      <c r="O3469" s="4" t="inlineStr">
        <is>
          <t>https://www.tcgplayer.com/product/630434</t>
        </is>
      </c>
    </row>
    <row r="3470">
      <c r="A3470" s="2" t="inlineStr">
        <is>
          <t>Paldean Fates Booster Pack</t>
        </is>
      </c>
      <c r="B3470" s="3">
        <f>IF(I3470&lt;&gt;"",I3470,IF(J3470&lt;&gt;"",J3470,IF(K3470&lt;&gt;"",K3470,L3470)))</f>
        <v>23.99</v>
      </c>
      <c r="C3470" s="3">
        <f>MEDIAN(I3470:L3470)</f>
        <v>24.005</v>
      </c>
      <c r="D3470" s="3">
        <f>ROUND(C3470*(1-Settings!$B$2),2)</f>
        <v>16.8</v>
      </c>
      <c r="E3470" s="3">
        <f>ROUND(C3470*(1-Settings!$B$3),2)</f>
        <v>16.8</v>
      </c>
      <c r="F3470" s="2" t="inlineStr">
        <is>
          <t>Pokemon</t>
        </is>
      </c>
      <c r="G3470" s="2" t="inlineStr">
        <is>
          <t>Pack</t>
        </is>
      </c>
      <c r="H3470" s="2" t="inlineStr">
        <is>
          <t>SV: Paldean Fates</t>
        </is>
      </c>
      <c r="I3470" s="3" t="n">
        <v>23.99</v>
      </c>
      <c r="J3470" s="3" t="n">
        <v>24.02</v>
      </c>
      <c r="K3470" s="3" t="n">
        <v>25.93</v>
      </c>
      <c r="L3470" s="3" t="n">
        <v>22</v>
      </c>
      <c r="M3470" s="2" t="inlineStr">
        <is>
          <t>PriceCharting + TCGplayer</t>
        </is>
      </c>
      <c r="N3470" s="4" t="inlineStr">
        <is>
          <t>https://www.pricecharting.com/game/pokemon-paldean-fates/booster-pack</t>
        </is>
      </c>
      <c r="O3470" s="4" t="inlineStr">
        <is>
          <t>https://www.tcgplayer.com/product/528038</t>
        </is>
      </c>
    </row>
    <row r="3471">
      <c r="A3471" s="2" t="inlineStr">
        <is>
          <t>Prismatic Evolutions Booster Pack</t>
        </is>
      </c>
      <c r="B3471" s="3">
        <f>IF(I3471&lt;&gt;"",I3471,IF(J3471&lt;&gt;"",J3471,IF(K3471&lt;&gt;"",K3471,L3471)))</f>
        <v>15.0</v>
      </c>
      <c r="C3471" s="3">
        <f>MEDIAN(I3471:L3471)</f>
        <v>14.434999999999999</v>
      </c>
      <c r="D3471" s="3">
        <f>ROUND(C3471*(1-Settings!$B$2),2)</f>
        <v>10.1</v>
      </c>
      <c r="E3471" s="3">
        <f>ROUND(C3471*(1-Settings!$B$3),2)</f>
        <v>10.1</v>
      </c>
      <c r="F3471" s="2" t="inlineStr">
        <is>
          <t>Pokemon</t>
        </is>
      </c>
      <c r="G3471" s="2" t="inlineStr">
        <is>
          <t>Pack</t>
        </is>
      </c>
      <c r="H3471" s="2" t="inlineStr">
        <is>
          <t>SV: Prismatic Evolutions</t>
        </is>
      </c>
      <c r="I3471" s="3" t="n">
        <v>15</v>
      </c>
      <c r="J3471" s="3" t="n">
        <v>13.87</v>
      </c>
      <c r="K3471" s="3" t="n">
        <v>15</v>
      </c>
      <c r="L3471" s="3" t="n">
        <v>6.5</v>
      </c>
      <c r="M3471" s="2" t="inlineStr">
        <is>
          <t>PriceCharting + TCGplayer</t>
        </is>
      </c>
      <c r="N3471" s="4" t="inlineStr">
        <is>
          <t>https://www.pricecharting.com/game/pokemon-prismatic-evolutions/booster-pack</t>
        </is>
      </c>
      <c r="O3471" s="4" t="inlineStr">
        <is>
          <t>https://www.tcgplayer.com/product/593294</t>
        </is>
      </c>
    </row>
    <row r="3472">
      <c r="A3472" s="2" t="inlineStr">
        <is>
          <t>151 Booster Pack</t>
        </is>
      </c>
      <c r="B3472" s="3">
        <f>IF(I3472&lt;&gt;"",I3472,IF(J3472&lt;&gt;"",J3472,IF(K3472&lt;&gt;"",K3472,L3472)))</f>
        <v>28.32</v>
      </c>
      <c r="C3472" s="3">
        <f>MEDIAN(I3472:L3472)</f>
        <v>28.32</v>
      </c>
      <c r="D3472" s="3">
        <f>ROUND(C3472*(1-Settings!$B$2),2)</f>
        <v>19.82</v>
      </c>
      <c r="E3472" s="3">
        <f>ROUND(C3472*(1-Settings!$B$3),2)</f>
        <v>19.82</v>
      </c>
      <c r="F3472" s="2" t="inlineStr">
        <is>
          <t>Pokemon</t>
        </is>
      </c>
      <c r="G3472" s="2" t="inlineStr">
        <is>
          <t>Pack</t>
        </is>
      </c>
      <c r="H3472" s="2" t="inlineStr">
        <is>
          <t>SV: Scarlet &amp; Violet 151</t>
        </is>
      </c>
      <c r="I3472" s="3" t="n"/>
      <c r="J3472" s="3" t="n">
        <v>28.32</v>
      </c>
      <c r="K3472" s="3" t="n">
        <v>30</v>
      </c>
      <c r="L3472" s="3" t="n">
        <v>6</v>
      </c>
      <c r="M3472" s="2" t="inlineStr">
        <is>
          <t>TCGplayer</t>
        </is>
      </c>
      <c r="O3472" s="4" t="inlineStr">
        <is>
          <t>https://www.tcgplayer.com/product/504467</t>
        </is>
      </c>
    </row>
    <row r="3473">
      <c r="A3473" s="2" t="inlineStr">
        <is>
          <t>Shrouded Fable 3 Pack Blister [Pecharunt]</t>
        </is>
      </c>
      <c r="B3473" s="3">
        <f>IF(I3473&lt;&gt;"",I3473,IF(J3473&lt;&gt;"",J3473,IF(K3473&lt;&gt;"",K3473,L3473)))</f>
        <v>34.74</v>
      </c>
      <c r="C3473" s="3">
        <f>MEDIAN(I3473:L3473)</f>
        <v>54.99</v>
      </c>
      <c r="D3473" s="3">
        <f>ROUND(C3473*(1-Settings!$B$2),2)</f>
        <v>38.49</v>
      </c>
      <c r="E3473" s="3">
        <f>ROUND(C3473*(1-Settings!$B$3),2)</f>
        <v>38.49</v>
      </c>
      <c r="F3473" s="2" t="inlineStr">
        <is>
          <t>Pokemon</t>
        </is>
      </c>
      <c r="G3473" s="2" t="inlineStr">
        <is>
          <t>Pack</t>
        </is>
      </c>
      <c r="H3473" s="2" t="inlineStr">
        <is>
          <t>SV: Shrouded Fable</t>
        </is>
      </c>
      <c r="I3473" s="3" t="n"/>
      <c r="J3473" s="3" t="n">
        <v>34.74</v>
      </c>
      <c r="K3473" s="3" t="n">
        <v>55</v>
      </c>
      <c r="L3473" s="3" t="n">
        <v>54.99</v>
      </c>
      <c r="M3473" s="2" t="inlineStr">
        <is>
          <t>TCGplayer</t>
        </is>
      </c>
      <c r="O3473" s="4" t="inlineStr">
        <is>
          <t>https://www.tcgplayer.com/product/553007</t>
        </is>
      </c>
    </row>
    <row r="3474">
      <c r="A3474" s="2" t="inlineStr">
        <is>
          <t>Shrouded Fable Booster Pack</t>
        </is>
      </c>
      <c r="B3474" s="3">
        <f>IF(I3474&lt;&gt;"",I3474,IF(J3474&lt;&gt;"",J3474,IF(K3474&lt;&gt;"",K3474,L3474)))</f>
        <v>13.91</v>
      </c>
      <c r="C3474" s="3">
        <f>MEDIAN(I3474:L3474)</f>
        <v>13.915</v>
      </c>
      <c r="D3474" s="3">
        <f>ROUND(C3474*(1-Settings!$B$2),2)</f>
        <v>9.74</v>
      </c>
      <c r="E3474" s="3">
        <f>ROUND(C3474*(1-Settings!$B$3),2)</f>
        <v>9.74</v>
      </c>
      <c r="F3474" s="2" t="inlineStr">
        <is>
          <t>Pokemon</t>
        </is>
      </c>
      <c r="G3474" s="2" t="inlineStr">
        <is>
          <t>Pack</t>
        </is>
      </c>
      <c r="H3474" s="2" t="inlineStr">
        <is>
          <t>SV: Shrouded Fable</t>
        </is>
      </c>
      <c r="I3474" s="3" t="n">
        <v>13.91</v>
      </c>
      <c r="J3474" s="3" t="n">
        <v>13.92</v>
      </c>
      <c r="K3474" s="3" t="n">
        <v>14</v>
      </c>
      <c r="L3474" s="3" t="n">
        <v>13.5</v>
      </c>
      <c r="M3474" s="2" t="inlineStr">
        <is>
          <t>PriceCharting + TCGplayer</t>
        </is>
      </c>
      <c r="N3474" s="4" t="inlineStr">
        <is>
          <t>https://www.pricecharting.com/game/pokemon-shrouded-fable/booster-pack</t>
        </is>
      </c>
      <c r="O3474" s="4" t="inlineStr">
        <is>
          <t>https://www.tcgplayer.com/product/552997</t>
        </is>
      </c>
    </row>
    <row r="3475">
      <c r="A3475" s="2" t="inlineStr">
        <is>
          <t>White Flare Booster Pack</t>
        </is>
      </c>
      <c r="B3475" s="3">
        <f>IF(I3475&lt;&gt;"",I3475,IF(J3475&lt;&gt;"",J3475,IF(K3475&lt;&gt;"",K3475,L3475)))</f>
        <v>13.5</v>
      </c>
      <c r="C3475" s="3">
        <f>MEDIAN(I3475:L3475)</f>
        <v>14.254999999999999</v>
      </c>
      <c r="D3475" s="3">
        <f>ROUND(C3475*(1-Settings!$B$2),2)</f>
        <v>9.98</v>
      </c>
      <c r="E3475" s="3">
        <f>ROUND(C3475*(1-Settings!$B$3),2)</f>
        <v>9.98</v>
      </c>
      <c r="F3475" s="2" t="inlineStr">
        <is>
          <t>Pokemon</t>
        </is>
      </c>
      <c r="G3475" s="2" t="inlineStr">
        <is>
          <t>Pack</t>
        </is>
      </c>
      <c r="H3475" s="2" t="inlineStr">
        <is>
          <t>SV: White Flare</t>
        </is>
      </c>
      <c r="I3475" s="3" t="n">
        <v>13.5</v>
      </c>
      <c r="J3475" s="3" t="n">
        <v>14.51</v>
      </c>
      <c r="K3475" s="3" t="n">
        <v>15.65</v>
      </c>
      <c r="L3475" s="3" t="n">
        <v>14</v>
      </c>
      <c r="M3475" s="2" t="inlineStr">
        <is>
          <t>PriceCharting + TCGplayer</t>
        </is>
      </c>
      <c r="N3475" s="4" t="inlineStr">
        <is>
          <t>https://www.pricecharting.com/game/pokemon-white-flare/booster-pack</t>
        </is>
      </c>
      <c r="O3475" s="4" t="inlineStr">
        <is>
          <t>https://www.tcgplayer.com/product/630699</t>
        </is>
      </c>
    </row>
    <row r="3476">
      <c r="A3476" s="2" t="inlineStr">
        <is>
          <t>Sword &amp; Shield 3 Pack Blister [Galarian Ponyta]</t>
        </is>
      </c>
      <c r="B3476" s="3">
        <f>IF(I3476&lt;&gt;"",I3476,IF(J3476&lt;&gt;"",J3476,IF(K3476&lt;&gt;"",K3476,L3476)))</f>
        <v>64.96</v>
      </c>
      <c r="C3476" s="3">
        <f>MEDIAN(I3476:L3476)</f>
        <v>64.96</v>
      </c>
      <c r="D3476" s="3">
        <f>ROUND(C3476*(1-Settings!$B$2),2)</f>
        <v>45.47</v>
      </c>
      <c r="E3476" s="3">
        <f>ROUND(C3476*(1-Settings!$B$3),2)</f>
        <v>45.47</v>
      </c>
      <c r="F3476" s="2" t="inlineStr">
        <is>
          <t>Pokemon</t>
        </is>
      </c>
      <c r="G3476" s="2" t="inlineStr">
        <is>
          <t>Pack</t>
        </is>
      </c>
      <c r="H3476" s="2" t="inlineStr">
        <is>
          <t>SWSH01: Sword &amp; Shield Base Set</t>
        </is>
      </c>
      <c r="I3476" s="3" t="n"/>
      <c r="J3476" s="3" t="n">
        <v>64.95999999999999</v>
      </c>
      <c r="K3476" s="3" t="n"/>
      <c r="L3476" s="3" t="n"/>
      <c r="M3476" s="2" t="inlineStr">
        <is>
          <t>TCGplayer</t>
        </is>
      </c>
      <c r="O3476" s="4" t="inlineStr">
        <is>
          <t>https://www.tcgplayer.com/product/206030</t>
        </is>
      </c>
    </row>
    <row r="3477">
      <c r="A3477" s="2" t="inlineStr">
        <is>
          <t>Sword &amp; Shield 3 Pack Blister [Morpeko]</t>
        </is>
      </c>
      <c r="B3477" s="3">
        <f>IF(I3477&lt;&gt;"",I3477,IF(J3477&lt;&gt;"",J3477,IF(K3477&lt;&gt;"",K3477,L3477)))</f>
        <v>64.99</v>
      </c>
      <c r="C3477" s="3">
        <f>MEDIAN(I3477:L3477)</f>
        <v>64.99</v>
      </c>
      <c r="D3477" s="3">
        <f>ROUND(C3477*(1-Settings!$B$2),2)</f>
        <v>45.49</v>
      </c>
      <c r="E3477" s="3">
        <f>ROUND(C3477*(1-Settings!$B$3),2)</f>
        <v>45.49</v>
      </c>
      <c r="F3477" s="2" t="inlineStr">
        <is>
          <t>Pokemon</t>
        </is>
      </c>
      <c r="G3477" s="2" t="inlineStr">
        <is>
          <t>Pack</t>
        </is>
      </c>
      <c r="H3477" s="2" t="inlineStr">
        <is>
          <t>SWSH01: Sword &amp; Shield Base Set</t>
        </is>
      </c>
      <c r="I3477" s="3" t="n"/>
      <c r="J3477" s="3" t="n">
        <v>64.98999999999999</v>
      </c>
      <c r="K3477" s="3" t="n">
        <v>79.97</v>
      </c>
      <c r="L3477" s="3" t="n">
        <v>60</v>
      </c>
      <c r="M3477" s="2" t="inlineStr">
        <is>
          <t>TCGplayer</t>
        </is>
      </c>
      <c r="O3477" s="4" t="inlineStr">
        <is>
          <t>https://www.tcgplayer.com/product/206029</t>
        </is>
      </c>
    </row>
    <row r="3478">
      <c r="A3478" s="2" t="inlineStr">
        <is>
          <t>Sword &amp; Shield Booster Pack</t>
        </is>
      </c>
      <c r="B3478" s="3">
        <f>IF(I3478&lt;&gt;"",I3478,IF(J3478&lt;&gt;"",J3478,IF(K3478&lt;&gt;"",K3478,L3478)))</f>
        <v>11.63</v>
      </c>
      <c r="C3478" s="3">
        <f>MEDIAN(I3478:L3478)</f>
        <v>11.63</v>
      </c>
      <c r="D3478" s="3">
        <f>ROUND(C3478*(1-Settings!$B$2),2)</f>
        <v>8.14</v>
      </c>
      <c r="E3478" s="3">
        <f>ROUND(C3478*(1-Settings!$B$3),2)</f>
        <v>8.14</v>
      </c>
      <c r="F3478" s="2" t="inlineStr">
        <is>
          <t>Pokemon</t>
        </is>
      </c>
      <c r="G3478" s="2" t="inlineStr">
        <is>
          <t>Pack</t>
        </is>
      </c>
      <c r="H3478" s="2" t="inlineStr">
        <is>
          <t>SWSH01: Sword &amp; Shield Base Set</t>
        </is>
      </c>
      <c r="I3478" s="3" t="n"/>
      <c r="J3478" s="3" t="n">
        <v>11.63</v>
      </c>
      <c r="K3478" s="3" t="n">
        <v>13.02</v>
      </c>
      <c r="L3478" s="3" t="n">
        <v>9.039999999999999</v>
      </c>
      <c r="M3478" s="2" t="inlineStr">
        <is>
          <t>TCGplayer</t>
        </is>
      </c>
      <c r="O3478" s="4" t="inlineStr">
        <is>
          <t>https://www.tcgplayer.com/product/206028</t>
        </is>
      </c>
    </row>
    <row r="3479">
      <c r="A3479" s="2" t="inlineStr">
        <is>
          <t>Sword &amp; Shield Single Blister Pack [Gossifleur]</t>
        </is>
      </c>
      <c r="B3479" s="3">
        <f>IF(I3479&lt;&gt;"",I3479,IF(J3479&lt;&gt;"",J3479,IF(K3479&lt;&gt;"",K3479,L3479)))</f>
        <v>17.5</v>
      </c>
      <c r="C3479" s="3">
        <f>MEDIAN(I3479:L3479)</f>
        <v>29.99</v>
      </c>
      <c r="D3479" s="3">
        <f>ROUND(C3479*(1-Settings!$B$2),2)</f>
        <v>20.99</v>
      </c>
      <c r="E3479" s="3">
        <f>ROUND(C3479*(1-Settings!$B$3),2)</f>
        <v>20.99</v>
      </c>
      <c r="F3479" s="2" t="inlineStr">
        <is>
          <t>Pokemon</t>
        </is>
      </c>
      <c r="G3479" s="2" t="inlineStr">
        <is>
          <t>Pack</t>
        </is>
      </c>
      <c r="H3479" s="2" t="inlineStr">
        <is>
          <t>SWSH01: Sword &amp; Shield Base Set</t>
        </is>
      </c>
      <c r="I3479" s="3" t="n"/>
      <c r="J3479" s="3" t="n">
        <v>17.5</v>
      </c>
      <c r="K3479" s="3" t="n">
        <v>38.99</v>
      </c>
      <c r="L3479" s="3" t="n">
        <v>29.99</v>
      </c>
      <c r="M3479" s="2" t="inlineStr">
        <is>
          <t>TCGplayer</t>
        </is>
      </c>
      <c r="O3479" s="4" t="inlineStr">
        <is>
          <t>https://www.tcgplayer.com/product/206032</t>
        </is>
      </c>
    </row>
    <row r="3480">
      <c r="A3480" s="2" t="inlineStr">
        <is>
          <t>Sword &amp; Shield Single Blister Pack [Wooloo]</t>
        </is>
      </c>
      <c r="B3480" s="3">
        <f>IF(I3480&lt;&gt;"",I3480,IF(J3480&lt;&gt;"",J3480,IF(K3480&lt;&gt;"",K3480,L3480)))</f>
        <v>18.49</v>
      </c>
      <c r="C3480" s="3">
        <f>MEDIAN(I3480:L3480)</f>
        <v>19.99</v>
      </c>
      <c r="D3480" s="3">
        <f>ROUND(C3480*(1-Settings!$B$2),2)</f>
        <v>13.99</v>
      </c>
      <c r="E3480" s="3">
        <f>ROUND(C3480*(1-Settings!$B$3),2)</f>
        <v>13.99</v>
      </c>
      <c r="F3480" s="2" t="inlineStr">
        <is>
          <t>Pokemon</t>
        </is>
      </c>
      <c r="G3480" s="2" t="inlineStr">
        <is>
          <t>Pack</t>
        </is>
      </c>
      <c r="H3480" s="2" t="inlineStr">
        <is>
          <t>SWSH01: Sword &amp; Shield Base Set</t>
        </is>
      </c>
      <c r="I3480" s="3" t="n"/>
      <c r="J3480" s="3" t="n">
        <v>18.49</v>
      </c>
      <c r="K3480" s="3" t="n">
        <v>24.48</v>
      </c>
      <c r="L3480" s="3" t="n">
        <v>19.99</v>
      </c>
      <c r="M3480" s="2" t="inlineStr">
        <is>
          <t>TCGplayer</t>
        </is>
      </c>
      <c r="O3480" s="4" t="inlineStr">
        <is>
          <t>https://www.tcgplayer.com/product/206031</t>
        </is>
      </c>
    </row>
    <row r="3481">
      <c r="A3481" s="2" t="inlineStr">
        <is>
          <t>Sword and Shield Base Set Sleeved Booster Pack</t>
        </is>
      </c>
      <c r="B3481" s="3">
        <f>IF(I3481&lt;&gt;"",I3481,IF(J3481&lt;&gt;"",J3481,IF(K3481&lt;&gt;"",K3481,L3481)))</f>
        <v>16.96</v>
      </c>
      <c r="C3481" s="3">
        <f>MEDIAN(I3481:L3481)</f>
        <v>16.96</v>
      </c>
      <c r="D3481" s="3">
        <f>ROUND(C3481*(1-Settings!$B$2),2)</f>
        <v>11.87</v>
      </c>
      <c r="E3481" s="3">
        <f>ROUND(C3481*(1-Settings!$B$3),2)</f>
        <v>11.87</v>
      </c>
      <c r="F3481" s="2" t="inlineStr">
        <is>
          <t>Pokemon</t>
        </is>
      </c>
      <c r="G3481" s="2" t="inlineStr">
        <is>
          <t>Pack</t>
        </is>
      </c>
      <c r="H3481" s="2" t="inlineStr">
        <is>
          <t>SWSH01: Sword &amp; Shield Base Set</t>
        </is>
      </c>
      <c r="I3481" s="3" t="n"/>
      <c r="J3481" s="3" t="n">
        <v>16.96</v>
      </c>
      <c r="K3481" s="3" t="n">
        <v>19</v>
      </c>
      <c r="L3481" s="3" t="n">
        <v>15.75</v>
      </c>
      <c r="M3481" s="2" t="inlineStr">
        <is>
          <t>TCGplayer</t>
        </is>
      </c>
      <c r="O3481" s="4" t="inlineStr">
        <is>
          <t>https://www.tcgplayer.com/product/263544</t>
        </is>
      </c>
    </row>
    <row r="3482">
      <c r="A3482" s="2" t="inlineStr">
        <is>
          <t>Rebel Clash 3 Pack Blister [Duraludon]</t>
        </is>
      </c>
      <c r="B3482" s="3">
        <f>IF(I3482&lt;&gt;"",I3482,IF(J3482&lt;&gt;"",J3482,IF(K3482&lt;&gt;"",K3482,L3482)))</f>
        <v>32.23</v>
      </c>
      <c r="C3482" s="3">
        <f>MEDIAN(I3482:L3482)</f>
        <v>67.0</v>
      </c>
      <c r="D3482" s="3">
        <f>ROUND(C3482*(1-Settings!$B$2),2)</f>
        <v>46.9</v>
      </c>
      <c r="E3482" s="3">
        <f>ROUND(C3482*(1-Settings!$B$3),2)</f>
        <v>46.9</v>
      </c>
      <c r="F3482" s="2" t="inlineStr">
        <is>
          <t>Pokemon</t>
        </is>
      </c>
      <c r="G3482" s="2" t="inlineStr">
        <is>
          <t>Pack</t>
        </is>
      </c>
      <c r="H3482" s="2" t="inlineStr">
        <is>
          <t>SWSH02: Rebel Clash</t>
        </is>
      </c>
      <c r="I3482" s="3" t="n">
        <v>32.23</v>
      </c>
      <c r="J3482" s="3" t="n">
        <v>59</v>
      </c>
      <c r="K3482" s="3" t="n">
        <v>82.47</v>
      </c>
      <c r="L3482" s="3" t="n">
        <v>75</v>
      </c>
      <c r="M3482" s="2" t="inlineStr">
        <is>
          <t>PriceCharting + TCGplayer</t>
        </is>
      </c>
      <c r="N3482" s="4" t="inlineStr">
        <is>
          <t>https://www.pricecharting.com/game/pokemon-rebel-clash/3-pack-blister-duraludon</t>
        </is>
      </c>
      <c r="O3482" s="4" t="inlineStr">
        <is>
          <t>https://www.tcgplayer.com/product/210567</t>
        </is>
      </c>
    </row>
    <row r="3483">
      <c r="A3483" s="2" t="inlineStr">
        <is>
          <t>Rebel Clash 3 Pack Blister [Rayquaza]</t>
        </is>
      </c>
      <c r="B3483" s="3">
        <f>IF(I3483&lt;&gt;"",I3483,IF(J3483&lt;&gt;"",J3483,IF(K3483&lt;&gt;"",K3483,L3483)))</f>
        <v>68.98</v>
      </c>
      <c r="C3483" s="3">
        <f>MEDIAN(I3483:L3483)</f>
        <v>84.465</v>
      </c>
      <c r="D3483" s="3">
        <f>ROUND(C3483*(1-Settings!$B$2),2)</f>
        <v>59.13</v>
      </c>
      <c r="E3483" s="3">
        <f>ROUND(C3483*(1-Settings!$B$3),2)</f>
        <v>59.13</v>
      </c>
      <c r="F3483" s="2" t="inlineStr">
        <is>
          <t>Pokemon</t>
        </is>
      </c>
      <c r="G3483" s="2" t="inlineStr">
        <is>
          <t>Pack</t>
        </is>
      </c>
      <c r="H3483" s="2" t="inlineStr">
        <is>
          <t>SWSH02: Rebel Clash</t>
        </is>
      </c>
      <c r="I3483" s="3" t="n">
        <v>68.98</v>
      </c>
      <c r="J3483" s="3" t="n">
        <v>49.93</v>
      </c>
      <c r="K3483" s="3" t="n">
        <v>114.97</v>
      </c>
      <c r="L3483" s="3" t="n">
        <v>99.95</v>
      </c>
      <c r="M3483" s="2" t="inlineStr">
        <is>
          <t>PriceCharting + TCGplayer</t>
        </is>
      </c>
      <c r="N3483" s="4" t="inlineStr">
        <is>
          <t>https://www.pricecharting.com/game/pokemon-rebel-clash/3-pack-blister-rayquaza</t>
        </is>
      </c>
      <c r="O3483" s="4" t="inlineStr">
        <is>
          <t>https://www.tcgplayer.com/product/210568</t>
        </is>
      </c>
    </row>
    <row r="3484">
      <c r="A3484" s="2" t="inlineStr">
        <is>
          <t>Rebel Clash Booster Pack</t>
        </is>
      </c>
      <c r="B3484" s="3">
        <f>IF(I3484&lt;&gt;"",I3484,IF(J3484&lt;&gt;"",J3484,IF(K3484&lt;&gt;"",K3484,L3484)))</f>
        <v>11.23</v>
      </c>
      <c r="C3484" s="3">
        <f>MEDIAN(I3484:L3484)</f>
        <v>11.61</v>
      </c>
      <c r="D3484" s="3">
        <f>ROUND(C3484*(1-Settings!$B$2),2)</f>
        <v>8.13</v>
      </c>
      <c r="E3484" s="3">
        <f>ROUND(C3484*(1-Settings!$B$3),2)</f>
        <v>8.13</v>
      </c>
      <c r="F3484" s="2" t="inlineStr">
        <is>
          <t>Pokemon</t>
        </is>
      </c>
      <c r="G3484" s="2" t="inlineStr">
        <is>
          <t>Pack</t>
        </is>
      </c>
      <c r="H3484" s="2" t="inlineStr">
        <is>
          <t>SWSH02: Rebel Clash</t>
        </is>
      </c>
      <c r="I3484" s="3" t="n">
        <v>11.23</v>
      </c>
      <c r="J3484" s="3" t="n">
        <v>12.76</v>
      </c>
      <c r="K3484" s="3" t="n">
        <v>11.99</v>
      </c>
      <c r="L3484" s="3" t="n">
        <v>8</v>
      </c>
      <c r="M3484" s="2" t="inlineStr">
        <is>
          <t>PriceCharting + TCGplayer</t>
        </is>
      </c>
      <c r="N3484" s="4" t="inlineStr">
        <is>
          <t>https://www.pricecharting.com/game/pokemon-rebel-clash/booster-pack</t>
        </is>
      </c>
      <c r="O3484" s="4" t="inlineStr">
        <is>
          <t>https://www.tcgplayer.com/product/210562</t>
        </is>
      </c>
    </row>
    <row r="3485">
      <c r="A3485" s="2" t="inlineStr">
        <is>
          <t>Rebel Clash Premium Checklane Blister [Gengar]</t>
        </is>
      </c>
      <c r="B3485" s="3">
        <f>IF(I3485&lt;&gt;"",I3485,IF(J3485&lt;&gt;"",J3485,IF(K3485&lt;&gt;"",K3485,L3485)))</f>
        <v>77.16</v>
      </c>
      <c r="C3485" s="3">
        <f>MEDIAN(I3485:L3485)</f>
        <v>139.0</v>
      </c>
      <c r="D3485" s="3">
        <f>ROUND(C3485*(1-Settings!$B$2),2)</f>
        <v>97.3</v>
      </c>
      <c r="E3485" s="3">
        <f>ROUND(C3485*(1-Settings!$B$3),2)</f>
        <v>97.3</v>
      </c>
      <c r="F3485" s="2" t="inlineStr">
        <is>
          <t>Pokemon</t>
        </is>
      </c>
      <c r="G3485" s="2" t="inlineStr">
        <is>
          <t>Pack</t>
        </is>
      </c>
      <c r="H3485" s="2" t="inlineStr">
        <is>
          <t>SWSH02: Rebel Clash</t>
        </is>
      </c>
      <c r="I3485" s="3" t="n"/>
      <c r="J3485" s="3" t="n">
        <v>77.16</v>
      </c>
      <c r="K3485" s="3" t="n">
        <v>144.5</v>
      </c>
      <c r="L3485" s="3" t="n">
        <v>139</v>
      </c>
      <c r="M3485" s="2" t="inlineStr">
        <is>
          <t>TCGplayer</t>
        </is>
      </c>
      <c r="O3485" s="4" t="inlineStr">
        <is>
          <t>https://www.tcgplayer.com/product/276575</t>
        </is>
      </c>
    </row>
    <row r="3486">
      <c r="A3486" s="2" t="inlineStr">
        <is>
          <t>Rebel Clash Single Pack Blister [Mantine]</t>
        </is>
      </c>
      <c r="B3486" s="3">
        <f>IF(I3486&lt;&gt;"",I3486,IF(J3486&lt;&gt;"",J3486,IF(K3486&lt;&gt;"",K3486,L3486)))</f>
        <v>67.48</v>
      </c>
      <c r="C3486" s="3">
        <f>MEDIAN(I3486:L3486)</f>
        <v>63.725</v>
      </c>
      <c r="D3486" s="3">
        <f>ROUND(C3486*(1-Settings!$B$2),2)</f>
        <v>44.61</v>
      </c>
      <c r="E3486" s="3">
        <f>ROUND(C3486*(1-Settings!$B$3),2)</f>
        <v>44.61</v>
      </c>
      <c r="F3486" s="2" t="inlineStr">
        <is>
          <t>Pokemon</t>
        </is>
      </c>
      <c r="G3486" s="2" t="inlineStr">
        <is>
          <t>Pack</t>
        </is>
      </c>
      <c r="H3486" s="2" t="inlineStr">
        <is>
          <t>SWSH02: Rebel Clash</t>
        </is>
      </c>
      <c r="I3486" s="3" t="n"/>
      <c r="J3486" s="3" t="n"/>
      <c r="K3486" s="3" t="n">
        <v>67.48</v>
      </c>
      <c r="L3486" s="3" t="n">
        <v>59.97</v>
      </c>
      <c r="M3486" s="2" t="inlineStr">
        <is>
          <t>TCGplayer</t>
        </is>
      </c>
      <c r="O3486" s="4" t="inlineStr">
        <is>
          <t>https://www.tcgplayer.com/product/210564</t>
        </is>
      </c>
    </row>
    <row r="3487">
      <c r="A3487" s="2" t="inlineStr">
        <is>
          <t>Rebel Clash Single Pack Blister [Noctowl]</t>
        </is>
      </c>
      <c r="B3487" s="3">
        <f>IF(I3487&lt;&gt;"",I3487,IF(J3487&lt;&gt;"",J3487,IF(K3487&lt;&gt;"",K3487,L3487)))</f>
        <v>20.0</v>
      </c>
      <c r="C3487" s="3">
        <f>MEDIAN(I3487:L3487)</f>
        <v>75.0</v>
      </c>
      <c r="D3487" s="3">
        <f>ROUND(C3487*(1-Settings!$B$2),2)</f>
        <v>52.5</v>
      </c>
      <c r="E3487" s="3">
        <f>ROUND(C3487*(1-Settings!$B$3),2)</f>
        <v>52.5</v>
      </c>
      <c r="F3487" s="2" t="inlineStr">
        <is>
          <t>Pokemon</t>
        </is>
      </c>
      <c r="G3487" s="2" t="inlineStr">
        <is>
          <t>Pack</t>
        </is>
      </c>
      <c r="H3487" s="2" t="inlineStr">
        <is>
          <t>SWSH02: Rebel Clash</t>
        </is>
      </c>
      <c r="I3487" s="3" t="n"/>
      <c r="J3487" s="3" t="n">
        <v>20</v>
      </c>
      <c r="K3487" s="3" t="n">
        <v>75</v>
      </c>
      <c r="L3487" s="3" t="n">
        <v>75</v>
      </c>
      <c r="M3487" s="2" t="inlineStr">
        <is>
          <t>TCGplayer</t>
        </is>
      </c>
      <c r="O3487" s="4" t="inlineStr">
        <is>
          <t>https://www.tcgplayer.com/product/210565</t>
        </is>
      </c>
    </row>
    <row r="3488">
      <c r="A3488" s="2" t="inlineStr">
        <is>
          <t>Rebel Clash Sleeved Booster Pack</t>
        </is>
      </c>
      <c r="B3488" s="3">
        <f>IF(I3488&lt;&gt;"",I3488,IF(J3488&lt;&gt;"",J3488,IF(K3488&lt;&gt;"",K3488,L3488)))</f>
        <v>10.78</v>
      </c>
      <c r="C3488" s="3">
        <f>MEDIAN(I3488:L3488)</f>
        <v>11.925</v>
      </c>
      <c r="D3488" s="3">
        <f>ROUND(C3488*(1-Settings!$B$2),2)</f>
        <v>8.35</v>
      </c>
      <c r="E3488" s="3">
        <f>ROUND(C3488*(1-Settings!$B$3),2)</f>
        <v>8.35</v>
      </c>
      <c r="F3488" s="2" t="inlineStr">
        <is>
          <t>Pokemon</t>
        </is>
      </c>
      <c r="G3488" s="2" t="inlineStr">
        <is>
          <t>Pack</t>
        </is>
      </c>
      <c r="H3488" s="2" t="inlineStr">
        <is>
          <t>SWSH02: Rebel Clash</t>
        </is>
      </c>
      <c r="I3488" s="3" t="n">
        <v>10.78</v>
      </c>
      <c r="J3488" s="3" t="n">
        <v>12.85</v>
      </c>
      <c r="K3488" s="3" t="n">
        <v>16.64</v>
      </c>
      <c r="L3488" s="3" t="n">
        <v>11</v>
      </c>
      <c r="M3488" s="2" t="inlineStr">
        <is>
          <t>PriceCharting + TCGplayer</t>
        </is>
      </c>
      <c r="N3488" s="4" t="inlineStr">
        <is>
          <t>https://www.pricecharting.com/game/pokemon-rebel-clash/sleeved-booster-pack</t>
        </is>
      </c>
      <c r="O3488" s="4" t="inlineStr">
        <is>
          <t>https://www.tcgplayer.com/product/264421</t>
        </is>
      </c>
    </row>
    <row r="3489">
      <c r="A3489" s="2" t="inlineStr">
        <is>
          <t>Sword &amp; Shield Single Blister Pack [Galarian Meowth &amp; Galarian Perrserker]</t>
        </is>
      </c>
      <c r="B3489" s="3">
        <f>IF(I3489&lt;&gt;"",I3489,IF(J3489&lt;&gt;"",J3489,IF(K3489&lt;&gt;"",K3489,L3489)))</f>
        <v>85.0</v>
      </c>
      <c r="C3489" s="3">
        <f>MEDIAN(I3489:L3489)</f>
        <v>85.0</v>
      </c>
      <c r="D3489" s="3">
        <f>ROUND(C3489*(1-Settings!$B$2),2)</f>
        <v>59.5</v>
      </c>
      <c r="E3489" s="3">
        <f>ROUND(C3489*(1-Settings!$B$3),2)</f>
        <v>59.5</v>
      </c>
      <c r="F3489" s="2" t="inlineStr">
        <is>
          <t>Pokemon</t>
        </is>
      </c>
      <c r="G3489" s="2" t="inlineStr">
        <is>
          <t>Pack</t>
        </is>
      </c>
      <c r="H3489" s="2" t="inlineStr">
        <is>
          <t>SWSH02: Rebel Clash</t>
        </is>
      </c>
      <c r="I3489" s="3" t="n"/>
      <c r="J3489" s="3" t="n"/>
      <c r="K3489" s="3" t="n">
        <v>85</v>
      </c>
      <c r="L3489" s="3" t="n">
        <v>85</v>
      </c>
      <c r="M3489" s="2" t="inlineStr">
        <is>
          <t>TCGplayer</t>
        </is>
      </c>
      <c r="O3489" s="4" t="inlineStr">
        <is>
          <t>https://www.tcgplayer.com/product/668520</t>
        </is>
      </c>
    </row>
    <row r="3490">
      <c r="A3490" s="2" t="inlineStr">
        <is>
          <t>Darkness Ablaze Booster Pack</t>
        </is>
      </c>
      <c r="B3490" s="3">
        <f>IF(I3490&lt;&gt;"",I3490,IF(J3490&lt;&gt;"",J3490,IF(K3490&lt;&gt;"",K3490,L3490)))</f>
        <v>10.48</v>
      </c>
      <c r="C3490" s="3">
        <f>MEDIAN(I3490:L3490)</f>
        <v>10.184999999999999</v>
      </c>
      <c r="D3490" s="3">
        <f>ROUND(C3490*(1-Settings!$B$2),2)</f>
        <v>7.13</v>
      </c>
      <c r="E3490" s="3">
        <f>ROUND(C3490*(1-Settings!$B$3),2)</f>
        <v>7.13</v>
      </c>
      <c r="F3490" s="2" t="inlineStr">
        <is>
          <t>Pokemon</t>
        </is>
      </c>
      <c r="G3490" s="2" t="inlineStr">
        <is>
          <t>Pack</t>
        </is>
      </c>
      <c r="H3490" s="2" t="inlineStr">
        <is>
          <t>SWSH03: Darkness Ablaze</t>
        </is>
      </c>
      <c r="I3490" s="3" t="n">
        <v>10.48</v>
      </c>
      <c r="J3490" s="3" t="n">
        <v>10.04</v>
      </c>
      <c r="K3490" s="3" t="n">
        <v>10.33</v>
      </c>
      <c r="L3490" s="3" t="n">
        <v>7.54</v>
      </c>
      <c r="M3490" s="2" t="inlineStr">
        <is>
          <t>PriceCharting + TCGplayer</t>
        </is>
      </c>
      <c r="N3490" s="4" t="inlineStr">
        <is>
          <t>https://www.pricecharting.com/game/pokemon-darkness-ablaze/booster-pack</t>
        </is>
      </c>
      <c r="O3490" s="4" t="inlineStr">
        <is>
          <t>https://www.tcgplayer.com/product/216852</t>
        </is>
      </c>
    </row>
    <row r="3491">
      <c r="A3491" s="2" t="inlineStr">
        <is>
          <t>Darkness Ablaze Fun Pack</t>
        </is>
      </c>
      <c r="B3491" s="3">
        <f>IF(I3491&lt;&gt;"",I3491,IF(J3491&lt;&gt;"",J3491,IF(K3491&lt;&gt;"",K3491,L3491)))</f>
        <v>3.99</v>
      </c>
      <c r="C3491" s="3">
        <f>MEDIAN(I3491:L3491)</f>
        <v>51.495</v>
      </c>
      <c r="D3491" s="3">
        <f>ROUND(C3491*(1-Settings!$B$2),2)</f>
        <v>36.05</v>
      </c>
      <c r="E3491" s="3">
        <f>ROUND(C3491*(1-Settings!$B$3),2)</f>
        <v>36.05</v>
      </c>
      <c r="F3491" s="2" t="inlineStr">
        <is>
          <t>Pokemon</t>
        </is>
      </c>
      <c r="G3491" s="2" t="inlineStr">
        <is>
          <t>Pack</t>
        </is>
      </c>
      <c r="H3491" s="2" t="inlineStr">
        <is>
          <t>SWSH03: Darkness Ablaze</t>
        </is>
      </c>
      <c r="I3491" s="3" t="n">
        <v>3.99</v>
      </c>
      <c r="J3491" s="3" t="n">
        <v>3.55</v>
      </c>
      <c r="K3491" s="3" t="n">
        <v>99</v>
      </c>
      <c r="L3491" s="3" t="n">
        <v>99</v>
      </c>
      <c r="M3491" s="2" t="inlineStr">
        <is>
          <t>PriceCharting + TCGplayer</t>
        </is>
      </c>
      <c r="N3491" s="4" t="inlineStr">
        <is>
          <t>https://www.pricecharting.com/game/pokemon-darkness-ablaze/fun-pack</t>
        </is>
      </c>
      <c r="O3491" s="4" t="inlineStr">
        <is>
          <t>https://www.tcgplayer.com/product/653206</t>
        </is>
      </c>
    </row>
    <row r="3492">
      <c r="A3492" s="2" t="inlineStr">
        <is>
          <t>Darkness Ablaze Premium Checklane Blister</t>
        </is>
      </c>
      <c r="B3492" s="3">
        <f>IF(I3492&lt;&gt;"",I3492,IF(J3492&lt;&gt;"",J3492,IF(K3492&lt;&gt;"",K3492,L3492)))</f>
        <v>23.0</v>
      </c>
      <c r="C3492" s="3">
        <f>MEDIAN(I3492:L3492)</f>
        <v>25.5</v>
      </c>
      <c r="D3492" s="3">
        <f>ROUND(C3492*(1-Settings!$B$2),2)</f>
        <v>17.85</v>
      </c>
      <c r="E3492" s="3">
        <f>ROUND(C3492*(1-Settings!$B$3),2)</f>
        <v>17.85</v>
      </c>
      <c r="F3492" s="2" t="inlineStr">
        <is>
          <t>Pokemon</t>
        </is>
      </c>
      <c r="G3492" s="2" t="inlineStr">
        <is>
          <t>Pack</t>
        </is>
      </c>
      <c r="H3492" s="2" t="inlineStr">
        <is>
          <t>SWSH03: Darkness Ablaze</t>
        </is>
      </c>
      <c r="I3492" s="3" t="n"/>
      <c r="J3492" s="3" t="n">
        <v>23</v>
      </c>
      <c r="K3492" s="3" t="n">
        <v>25.5</v>
      </c>
      <c r="L3492" s="3" t="n">
        <v>25.5</v>
      </c>
      <c r="M3492" s="2" t="inlineStr">
        <is>
          <t>TCGplayer</t>
        </is>
      </c>
      <c r="O3492" s="4" t="inlineStr">
        <is>
          <t>https://www.tcgplayer.com/product/216863</t>
        </is>
      </c>
    </row>
    <row r="3493">
      <c r="A3493" s="2" t="inlineStr">
        <is>
          <t>Darkness Ablaze Premium Checklane Blister [Dragapult]</t>
        </is>
      </c>
      <c r="B3493" s="3">
        <f>IF(I3493&lt;&gt;"",I3493,IF(J3493&lt;&gt;"",J3493,IF(K3493&lt;&gt;"",K3493,L3493)))</f>
        <v>20.0</v>
      </c>
      <c r="C3493" s="3">
        <f>MEDIAN(I3493:L3493)</f>
        <v>20.0</v>
      </c>
      <c r="D3493" s="3">
        <f>ROUND(C3493*(1-Settings!$B$2),2)</f>
        <v>14.0</v>
      </c>
      <c r="E3493" s="3">
        <f>ROUND(C3493*(1-Settings!$B$3),2)</f>
        <v>14.0</v>
      </c>
      <c r="F3493" s="2" t="inlineStr">
        <is>
          <t>Pokemon</t>
        </is>
      </c>
      <c r="G3493" s="2" t="inlineStr">
        <is>
          <t>Pack</t>
        </is>
      </c>
      <c r="H3493" s="2" t="inlineStr">
        <is>
          <t>SWSH03: Darkness Ablaze</t>
        </is>
      </c>
      <c r="I3493" s="3" t="n"/>
      <c r="J3493" s="3" t="n">
        <v>20</v>
      </c>
      <c r="K3493" s="3" t="n"/>
      <c r="L3493" s="3" t="n"/>
      <c r="M3493" s="2" t="inlineStr">
        <is>
          <t>TCGplayer</t>
        </is>
      </c>
      <c r="O3493" s="4" t="inlineStr">
        <is>
          <t>https://www.tcgplayer.com/product/220108</t>
        </is>
      </c>
    </row>
    <row r="3494">
      <c r="A3494" s="2" t="inlineStr">
        <is>
          <t>Darkness Ablaze Premium Checklane Blister [Grimmsnarl]</t>
        </is>
      </c>
      <c r="B3494" s="3">
        <f>IF(I3494&lt;&gt;"",I3494,IF(J3494&lt;&gt;"",J3494,IF(K3494&lt;&gt;"",K3494,L3494)))</f>
        <v>20.0</v>
      </c>
      <c r="C3494" s="3">
        <f>MEDIAN(I3494:L3494)</f>
        <v>20.0</v>
      </c>
      <c r="D3494" s="3">
        <f>ROUND(C3494*(1-Settings!$B$2),2)</f>
        <v>14.0</v>
      </c>
      <c r="E3494" s="3">
        <f>ROUND(C3494*(1-Settings!$B$3),2)</f>
        <v>14.0</v>
      </c>
      <c r="F3494" s="2" t="inlineStr">
        <is>
          <t>Pokemon</t>
        </is>
      </c>
      <c r="G3494" s="2" t="inlineStr">
        <is>
          <t>Pack</t>
        </is>
      </c>
      <c r="H3494" s="2" t="inlineStr">
        <is>
          <t>SWSH03: Darkness Ablaze</t>
        </is>
      </c>
      <c r="I3494" s="3" t="n"/>
      <c r="J3494" s="3" t="n">
        <v>20</v>
      </c>
      <c r="K3494" s="3" t="n"/>
      <c r="L3494" s="3" t="n"/>
      <c r="M3494" s="2" t="inlineStr">
        <is>
          <t>TCGplayer</t>
        </is>
      </c>
      <c r="O3494" s="4" t="inlineStr">
        <is>
          <t>https://www.tcgplayer.com/product/220109</t>
        </is>
      </c>
    </row>
    <row r="3495">
      <c r="A3495" s="2" t="inlineStr">
        <is>
          <t>Darkness Ablaze Single Pack Blister [Hatenna]</t>
        </is>
      </c>
      <c r="B3495" s="3">
        <f>IF(I3495&lt;&gt;"",I3495,IF(J3495&lt;&gt;"",J3495,IF(K3495&lt;&gt;"",K3495,L3495)))</f>
        <v>13.64</v>
      </c>
      <c r="C3495" s="3">
        <f>MEDIAN(I3495:L3495)</f>
        <v>16.99</v>
      </c>
      <c r="D3495" s="3">
        <f>ROUND(C3495*(1-Settings!$B$2),2)</f>
        <v>11.89</v>
      </c>
      <c r="E3495" s="3">
        <f>ROUND(C3495*(1-Settings!$B$3),2)</f>
        <v>11.89</v>
      </c>
      <c r="F3495" s="2" t="inlineStr">
        <is>
          <t>Pokemon</t>
        </is>
      </c>
      <c r="G3495" s="2" t="inlineStr">
        <is>
          <t>Pack</t>
        </is>
      </c>
      <c r="H3495" s="2" t="inlineStr">
        <is>
          <t>SWSH03: Darkness Ablaze</t>
        </is>
      </c>
      <c r="I3495" s="3" t="n"/>
      <c r="J3495" s="3" t="n">
        <v>13.64</v>
      </c>
      <c r="K3495" s="3" t="n">
        <v>20</v>
      </c>
      <c r="L3495" s="3" t="n">
        <v>16.99</v>
      </c>
      <c r="M3495" s="2" t="inlineStr">
        <is>
          <t>TCGplayer</t>
        </is>
      </c>
      <c r="O3495" s="4" t="inlineStr">
        <is>
          <t>https://www.tcgplayer.com/product/216859</t>
        </is>
      </c>
    </row>
    <row r="3496">
      <c r="A3496" s="2" t="inlineStr">
        <is>
          <t>Darkness Ablaze Sleeved Booster Pack</t>
        </is>
      </c>
      <c r="B3496" s="3">
        <f>IF(I3496&lt;&gt;"",I3496,IF(J3496&lt;&gt;"",J3496,IF(K3496&lt;&gt;"",K3496,L3496)))</f>
        <v>11.17</v>
      </c>
      <c r="C3496" s="3">
        <f>MEDIAN(I3496:L3496)</f>
        <v>11.315000000000001</v>
      </c>
      <c r="D3496" s="3">
        <f>ROUND(C3496*(1-Settings!$B$2),2)</f>
        <v>7.92</v>
      </c>
      <c r="E3496" s="3">
        <f>ROUND(C3496*(1-Settings!$B$3),2)</f>
        <v>7.92</v>
      </c>
      <c r="F3496" s="2" t="inlineStr">
        <is>
          <t>Pokemon</t>
        </is>
      </c>
      <c r="G3496" s="2" t="inlineStr">
        <is>
          <t>Pack</t>
        </is>
      </c>
      <c r="H3496" s="2" t="inlineStr">
        <is>
          <t>SWSH03: Darkness Ablaze</t>
        </is>
      </c>
      <c r="I3496" s="3" t="n">
        <v>11.17</v>
      </c>
      <c r="J3496" s="3" t="n">
        <v>11.46</v>
      </c>
      <c r="K3496" s="3" t="n">
        <v>14.99</v>
      </c>
      <c r="L3496" s="3" t="n">
        <v>9</v>
      </c>
      <c r="M3496" s="2" t="inlineStr">
        <is>
          <t>PriceCharting + TCGplayer</t>
        </is>
      </c>
      <c r="N3496" s="4" t="inlineStr">
        <is>
          <t>https://www.pricecharting.com/game/pokemon-darkness-ablaze/sleeved-booster-pack</t>
        </is>
      </c>
      <c r="O3496" s="4" t="inlineStr">
        <is>
          <t>https://www.tcgplayer.com/product/257320</t>
        </is>
      </c>
    </row>
    <row r="3497">
      <c r="A3497" s="2" t="inlineStr">
        <is>
          <t>Sword &amp; Shield Single Blister Pack [Cufant &amp; Copperajah]</t>
        </is>
      </c>
      <c r="B3497" s="3">
        <f>IF(I3497&lt;&gt;"",I3497,IF(J3497&lt;&gt;"",J3497,IF(K3497&lt;&gt;"",K3497,L3497)))</f>
        <v>10.0</v>
      </c>
      <c r="C3497" s="3">
        <f>MEDIAN(I3497:L3497)</f>
        <v>10.0</v>
      </c>
      <c r="D3497" s="3">
        <f>ROUND(C3497*(1-Settings!$B$2),2)</f>
        <v>7.0</v>
      </c>
      <c r="E3497" s="3">
        <f>ROUND(C3497*(1-Settings!$B$3),2)</f>
        <v>7.0</v>
      </c>
      <c r="F3497" s="2" t="inlineStr">
        <is>
          <t>Pokemon</t>
        </is>
      </c>
      <c r="G3497" s="2" t="inlineStr">
        <is>
          <t>Pack</t>
        </is>
      </c>
      <c r="H3497" s="2" t="inlineStr">
        <is>
          <t>SWSH03: Darkness Ablaze</t>
        </is>
      </c>
      <c r="I3497" s="3" t="n"/>
      <c r="J3497" s="3" t="n">
        <v>10</v>
      </c>
      <c r="K3497" s="3" t="n"/>
      <c r="L3497" s="3" t="n"/>
      <c r="M3497" s="2" t="inlineStr">
        <is>
          <t>TCGplayer</t>
        </is>
      </c>
      <c r="O3497" s="4" t="inlineStr">
        <is>
          <t>https://www.tcgplayer.com/product/668526</t>
        </is>
      </c>
    </row>
    <row r="3498">
      <c r="A3498" s="2" t="inlineStr">
        <is>
          <t>Vivid Voltage 3 Pack Blister [Vaporeon]</t>
        </is>
      </c>
      <c r="B3498" s="3">
        <f>IF(I3498&lt;&gt;"",I3498,IF(J3498&lt;&gt;"",J3498,IF(K3498&lt;&gt;"",K3498,L3498)))</f>
        <v>44.55</v>
      </c>
      <c r="C3498" s="3">
        <f>MEDIAN(I3498:L3498)</f>
        <v>44.55</v>
      </c>
      <c r="D3498" s="3">
        <f>ROUND(C3498*(1-Settings!$B$2),2)</f>
        <v>31.19</v>
      </c>
      <c r="E3498" s="3">
        <f>ROUND(C3498*(1-Settings!$B$3),2)</f>
        <v>31.19</v>
      </c>
      <c r="F3498" s="2" t="inlineStr">
        <is>
          <t>Pokemon</t>
        </is>
      </c>
      <c r="G3498" s="2" t="inlineStr">
        <is>
          <t>Pack</t>
        </is>
      </c>
      <c r="H3498" s="2" t="inlineStr">
        <is>
          <t>SWSH04: Vivid Voltage</t>
        </is>
      </c>
      <c r="I3498" s="3" t="n"/>
      <c r="J3498" s="3" t="n">
        <v>44.55</v>
      </c>
      <c r="K3498" s="3" t="n">
        <v>46.99</v>
      </c>
      <c r="L3498" s="3" t="n">
        <v>39.97</v>
      </c>
      <c r="M3498" s="2" t="inlineStr">
        <is>
          <t>TCGplayer</t>
        </is>
      </c>
      <c r="O3498" s="4" t="inlineStr">
        <is>
          <t>https://www.tcgplayer.com/product/221745</t>
        </is>
      </c>
    </row>
    <row r="3499">
      <c r="A3499" s="2" t="inlineStr">
        <is>
          <t>Vivid Voltage Booster Pack</t>
        </is>
      </c>
      <c r="B3499" s="3">
        <f>IF(I3499&lt;&gt;"",I3499,IF(J3499&lt;&gt;"",J3499,IF(K3499&lt;&gt;"",K3499,L3499)))</f>
        <v>11.0</v>
      </c>
      <c r="C3499" s="3">
        <f>MEDIAN(I3499:L3499)</f>
        <v>10.935</v>
      </c>
      <c r="D3499" s="3">
        <f>ROUND(C3499*(1-Settings!$B$2),2)</f>
        <v>7.65</v>
      </c>
      <c r="E3499" s="3">
        <f>ROUND(C3499*(1-Settings!$B$3),2)</f>
        <v>7.65</v>
      </c>
      <c r="F3499" s="2" t="inlineStr">
        <is>
          <t>Pokemon</t>
        </is>
      </c>
      <c r="G3499" s="2" t="inlineStr">
        <is>
          <t>Pack</t>
        </is>
      </c>
      <c r="H3499" s="2" t="inlineStr">
        <is>
          <t>SWSH04: Vivid Voltage</t>
        </is>
      </c>
      <c r="I3499" s="3" t="n">
        <v>11</v>
      </c>
      <c r="J3499" s="3" t="n">
        <v>10.88</v>
      </c>
      <c r="K3499" s="3" t="n">
        <v>10.99</v>
      </c>
      <c r="L3499" s="3" t="n">
        <v>6</v>
      </c>
      <c r="M3499" s="2" t="inlineStr">
        <is>
          <t>PriceCharting + TCGplayer</t>
        </is>
      </c>
      <c r="N3499" s="4" t="inlineStr">
        <is>
          <t>https://www.pricecharting.com/game/pokemon-vivid-voltage/booster-pack</t>
        </is>
      </c>
      <c r="O3499" s="4" t="inlineStr">
        <is>
          <t>https://www.tcgplayer.com/product/221312</t>
        </is>
      </c>
    </row>
    <row r="3500">
      <c r="A3500" s="2" t="inlineStr">
        <is>
          <t>Vivid Voltage Premium Checklane Blister [Appletun]</t>
        </is>
      </c>
      <c r="B3500" s="3">
        <f>IF(I3500&lt;&gt;"",I3500,IF(J3500&lt;&gt;"",J3500,IF(K3500&lt;&gt;"",K3500,L3500)))</f>
        <v>10.0</v>
      </c>
      <c r="C3500" s="3">
        <f>MEDIAN(I3500:L3500)</f>
        <v>26.99</v>
      </c>
      <c r="D3500" s="3">
        <f>ROUND(C3500*(1-Settings!$B$2),2)</f>
        <v>18.89</v>
      </c>
      <c r="E3500" s="3">
        <f>ROUND(C3500*(1-Settings!$B$3),2)</f>
        <v>18.89</v>
      </c>
      <c r="F3500" s="2" t="inlineStr">
        <is>
          <t>Pokemon</t>
        </is>
      </c>
      <c r="G3500" s="2" t="inlineStr">
        <is>
          <t>Pack</t>
        </is>
      </c>
      <c r="H3500" s="2" t="inlineStr">
        <is>
          <t>SWSH04: Vivid Voltage</t>
        </is>
      </c>
      <c r="I3500" s="3" t="n"/>
      <c r="J3500" s="3" t="n">
        <v>10</v>
      </c>
      <c r="K3500" s="3" t="n">
        <v>26.99</v>
      </c>
      <c r="L3500" s="3" t="n">
        <v>26.99</v>
      </c>
      <c r="M3500" s="2" t="inlineStr">
        <is>
          <t>TCGplayer</t>
        </is>
      </c>
      <c r="O3500" s="4" t="inlineStr">
        <is>
          <t>https://www.tcgplayer.com/product/230087</t>
        </is>
      </c>
    </row>
    <row r="3501">
      <c r="A3501" s="2" t="inlineStr">
        <is>
          <t>Vivid Voltage Single Pack Blister [Grookey]</t>
        </is>
      </c>
      <c r="B3501" s="3">
        <f>IF(I3501&lt;&gt;"",I3501,IF(J3501&lt;&gt;"",J3501,IF(K3501&lt;&gt;"",K3501,L3501)))</f>
        <v>18.01</v>
      </c>
      <c r="C3501" s="3">
        <f>MEDIAN(I3501:L3501)</f>
        <v>18.01</v>
      </c>
      <c r="D3501" s="3">
        <f>ROUND(C3501*(1-Settings!$B$2),2)</f>
        <v>12.61</v>
      </c>
      <c r="E3501" s="3">
        <f>ROUND(C3501*(1-Settings!$B$3),2)</f>
        <v>12.61</v>
      </c>
      <c r="F3501" s="2" t="inlineStr">
        <is>
          <t>Pokemon</t>
        </is>
      </c>
      <c r="G3501" s="2" t="inlineStr">
        <is>
          <t>Pack</t>
        </is>
      </c>
      <c r="H3501" s="2" t="inlineStr">
        <is>
          <t>SWSH04: Vivid Voltage</t>
        </is>
      </c>
      <c r="I3501" s="3" t="n"/>
      <c r="J3501" s="3" t="n">
        <v>18.01</v>
      </c>
      <c r="K3501" s="3" t="n">
        <v>19.96</v>
      </c>
      <c r="L3501" s="3" t="n">
        <v>15.39</v>
      </c>
      <c r="M3501" s="2" t="inlineStr">
        <is>
          <t>TCGplayer</t>
        </is>
      </c>
      <c r="O3501" s="4" t="inlineStr">
        <is>
          <t>https://www.tcgplayer.com/product/221746</t>
        </is>
      </c>
    </row>
    <row r="3502">
      <c r="A3502" s="2" t="inlineStr">
        <is>
          <t>Vivid Voltage Single Pack Blister [Scorbunny]</t>
        </is>
      </c>
      <c r="B3502" s="3">
        <f>IF(I3502&lt;&gt;"",I3502,IF(J3502&lt;&gt;"",J3502,IF(K3502&lt;&gt;"",K3502,L3502)))</f>
        <v>19.96</v>
      </c>
      <c r="C3502" s="3">
        <f>MEDIAN(I3502:L3502)</f>
        <v>18.92</v>
      </c>
      <c r="D3502" s="3">
        <f>ROUND(C3502*(1-Settings!$B$2),2)</f>
        <v>13.24</v>
      </c>
      <c r="E3502" s="3">
        <f>ROUND(C3502*(1-Settings!$B$3),2)</f>
        <v>13.24</v>
      </c>
      <c r="F3502" s="2" t="inlineStr">
        <is>
          <t>Pokemon</t>
        </is>
      </c>
      <c r="G3502" s="2" t="inlineStr">
        <is>
          <t>Pack</t>
        </is>
      </c>
      <c r="H3502" s="2" t="inlineStr">
        <is>
          <t>SWSH04: Vivid Voltage</t>
        </is>
      </c>
      <c r="I3502" s="3" t="n">
        <v>19.96</v>
      </c>
      <c r="J3502" s="3" t="n">
        <v>17.88</v>
      </c>
      <c r="K3502" s="3" t="n">
        <v>25</v>
      </c>
      <c r="L3502" s="3" t="n">
        <v>15.39</v>
      </c>
      <c r="M3502" s="2" t="inlineStr">
        <is>
          <t>PriceCharting + TCGplayer</t>
        </is>
      </c>
      <c r="N3502" s="4" t="inlineStr">
        <is>
          <t>https://www.pricecharting.com/game/pokemon-vivid-voltage/single-pack-blister-scorbunny</t>
        </is>
      </c>
      <c r="O3502" s="4" t="inlineStr">
        <is>
          <t>https://www.tcgplayer.com/product/221747</t>
        </is>
      </c>
    </row>
    <row r="3503">
      <c r="A3503" s="2" t="inlineStr">
        <is>
          <t>Vivid Voltage Sleeved Booster Pack</t>
        </is>
      </c>
      <c r="B3503" s="3">
        <f>IF(I3503&lt;&gt;"",I3503,IF(J3503&lt;&gt;"",J3503,IF(K3503&lt;&gt;"",K3503,L3503)))</f>
        <v>12.75</v>
      </c>
      <c r="C3503" s="3">
        <f>MEDIAN(I3503:L3503)</f>
        <v>12.66</v>
      </c>
      <c r="D3503" s="3">
        <f>ROUND(C3503*(1-Settings!$B$2),2)</f>
        <v>8.86</v>
      </c>
      <c r="E3503" s="3">
        <f>ROUND(C3503*(1-Settings!$B$3),2)</f>
        <v>8.86</v>
      </c>
      <c r="F3503" s="2" t="inlineStr">
        <is>
          <t>Pokemon</t>
        </is>
      </c>
      <c r="G3503" s="2" t="inlineStr">
        <is>
          <t>Pack</t>
        </is>
      </c>
      <c r="H3503" s="2" t="inlineStr">
        <is>
          <t>SWSH04: Vivid Voltage</t>
        </is>
      </c>
      <c r="I3503" s="3" t="n">
        <v>12.75</v>
      </c>
      <c r="J3503" s="3" t="n">
        <v>12.57</v>
      </c>
      <c r="K3503" s="3" t="n">
        <v>15.99</v>
      </c>
      <c r="L3503" s="3" t="n">
        <v>10.99</v>
      </c>
      <c r="M3503" s="2" t="inlineStr">
        <is>
          <t>PriceCharting + TCGplayer</t>
        </is>
      </c>
      <c r="N3503" s="4" t="inlineStr">
        <is>
          <t>https://www.pricecharting.com/game/pokemon-vivid-voltage/sleeved-booster-pack</t>
        </is>
      </c>
      <c r="O3503" s="4" t="inlineStr">
        <is>
          <t>https://www.tcgplayer.com/product/245143</t>
        </is>
      </c>
    </row>
    <row r="3504">
      <c r="A3504" s="2" t="inlineStr">
        <is>
          <t>Battle Styles 3 Pack Blister [Eevee]</t>
        </is>
      </c>
      <c r="B3504" s="3">
        <f>IF(I3504&lt;&gt;"",I3504,IF(J3504&lt;&gt;"",J3504,IF(K3504&lt;&gt;"",K3504,L3504)))</f>
        <v>31.09</v>
      </c>
      <c r="C3504" s="3">
        <f>MEDIAN(I3504:L3504)</f>
        <v>31.09</v>
      </c>
      <c r="D3504" s="3">
        <f>ROUND(C3504*(1-Settings!$B$2),2)</f>
        <v>21.76</v>
      </c>
      <c r="E3504" s="3">
        <f>ROUND(C3504*(1-Settings!$B$3),2)</f>
        <v>21.76</v>
      </c>
      <c r="F3504" s="2" t="inlineStr">
        <is>
          <t>Pokemon</t>
        </is>
      </c>
      <c r="G3504" s="2" t="inlineStr">
        <is>
          <t>Pack</t>
        </is>
      </c>
      <c r="H3504" s="2" t="inlineStr">
        <is>
          <t>SWSH05: Battle Styles</t>
        </is>
      </c>
      <c r="I3504" s="3" t="n"/>
      <c r="J3504" s="3" t="n">
        <v>31.09</v>
      </c>
      <c r="K3504" s="3" t="n">
        <v>43.34</v>
      </c>
      <c r="L3504" s="3" t="n">
        <v>30</v>
      </c>
      <c r="M3504" s="2" t="inlineStr">
        <is>
          <t>TCGplayer</t>
        </is>
      </c>
      <c r="O3504" s="4" t="inlineStr">
        <is>
          <t>https://www.tcgplayer.com/product/229283</t>
        </is>
      </c>
    </row>
    <row r="3505">
      <c r="A3505" s="2" t="inlineStr">
        <is>
          <t>Battle Styles Booster Pack</t>
        </is>
      </c>
      <c r="B3505" s="3">
        <f>IF(I3505&lt;&gt;"",I3505,IF(J3505&lt;&gt;"",J3505,IF(K3505&lt;&gt;"",K3505,L3505)))</f>
        <v>9.5</v>
      </c>
      <c r="C3505" s="3">
        <f>MEDIAN(I3505:L3505)</f>
        <v>9.52</v>
      </c>
      <c r="D3505" s="3">
        <f>ROUND(C3505*(1-Settings!$B$2),2)</f>
        <v>6.66</v>
      </c>
      <c r="E3505" s="3">
        <f>ROUND(C3505*(1-Settings!$B$3),2)</f>
        <v>6.66</v>
      </c>
      <c r="F3505" s="2" t="inlineStr">
        <is>
          <t>Pokemon</t>
        </is>
      </c>
      <c r="G3505" s="2" t="inlineStr">
        <is>
          <t>Pack</t>
        </is>
      </c>
      <c r="H3505" s="2" t="inlineStr">
        <is>
          <t>SWSH05: Battle Styles</t>
        </is>
      </c>
      <c r="I3505" s="3" t="n">
        <v>9.5</v>
      </c>
      <c r="J3505" s="3" t="n">
        <v>9.539999999999999</v>
      </c>
      <c r="K3505" s="3" t="n">
        <v>9.779999999999999</v>
      </c>
      <c r="L3505" s="3" t="n">
        <v>7</v>
      </c>
      <c r="M3505" s="2" t="inlineStr">
        <is>
          <t>PriceCharting + TCGplayer</t>
        </is>
      </c>
      <c r="N3505" s="4" t="inlineStr">
        <is>
          <t>https://www.pricecharting.com/game/pokemon-battle-styles/booster-pack</t>
        </is>
      </c>
      <c r="O3505" s="4" t="inlineStr">
        <is>
          <t>https://www.tcgplayer.com/product/229276</t>
        </is>
      </c>
    </row>
    <row r="3506">
      <c r="A3506" s="2" t="inlineStr">
        <is>
          <t>Battle Styles Premium Checklane Blister [Golisopod]</t>
        </is>
      </c>
      <c r="B3506" s="3">
        <f>IF(I3506&lt;&gt;"",I3506,IF(J3506&lt;&gt;"",J3506,IF(K3506&lt;&gt;"",K3506,L3506)))</f>
        <v>19.0</v>
      </c>
      <c r="C3506" s="3">
        <f>MEDIAN(I3506:L3506)</f>
        <v>21.87</v>
      </c>
      <c r="D3506" s="3">
        <f>ROUND(C3506*(1-Settings!$B$2),2)</f>
        <v>15.31</v>
      </c>
      <c r="E3506" s="3">
        <f>ROUND(C3506*(1-Settings!$B$3),2)</f>
        <v>15.31</v>
      </c>
      <c r="F3506" s="2" t="inlineStr">
        <is>
          <t>Pokemon</t>
        </is>
      </c>
      <c r="G3506" s="2" t="inlineStr">
        <is>
          <t>Pack</t>
        </is>
      </c>
      <c r="H3506" s="2" t="inlineStr">
        <is>
          <t>SWSH05: Battle Styles</t>
        </is>
      </c>
      <c r="I3506" s="3" t="n"/>
      <c r="J3506" s="3" t="n">
        <v>19</v>
      </c>
      <c r="K3506" s="3" t="n">
        <v>24.92</v>
      </c>
      <c r="L3506" s="3" t="n">
        <v>21.87</v>
      </c>
      <c r="M3506" s="2" t="inlineStr">
        <is>
          <t>TCGplayer</t>
        </is>
      </c>
      <c r="O3506" s="4" t="inlineStr">
        <is>
          <t>https://www.tcgplayer.com/product/236457</t>
        </is>
      </c>
    </row>
    <row r="3507">
      <c r="A3507" s="2" t="inlineStr">
        <is>
          <t>Battle Styles Premium Checklane Blister [Toxtricity]</t>
        </is>
      </c>
      <c r="B3507" s="3">
        <f>IF(I3507&lt;&gt;"",I3507,IF(J3507&lt;&gt;"",J3507,IF(K3507&lt;&gt;"",K3507,L3507)))</f>
        <v>25.07</v>
      </c>
      <c r="C3507" s="3">
        <f>MEDIAN(I3507:L3507)</f>
        <v>23.625</v>
      </c>
      <c r="D3507" s="3">
        <f>ROUND(C3507*(1-Settings!$B$2),2)</f>
        <v>16.54</v>
      </c>
      <c r="E3507" s="3">
        <f>ROUND(C3507*(1-Settings!$B$3),2)</f>
        <v>16.54</v>
      </c>
      <c r="F3507" s="2" t="inlineStr">
        <is>
          <t>Pokemon</t>
        </is>
      </c>
      <c r="G3507" s="2" t="inlineStr">
        <is>
          <t>Pack</t>
        </is>
      </c>
      <c r="H3507" s="2" t="inlineStr">
        <is>
          <t>SWSH05: Battle Styles</t>
        </is>
      </c>
      <c r="I3507" s="3" t="n"/>
      <c r="J3507" s="3" t="n"/>
      <c r="K3507" s="3" t="n">
        <v>25.07</v>
      </c>
      <c r="L3507" s="3" t="n">
        <v>22.18</v>
      </c>
      <c r="M3507" s="2" t="inlineStr">
        <is>
          <t>TCGplayer</t>
        </is>
      </c>
      <c r="O3507" s="4" t="inlineStr">
        <is>
          <t>https://www.tcgplayer.com/product/236458</t>
        </is>
      </c>
    </row>
    <row r="3508">
      <c r="A3508" s="2" t="inlineStr">
        <is>
          <t>Battle Styles Single Pack Blister [Arrokuda]</t>
        </is>
      </c>
      <c r="B3508" s="3">
        <f>IF(I3508&lt;&gt;"",I3508,IF(J3508&lt;&gt;"",J3508,IF(K3508&lt;&gt;"",K3508,L3508)))</f>
        <v>11.13</v>
      </c>
      <c r="C3508" s="3">
        <f>MEDIAN(I3508:L3508)</f>
        <v>11.95</v>
      </c>
      <c r="D3508" s="3">
        <f>ROUND(C3508*(1-Settings!$B$2),2)</f>
        <v>8.37</v>
      </c>
      <c r="E3508" s="3">
        <f>ROUND(C3508*(1-Settings!$B$3),2)</f>
        <v>8.37</v>
      </c>
      <c r="F3508" s="2" t="inlineStr">
        <is>
          <t>Pokemon</t>
        </is>
      </c>
      <c r="G3508" s="2" t="inlineStr">
        <is>
          <t>Pack</t>
        </is>
      </c>
      <c r="H3508" s="2" t="inlineStr">
        <is>
          <t>SWSH05: Battle Styles</t>
        </is>
      </c>
      <c r="I3508" s="3" t="n"/>
      <c r="J3508" s="3" t="n">
        <v>11.13</v>
      </c>
      <c r="K3508" s="3" t="n">
        <v>11.95</v>
      </c>
      <c r="L3508" s="3" t="n">
        <v>11.95</v>
      </c>
      <c r="M3508" s="2" t="inlineStr">
        <is>
          <t>TCGplayer</t>
        </is>
      </c>
      <c r="O3508" s="4" t="inlineStr">
        <is>
          <t>https://www.tcgplayer.com/product/229281</t>
        </is>
      </c>
    </row>
    <row r="3509">
      <c r="A3509" s="2" t="inlineStr">
        <is>
          <t>Battle Styles Single Pack Blister [Charmander]</t>
        </is>
      </c>
      <c r="B3509" s="3">
        <f>IF(I3509&lt;&gt;"",I3509,IF(J3509&lt;&gt;"",J3509,IF(K3509&lt;&gt;"",K3509,L3509)))</f>
        <v>25.85</v>
      </c>
      <c r="C3509" s="3">
        <f>MEDIAN(I3509:L3509)</f>
        <v>25.85</v>
      </c>
      <c r="D3509" s="3">
        <f>ROUND(C3509*(1-Settings!$B$2),2)</f>
        <v>18.1</v>
      </c>
      <c r="E3509" s="3">
        <f>ROUND(C3509*(1-Settings!$B$3),2)</f>
        <v>18.1</v>
      </c>
      <c r="F3509" s="2" t="inlineStr">
        <is>
          <t>Pokemon</t>
        </is>
      </c>
      <c r="G3509" s="2" t="inlineStr">
        <is>
          <t>Pack</t>
        </is>
      </c>
      <c r="H3509" s="2" t="inlineStr">
        <is>
          <t>SWSH05: Battle Styles</t>
        </is>
      </c>
      <c r="I3509" s="3" t="n"/>
      <c r="J3509" s="3" t="n">
        <v>25.85</v>
      </c>
      <c r="K3509" s="3" t="n">
        <v>30</v>
      </c>
      <c r="L3509" s="3" t="n">
        <v>10.55</v>
      </c>
      <c r="M3509" s="2" t="inlineStr">
        <is>
          <t>TCGplayer</t>
        </is>
      </c>
      <c r="O3509" s="4" t="inlineStr">
        <is>
          <t>https://www.tcgplayer.com/product/229280</t>
        </is>
      </c>
    </row>
    <row r="3510">
      <c r="A3510" s="2" t="inlineStr">
        <is>
          <t>Battle Styles Sleeved Booster Pack</t>
        </is>
      </c>
      <c r="B3510" s="3">
        <f>IF(I3510&lt;&gt;"",I3510,IF(J3510&lt;&gt;"",J3510,IF(K3510&lt;&gt;"",K3510,L3510)))</f>
        <v>19.76</v>
      </c>
      <c r="C3510" s="3">
        <f>MEDIAN(I3510:L3510)</f>
        <v>11.635</v>
      </c>
      <c r="D3510" s="3">
        <f>ROUND(C3510*(1-Settings!$B$2),2)</f>
        <v>8.14</v>
      </c>
      <c r="E3510" s="3">
        <f>ROUND(C3510*(1-Settings!$B$3),2)</f>
        <v>8.14</v>
      </c>
      <c r="F3510" s="2" t="inlineStr">
        <is>
          <t>Pokemon</t>
        </is>
      </c>
      <c r="G3510" s="2" t="inlineStr">
        <is>
          <t>Pack</t>
        </is>
      </c>
      <c r="H3510" s="2" t="inlineStr">
        <is>
          <t>SWSH05: Battle Styles</t>
        </is>
      </c>
      <c r="I3510" s="3" t="n">
        <v>19.76</v>
      </c>
      <c r="J3510" s="3" t="n">
        <v>10.27</v>
      </c>
      <c r="K3510" s="3" t="n">
        <v>13</v>
      </c>
      <c r="L3510" s="3" t="n">
        <v>9</v>
      </c>
      <c r="M3510" s="2" t="inlineStr">
        <is>
          <t>PriceCharting + TCGplayer</t>
        </is>
      </c>
      <c r="N3510" s="4" t="inlineStr">
        <is>
          <t>https://www.pricecharting.com/game/pokemon-battle-styles/sleeved-booster-pack</t>
        </is>
      </c>
      <c r="O3510" s="4" t="inlineStr">
        <is>
          <t>https://www.tcgplayer.com/product/251879</t>
        </is>
      </c>
    </row>
    <row r="3511">
      <c r="A3511" s="2" t="inlineStr">
        <is>
          <t>Chilling Reign 2 Pack Blister [Galarian Zapdos V, Articuno V, Moltres V]</t>
        </is>
      </c>
      <c r="B3511" s="3">
        <f>IF(I3511&lt;&gt;"",I3511,IF(J3511&lt;&gt;"",J3511,IF(K3511&lt;&gt;"",K3511,L3511)))</f>
        <v>45.15</v>
      </c>
      <c r="C3511" s="3">
        <f>MEDIAN(I3511:L3511)</f>
        <v>45.15</v>
      </c>
      <c r="D3511" s="3">
        <f>ROUND(C3511*(1-Settings!$B$2),2)</f>
        <v>31.61</v>
      </c>
      <c r="E3511" s="3">
        <f>ROUND(C3511*(1-Settings!$B$3),2)</f>
        <v>31.61</v>
      </c>
      <c r="F3511" s="2" t="inlineStr">
        <is>
          <t>Pokemon</t>
        </is>
      </c>
      <c r="G3511" s="2" t="inlineStr">
        <is>
          <t>Pack</t>
        </is>
      </c>
      <c r="H3511" s="2" t="inlineStr">
        <is>
          <t>SWSH06: Chilling Reign</t>
        </is>
      </c>
      <c r="I3511" s="3" t="n"/>
      <c r="J3511" s="3" t="n">
        <v>45.15</v>
      </c>
      <c r="K3511" s="3" t="n">
        <v>54.99</v>
      </c>
      <c r="L3511" s="3" t="n">
        <v>44</v>
      </c>
      <c r="M3511" s="2" t="inlineStr">
        <is>
          <t>TCGplayer</t>
        </is>
      </c>
      <c r="O3511" s="4" t="inlineStr">
        <is>
          <t>https://www.tcgplayer.com/product/245856</t>
        </is>
      </c>
    </row>
    <row r="3512">
      <c r="A3512" s="2" t="inlineStr">
        <is>
          <t>Chilling Reign 3 Pack Blister [Snorlax]</t>
        </is>
      </c>
      <c r="B3512" s="3">
        <f>IF(I3512&lt;&gt;"",I3512,IF(J3512&lt;&gt;"",J3512,IF(K3512&lt;&gt;"",K3512,L3512)))</f>
        <v>67.54</v>
      </c>
      <c r="C3512" s="3">
        <f>MEDIAN(I3512:L3512)</f>
        <v>67.54</v>
      </c>
      <c r="D3512" s="3">
        <f>ROUND(C3512*(1-Settings!$B$2),2)</f>
        <v>47.28</v>
      </c>
      <c r="E3512" s="3">
        <f>ROUND(C3512*(1-Settings!$B$3),2)</f>
        <v>47.28</v>
      </c>
      <c r="F3512" s="2" t="inlineStr">
        <is>
          <t>Pokemon</t>
        </is>
      </c>
      <c r="G3512" s="2" t="inlineStr">
        <is>
          <t>Pack</t>
        </is>
      </c>
      <c r="H3512" s="2" t="inlineStr">
        <is>
          <t>SWSH06: Chilling Reign</t>
        </is>
      </c>
      <c r="I3512" s="3" t="n"/>
      <c r="J3512" s="3" t="n">
        <v>67.54000000000001</v>
      </c>
      <c r="K3512" s="3" t="n">
        <v>72.5</v>
      </c>
      <c r="L3512" s="3" t="n">
        <v>55</v>
      </c>
      <c r="M3512" s="2" t="inlineStr">
        <is>
          <t>TCGplayer</t>
        </is>
      </c>
      <c r="O3512" s="4" t="inlineStr">
        <is>
          <t>https://www.tcgplayer.com/product/236269</t>
        </is>
      </c>
    </row>
    <row r="3513">
      <c r="A3513" s="2" t="inlineStr">
        <is>
          <t>Chilling Reign Booster Pack</t>
        </is>
      </c>
      <c r="B3513" s="3">
        <f>IF(I3513&lt;&gt;"",I3513,IF(J3513&lt;&gt;"",J3513,IF(K3513&lt;&gt;"",K3513,L3513)))</f>
        <v>13.82</v>
      </c>
      <c r="C3513" s="3">
        <f>MEDIAN(I3513:L3513)</f>
        <v>12.785</v>
      </c>
      <c r="D3513" s="3">
        <f>ROUND(C3513*(1-Settings!$B$2),2)</f>
        <v>8.95</v>
      </c>
      <c r="E3513" s="3">
        <f>ROUND(C3513*(1-Settings!$B$3),2)</f>
        <v>8.95</v>
      </c>
      <c r="F3513" s="2" t="inlineStr">
        <is>
          <t>Pokemon</t>
        </is>
      </c>
      <c r="G3513" s="2" t="inlineStr">
        <is>
          <t>Pack</t>
        </is>
      </c>
      <c r="H3513" s="2" t="inlineStr">
        <is>
          <t>SWSH06: Chilling Reign</t>
        </is>
      </c>
      <c r="I3513" s="3" t="n">
        <v>13.82</v>
      </c>
      <c r="J3513" s="3" t="n">
        <v>12.67</v>
      </c>
      <c r="K3513" s="3" t="n">
        <v>12.9</v>
      </c>
      <c r="L3513" s="3" t="n">
        <v>9</v>
      </c>
      <c r="M3513" s="2" t="inlineStr">
        <is>
          <t>PriceCharting + TCGplayer</t>
        </is>
      </c>
      <c r="N3513" s="4" t="inlineStr">
        <is>
          <t>https://www.pricecharting.com/game/pokemon-chilling-reign/booster-pack</t>
        </is>
      </c>
      <c r="O3513" s="4" t="inlineStr">
        <is>
          <t>https://www.tcgplayer.com/product/236257</t>
        </is>
      </c>
    </row>
    <row r="3514">
      <c r="A3514" s="2" t="inlineStr">
        <is>
          <t>Chilling Reign Fun Pack</t>
        </is>
      </c>
      <c r="B3514" s="3">
        <f>IF(I3514&lt;&gt;"",I3514,IF(J3514&lt;&gt;"",J3514,IF(K3514&lt;&gt;"",K3514,L3514)))</f>
        <v>12.13</v>
      </c>
      <c r="C3514" s="3">
        <f>MEDIAN(I3514:L3514)</f>
        <v>12.51</v>
      </c>
      <c r="D3514" s="3">
        <f>ROUND(C3514*(1-Settings!$B$2),2)</f>
        <v>8.76</v>
      </c>
      <c r="E3514" s="3">
        <f>ROUND(C3514*(1-Settings!$B$3),2)</f>
        <v>8.76</v>
      </c>
      <c r="F3514" s="2" t="inlineStr">
        <is>
          <t>Pokemon</t>
        </is>
      </c>
      <c r="G3514" s="2" t="inlineStr">
        <is>
          <t>Pack</t>
        </is>
      </c>
      <c r="H3514" s="2" t="inlineStr">
        <is>
          <t>SWSH06: Chilling Reign</t>
        </is>
      </c>
      <c r="I3514" s="3" t="n"/>
      <c r="J3514" s="3" t="n">
        <v>12.13</v>
      </c>
      <c r="K3514" s="3" t="n">
        <v>12.51</v>
      </c>
      <c r="L3514" s="3" t="n">
        <v>12.51</v>
      </c>
      <c r="M3514" s="2" t="inlineStr">
        <is>
          <t>TCGplayer</t>
        </is>
      </c>
      <c r="O3514" s="4" t="inlineStr">
        <is>
          <t>https://www.tcgplayer.com/product/702296</t>
        </is>
      </c>
    </row>
    <row r="3515">
      <c r="A3515" s="2" t="inlineStr">
        <is>
          <t>Chilling Reign Premium Checklane Blister [Blaziken]</t>
        </is>
      </c>
      <c r="B3515" s="3">
        <f>IF(I3515&lt;&gt;"",I3515,IF(J3515&lt;&gt;"",J3515,IF(K3515&lt;&gt;"",K3515,L3515)))</f>
        <v>33.98</v>
      </c>
      <c r="C3515" s="3">
        <f>MEDIAN(I3515:L3515)</f>
        <v>33.98</v>
      </c>
      <c r="D3515" s="3">
        <f>ROUND(C3515*(1-Settings!$B$2),2)</f>
        <v>23.79</v>
      </c>
      <c r="E3515" s="3">
        <f>ROUND(C3515*(1-Settings!$B$3),2)</f>
        <v>23.79</v>
      </c>
      <c r="F3515" s="2" t="inlineStr">
        <is>
          <t>Pokemon</t>
        </is>
      </c>
      <c r="G3515" s="2" t="inlineStr">
        <is>
          <t>Pack</t>
        </is>
      </c>
      <c r="H3515" s="2" t="inlineStr">
        <is>
          <t>SWSH06: Chilling Reign</t>
        </is>
      </c>
      <c r="I3515" s="3" t="n"/>
      <c r="J3515" s="3" t="n">
        <v>33.98</v>
      </c>
      <c r="K3515" s="3" t="n">
        <v>34.49</v>
      </c>
      <c r="L3515" s="3" t="n">
        <v>33.98</v>
      </c>
      <c r="M3515" s="2" t="inlineStr">
        <is>
          <t>TCGplayer</t>
        </is>
      </c>
      <c r="O3515" s="4" t="inlineStr">
        <is>
          <t>https://www.tcgplayer.com/product/236276</t>
        </is>
      </c>
    </row>
    <row r="3516">
      <c r="A3516" s="2" t="inlineStr">
        <is>
          <t>Chilling Reign Single Pack Blister [Morpeko]</t>
        </is>
      </c>
      <c r="B3516" s="3">
        <f>IF(I3516&lt;&gt;"",I3516,IF(J3516&lt;&gt;"",J3516,IF(K3516&lt;&gt;"",K3516,L3516)))</f>
        <v>22.24</v>
      </c>
      <c r="C3516" s="3">
        <f>MEDIAN(I3516:L3516)</f>
        <v>22.24</v>
      </c>
      <c r="D3516" s="3">
        <f>ROUND(C3516*(1-Settings!$B$2),2)</f>
        <v>15.57</v>
      </c>
      <c r="E3516" s="3">
        <f>ROUND(C3516*(1-Settings!$B$3),2)</f>
        <v>15.57</v>
      </c>
      <c r="F3516" s="2" t="inlineStr">
        <is>
          <t>Pokemon</t>
        </is>
      </c>
      <c r="G3516" s="2" t="inlineStr">
        <is>
          <t>Pack</t>
        </is>
      </c>
      <c r="H3516" s="2" t="inlineStr">
        <is>
          <t>SWSH06: Chilling Reign</t>
        </is>
      </c>
      <c r="I3516" s="3" t="n"/>
      <c r="J3516" s="3" t="n">
        <v>22.24</v>
      </c>
      <c r="K3516" s="3" t="n">
        <v>24.84</v>
      </c>
      <c r="L3516" s="3" t="n">
        <v>15</v>
      </c>
      <c r="M3516" s="2" t="inlineStr">
        <is>
          <t>TCGplayer</t>
        </is>
      </c>
      <c r="O3516" s="4" t="inlineStr">
        <is>
          <t>https://www.tcgplayer.com/product/236273</t>
        </is>
      </c>
    </row>
    <row r="3517">
      <c r="A3517" s="2" t="inlineStr">
        <is>
          <t>Chilling Reign Single Pack Blister [Phanpy]</t>
        </is>
      </c>
      <c r="B3517" s="3">
        <f>IF(I3517&lt;&gt;"",I3517,IF(J3517&lt;&gt;"",J3517,IF(K3517&lt;&gt;"",K3517,L3517)))</f>
        <v>22.29</v>
      </c>
      <c r="C3517" s="3">
        <f>MEDIAN(I3517:L3517)</f>
        <v>22.29</v>
      </c>
      <c r="D3517" s="3">
        <f>ROUND(C3517*(1-Settings!$B$2),2)</f>
        <v>15.6</v>
      </c>
      <c r="E3517" s="3">
        <f>ROUND(C3517*(1-Settings!$B$3),2)</f>
        <v>15.6</v>
      </c>
      <c r="F3517" s="2" t="inlineStr">
        <is>
          <t>Pokemon</t>
        </is>
      </c>
      <c r="G3517" s="2" t="inlineStr">
        <is>
          <t>Pack</t>
        </is>
      </c>
      <c r="H3517" s="2" t="inlineStr">
        <is>
          <t>SWSH06: Chilling Reign</t>
        </is>
      </c>
      <c r="I3517" s="3" t="n"/>
      <c r="J3517" s="3" t="n">
        <v>22.29</v>
      </c>
      <c r="K3517" s="3" t="n">
        <v>23.96</v>
      </c>
      <c r="L3517" s="3" t="n">
        <v>20</v>
      </c>
      <c r="M3517" s="2" t="inlineStr">
        <is>
          <t>TCGplayer</t>
        </is>
      </c>
      <c r="O3517" s="4" t="inlineStr">
        <is>
          <t>https://www.tcgplayer.com/product/236272</t>
        </is>
      </c>
    </row>
    <row r="3518">
      <c r="A3518" s="2" t="inlineStr">
        <is>
          <t>Chilling Reign Sleeved Booster Pack</t>
        </is>
      </c>
      <c r="B3518" s="3">
        <f>IF(I3518&lt;&gt;"",I3518,IF(J3518&lt;&gt;"",J3518,IF(K3518&lt;&gt;"",K3518,L3518)))</f>
        <v>17.92</v>
      </c>
      <c r="C3518" s="3">
        <f>MEDIAN(I3518:L3518)</f>
        <v>18.675</v>
      </c>
      <c r="D3518" s="3">
        <f>ROUND(C3518*(1-Settings!$B$2),2)</f>
        <v>13.07</v>
      </c>
      <c r="E3518" s="3">
        <f>ROUND(C3518*(1-Settings!$B$3),2)</f>
        <v>13.07</v>
      </c>
      <c r="F3518" s="2" t="inlineStr">
        <is>
          <t>Pokemon</t>
        </is>
      </c>
      <c r="G3518" s="2" t="inlineStr">
        <is>
          <t>Pack</t>
        </is>
      </c>
      <c r="H3518" s="2" t="inlineStr">
        <is>
          <t>SWSH06: Chilling Reign</t>
        </is>
      </c>
      <c r="I3518" s="3" t="n">
        <v>17.92</v>
      </c>
      <c r="J3518" s="3" t="n">
        <v>19.35</v>
      </c>
      <c r="K3518" s="3" t="n">
        <v>19.99</v>
      </c>
      <c r="L3518" s="3" t="n">
        <v>18</v>
      </c>
      <c r="M3518" s="2" t="inlineStr">
        <is>
          <t>PriceCharting + TCGplayer</t>
        </is>
      </c>
      <c r="N3518" s="4" t="inlineStr">
        <is>
          <t>https://www.pricecharting.com/game/pokemon-chilling-reign/sleeved-booster-pack</t>
        </is>
      </c>
      <c r="O3518" s="4" t="inlineStr">
        <is>
          <t>https://www.tcgplayer.com/product/242013</t>
        </is>
      </c>
    </row>
    <row r="3519">
      <c r="A3519" s="2" t="inlineStr">
        <is>
          <t>Evolving Skies 3 Pack Blister [Eiscue]</t>
        </is>
      </c>
      <c r="B3519" s="3">
        <f>IF(I3519&lt;&gt;"",I3519,IF(J3519&lt;&gt;"",J3519,IF(K3519&lt;&gt;"",K3519,L3519)))</f>
        <v>191.5</v>
      </c>
      <c r="C3519" s="3">
        <f>MEDIAN(I3519:L3519)</f>
        <v>216.655</v>
      </c>
      <c r="D3519" s="3">
        <f>ROUND(C3519*(1-Settings!$B$2),2)</f>
        <v>151.66</v>
      </c>
      <c r="E3519" s="3">
        <f>ROUND(C3519*(1-Settings!$B$3),2)</f>
        <v>151.66</v>
      </c>
      <c r="F3519" s="2" t="inlineStr">
        <is>
          <t>Pokemon</t>
        </is>
      </c>
      <c r="G3519" s="2" t="inlineStr">
        <is>
          <t>Pack</t>
        </is>
      </c>
      <c r="H3519" s="2" t="inlineStr">
        <is>
          <t>SWSH07: Evolving Skies</t>
        </is>
      </c>
      <c r="I3519" s="3" t="n">
        <v>191.5</v>
      </c>
      <c r="J3519" s="3" t="n">
        <v>223.31</v>
      </c>
      <c r="K3519" s="3" t="n">
        <v>249.97</v>
      </c>
      <c r="L3519" s="3" t="n">
        <v>210</v>
      </c>
      <c r="M3519" s="2" t="inlineStr">
        <is>
          <t>PriceCharting + TCGplayer</t>
        </is>
      </c>
      <c r="N3519" s="4" t="inlineStr">
        <is>
          <t>https://www.pricecharting.com/game/pokemon-evolving-skies/3-pack-blister-eiscue</t>
        </is>
      </c>
      <c r="O3519" s="4" t="inlineStr">
        <is>
          <t>https://www.tcgplayer.com/product/242435</t>
        </is>
      </c>
    </row>
    <row r="3520">
      <c r="A3520" s="2" t="inlineStr">
        <is>
          <t>Evolving Skies 3 Pack Blister [Umbreon]</t>
        </is>
      </c>
      <c r="B3520" s="3">
        <f>IF(I3520&lt;&gt;"",I3520,IF(J3520&lt;&gt;"",J3520,IF(K3520&lt;&gt;"",K3520,L3520)))</f>
        <v>63.0</v>
      </c>
      <c r="C3520" s="3">
        <f>MEDIAN(I3520:L3520)</f>
        <v>269.15999999999997</v>
      </c>
      <c r="D3520" s="3">
        <f>ROUND(C3520*(1-Settings!$B$2),2)</f>
        <v>188.41</v>
      </c>
      <c r="E3520" s="3">
        <f>ROUND(C3520*(1-Settings!$B$3),2)</f>
        <v>188.41</v>
      </c>
      <c r="F3520" s="2" t="inlineStr">
        <is>
          <t>Pokemon</t>
        </is>
      </c>
      <c r="G3520" s="2" t="inlineStr">
        <is>
          <t>Pack</t>
        </is>
      </c>
      <c r="H3520" s="2" t="inlineStr">
        <is>
          <t>SWSH07: Evolving Skies</t>
        </is>
      </c>
      <c r="I3520" s="3" t="n">
        <v>63</v>
      </c>
      <c r="J3520" s="3" t="n">
        <v>268.33</v>
      </c>
      <c r="K3520" s="3" t="n">
        <v>309.99</v>
      </c>
      <c r="L3520" s="3" t="n">
        <v>269.99</v>
      </c>
      <c r="M3520" s="2" t="inlineStr">
        <is>
          <t>PriceCharting + TCGplayer</t>
        </is>
      </c>
      <c r="N3520" s="4" t="inlineStr">
        <is>
          <t>https://www.pricecharting.com/game/pokemon-evolving-skies/3-pack-blister-umbreon</t>
        </is>
      </c>
      <c r="O3520" s="4" t="inlineStr">
        <is>
          <t>https://www.tcgplayer.com/product/242444</t>
        </is>
      </c>
    </row>
    <row r="3521">
      <c r="A3521" s="2" t="inlineStr">
        <is>
          <t>Evolving Skies Booster Pack</t>
        </is>
      </c>
      <c r="B3521" s="3">
        <f>IF(I3521&lt;&gt;"",I3521,IF(J3521&lt;&gt;"",J3521,IF(K3521&lt;&gt;"",K3521,L3521)))</f>
        <v>44.0</v>
      </c>
      <c r="C3521" s="3">
        <f>MEDIAN(I3521:L3521)</f>
        <v>43.915</v>
      </c>
      <c r="D3521" s="3">
        <f>ROUND(C3521*(1-Settings!$B$2),2)</f>
        <v>30.74</v>
      </c>
      <c r="E3521" s="3">
        <f>ROUND(C3521*(1-Settings!$B$3),2)</f>
        <v>30.74</v>
      </c>
      <c r="F3521" s="2" t="inlineStr">
        <is>
          <t>Pokemon</t>
        </is>
      </c>
      <c r="G3521" s="2" t="inlineStr">
        <is>
          <t>Pack</t>
        </is>
      </c>
      <c r="H3521" s="2" t="inlineStr">
        <is>
          <t>SWSH07: Evolving Skies</t>
        </is>
      </c>
      <c r="I3521" s="3" t="n">
        <v>44</v>
      </c>
      <c r="J3521" s="3" t="n">
        <v>43.83</v>
      </c>
      <c r="K3521" s="3" t="n">
        <v>49.99</v>
      </c>
      <c r="L3521" s="3" t="n">
        <v>19.99</v>
      </c>
      <c r="M3521" s="2" t="inlineStr">
        <is>
          <t>PriceCharting + TCGplayer</t>
        </is>
      </c>
      <c r="N3521" s="4" t="inlineStr">
        <is>
          <t>https://www.pricecharting.com/game/pokemon-evolving-skies/booster-pack</t>
        </is>
      </c>
      <c r="O3521" s="4" t="inlineStr">
        <is>
          <t>https://www.tcgplayer.com/product/244337</t>
        </is>
      </c>
    </row>
    <row r="3522">
      <c r="A3522" s="2" t="inlineStr">
        <is>
          <t>Evolving Skies Fun Pack</t>
        </is>
      </c>
      <c r="B3522" s="3">
        <f>IF(I3522&lt;&gt;"",I3522,IF(J3522&lt;&gt;"",J3522,IF(K3522&lt;&gt;"",K3522,L3522)))</f>
        <v>19.5</v>
      </c>
      <c r="C3522" s="3">
        <f>MEDIAN(I3522:L3522)</f>
        <v>22.189999999999998</v>
      </c>
      <c r="D3522" s="3">
        <f>ROUND(C3522*(1-Settings!$B$2),2)</f>
        <v>15.53</v>
      </c>
      <c r="E3522" s="3">
        <f>ROUND(C3522*(1-Settings!$B$3),2)</f>
        <v>15.53</v>
      </c>
      <c r="F3522" s="2" t="inlineStr">
        <is>
          <t>Pokemon</t>
        </is>
      </c>
      <c r="G3522" s="2" t="inlineStr">
        <is>
          <t>Pack</t>
        </is>
      </c>
      <c r="H3522" s="2" t="inlineStr">
        <is>
          <t>SWSH07: Evolving Skies</t>
        </is>
      </c>
      <c r="I3522" s="3" t="n">
        <v>19.5</v>
      </c>
      <c r="J3522" s="3" t="n"/>
      <c r="K3522" s="3" t="n"/>
      <c r="L3522" s="3" t="n">
        <v>24.88</v>
      </c>
      <c r="M3522" s="2" t="inlineStr">
        <is>
          <t>PriceCharting + TCGplayer</t>
        </is>
      </c>
      <c r="N3522" s="4" t="inlineStr">
        <is>
          <t>https://www.pricecharting.com/game/pokemon-evolving-skies/fun-pack</t>
        </is>
      </c>
      <c r="O3522" s="4" t="inlineStr">
        <is>
          <t>https://www.tcgplayer.com/product/662620</t>
        </is>
      </c>
    </row>
    <row r="3523">
      <c r="A3523" s="2" t="inlineStr">
        <is>
          <t>Evolving Skies Premium Checklane Blister [Houndoom]</t>
        </is>
      </c>
      <c r="B3523" s="3">
        <f>IF(I3523&lt;&gt;"",I3523,IF(J3523&lt;&gt;"",J3523,IF(K3523&lt;&gt;"",K3523,L3523)))</f>
        <v>102.65</v>
      </c>
      <c r="C3523" s="3">
        <f>MEDIAN(I3523:L3523)</f>
        <v>106.325</v>
      </c>
      <c r="D3523" s="3">
        <f>ROUND(C3523*(1-Settings!$B$2),2)</f>
        <v>74.43</v>
      </c>
      <c r="E3523" s="3">
        <f>ROUND(C3523*(1-Settings!$B$3),2)</f>
        <v>74.43</v>
      </c>
      <c r="F3523" s="2" t="inlineStr">
        <is>
          <t>Pokemon</t>
        </is>
      </c>
      <c r="G3523" s="2" t="inlineStr">
        <is>
          <t>Pack</t>
        </is>
      </c>
      <c r="H3523" s="2" t="inlineStr">
        <is>
          <t>SWSH07: Evolving Skies</t>
        </is>
      </c>
      <c r="I3523" s="3" t="n"/>
      <c r="J3523" s="3" t="n">
        <v>102.65</v>
      </c>
      <c r="K3523" s="3" t="n"/>
      <c r="L3523" s="3" t="n">
        <v>110</v>
      </c>
      <c r="M3523" s="2" t="inlineStr">
        <is>
          <t>TCGplayer</t>
        </is>
      </c>
      <c r="O3523" s="4" t="inlineStr">
        <is>
          <t>https://www.tcgplayer.com/product/247603</t>
        </is>
      </c>
    </row>
    <row r="3524">
      <c r="A3524" s="2" t="inlineStr">
        <is>
          <t>Evolving Skies Premium Checklane Blister [Luxray]</t>
        </is>
      </c>
      <c r="B3524" s="3">
        <f>IF(I3524&lt;&gt;"",I3524,IF(J3524&lt;&gt;"",J3524,IF(K3524&lt;&gt;"",K3524,L3524)))</f>
        <v>180.0</v>
      </c>
      <c r="C3524" s="3">
        <f>MEDIAN(I3524:L3524)</f>
        <v>180.0</v>
      </c>
      <c r="D3524" s="3">
        <f>ROUND(C3524*(1-Settings!$B$2),2)</f>
        <v>126.0</v>
      </c>
      <c r="E3524" s="3">
        <f>ROUND(C3524*(1-Settings!$B$3),2)</f>
        <v>126.0</v>
      </c>
      <c r="F3524" s="2" t="inlineStr">
        <is>
          <t>Pokemon</t>
        </is>
      </c>
      <c r="G3524" s="2" t="inlineStr">
        <is>
          <t>Pack</t>
        </is>
      </c>
      <c r="H3524" s="2" t="inlineStr">
        <is>
          <t>SWSH07: Evolving Skies</t>
        </is>
      </c>
      <c r="I3524" s="3" t="n"/>
      <c r="J3524" s="3" t="n"/>
      <c r="K3524" s="3" t="n">
        <v>180</v>
      </c>
      <c r="L3524" s="3" t="n">
        <v>180</v>
      </c>
      <c r="M3524" s="2" t="inlineStr">
        <is>
          <t>TCGplayer</t>
        </is>
      </c>
      <c r="O3524" s="4" t="inlineStr">
        <is>
          <t>https://www.tcgplayer.com/product/242437</t>
        </is>
      </c>
    </row>
    <row r="3525">
      <c r="A3525" s="2" t="inlineStr">
        <is>
          <t>Evolving Skies Single Pack Blister [Eevee]</t>
        </is>
      </c>
      <c r="B3525" s="3">
        <f>IF(I3525&lt;&gt;"",I3525,IF(J3525&lt;&gt;"",J3525,IF(K3525&lt;&gt;"",K3525,L3525)))</f>
        <v>82.99</v>
      </c>
      <c r="C3525" s="3">
        <f>MEDIAN(I3525:L3525)</f>
        <v>89.0</v>
      </c>
      <c r="D3525" s="3">
        <f>ROUND(C3525*(1-Settings!$B$2),2)</f>
        <v>62.3</v>
      </c>
      <c r="E3525" s="3">
        <f>ROUND(C3525*(1-Settings!$B$3),2)</f>
        <v>62.3</v>
      </c>
      <c r="F3525" s="2" t="inlineStr">
        <is>
          <t>Pokemon</t>
        </is>
      </c>
      <c r="G3525" s="2" t="inlineStr">
        <is>
          <t>Pack</t>
        </is>
      </c>
      <c r="H3525" s="2" t="inlineStr">
        <is>
          <t>SWSH07: Evolving Skies</t>
        </is>
      </c>
      <c r="I3525" s="3" t="n"/>
      <c r="J3525" s="3" t="n">
        <v>82.98999999999999</v>
      </c>
      <c r="K3525" s="3" t="n">
        <v>167.49</v>
      </c>
      <c r="L3525" s="3" t="n">
        <v>89</v>
      </c>
      <c r="M3525" s="2" t="inlineStr">
        <is>
          <t>TCGplayer</t>
        </is>
      </c>
      <c r="O3525" s="4" t="inlineStr">
        <is>
          <t>https://www.tcgplayer.com/product/242447</t>
        </is>
      </c>
    </row>
    <row r="3526">
      <c r="A3526" s="2" t="inlineStr">
        <is>
          <t>Evolving Skies Single Pack Blister [Octillery]</t>
        </is>
      </c>
      <c r="B3526" s="3">
        <f>IF(I3526&lt;&gt;"",I3526,IF(J3526&lt;&gt;"",J3526,IF(K3526&lt;&gt;"",K3526,L3526)))</f>
        <v>98.5</v>
      </c>
      <c r="C3526" s="3">
        <f>MEDIAN(I3526:L3526)</f>
        <v>97.75</v>
      </c>
      <c r="D3526" s="3">
        <f>ROUND(C3526*(1-Settings!$B$2),2)</f>
        <v>68.43</v>
      </c>
      <c r="E3526" s="3">
        <f>ROUND(C3526*(1-Settings!$B$3),2)</f>
        <v>68.43</v>
      </c>
      <c r="F3526" s="2" t="inlineStr">
        <is>
          <t>Pokemon</t>
        </is>
      </c>
      <c r="G3526" s="2" t="inlineStr">
        <is>
          <t>Pack</t>
        </is>
      </c>
      <c r="H3526" s="2" t="inlineStr">
        <is>
          <t>SWSH07: Evolving Skies</t>
        </is>
      </c>
      <c r="I3526" s="3" t="n"/>
      <c r="J3526" s="3" t="n"/>
      <c r="K3526" s="3" t="n">
        <v>98.5</v>
      </c>
      <c r="L3526" s="3" t="n">
        <v>97</v>
      </c>
      <c r="M3526" s="2" t="inlineStr">
        <is>
          <t>TCGplayer</t>
        </is>
      </c>
      <c r="O3526" s="4" t="inlineStr">
        <is>
          <t>https://www.tcgplayer.com/product/247604</t>
        </is>
      </c>
    </row>
    <row r="3527">
      <c r="A3527" s="2" t="inlineStr">
        <is>
          <t>Evolving Skies Sleeved Booster Pack</t>
        </is>
      </c>
      <c r="B3527" s="3">
        <f>IF(I3527&lt;&gt;"",I3527,IF(J3527&lt;&gt;"",J3527,IF(K3527&lt;&gt;"",K3527,L3527)))</f>
        <v>58.69</v>
      </c>
      <c r="C3527" s="3">
        <f>MEDIAN(I3527:L3527)</f>
        <v>58.275</v>
      </c>
      <c r="D3527" s="3">
        <f>ROUND(C3527*(1-Settings!$B$2),2)</f>
        <v>40.79</v>
      </c>
      <c r="E3527" s="3">
        <f>ROUND(C3527*(1-Settings!$B$3),2)</f>
        <v>40.79</v>
      </c>
      <c r="F3527" s="2" t="inlineStr">
        <is>
          <t>Pokemon</t>
        </is>
      </c>
      <c r="G3527" s="2" t="inlineStr">
        <is>
          <t>Pack</t>
        </is>
      </c>
      <c r="H3527" s="2" t="inlineStr">
        <is>
          <t>SWSH07: Evolving Skies</t>
        </is>
      </c>
      <c r="I3527" s="3" t="n">
        <v>58.69</v>
      </c>
      <c r="J3527" s="3" t="n">
        <v>57.86</v>
      </c>
      <c r="K3527" s="3" t="n">
        <v>72.98999999999999</v>
      </c>
      <c r="L3527" s="3" t="n">
        <v>52.99</v>
      </c>
      <c r="M3527" s="2" t="inlineStr">
        <is>
          <t>PriceCharting + TCGplayer</t>
        </is>
      </c>
      <c r="N3527" s="4" t="inlineStr">
        <is>
          <t>https://www.pricecharting.com/game/pokemon-evolving-skies/sleeved-booster-pack</t>
        </is>
      </c>
      <c r="O3527" s="4" t="inlineStr">
        <is>
          <t>https://www.tcgplayer.com/product/242438</t>
        </is>
      </c>
    </row>
    <row r="3528">
      <c r="A3528" s="2" t="inlineStr">
        <is>
          <t>Fusion Strike 3 Pack Blister [Espeon]</t>
        </is>
      </c>
      <c r="B3528" s="3">
        <f>IF(I3528&lt;&gt;"",I3528,IF(J3528&lt;&gt;"",J3528,IF(K3528&lt;&gt;"",K3528,L3528)))</f>
        <v>83.03</v>
      </c>
      <c r="C3528" s="3">
        <f>MEDIAN(I3528:L3528)</f>
        <v>83.03</v>
      </c>
      <c r="D3528" s="3">
        <f>ROUND(C3528*(1-Settings!$B$2),2)</f>
        <v>58.12</v>
      </c>
      <c r="E3528" s="3">
        <f>ROUND(C3528*(1-Settings!$B$3),2)</f>
        <v>58.12</v>
      </c>
      <c r="F3528" s="2" t="inlineStr">
        <is>
          <t>Pokemon</t>
        </is>
      </c>
      <c r="G3528" s="2" t="inlineStr">
        <is>
          <t>Pack</t>
        </is>
      </c>
      <c r="H3528" s="2" t="inlineStr">
        <is>
          <t>SWSH08: Fusion Strike</t>
        </is>
      </c>
      <c r="I3528" s="3" t="n"/>
      <c r="J3528" s="3" t="n">
        <v>83.03</v>
      </c>
      <c r="K3528" s="3" t="n">
        <v>89.95</v>
      </c>
      <c r="L3528" s="3" t="n">
        <v>9.69</v>
      </c>
      <c r="M3528" s="2" t="inlineStr">
        <is>
          <t>TCGplayer</t>
        </is>
      </c>
      <c r="O3528" s="4" t="inlineStr">
        <is>
          <t>https://www.tcgplayer.com/product/247668</t>
        </is>
      </c>
    </row>
    <row r="3529">
      <c r="A3529" s="2" t="inlineStr">
        <is>
          <t>Fusion Strike Booster Pack</t>
        </is>
      </c>
      <c r="B3529" s="3">
        <f>IF(I3529&lt;&gt;"",I3529,IF(J3529&lt;&gt;"",J3529,IF(K3529&lt;&gt;"",K3529,L3529)))</f>
        <v>19.58</v>
      </c>
      <c r="C3529" s="3">
        <f>MEDIAN(I3529:L3529)</f>
        <v>18.689999999999998</v>
      </c>
      <c r="D3529" s="3">
        <f>ROUND(C3529*(1-Settings!$B$2),2)</f>
        <v>13.08</v>
      </c>
      <c r="E3529" s="3">
        <f>ROUND(C3529*(1-Settings!$B$3),2)</f>
        <v>13.08</v>
      </c>
      <c r="F3529" s="2" t="inlineStr">
        <is>
          <t>Pokemon</t>
        </is>
      </c>
      <c r="G3529" s="2" t="inlineStr">
        <is>
          <t>Pack</t>
        </is>
      </c>
      <c r="H3529" s="2" t="inlineStr">
        <is>
          <t>SWSH08: Fusion Strike</t>
        </is>
      </c>
      <c r="I3529" s="3" t="n">
        <v>19.58</v>
      </c>
      <c r="J3529" s="3" t="n">
        <v>17.89</v>
      </c>
      <c r="K3529" s="3" t="n">
        <v>19.49</v>
      </c>
      <c r="L3529" s="3" t="n">
        <v>4.99</v>
      </c>
      <c r="M3529" s="2" t="inlineStr">
        <is>
          <t>PriceCharting + TCGplayer</t>
        </is>
      </c>
      <c r="N3529" s="4" t="inlineStr">
        <is>
          <t>https://www.pricecharting.com/game/pokemon-fusion-strike/booster-pack</t>
        </is>
      </c>
      <c r="O3529" s="4" t="inlineStr">
        <is>
          <t>https://www.tcgplayer.com/product/247646</t>
        </is>
      </c>
    </row>
    <row r="3530">
      <c r="A3530" s="2" t="inlineStr">
        <is>
          <t>Fusion Strike Fun Pack</t>
        </is>
      </c>
      <c r="B3530" s="3">
        <f>IF(I3530&lt;&gt;"",I3530,IF(J3530&lt;&gt;"",J3530,IF(K3530&lt;&gt;"",K3530,L3530)))</f>
        <v>6.15</v>
      </c>
      <c r="C3530" s="3">
        <f>MEDIAN(I3530:L3530)</f>
        <v>6.4</v>
      </c>
      <c r="D3530" s="3">
        <f>ROUND(C3530*(1-Settings!$B$2),2)</f>
        <v>4.48</v>
      </c>
      <c r="E3530" s="3">
        <f>ROUND(C3530*(1-Settings!$B$3),2)</f>
        <v>4.48</v>
      </c>
      <c r="F3530" s="2" t="inlineStr">
        <is>
          <t>Pokemon</t>
        </is>
      </c>
      <c r="G3530" s="2" t="inlineStr">
        <is>
          <t>Pack</t>
        </is>
      </c>
      <c r="H3530" s="2" t="inlineStr">
        <is>
          <t>SWSH08: Fusion Strike</t>
        </is>
      </c>
      <c r="I3530" s="3" t="n">
        <v>6.15</v>
      </c>
      <c r="J3530" s="3" t="n">
        <v>6.84</v>
      </c>
      <c r="K3530" s="3" t="n">
        <v>6.65</v>
      </c>
      <c r="L3530" s="3" t="n">
        <v>3.16</v>
      </c>
      <c r="M3530" s="2" t="inlineStr">
        <is>
          <t>PriceCharting + TCGplayer</t>
        </is>
      </c>
      <c r="N3530" s="4" t="inlineStr">
        <is>
          <t>https://www.pricecharting.com/game/pokemon-fusion-strike/fun-pack</t>
        </is>
      </c>
      <c r="O3530" s="4" t="inlineStr">
        <is>
          <t>https://www.tcgplayer.com/product/509886</t>
        </is>
      </c>
    </row>
    <row r="3531">
      <c r="A3531" s="2" t="inlineStr">
        <is>
          <t>Fusion Strike Premium Checklane Blister [Cinderace]</t>
        </is>
      </c>
      <c r="B3531" s="3">
        <f>IF(I3531&lt;&gt;"",I3531,IF(J3531&lt;&gt;"",J3531,IF(K3531&lt;&gt;"",K3531,L3531)))</f>
        <v>47.49</v>
      </c>
      <c r="C3531" s="3">
        <f>MEDIAN(I3531:L3531)</f>
        <v>46.24</v>
      </c>
      <c r="D3531" s="3">
        <f>ROUND(C3531*(1-Settings!$B$2),2)</f>
        <v>32.37</v>
      </c>
      <c r="E3531" s="3">
        <f>ROUND(C3531*(1-Settings!$B$3),2)</f>
        <v>32.37</v>
      </c>
      <c r="F3531" s="2" t="inlineStr">
        <is>
          <t>Pokemon</t>
        </is>
      </c>
      <c r="G3531" s="2" t="inlineStr">
        <is>
          <t>Pack</t>
        </is>
      </c>
      <c r="H3531" s="2" t="inlineStr">
        <is>
          <t>SWSH08: Fusion Strike</t>
        </is>
      </c>
      <c r="I3531" s="3" t="n"/>
      <c r="J3531" s="3" t="n"/>
      <c r="K3531" s="3" t="n">
        <v>47.49</v>
      </c>
      <c r="L3531" s="3" t="n">
        <v>44.99</v>
      </c>
      <c r="M3531" s="2" t="inlineStr">
        <is>
          <t>TCGplayer</t>
        </is>
      </c>
      <c r="O3531" s="4" t="inlineStr">
        <is>
          <t>https://www.tcgplayer.com/product/247675</t>
        </is>
      </c>
    </row>
    <row r="3532">
      <c r="A3532" s="2" t="inlineStr">
        <is>
          <t>Fusion Strike Single Pack Blister [Blitzle]</t>
        </is>
      </c>
      <c r="B3532" s="3">
        <f>IF(I3532&lt;&gt;"",I3532,IF(J3532&lt;&gt;"",J3532,IF(K3532&lt;&gt;"",K3532,L3532)))</f>
        <v>30.2</v>
      </c>
      <c r="C3532" s="3">
        <f>MEDIAN(I3532:L3532)</f>
        <v>30.2</v>
      </c>
      <c r="D3532" s="3">
        <f>ROUND(C3532*(1-Settings!$B$2),2)</f>
        <v>21.14</v>
      </c>
      <c r="E3532" s="3">
        <f>ROUND(C3532*(1-Settings!$B$3),2)</f>
        <v>21.14</v>
      </c>
      <c r="F3532" s="2" t="inlineStr">
        <is>
          <t>Pokemon</t>
        </is>
      </c>
      <c r="G3532" s="2" t="inlineStr">
        <is>
          <t>Pack</t>
        </is>
      </c>
      <c r="H3532" s="2" t="inlineStr">
        <is>
          <t>SWSH08: Fusion Strike</t>
        </is>
      </c>
      <c r="I3532" s="3" t="n"/>
      <c r="J3532" s="3" t="n">
        <v>30.2</v>
      </c>
      <c r="K3532" s="3" t="n">
        <v>34.49</v>
      </c>
      <c r="L3532" s="3" t="n">
        <v>29.39</v>
      </c>
      <c r="M3532" s="2" t="inlineStr">
        <is>
          <t>TCGplayer</t>
        </is>
      </c>
      <c r="O3532" s="4" t="inlineStr">
        <is>
          <t>https://www.tcgplayer.com/product/247670</t>
        </is>
      </c>
    </row>
    <row r="3533">
      <c r="A3533" s="2" t="inlineStr">
        <is>
          <t>Fusion Strike Single Pack Blister [Tepig]</t>
        </is>
      </c>
      <c r="B3533" s="3">
        <f>IF(I3533&lt;&gt;"",I3533,IF(J3533&lt;&gt;"",J3533,IF(K3533&lt;&gt;"",K3533,L3533)))</f>
        <v>28.68</v>
      </c>
      <c r="C3533" s="3">
        <f>MEDIAN(I3533:L3533)</f>
        <v>28.68</v>
      </c>
      <c r="D3533" s="3">
        <f>ROUND(C3533*(1-Settings!$B$2),2)</f>
        <v>20.08</v>
      </c>
      <c r="E3533" s="3">
        <f>ROUND(C3533*(1-Settings!$B$3),2)</f>
        <v>20.08</v>
      </c>
      <c r="F3533" s="2" t="inlineStr">
        <is>
          <t>Pokemon</t>
        </is>
      </c>
      <c r="G3533" s="2" t="inlineStr">
        <is>
          <t>Pack</t>
        </is>
      </c>
      <c r="H3533" s="2" t="inlineStr">
        <is>
          <t>SWSH08: Fusion Strike</t>
        </is>
      </c>
      <c r="I3533" s="3" t="n"/>
      <c r="J3533" s="3" t="n">
        <v>28.68</v>
      </c>
      <c r="K3533" s="3" t="n">
        <v>32.98</v>
      </c>
      <c r="L3533" s="3" t="n">
        <v>28.68</v>
      </c>
      <c r="M3533" s="2" t="inlineStr">
        <is>
          <t>TCGplayer</t>
        </is>
      </c>
      <c r="O3533" s="4" t="inlineStr">
        <is>
          <t>https://www.tcgplayer.com/product/247669</t>
        </is>
      </c>
    </row>
    <row r="3534">
      <c r="A3534" s="2" t="inlineStr">
        <is>
          <t>Fusion Strike Sleeved Booster Pack</t>
        </is>
      </c>
      <c r="B3534" s="3">
        <f>IF(I3534&lt;&gt;"",I3534,IF(J3534&lt;&gt;"",J3534,IF(K3534&lt;&gt;"",K3534,L3534)))</f>
        <v>25.0</v>
      </c>
      <c r="C3534" s="3">
        <f>MEDIAN(I3534:L3534)</f>
        <v>26.29</v>
      </c>
      <c r="D3534" s="3">
        <f>ROUND(C3534*(1-Settings!$B$2),2)</f>
        <v>18.4</v>
      </c>
      <c r="E3534" s="3">
        <f>ROUND(C3534*(1-Settings!$B$3),2)</f>
        <v>18.4</v>
      </c>
      <c r="F3534" s="2" t="inlineStr">
        <is>
          <t>Pokemon</t>
        </is>
      </c>
      <c r="G3534" s="2" t="inlineStr">
        <is>
          <t>Pack</t>
        </is>
      </c>
      <c r="H3534" s="2" t="inlineStr">
        <is>
          <t>SWSH08: Fusion Strike</t>
        </is>
      </c>
      <c r="I3534" s="3" t="n">
        <v>25</v>
      </c>
      <c r="J3534" s="3" t="n">
        <v>27.58</v>
      </c>
      <c r="K3534" s="3" t="n">
        <v>29.56</v>
      </c>
      <c r="L3534" s="3" t="n">
        <v>21</v>
      </c>
      <c r="M3534" s="2" t="inlineStr">
        <is>
          <t>PriceCharting + TCGplayer</t>
        </is>
      </c>
      <c r="N3534" s="4" t="inlineStr">
        <is>
          <t>https://www.pricecharting.com/game/pokemon-fusion-strike/sleeved-booster-pack</t>
        </is>
      </c>
      <c r="O3534" s="4" t="inlineStr">
        <is>
          <t>https://www.tcgplayer.com/product/247656</t>
        </is>
      </c>
    </row>
    <row r="3535">
      <c r="A3535" s="2" t="inlineStr">
        <is>
          <t>Unova Two Pack Blister [Forces of Nature Trio]</t>
        </is>
      </c>
      <c r="B3535" s="3">
        <f>IF(I3535&lt;&gt;"",I3535,IF(J3535&lt;&gt;"",J3535,IF(K3535&lt;&gt;"",K3535,L3535)))</f>
        <v>29.18</v>
      </c>
      <c r="C3535" s="3">
        <f>MEDIAN(I3535:L3535)</f>
        <v>31.99</v>
      </c>
      <c r="D3535" s="3">
        <f>ROUND(C3535*(1-Settings!$B$2),2)</f>
        <v>22.39</v>
      </c>
      <c r="E3535" s="3">
        <f>ROUND(C3535*(1-Settings!$B$3),2)</f>
        <v>22.39</v>
      </c>
      <c r="F3535" s="2" t="inlineStr">
        <is>
          <t>Pokemon</t>
        </is>
      </c>
      <c r="G3535" s="2" t="inlineStr">
        <is>
          <t>Pack</t>
        </is>
      </c>
      <c r="H3535" s="2" t="inlineStr">
        <is>
          <t>SWSH08: Fusion Strike</t>
        </is>
      </c>
      <c r="I3535" s="3" t="n"/>
      <c r="J3535" s="3" t="n">
        <v>29.18</v>
      </c>
      <c r="K3535" s="3" t="n">
        <v>31.99</v>
      </c>
      <c r="L3535" s="3" t="n">
        <v>31.99</v>
      </c>
      <c r="M3535" s="2" t="inlineStr">
        <is>
          <t>TCGplayer</t>
        </is>
      </c>
      <c r="O3535" s="4" t="inlineStr">
        <is>
          <t>https://www.tcgplayer.com/product/263545</t>
        </is>
      </c>
    </row>
    <row r="3536">
      <c r="A3536" s="2" t="inlineStr">
        <is>
          <t>Brilliant Stars 3 Pack Blister [Glaceon]</t>
        </is>
      </c>
      <c r="B3536" s="3">
        <f>IF(I3536&lt;&gt;"",I3536,IF(J3536&lt;&gt;"",J3536,IF(K3536&lt;&gt;"",K3536,L3536)))</f>
        <v>54.48</v>
      </c>
      <c r="C3536" s="3">
        <f>MEDIAN(I3536:L3536)</f>
        <v>63.99</v>
      </c>
      <c r="D3536" s="3">
        <f>ROUND(C3536*(1-Settings!$B$2),2)</f>
        <v>44.79</v>
      </c>
      <c r="E3536" s="3">
        <f>ROUND(C3536*(1-Settings!$B$3),2)</f>
        <v>44.79</v>
      </c>
      <c r="F3536" s="2" t="inlineStr">
        <is>
          <t>Pokemon</t>
        </is>
      </c>
      <c r="G3536" s="2" t="inlineStr">
        <is>
          <t>Pack</t>
        </is>
      </c>
      <c r="H3536" s="2" t="inlineStr">
        <is>
          <t>SWSH09: Brilliant Stars</t>
        </is>
      </c>
      <c r="I3536" s="3" t="n"/>
      <c r="J3536" s="3" t="n">
        <v>54.48</v>
      </c>
      <c r="K3536" s="3" t="n">
        <v>77.5</v>
      </c>
      <c r="L3536" s="3" t="n">
        <v>63.99</v>
      </c>
      <c r="M3536" s="2" t="inlineStr">
        <is>
          <t>TCGplayer</t>
        </is>
      </c>
      <c r="O3536" s="4" t="inlineStr">
        <is>
          <t>https://www.tcgplayer.com/product/256132</t>
        </is>
      </c>
    </row>
    <row r="3537">
      <c r="A3537" s="2" t="inlineStr">
        <is>
          <t>Brilliant Stars Booster Pack</t>
        </is>
      </c>
      <c r="B3537" s="3">
        <f>IF(I3537&lt;&gt;"",I3537,IF(J3537&lt;&gt;"",J3537,IF(K3537&lt;&gt;"",K3537,L3537)))</f>
        <v>16.0</v>
      </c>
      <c r="C3537" s="3">
        <f>MEDIAN(I3537:L3537)</f>
        <v>16.085</v>
      </c>
      <c r="D3537" s="3">
        <f>ROUND(C3537*(1-Settings!$B$2),2)</f>
        <v>11.26</v>
      </c>
      <c r="E3537" s="3">
        <f>ROUND(C3537*(1-Settings!$B$3),2)</f>
        <v>11.26</v>
      </c>
      <c r="F3537" s="2" t="inlineStr">
        <is>
          <t>Pokemon</t>
        </is>
      </c>
      <c r="G3537" s="2" t="inlineStr">
        <is>
          <t>Pack</t>
        </is>
      </c>
      <c r="H3537" s="2" t="inlineStr">
        <is>
          <t>SWSH09: Brilliant Stars</t>
        </is>
      </c>
      <c r="I3537" s="3" t="n">
        <v>16</v>
      </c>
      <c r="J3537" s="3" t="n">
        <v>16.17</v>
      </c>
      <c r="K3537" s="3" t="n">
        <v>17</v>
      </c>
      <c r="L3537" s="3" t="n">
        <v>12.99</v>
      </c>
      <c r="M3537" s="2" t="inlineStr">
        <is>
          <t>PriceCharting + TCGplayer</t>
        </is>
      </c>
      <c r="N3537" s="4" t="inlineStr">
        <is>
          <t>https://www.pricecharting.com/game/pokemon-brilliant-stars/booster-pack</t>
        </is>
      </c>
      <c r="O3537" s="4" t="inlineStr">
        <is>
          <t>https://www.tcgplayer.com/product/256124</t>
        </is>
      </c>
    </row>
    <row r="3538">
      <c r="A3538" s="2" t="inlineStr">
        <is>
          <t>Brilliant Stars Fun Pack</t>
        </is>
      </c>
      <c r="B3538" s="3">
        <f>IF(I3538&lt;&gt;"",I3538,IF(J3538&lt;&gt;"",J3538,IF(K3538&lt;&gt;"",K3538,L3538)))</f>
        <v>7.4</v>
      </c>
      <c r="C3538" s="3">
        <f>MEDIAN(I3538:L3538)</f>
        <v>7.4</v>
      </c>
      <c r="D3538" s="3">
        <f>ROUND(C3538*(1-Settings!$B$2),2)</f>
        <v>5.18</v>
      </c>
      <c r="E3538" s="3">
        <f>ROUND(C3538*(1-Settings!$B$3),2)</f>
        <v>5.18</v>
      </c>
      <c r="F3538" s="2" t="inlineStr">
        <is>
          <t>Pokemon</t>
        </is>
      </c>
      <c r="G3538" s="2" t="inlineStr">
        <is>
          <t>Pack</t>
        </is>
      </c>
      <c r="H3538" s="2" t="inlineStr">
        <is>
          <t>SWSH09: Brilliant Stars</t>
        </is>
      </c>
      <c r="I3538" s="3" t="n"/>
      <c r="J3538" s="3" t="n">
        <v>7.4</v>
      </c>
      <c r="K3538" s="3" t="n"/>
      <c r="L3538" s="3" t="n"/>
      <c r="M3538" s="2" t="inlineStr">
        <is>
          <t>TCGplayer</t>
        </is>
      </c>
      <c r="O3538" s="4" t="inlineStr">
        <is>
          <t>https://www.tcgplayer.com/product/509881</t>
        </is>
      </c>
    </row>
    <row r="3539">
      <c r="A3539" s="2" t="inlineStr">
        <is>
          <t>Brilliant Stars Premium Checklane Blister [Zoroark]</t>
        </is>
      </c>
      <c r="B3539" s="3">
        <f>IF(I3539&lt;&gt;"",I3539,IF(J3539&lt;&gt;"",J3539,IF(K3539&lt;&gt;"",K3539,L3539)))</f>
        <v>34.77</v>
      </c>
      <c r="C3539" s="3">
        <f>MEDIAN(I3539:L3539)</f>
        <v>34.77</v>
      </c>
      <c r="D3539" s="3">
        <f>ROUND(C3539*(1-Settings!$B$2),2)</f>
        <v>24.34</v>
      </c>
      <c r="E3539" s="3">
        <f>ROUND(C3539*(1-Settings!$B$3),2)</f>
        <v>24.34</v>
      </c>
      <c r="F3539" s="2" t="inlineStr">
        <is>
          <t>Pokemon</t>
        </is>
      </c>
      <c r="G3539" s="2" t="inlineStr">
        <is>
          <t>Pack</t>
        </is>
      </c>
      <c r="H3539" s="2" t="inlineStr">
        <is>
          <t>SWSH09: Brilliant Stars</t>
        </is>
      </c>
      <c r="I3539" s="3" t="n"/>
      <c r="J3539" s="3" t="n">
        <v>34.77</v>
      </c>
      <c r="K3539" s="3" t="n"/>
      <c r="L3539" s="3" t="n"/>
      <c r="M3539" s="2" t="inlineStr">
        <is>
          <t>TCGplayer</t>
        </is>
      </c>
      <c r="O3539" s="4" t="inlineStr">
        <is>
          <t>https://www.tcgplayer.com/product/684658</t>
        </is>
      </c>
    </row>
    <row r="3540">
      <c r="A3540" s="2" t="inlineStr">
        <is>
          <t>Brilliant Stars Single Pack Blister [Flapple]</t>
        </is>
      </c>
      <c r="B3540" s="3">
        <f>IF(I3540&lt;&gt;"",I3540,IF(J3540&lt;&gt;"",J3540,IF(K3540&lt;&gt;"",K3540,L3540)))</f>
        <v>17.26</v>
      </c>
      <c r="C3540" s="3">
        <f>MEDIAN(I3540:L3540)</f>
        <v>18.48</v>
      </c>
      <c r="D3540" s="3">
        <f>ROUND(C3540*(1-Settings!$B$2),2)</f>
        <v>12.94</v>
      </c>
      <c r="E3540" s="3">
        <f>ROUND(C3540*(1-Settings!$B$3),2)</f>
        <v>12.94</v>
      </c>
      <c r="F3540" s="2" t="inlineStr">
        <is>
          <t>Pokemon</t>
        </is>
      </c>
      <c r="G3540" s="2" t="inlineStr">
        <is>
          <t>Pack</t>
        </is>
      </c>
      <c r="H3540" s="2" t="inlineStr">
        <is>
          <t>SWSH09: Brilliant Stars</t>
        </is>
      </c>
      <c r="I3540" s="3" t="n"/>
      <c r="J3540" s="3" t="n">
        <v>17.26</v>
      </c>
      <c r="K3540" s="3" t="n">
        <v>25.99</v>
      </c>
      <c r="L3540" s="3" t="n">
        <v>18.48</v>
      </c>
      <c r="M3540" s="2" t="inlineStr">
        <is>
          <t>TCGplayer</t>
        </is>
      </c>
      <c r="O3540" s="4" t="inlineStr">
        <is>
          <t>https://www.tcgplayer.com/product/256128</t>
        </is>
      </c>
    </row>
    <row r="3541">
      <c r="A3541" s="2" t="inlineStr">
        <is>
          <t>Brilliant Stars Sleeved Booster Pack</t>
        </is>
      </c>
      <c r="B3541" s="3">
        <f>IF(I3541&lt;&gt;"",I3541,IF(J3541&lt;&gt;"",J3541,IF(K3541&lt;&gt;"",K3541,L3541)))</f>
        <v>19.49</v>
      </c>
      <c r="C3541" s="3">
        <f>MEDIAN(I3541:L3541)</f>
        <v>19.695</v>
      </c>
      <c r="D3541" s="3">
        <f>ROUND(C3541*(1-Settings!$B$2),2)</f>
        <v>13.79</v>
      </c>
      <c r="E3541" s="3">
        <f>ROUND(C3541*(1-Settings!$B$3),2)</f>
        <v>13.79</v>
      </c>
      <c r="F3541" s="2" t="inlineStr">
        <is>
          <t>Pokemon</t>
        </is>
      </c>
      <c r="G3541" s="2" t="inlineStr">
        <is>
          <t>Pack</t>
        </is>
      </c>
      <c r="H3541" s="2" t="inlineStr">
        <is>
          <t>SWSH09: Brilliant Stars</t>
        </is>
      </c>
      <c r="I3541" s="3" t="n">
        <v>19.49</v>
      </c>
      <c r="J3541" s="3" t="n">
        <v>19.9</v>
      </c>
      <c r="K3541" s="3" t="n">
        <v>23.2</v>
      </c>
      <c r="L3541" s="3" t="n">
        <v>17.99</v>
      </c>
      <c r="M3541" s="2" t="inlineStr">
        <is>
          <t>PriceCharting + TCGplayer</t>
        </is>
      </c>
      <c r="N3541" s="4" t="inlineStr">
        <is>
          <t>https://www.pricecharting.com/game/pokemon-brilliant-stars/sleeved-booster-pack</t>
        </is>
      </c>
      <c r="O3541" s="4" t="inlineStr">
        <is>
          <t>https://www.tcgplayer.com/product/256125</t>
        </is>
      </c>
    </row>
    <row r="3542">
      <c r="A3542" s="2" t="inlineStr">
        <is>
          <t>Astral Radiance 3 Pack Blister [Eevee]</t>
        </is>
      </c>
      <c r="B3542" s="3">
        <f>IF(I3542&lt;&gt;"",I3542,IF(J3542&lt;&gt;"",J3542,IF(K3542&lt;&gt;"",K3542,L3542)))</f>
        <v>43.72</v>
      </c>
      <c r="C3542" s="3">
        <f>MEDIAN(I3542:L3542)</f>
        <v>43.72</v>
      </c>
      <c r="D3542" s="3">
        <f>ROUND(C3542*(1-Settings!$B$2),2)</f>
        <v>30.6</v>
      </c>
      <c r="E3542" s="3">
        <f>ROUND(C3542*(1-Settings!$B$3),2)</f>
        <v>30.6</v>
      </c>
      <c r="F3542" s="2" t="inlineStr">
        <is>
          <t>Pokemon</t>
        </is>
      </c>
      <c r="G3542" s="2" t="inlineStr">
        <is>
          <t>Pack</t>
        </is>
      </c>
      <c r="H3542" s="2" t="inlineStr">
        <is>
          <t>SWSH10: Astral Radiance</t>
        </is>
      </c>
      <c r="I3542" s="3" t="n"/>
      <c r="J3542" s="3" t="n">
        <v>43.72</v>
      </c>
      <c r="K3542" s="3" t="n">
        <v>52.5</v>
      </c>
      <c r="L3542" s="3" t="n">
        <v>40</v>
      </c>
      <c r="M3542" s="2" t="inlineStr">
        <is>
          <t>TCGplayer</t>
        </is>
      </c>
      <c r="O3542" s="4" t="inlineStr">
        <is>
          <t>https://www.tcgplayer.com/product/265524</t>
        </is>
      </c>
    </row>
    <row r="3543">
      <c r="A3543" s="2" t="inlineStr">
        <is>
          <t>Astral Radiance 3 Pack Blister [Sylveon]</t>
        </is>
      </c>
      <c r="B3543" s="3">
        <f>IF(I3543&lt;&gt;"",I3543,IF(J3543&lt;&gt;"",J3543,IF(K3543&lt;&gt;"",K3543,L3543)))</f>
        <v>39.37</v>
      </c>
      <c r="C3543" s="3">
        <f>MEDIAN(I3543:L3543)</f>
        <v>39.37</v>
      </c>
      <c r="D3543" s="3">
        <f>ROUND(C3543*(1-Settings!$B$2),2)</f>
        <v>27.56</v>
      </c>
      <c r="E3543" s="3">
        <f>ROUND(C3543*(1-Settings!$B$3),2)</f>
        <v>27.56</v>
      </c>
      <c r="F3543" s="2" t="inlineStr">
        <is>
          <t>Pokemon</t>
        </is>
      </c>
      <c r="G3543" s="2" t="inlineStr">
        <is>
          <t>Pack</t>
        </is>
      </c>
      <c r="H3543" s="2" t="inlineStr">
        <is>
          <t>SWSH10: Astral Radiance</t>
        </is>
      </c>
      <c r="I3543" s="3" t="n"/>
      <c r="J3543" s="3" t="n">
        <v>39.37</v>
      </c>
      <c r="K3543" s="3" t="n">
        <v>53.29</v>
      </c>
      <c r="L3543" s="3" t="n">
        <v>37</v>
      </c>
      <c r="M3543" s="2" t="inlineStr">
        <is>
          <t>TCGplayer</t>
        </is>
      </c>
      <c r="O3543" s="4" t="inlineStr">
        <is>
          <t>https://www.tcgplayer.com/product/265525</t>
        </is>
      </c>
    </row>
    <row r="3544">
      <c r="A3544" s="2" t="inlineStr">
        <is>
          <t>Astral Radiance Booster Pack</t>
        </is>
      </c>
      <c r="B3544" s="3">
        <f>IF(I3544&lt;&gt;"",I3544,IF(J3544&lt;&gt;"",J3544,IF(K3544&lt;&gt;"",K3544,L3544)))</f>
        <v>10.64</v>
      </c>
      <c r="C3544" s="3">
        <f>MEDIAN(I3544:L3544)</f>
        <v>10.465</v>
      </c>
      <c r="D3544" s="3">
        <f>ROUND(C3544*(1-Settings!$B$2),2)</f>
        <v>7.33</v>
      </c>
      <c r="E3544" s="3">
        <f>ROUND(C3544*(1-Settings!$B$3),2)</f>
        <v>7.33</v>
      </c>
      <c r="F3544" s="2" t="inlineStr">
        <is>
          <t>Pokemon</t>
        </is>
      </c>
      <c r="G3544" s="2" t="inlineStr">
        <is>
          <t>Pack</t>
        </is>
      </c>
      <c r="H3544" s="2" t="inlineStr">
        <is>
          <t>SWSH10: Astral Radiance</t>
        </is>
      </c>
      <c r="I3544" s="3" t="n">
        <v>10.64</v>
      </c>
      <c r="J3544" s="3" t="n">
        <v>10.29</v>
      </c>
      <c r="K3544" s="3" t="n">
        <v>11</v>
      </c>
      <c r="L3544" s="3" t="n">
        <v>8</v>
      </c>
      <c r="M3544" s="2" t="inlineStr">
        <is>
          <t>PriceCharting + TCGplayer</t>
        </is>
      </c>
      <c r="N3544" s="4" t="inlineStr">
        <is>
          <t>https://www.pricecharting.com/game/pokemon-astral-radiance/booster-pack</t>
        </is>
      </c>
      <c r="O3544" s="4" t="inlineStr">
        <is>
          <t>https://www.tcgplayer.com/product/265521</t>
        </is>
      </c>
    </row>
    <row r="3545">
      <c r="A3545" s="2" t="inlineStr">
        <is>
          <t>Astral Radiance Fun Pack</t>
        </is>
      </c>
      <c r="B3545" s="3">
        <f>IF(I3545&lt;&gt;"",I3545,IF(J3545&lt;&gt;"",J3545,IF(K3545&lt;&gt;"",K3545,L3545)))</f>
        <v>7.76</v>
      </c>
      <c r="C3545" s="3">
        <f>MEDIAN(I3545:L3545)</f>
        <v>7.76</v>
      </c>
      <c r="D3545" s="3">
        <f>ROUND(C3545*(1-Settings!$B$2),2)</f>
        <v>5.43</v>
      </c>
      <c r="E3545" s="3">
        <f>ROUND(C3545*(1-Settings!$B$3),2)</f>
        <v>5.43</v>
      </c>
      <c r="F3545" s="2" t="inlineStr">
        <is>
          <t>Pokemon</t>
        </is>
      </c>
      <c r="G3545" s="2" t="inlineStr">
        <is>
          <t>Pack</t>
        </is>
      </c>
      <c r="H3545" s="2" t="inlineStr">
        <is>
          <t>SWSH10: Astral Radiance</t>
        </is>
      </c>
      <c r="I3545" s="3" t="n"/>
      <c r="J3545" s="3" t="n">
        <v>7.76</v>
      </c>
      <c r="K3545" s="3" t="n">
        <v>12.24</v>
      </c>
      <c r="L3545" s="3" t="n">
        <v>7.76</v>
      </c>
      <c r="M3545" s="2" t="inlineStr">
        <is>
          <t>TCGplayer</t>
        </is>
      </c>
      <c r="O3545" s="4" t="inlineStr">
        <is>
          <t>https://www.tcgplayer.com/product/509895</t>
        </is>
      </c>
    </row>
    <row r="3546">
      <c r="A3546" s="2" t="inlineStr">
        <is>
          <t>Astral Radiance Premium Checklane Blister [Feraligatr]</t>
        </is>
      </c>
      <c r="B3546" s="3">
        <f>IF(I3546&lt;&gt;"",I3546,IF(J3546&lt;&gt;"",J3546,IF(K3546&lt;&gt;"",K3546,L3546)))</f>
        <v>23.79</v>
      </c>
      <c r="C3546" s="3">
        <f>MEDIAN(I3546:L3546)</f>
        <v>23.79</v>
      </c>
      <c r="D3546" s="3">
        <f>ROUND(C3546*(1-Settings!$B$2),2)</f>
        <v>16.65</v>
      </c>
      <c r="E3546" s="3">
        <f>ROUND(C3546*(1-Settings!$B$3),2)</f>
        <v>16.65</v>
      </c>
      <c r="F3546" s="2" t="inlineStr">
        <is>
          <t>Pokemon</t>
        </is>
      </c>
      <c r="G3546" s="2" t="inlineStr">
        <is>
          <t>Pack</t>
        </is>
      </c>
      <c r="H3546" s="2" t="inlineStr">
        <is>
          <t>SWSH10: Astral Radiance</t>
        </is>
      </c>
      <c r="I3546" s="3" t="n"/>
      <c r="J3546" s="3" t="n">
        <v>23.79</v>
      </c>
      <c r="K3546" s="3" t="n">
        <v>25.99</v>
      </c>
      <c r="L3546" s="3" t="n">
        <v>22</v>
      </c>
      <c r="M3546" s="2" t="inlineStr">
        <is>
          <t>TCGplayer</t>
        </is>
      </c>
      <c r="O3546" s="4" t="inlineStr">
        <is>
          <t>https://www.tcgplayer.com/product/489340</t>
        </is>
      </c>
    </row>
    <row r="3547">
      <c r="A3547" s="2" t="inlineStr">
        <is>
          <t>Astral Radiance Premium Checklane Blister [Melmetal]</t>
        </is>
      </c>
      <c r="B3547" s="3">
        <f>IF(I3547&lt;&gt;"",I3547,IF(J3547&lt;&gt;"",J3547,IF(K3547&lt;&gt;"",K3547,L3547)))</f>
        <v>35.99</v>
      </c>
      <c r="C3547" s="3">
        <f>MEDIAN(I3547:L3547)</f>
        <v>35.99</v>
      </c>
      <c r="D3547" s="3">
        <f>ROUND(C3547*(1-Settings!$B$2),2)</f>
        <v>25.19</v>
      </c>
      <c r="E3547" s="3">
        <f>ROUND(C3547*(1-Settings!$B$3),2)</f>
        <v>25.19</v>
      </c>
      <c r="F3547" s="2" t="inlineStr">
        <is>
          <t>Pokemon</t>
        </is>
      </c>
      <c r="G3547" s="2" t="inlineStr">
        <is>
          <t>Pack</t>
        </is>
      </c>
      <c r="H3547" s="2" t="inlineStr">
        <is>
          <t>SWSH10: Astral Radiance</t>
        </is>
      </c>
      <c r="I3547" s="3" t="n"/>
      <c r="J3547" s="3" t="n"/>
      <c r="K3547" s="3" t="n"/>
      <c r="L3547" s="3" t="n">
        <v>35.99</v>
      </c>
      <c r="M3547" s="2" t="inlineStr">
        <is>
          <t>TCGplayer</t>
        </is>
      </c>
      <c r="O3547" s="4" t="inlineStr">
        <is>
          <t>https://www.tcgplayer.com/product/489342</t>
        </is>
      </c>
    </row>
    <row r="3548">
      <c r="A3548" s="2" t="inlineStr">
        <is>
          <t>Astral Radiance Premium Checklane Blister [Steelix]</t>
        </is>
      </c>
      <c r="B3548" s="3">
        <f>IF(I3548&lt;&gt;"",I3548,IF(J3548&lt;&gt;"",J3548,IF(K3548&lt;&gt;"",K3548,L3548)))</f>
        <v>26.02</v>
      </c>
      <c r="C3548" s="3">
        <f>MEDIAN(I3548:L3548)</f>
        <v>22.04</v>
      </c>
      <c r="D3548" s="3">
        <f>ROUND(C3548*(1-Settings!$B$2),2)</f>
        <v>15.43</v>
      </c>
      <c r="E3548" s="3">
        <f>ROUND(C3548*(1-Settings!$B$3),2)</f>
        <v>15.43</v>
      </c>
      <c r="F3548" s="2" t="inlineStr">
        <is>
          <t>Pokemon</t>
        </is>
      </c>
      <c r="G3548" s="2" t="inlineStr">
        <is>
          <t>Pack</t>
        </is>
      </c>
      <c r="H3548" s="2" t="inlineStr">
        <is>
          <t>SWSH10: Astral Radiance</t>
        </is>
      </c>
      <c r="I3548" s="3" t="n"/>
      <c r="J3548" s="3" t="n">
        <v>26.02</v>
      </c>
      <c r="K3548" s="3" t="n">
        <v>22.04</v>
      </c>
      <c r="L3548" s="3" t="n">
        <v>22.04</v>
      </c>
      <c r="M3548" s="2" t="inlineStr">
        <is>
          <t>TCGplayer</t>
        </is>
      </c>
      <c r="O3548" s="4" t="inlineStr">
        <is>
          <t>https://www.tcgplayer.com/product/489341</t>
        </is>
      </c>
    </row>
    <row r="3549">
      <c r="A3549" s="2" t="inlineStr">
        <is>
          <t>Astral Radiance Premium Checklane Blister [Swampert]</t>
        </is>
      </c>
      <c r="B3549" s="3">
        <f>IF(I3549&lt;&gt;"",I3549,IF(J3549&lt;&gt;"",J3549,IF(K3549&lt;&gt;"",K3549,L3549)))</f>
        <v>31.29</v>
      </c>
      <c r="C3549" s="3">
        <f>MEDIAN(I3549:L3549)</f>
        <v>44.99</v>
      </c>
      <c r="D3549" s="3">
        <f>ROUND(C3549*(1-Settings!$B$2),2)</f>
        <v>31.49</v>
      </c>
      <c r="E3549" s="3">
        <f>ROUND(C3549*(1-Settings!$B$3),2)</f>
        <v>31.49</v>
      </c>
      <c r="F3549" s="2" t="inlineStr">
        <is>
          <t>Pokemon</t>
        </is>
      </c>
      <c r="G3549" s="2" t="inlineStr">
        <is>
          <t>Pack</t>
        </is>
      </c>
      <c r="H3549" s="2" t="inlineStr">
        <is>
          <t>SWSH10: Astral Radiance</t>
        </is>
      </c>
      <c r="I3549" s="3" t="n"/>
      <c r="J3549" s="3" t="n">
        <v>31.29</v>
      </c>
      <c r="K3549" s="3" t="n">
        <v>50</v>
      </c>
      <c r="L3549" s="3" t="n">
        <v>44.99</v>
      </c>
      <c r="M3549" s="2" t="inlineStr">
        <is>
          <t>TCGplayer</t>
        </is>
      </c>
      <c r="O3549" s="4" t="inlineStr">
        <is>
          <t>https://www.tcgplayer.com/product/489339</t>
        </is>
      </c>
    </row>
    <row r="3550">
      <c r="A3550" s="2" t="inlineStr">
        <is>
          <t>Astral Radiance Single Pack Blister [Oricorio]</t>
        </is>
      </c>
      <c r="B3550" s="3">
        <f>IF(I3550&lt;&gt;"",I3550,IF(J3550&lt;&gt;"",J3550,IF(K3550&lt;&gt;"",K3550,L3550)))</f>
        <v>14.09</v>
      </c>
      <c r="C3550" s="3">
        <f>MEDIAN(I3550:L3550)</f>
        <v>14.09</v>
      </c>
      <c r="D3550" s="3">
        <f>ROUND(C3550*(1-Settings!$B$2),2)</f>
        <v>9.86</v>
      </c>
      <c r="E3550" s="3">
        <f>ROUND(C3550*(1-Settings!$B$3),2)</f>
        <v>9.86</v>
      </c>
      <c r="F3550" s="2" t="inlineStr">
        <is>
          <t>Pokemon</t>
        </is>
      </c>
      <c r="G3550" s="2" t="inlineStr">
        <is>
          <t>Pack</t>
        </is>
      </c>
      <c r="H3550" s="2" t="inlineStr">
        <is>
          <t>SWSH10: Astral Radiance</t>
        </is>
      </c>
      <c r="I3550" s="3" t="n"/>
      <c r="J3550" s="3" t="n">
        <v>14.09</v>
      </c>
      <c r="K3550" s="3" t="n">
        <v>19.99</v>
      </c>
      <c r="L3550" s="3" t="n">
        <v>13.08</v>
      </c>
      <c r="M3550" s="2" t="inlineStr">
        <is>
          <t>TCGplayer</t>
        </is>
      </c>
      <c r="O3550" s="4" t="inlineStr">
        <is>
          <t>https://www.tcgplayer.com/product/265523</t>
        </is>
      </c>
    </row>
    <row r="3551">
      <c r="A3551" s="2" t="inlineStr">
        <is>
          <t>Astral Radiance Single Pack Blister [Set of 2]</t>
        </is>
      </c>
      <c r="B3551" s="3">
        <f>IF(I3551&lt;&gt;"",I3551,IF(J3551&lt;&gt;"",J3551,IF(K3551&lt;&gt;"",K3551,L3551)))</f>
        <v>30.47</v>
      </c>
      <c r="C3551" s="3">
        <f>MEDIAN(I3551:L3551)</f>
        <v>30.47</v>
      </c>
      <c r="D3551" s="3">
        <f>ROUND(C3551*(1-Settings!$B$2),2)</f>
        <v>21.33</v>
      </c>
      <c r="E3551" s="3">
        <f>ROUND(C3551*(1-Settings!$B$3),2)</f>
        <v>21.33</v>
      </c>
      <c r="F3551" s="2" t="inlineStr">
        <is>
          <t>Pokemon</t>
        </is>
      </c>
      <c r="G3551" s="2" t="inlineStr">
        <is>
          <t>Pack</t>
        </is>
      </c>
      <c r="H3551" s="2" t="inlineStr">
        <is>
          <t>SWSH10: Astral Radiance</t>
        </is>
      </c>
      <c r="I3551" s="3" t="n"/>
      <c r="J3551" s="3" t="n">
        <v>30.47</v>
      </c>
      <c r="K3551" s="3" t="n">
        <v>31.47</v>
      </c>
      <c r="L3551" s="3" t="n">
        <v>27.94</v>
      </c>
      <c r="M3551" s="2" t="inlineStr">
        <is>
          <t>TCGplayer</t>
        </is>
      </c>
      <c r="O3551" s="4" t="inlineStr">
        <is>
          <t>https://www.tcgplayer.com/product/265558</t>
        </is>
      </c>
    </row>
    <row r="3552">
      <c r="A3552" s="2" t="inlineStr">
        <is>
          <t>Astral Radiance Single Pack Blister [Toxel]</t>
        </is>
      </c>
      <c r="B3552" s="3">
        <f>IF(I3552&lt;&gt;"",I3552,IF(J3552&lt;&gt;"",J3552,IF(K3552&lt;&gt;"",K3552,L3552)))</f>
        <v>15.33</v>
      </c>
      <c r="C3552" s="3">
        <f>MEDIAN(I3552:L3552)</f>
        <v>15.33</v>
      </c>
      <c r="D3552" s="3">
        <f>ROUND(C3552*(1-Settings!$B$2),2)</f>
        <v>10.73</v>
      </c>
      <c r="E3552" s="3">
        <f>ROUND(C3552*(1-Settings!$B$3),2)</f>
        <v>10.73</v>
      </c>
      <c r="F3552" s="2" t="inlineStr">
        <is>
          <t>Pokemon</t>
        </is>
      </c>
      <c r="G3552" s="2" t="inlineStr">
        <is>
          <t>Pack</t>
        </is>
      </c>
      <c r="H3552" s="2" t="inlineStr">
        <is>
          <t>SWSH10: Astral Radiance</t>
        </is>
      </c>
      <c r="I3552" s="3" t="n"/>
      <c r="J3552" s="3" t="n">
        <v>15.33</v>
      </c>
      <c r="K3552" s="3" t="n">
        <v>19.99</v>
      </c>
      <c r="L3552" s="3" t="n">
        <v>1.5</v>
      </c>
      <c r="M3552" s="2" t="inlineStr">
        <is>
          <t>TCGplayer</t>
        </is>
      </c>
      <c r="O3552" s="4" t="inlineStr">
        <is>
          <t>https://www.tcgplayer.com/product/265522</t>
        </is>
      </c>
    </row>
    <row r="3553">
      <c r="A3553" s="2" t="inlineStr">
        <is>
          <t>Astral Radiance Sleeved Booster Pack</t>
        </is>
      </c>
      <c r="B3553" s="3">
        <f>IF(I3553&lt;&gt;"",I3553,IF(J3553&lt;&gt;"",J3553,IF(K3553&lt;&gt;"",K3553,L3553)))</f>
        <v>12.11</v>
      </c>
      <c r="C3553" s="3">
        <f>MEDIAN(I3553:L3553)</f>
        <v>12.504999999999999</v>
      </c>
      <c r="D3553" s="3">
        <f>ROUND(C3553*(1-Settings!$B$2),2)</f>
        <v>8.75</v>
      </c>
      <c r="E3553" s="3">
        <f>ROUND(C3553*(1-Settings!$B$3),2)</f>
        <v>8.75</v>
      </c>
      <c r="F3553" s="2" t="inlineStr">
        <is>
          <t>Pokemon</t>
        </is>
      </c>
      <c r="G3553" s="2" t="inlineStr">
        <is>
          <t>Pack</t>
        </is>
      </c>
      <c r="H3553" s="2" t="inlineStr">
        <is>
          <t>SWSH10: Astral Radiance</t>
        </is>
      </c>
      <c r="I3553" s="3" t="n">
        <v>12.11</v>
      </c>
      <c r="J3553" s="3" t="n">
        <v>12.9</v>
      </c>
      <c r="K3553" s="3" t="n">
        <v>13.5</v>
      </c>
      <c r="L3553" s="3" t="n">
        <v>11</v>
      </c>
      <c r="M3553" s="2" t="inlineStr">
        <is>
          <t>PriceCharting + TCGplayer</t>
        </is>
      </c>
      <c r="N3553" s="4" t="inlineStr">
        <is>
          <t>https://www.pricecharting.com/game/pokemon-astral-radiance/sleeved-booster-pack</t>
        </is>
      </c>
      <c r="O3553" s="4" t="inlineStr">
        <is>
          <t>https://www.tcgplayer.com/product/265526</t>
        </is>
      </c>
    </row>
    <row r="3554">
      <c r="A3554" s="2" t="inlineStr">
        <is>
          <t>Lost Origin 3 Pack Blister [Regigigas]</t>
        </is>
      </c>
      <c r="B3554" s="3">
        <f>IF(I3554&lt;&gt;"",I3554,IF(J3554&lt;&gt;"",J3554,IF(K3554&lt;&gt;"",K3554,L3554)))</f>
        <v>63.31</v>
      </c>
      <c r="C3554" s="3">
        <f>MEDIAN(I3554:L3554)</f>
        <v>63.31</v>
      </c>
      <c r="D3554" s="3">
        <f>ROUND(C3554*(1-Settings!$B$2),2)</f>
        <v>44.32</v>
      </c>
      <c r="E3554" s="3">
        <f>ROUND(C3554*(1-Settings!$B$3),2)</f>
        <v>44.32</v>
      </c>
      <c r="F3554" s="2" t="inlineStr">
        <is>
          <t>Pokemon</t>
        </is>
      </c>
      <c r="G3554" s="2" t="inlineStr">
        <is>
          <t>Pack</t>
        </is>
      </c>
      <c r="H3554" s="2" t="inlineStr">
        <is>
          <t>SWSH11: Lost Origin</t>
        </is>
      </c>
      <c r="I3554" s="3" t="n"/>
      <c r="J3554" s="3" t="n">
        <v>63.31</v>
      </c>
      <c r="K3554" s="3" t="n">
        <v>82.37</v>
      </c>
      <c r="L3554" s="3" t="n">
        <v>1.5</v>
      </c>
      <c r="M3554" s="2" t="inlineStr">
        <is>
          <t>TCGplayer</t>
        </is>
      </c>
      <c r="O3554" s="4" t="inlineStr">
        <is>
          <t>https://www.tcgplayer.com/product/277329</t>
        </is>
      </c>
    </row>
    <row r="3555">
      <c r="A3555" s="2" t="inlineStr">
        <is>
          <t>Lost Origin 3 Pack Blister [Set of 2]</t>
        </is>
      </c>
      <c r="B3555" s="3">
        <f>IF(I3555&lt;&gt;"",I3555,IF(J3555&lt;&gt;"",J3555,IF(K3555&lt;&gt;"",K3555,L3555)))</f>
        <v>145.36</v>
      </c>
      <c r="C3555" s="3">
        <f>MEDIAN(I3555:L3555)</f>
        <v>145.36</v>
      </c>
      <c r="D3555" s="3">
        <f>ROUND(C3555*(1-Settings!$B$2),2)</f>
        <v>101.75</v>
      </c>
      <c r="E3555" s="3">
        <f>ROUND(C3555*(1-Settings!$B$3),2)</f>
        <v>101.75</v>
      </c>
      <c r="F3555" s="2" t="inlineStr">
        <is>
          <t>Pokemon</t>
        </is>
      </c>
      <c r="G3555" s="2" t="inlineStr">
        <is>
          <t>Pack</t>
        </is>
      </c>
      <c r="H3555" s="2" t="inlineStr">
        <is>
          <t>SWSH11: Lost Origin</t>
        </is>
      </c>
      <c r="I3555" s="3" t="n"/>
      <c r="J3555" s="3" t="n">
        <v>145.36</v>
      </c>
      <c r="K3555" s="3" t="n">
        <v>148.4</v>
      </c>
      <c r="L3555" s="3" t="n">
        <v>138.4</v>
      </c>
      <c r="M3555" s="2" t="inlineStr">
        <is>
          <t>TCGplayer</t>
        </is>
      </c>
      <c r="O3555" s="4" t="inlineStr">
        <is>
          <t>https://www.tcgplayer.com/product/278792</t>
        </is>
      </c>
    </row>
    <row r="3556">
      <c r="A3556" s="2" t="inlineStr">
        <is>
          <t>Lost Origin 3 Pack Blister [Weavile]</t>
        </is>
      </c>
      <c r="B3556" s="3">
        <f>IF(I3556&lt;&gt;"",I3556,IF(J3556&lt;&gt;"",J3556,IF(K3556&lt;&gt;"",K3556,L3556)))</f>
        <v>65.8</v>
      </c>
      <c r="C3556" s="3">
        <f>MEDIAN(I3556:L3556)</f>
        <v>79.99</v>
      </c>
      <c r="D3556" s="3">
        <f>ROUND(C3556*(1-Settings!$B$2),2)</f>
        <v>55.99</v>
      </c>
      <c r="E3556" s="3">
        <f>ROUND(C3556*(1-Settings!$B$3),2)</f>
        <v>55.99</v>
      </c>
      <c r="F3556" s="2" t="inlineStr">
        <is>
          <t>Pokemon</t>
        </is>
      </c>
      <c r="G3556" s="2" t="inlineStr">
        <is>
          <t>Pack</t>
        </is>
      </c>
      <c r="H3556" s="2" t="inlineStr">
        <is>
          <t>SWSH11: Lost Origin</t>
        </is>
      </c>
      <c r="I3556" s="3" t="n"/>
      <c r="J3556" s="3" t="n">
        <v>65.8</v>
      </c>
      <c r="K3556" s="3" t="n">
        <v>79.98999999999999</v>
      </c>
      <c r="L3556" s="3" t="n">
        <v>79.98999999999999</v>
      </c>
      <c r="M3556" s="2" t="inlineStr">
        <is>
          <t>TCGplayer</t>
        </is>
      </c>
      <c r="O3556" s="4" t="inlineStr">
        <is>
          <t>https://www.tcgplayer.com/product/277330</t>
        </is>
      </c>
    </row>
    <row r="3557">
      <c r="A3557" s="2" t="inlineStr">
        <is>
          <t>Lost Origin Booster Pack</t>
        </is>
      </c>
      <c r="B3557" s="3">
        <f>IF(I3557&lt;&gt;"",I3557,IF(J3557&lt;&gt;"",J3557,IF(K3557&lt;&gt;"",K3557,L3557)))</f>
        <v>18.79</v>
      </c>
      <c r="C3557" s="3">
        <f>MEDIAN(I3557:L3557)</f>
        <v>18.905</v>
      </c>
      <c r="D3557" s="3">
        <f>ROUND(C3557*(1-Settings!$B$2),2)</f>
        <v>13.23</v>
      </c>
      <c r="E3557" s="3">
        <f>ROUND(C3557*(1-Settings!$B$3),2)</f>
        <v>13.23</v>
      </c>
      <c r="F3557" s="2" t="inlineStr">
        <is>
          <t>Pokemon</t>
        </is>
      </c>
      <c r="G3557" s="2" t="inlineStr">
        <is>
          <t>Pack</t>
        </is>
      </c>
      <c r="H3557" s="2" t="inlineStr">
        <is>
          <t>SWSH11: Lost Origin</t>
        </is>
      </c>
      <c r="I3557" s="3" t="n">
        <v>18.79</v>
      </c>
      <c r="J3557" s="3" t="n">
        <v>19.02</v>
      </c>
      <c r="K3557" s="3" t="n">
        <v>19.52</v>
      </c>
      <c r="L3557" s="3" t="n">
        <v>13</v>
      </c>
      <c r="M3557" s="2" t="inlineStr">
        <is>
          <t>PriceCharting + TCGplayer</t>
        </is>
      </c>
      <c r="N3557" s="4" t="inlineStr">
        <is>
          <t>https://www.pricecharting.com/game/pokemon-lost-origin/booster-pack</t>
        </is>
      </c>
      <c r="O3557" s="4" t="inlineStr">
        <is>
          <t>https://www.tcgplayer.com/product/277325</t>
        </is>
      </c>
    </row>
    <row r="3558">
      <c r="A3558" s="2" t="inlineStr">
        <is>
          <t>Lost Origin Premium Checklane Blister [Infernape]</t>
        </is>
      </c>
      <c r="B3558" s="3">
        <f>IF(I3558&lt;&gt;"",I3558,IF(J3558&lt;&gt;"",J3558,IF(K3558&lt;&gt;"",K3558,L3558)))</f>
        <v>22.69</v>
      </c>
      <c r="C3558" s="3">
        <f>MEDIAN(I3558:L3558)</f>
        <v>22.99</v>
      </c>
      <c r="D3558" s="3">
        <f>ROUND(C3558*(1-Settings!$B$2),2)</f>
        <v>16.09</v>
      </c>
      <c r="E3558" s="3">
        <f>ROUND(C3558*(1-Settings!$B$3),2)</f>
        <v>16.09</v>
      </c>
      <c r="F3558" s="2" t="inlineStr">
        <is>
          <t>Pokemon</t>
        </is>
      </c>
      <c r="G3558" s="2" t="inlineStr">
        <is>
          <t>Pack</t>
        </is>
      </c>
      <c r="H3558" s="2" t="inlineStr">
        <is>
          <t>SWSH11: Lost Origin</t>
        </is>
      </c>
      <c r="I3558" s="3" t="n"/>
      <c r="J3558" s="3" t="n">
        <v>22.69</v>
      </c>
      <c r="K3558" s="3" t="n">
        <v>36.49</v>
      </c>
      <c r="L3558" s="3" t="n">
        <v>22.99</v>
      </c>
      <c r="M3558" s="2" t="inlineStr">
        <is>
          <t>TCGplayer</t>
        </is>
      </c>
      <c r="O3558" s="4" t="inlineStr">
        <is>
          <t>https://www.tcgplayer.com/product/277331</t>
        </is>
      </c>
    </row>
    <row r="3559">
      <c r="A3559" s="2" t="inlineStr">
        <is>
          <t>Lost Origin Premium Checklane Blister [Torterra]</t>
        </is>
      </c>
      <c r="B3559" s="3">
        <f>IF(I3559&lt;&gt;"",I3559,IF(J3559&lt;&gt;"",J3559,IF(K3559&lt;&gt;"",K3559,L3559)))</f>
        <v>31.79</v>
      </c>
      <c r="C3559" s="3">
        <f>MEDIAN(I3559:L3559)</f>
        <v>42.0</v>
      </c>
      <c r="D3559" s="3">
        <f>ROUND(C3559*(1-Settings!$B$2),2)</f>
        <v>29.4</v>
      </c>
      <c r="E3559" s="3">
        <f>ROUND(C3559*(1-Settings!$B$3),2)</f>
        <v>29.4</v>
      </c>
      <c r="F3559" s="2" t="inlineStr">
        <is>
          <t>Pokemon</t>
        </is>
      </c>
      <c r="G3559" s="2" t="inlineStr">
        <is>
          <t>Pack</t>
        </is>
      </c>
      <c r="H3559" s="2" t="inlineStr">
        <is>
          <t>SWSH11: Lost Origin</t>
        </is>
      </c>
      <c r="I3559" s="3" t="n"/>
      <c r="J3559" s="3" t="n">
        <v>31.79</v>
      </c>
      <c r="K3559" s="3" t="n">
        <v>47</v>
      </c>
      <c r="L3559" s="3" t="n">
        <v>42</v>
      </c>
      <c r="M3559" s="2" t="inlineStr">
        <is>
          <t>TCGplayer</t>
        </is>
      </c>
      <c r="O3559" s="4" t="inlineStr">
        <is>
          <t>https://www.tcgplayer.com/product/277334</t>
        </is>
      </c>
    </row>
    <row r="3560">
      <c r="A3560" s="2" t="inlineStr">
        <is>
          <t>Lost Origin Single Pack Blister [Croagunk]</t>
        </is>
      </c>
      <c r="B3560" s="3">
        <f>IF(I3560&lt;&gt;"",I3560,IF(J3560&lt;&gt;"",J3560,IF(K3560&lt;&gt;"",K3560,L3560)))</f>
        <v>17.74</v>
      </c>
      <c r="C3560" s="3">
        <f>MEDIAN(I3560:L3560)</f>
        <v>17.74</v>
      </c>
      <c r="D3560" s="3">
        <f>ROUND(C3560*(1-Settings!$B$2),2)</f>
        <v>12.42</v>
      </c>
      <c r="E3560" s="3">
        <f>ROUND(C3560*(1-Settings!$B$3),2)</f>
        <v>12.42</v>
      </c>
      <c r="F3560" s="2" t="inlineStr">
        <is>
          <t>Pokemon</t>
        </is>
      </c>
      <c r="G3560" s="2" t="inlineStr">
        <is>
          <t>Pack</t>
        </is>
      </c>
      <c r="H3560" s="2" t="inlineStr">
        <is>
          <t>SWSH11: Lost Origin</t>
        </is>
      </c>
      <c r="I3560" s="3" t="n"/>
      <c r="J3560" s="3" t="n">
        <v>17.74</v>
      </c>
      <c r="K3560" s="3" t="n">
        <v>22</v>
      </c>
      <c r="L3560" s="3" t="n">
        <v>16.87</v>
      </c>
      <c r="M3560" s="2" t="inlineStr">
        <is>
          <t>TCGplayer</t>
        </is>
      </c>
      <c r="O3560" s="4" t="inlineStr">
        <is>
          <t>https://www.tcgplayer.com/product/277327</t>
        </is>
      </c>
    </row>
    <row r="3561">
      <c r="A3561" s="2" t="inlineStr">
        <is>
          <t>Lost Origin Single Pack Blister [Scorbunny]</t>
        </is>
      </c>
      <c r="B3561" s="3">
        <f>IF(I3561&lt;&gt;"",I3561,IF(J3561&lt;&gt;"",J3561,IF(K3561&lt;&gt;"",K3561,L3561)))</f>
        <v>19.34</v>
      </c>
      <c r="C3561" s="3">
        <f>MEDIAN(I3561:L3561)</f>
        <v>19.69</v>
      </c>
      <c r="D3561" s="3">
        <f>ROUND(C3561*(1-Settings!$B$2),2)</f>
        <v>13.78</v>
      </c>
      <c r="E3561" s="3">
        <f>ROUND(C3561*(1-Settings!$B$3),2)</f>
        <v>13.78</v>
      </c>
      <c r="F3561" s="2" t="inlineStr">
        <is>
          <t>Pokemon</t>
        </is>
      </c>
      <c r="G3561" s="2" t="inlineStr">
        <is>
          <t>Pack</t>
        </is>
      </c>
      <c r="H3561" s="2" t="inlineStr">
        <is>
          <t>SWSH11: Lost Origin</t>
        </is>
      </c>
      <c r="I3561" s="3" t="n"/>
      <c r="J3561" s="3" t="n">
        <v>19.34</v>
      </c>
      <c r="K3561" s="3" t="n">
        <v>26.05</v>
      </c>
      <c r="L3561" s="3" t="n">
        <v>19.69</v>
      </c>
      <c r="M3561" s="2" t="inlineStr">
        <is>
          <t>TCGplayer</t>
        </is>
      </c>
      <c r="O3561" s="4" t="inlineStr">
        <is>
          <t>https://www.tcgplayer.com/product/277328</t>
        </is>
      </c>
    </row>
    <row r="3562">
      <c r="A3562" s="2" t="inlineStr">
        <is>
          <t>Lost Origin Single Pack Blister [Set of 2]</t>
        </is>
      </c>
      <c r="B3562" s="3">
        <f>IF(I3562&lt;&gt;"",I3562,IF(J3562&lt;&gt;"",J3562,IF(K3562&lt;&gt;"",K3562,L3562)))</f>
        <v>39.74</v>
      </c>
      <c r="C3562" s="3">
        <f>MEDIAN(I3562:L3562)</f>
        <v>39.74</v>
      </c>
      <c r="D3562" s="3">
        <f>ROUND(C3562*(1-Settings!$B$2),2)</f>
        <v>27.82</v>
      </c>
      <c r="E3562" s="3">
        <f>ROUND(C3562*(1-Settings!$B$3),2)</f>
        <v>27.82</v>
      </c>
      <c r="F3562" s="2" t="inlineStr">
        <is>
          <t>Pokemon</t>
        </is>
      </c>
      <c r="G3562" s="2" t="inlineStr">
        <is>
          <t>Pack</t>
        </is>
      </c>
      <c r="H3562" s="2" t="inlineStr">
        <is>
          <t>SWSH11: Lost Origin</t>
        </is>
      </c>
      <c r="I3562" s="3" t="n"/>
      <c r="J3562" s="3" t="n">
        <v>39.74</v>
      </c>
      <c r="K3562" s="3" t="n">
        <v>49.45</v>
      </c>
      <c r="L3562" s="3" t="n">
        <v>39.66</v>
      </c>
      <c r="M3562" s="2" t="inlineStr">
        <is>
          <t>TCGplayer</t>
        </is>
      </c>
      <c r="O3562" s="4" t="inlineStr">
        <is>
          <t>https://www.tcgplayer.com/product/278797</t>
        </is>
      </c>
    </row>
    <row r="3563">
      <c r="A3563" s="2" t="inlineStr">
        <is>
          <t>Lost Origin Sleeved Booster Pack</t>
        </is>
      </c>
      <c r="B3563" s="3">
        <f>IF(I3563&lt;&gt;"",I3563,IF(J3563&lt;&gt;"",J3563,IF(K3563&lt;&gt;"",K3563,L3563)))</f>
        <v>22.0</v>
      </c>
      <c r="C3563" s="3">
        <f>MEDIAN(I3563:L3563)</f>
        <v>22.060000000000002</v>
      </c>
      <c r="D3563" s="3">
        <f>ROUND(C3563*(1-Settings!$B$2),2)</f>
        <v>15.44</v>
      </c>
      <c r="E3563" s="3">
        <f>ROUND(C3563*(1-Settings!$B$3),2)</f>
        <v>15.44</v>
      </c>
      <c r="F3563" s="2" t="inlineStr">
        <is>
          <t>Pokemon</t>
        </is>
      </c>
      <c r="G3563" s="2" t="inlineStr">
        <is>
          <t>Pack</t>
        </is>
      </c>
      <c r="H3563" s="2" t="inlineStr">
        <is>
          <t>SWSH11: Lost Origin</t>
        </is>
      </c>
      <c r="I3563" s="3" t="n">
        <v>22</v>
      </c>
      <c r="J3563" s="3" t="n">
        <v>22.12</v>
      </c>
      <c r="K3563" s="3" t="n">
        <v>25</v>
      </c>
      <c r="L3563" s="3" t="n">
        <v>20</v>
      </c>
      <c r="M3563" s="2" t="inlineStr">
        <is>
          <t>PriceCharting + TCGplayer</t>
        </is>
      </c>
      <c r="N3563" s="4" t="inlineStr">
        <is>
          <t>https://www.pricecharting.com/game/pokemon-lost-origin/sleeved-booster-pack</t>
        </is>
      </c>
      <c r="O3563" s="4" t="inlineStr">
        <is>
          <t>https://www.tcgplayer.com/product/277326</t>
        </is>
      </c>
    </row>
    <row r="3564">
      <c r="A3564" s="2" t="inlineStr">
        <is>
          <t>Silver Tempest 3 Pack Blister [Manaphy]</t>
        </is>
      </c>
      <c r="B3564" s="3">
        <f>IF(I3564&lt;&gt;"",I3564,IF(J3564&lt;&gt;"",J3564,IF(K3564&lt;&gt;"",K3564,L3564)))</f>
        <v>49.51</v>
      </c>
      <c r="C3564" s="3">
        <f>MEDIAN(I3564:L3564)</f>
        <v>49.51</v>
      </c>
      <c r="D3564" s="3">
        <f>ROUND(C3564*(1-Settings!$B$2),2)</f>
        <v>34.66</v>
      </c>
      <c r="E3564" s="3">
        <f>ROUND(C3564*(1-Settings!$B$3),2)</f>
        <v>34.66</v>
      </c>
      <c r="F3564" s="2" t="inlineStr">
        <is>
          <t>Pokemon</t>
        </is>
      </c>
      <c r="G3564" s="2" t="inlineStr">
        <is>
          <t>Pack</t>
        </is>
      </c>
      <c r="H3564" s="2" t="inlineStr">
        <is>
          <t>SWSH12: Silver Tempest</t>
        </is>
      </c>
      <c r="I3564" s="3" t="n"/>
      <c r="J3564" s="3" t="n">
        <v>49.51</v>
      </c>
      <c r="K3564" s="3" t="n">
        <v>56.99</v>
      </c>
      <c r="L3564" s="3" t="n">
        <v>1.5</v>
      </c>
      <c r="M3564" s="2" t="inlineStr">
        <is>
          <t>TCGplayer</t>
        </is>
      </c>
      <c r="O3564" s="4" t="inlineStr">
        <is>
          <t>https://www.tcgplayer.com/product/283394</t>
        </is>
      </c>
    </row>
    <row r="3565">
      <c r="A3565" s="2" t="inlineStr">
        <is>
          <t>Silver Tempest 3 Pack Blister [Set of 2]</t>
        </is>
      </c>
      <c r="B3565" s="3">
        <f>IF(I3565&lt;&gt;"",I3565,IF(J3565&lt;&gt;"",J3565,IF(K3565&lt;&gt;"",K3565,L3565)))</f>
        <v>102.47</v>
      </c>
      <c r="C3565" s="3">
        <f>MEDIAN(I3565:L3565)</f>
        <v>119.95</v>
      </c>
      <c r="D3565" s="3">
        <f>ROUND(C3565*(1-Settings!$B$2),2)</f>
        <v>83.97</v>
      </c>
      <c r="E3565" s="3">
        <f>ROUND(C3565*(1-Settings!$B$3),2)</f>
        <v>83.97</v>
      </c>
      <c r="F3565" s="2" t="inlineStr">
        <is>
          <t>Pokemon</t>
        </is>
      </c>
      <c r="G3565" s="2" t="inlineStr">
        <is>
          <t>Pack</t>
        </is>
      </c>
      <c r="H3565" s="2" t="inlineStr">
        <is>
          <t>SWSH12: Silver Tempest</t>
        </is>
      </c>
      <c r="I3565" s="3" t="n"/>
      <c r="J3565" s="3" t="n">
        <v>102.47</v>
      </c>
      <c r="K3565" s="3" t="n">
        <v>119.95</v>
      </c>
      <c r="L3565" s="3" t="n">
        <v>119.95</v>
      </c>
      <c r="M3565" s="2" t="inlineStr">
        <is>
          <t>TCGplayer</t>
        </is>
      </c>
      <c r="O3565" s="4" t="inlineStr">
        <is>
          <t>https://www.tcgplayer.com/product/285779</t>
        </is>
      </c>
    </row>
    <row r="3566">
      <c r="A3566" s="2" t="inlineStr">
        <is>
          <t>Silver Tempest 3 Pack Blister [Togetic]</t>
        </is>
      </c>
      <c r="B3566" s="3">
        <f>IF(I3566&lt;&gt;"",I3566,IF(J3566&lt;&gt;"",J3566,IF(K3566&lt;&gt;"",K3566,L3566)))</f>
        <v>47.49</v>
      </c>
      <c r="C3566" s="3">
        <f>MEDIAN(I3566:L3566)</f>
        <v>55.22</v>
      </c>
      <c r="D3566" s="3">
        <f>ROUND(C3566*(1-Settings!$B$2),2)</f>
        <v>38.65</v>
      </c>
      <c r="E3566" s="3">
        <f>ROUND(C3566*(1-Settings!$B$3),2)</f>
        <v>38.65</v>
      </c>
      <c r="F3566" s="2" t="inlineStr">
        <is>
          <t>Pokemon</t>
        </is>
      </c>
      <c r="G3566" s="2" t="inlineStr">
        <is>
          <t>Pack</t>
        </is>
      </c>
      <c r="H3566" s="2" t="inlineStr">
        <is>
          <t>SWSH12: Silver Tempest</t>
        </is>
      </c>
      <c r="I3566" s="3" t="n">
        <v>47.49</v>
      </c>
      <c r="J3566" s="3" t="n">
        <v>51.45</v>
      </c>
      <c r="K3566" s="3" t="n">
        <v>59.49</v>
      </c>
      <c r="L3566" s="3" t="n">
        <v>58.99</v>
      </c>
      <c r="M3566" s="2" t="inlineStr">
        <is>
          <t>PriceCharting + TCGplayer</t>
        </is>
      </c>
      <c r="N3566" s="4" t="inlineStr">
        <is>
          <t>https://www.pricecharting.com/game/pokemon-silver-tempest/3-pack-blister-togetic</t>
        </is>
      </c>
      <c r="O3566" s="4" t="inlineStr">
        <is>
          <t>https://www.tcgplayer.com/product/283393</t>
        </is>
      </c>
    </row>
    <row r="3567">
      <c r="A3567" s="2" t="inlineStr">
        <is>
          <t>Silver Tempest Booster Pack</t>
        </is>
      </c>
      <c r="B3567" s="3">
        <f>IF(I3567&lt;&gt;"",I3567,IF(J3567&lt;&gt;"",J3567,IF(K3567&lt;&gt;"",K3567,L3567)))</f>
        <v>15.15</v>
      </c>
      <c r="C3567" s="3">
        <f>MEDIAN(I3567:L3567)</f>
        <v>15.075</v>
      </c>
      <c r="D3567" s="3">
        <f>ROUND(C3567*(1-Settings!$B$2),2)</f>
        <v>10.55</v>
      </c>
      <c r="E3567" s="3">
        <f>ROUND(C3567*(1-Settings!$B$3),2)</f>
        <v>10.55</v>
      </c>
      <c r="F3567" s="2" t="inlineStr">
        <is>
          <t>Pokemon</t>
        </is>
      </c>
      <c r="G3567" s="2" t="inlineStr">
        <is>
          <t>Pack</t>
        </is>
      </c>
      <c r="H3567" s="2" t="inlineStr">
        <is>
          <t>SWSH12: Silver Tempest</t>
        </is>
      </c>
      <c r="I3567" s="3" t="n">
        <v>15.15</v>
      </c>
      <c r="J3567" s="3" t="n">
        <v>15.1</v>
      </c>
      <c r="K3567" s="3" t="n">
        <v>15.05</v>
      </c>
      <c r="L3567" s="3" t="n">
        <v>10</v>
      </c>
      <c r="M3567" s="2" t="inlineStr">
        <is>
          <t>PriceCharting + TCGplayer</t>
        </is>
      </c>
      <c r="N3567" s="4" t="inlineStr">
        <is>
          <t>https://www.pricecharting.com/game/pokemon-silver-tempest/booster-pack</t>
        </is>
      </c>
      <c r="O3567" s="4" t="inlineStr">
        <is>
          <t>https://www.tcgplayer.com/product/283388</t>
        </is>
      </c>
    </row>
    <row r="3568">
      <c r="A3568" s="2" t="inlineStr">
        <is>
          <t>Silver Tempest Premium Checklane Blister [Gallade]</t>
        </is>
      </c>
      <c r="B3568" s="3">
        <f>IF(I3568&lt;&gt;"",I3568,IF(J3568&lt;&gt;"",J3568,IF(K3568&lt;&gt;"",K3568,L3568)))</f>
        <v>22.99</v>
      </c>
      <c r="C3568" s="3">
        <f>MEDIAN(I3568:L3568)</f>
        <v>26.0</v>
      </c>
      <c r="D3568" s="3">
        <f>ROUND(C3568*(1-Settings!$B$2),2)</f>
        <v>18.2</v>
      </c>
      <c r="E3568" s="3">
        <f>ROUND(C3568*(1-Settings!$B$3),2)</f>
        <v>18.2</v>
      </c>
      <c r="F3568" s="2" t="inlineStr">
        <is>
          <t>Pokemon</t>
        </is>
      </c>
      <c r="G3568" s="2" t="inlineStr">
        <is>
          <t>Pack</t>
        </is>
      </c>
      <c r="H3568" s="2" t="inlineStr">
        <is>
          <t>SWSH12: Silver Tempest</t>
        </is>
      </c>
      <c r="I3568" s="3" t="n"/>
      <c r="J3568" s="3" t="n">
        <v>22.99</v>
      </c>
      <c r="K3568" s="3" t="n">
        <v>29.5</v>
      </c>
      <c r="L3568" s="3" t="n">
        <v>26</v>
      </c>
      <c r="M3568" s="2" t="inlineStr">
        <is>
          <t>TCGplayer</t>
        </is>
      </c>
      <c r="O3568" s="4" t="inlineStr">
        <is>
          <t>https://www.tcgplayer.com/product/285784</t>
        </is>
      </c>
    </row>
    <row r="3569">
      <c r="A3569" s="2" t="inlineStr">
        <is>
          <t>Silver Tempest Premium Checklane Blister [Magnezone]</t>
        </is>
      </c>
      <c r="B3569" s="3">
        <f>IF(I3569&lt;&gt;"",I3569,IF(J3569&lt;&gt;"",J3569,IF(K3569&lt;&gt;"",K3569,L3569)))</f>
        <v>26.27</v>
      </c>
      <c r="C3569" s="3">
        <f>MEDIAN(I3569:L3569)</f>
        <v>26.134999999999998</v>
      </c>
      <c r="D3569" s="3">
        <f>ROUND(C3569*(1-Settings!$B$2),2)</f>
        <v>18.29</v>
      </c>
      <c r="E3569" s="3">
        <f>ROUND(C3569*(1-Settings!$B$3),2)</f>
        <v>18.29</v>
      </c>
      <c r="F3569" s="2" t="inlineStr">
        <is>
          <t>Pokemon</t>
        </is>
      </c>
      <c r="G3569" s="2" t="inlineStr">
        <is>
          <t>Pack</t>
        </is>
      </c>
      <c r="H3569" s="2" t="inlineStr">
        <is>
          <t>SWSH12: Silver Tempest</t>
        </is>
      </c>
      <c r="I3569" s="3" t="n"/>
      <c r="J3569" s="3" t="n"/>
      <c r="K3569" s="3" t="n">
        <v>26.27</v>
      </c>
      <c r="L3569" s="3" t="n">
        <v>26</v>
      </c>
      <c r="M3569" s="2" t="inlineStr">
        <is>
          <t>TCGplayer</t>
        </is>
      </c>
      <c r="O3569" s="4" t="inlineStr">
        <is>
          <t>https://www.tcgplayer.com/product/285783</t>
        </is>
      </c>
    </row>
    <row r="3570">
      <c r="A3570" s="2" t="inlineStr">
        <is>
          <t>Silver Tempest Single Pack Blister [Basculin]</t>
        </is>
      </c>
      <c r="B3570" s="3">
        <f>IF(I3570&lt;&gt;"",I3570,IF(J3570&lt;&gt;"",J3570,IF(K3570&lt;&gt;"",K3570,L3570)))</f>
        <v>14.67</v>
      </c>
      <c r="C3570" s="3">
        <f>MEDIAN(I3570:L3570)</f>
        <v>17.98</v>
      </c>
      <c r="D3570" s="3">
        <f>ROUND(C3570*(1-Settings!$B$2),2)</f>
        <v>12.59</v>
      </c>
      <c r="E3570" s="3">
        <f>ROUND(C3570*(1-Settings!$B$3),2)</f>
        <v>12.59</v>
      </c>
      <c r="F3570" s="2" t="inlineStr">
        <is>
          <t>Pokemon</t>
        </is>
      </c>
      <c r="G3570" s="2" t="inlineStr">
        <is>
          <t>Pack</t>
        </is>
      </c>
      <c r="H3570" s="2" t="inlineStr">
        <is>
          <t>SWSH12: Silver Tempest</t>
        </is>
      </c>
      <c r="I3570" s="3" t="n"/>
      <c r="J3570" s="3" t="n">
        <v>14.67</v>
      </c>
      <c r="K3570" s="3" t="n">
        <v>17.98</v>
      </c>
      <c r="L3570" s="3" t="n">
        <v>17.98</v>
      </c>
      <c r="M3570" s="2" t="inlineStr">
        <is>
          <t>TCGplayer</t>
        </is>
      </c>
      <c r="O3570" s="4" t="inlineStr">
        <is>
          <t>https://www.tcgplayer.com/product/285780</t>
        </is>
      </c>
    </row>
    <row r="3571">
      <c r="A3571" s="2" t="inlineStr">
        <is>
          <t>Silver Tempest Single Pack Blister [Set of 2]</t>
        </is>
      </c>
      <c r="B3571" s="3">
        <f>IF(I3571&lt;&gt;"",I3571,IF(J3571&lt;&gt;"",J3571,IF(K3571&lt;&gt;"",K3571,L3571)))</f>
        <v>48.98</v>
      </c>
      <c r="C3571" s="3">
        <f>MEDIAN(I3571:L3571)</f>
        <v>41.965</v>
      </c>
      <c r="D3571" s="3">
        <f>ROUND(C3571*(1-Settings!$B$2),2)</f>
        <v>29.38</v>
      </c>
      <c r="E3571" s="3">
        <f>ROUND(C3571*(1-Settings!$B$3),2)</f>
        <v>29.38</v>
      </c>
      <c r="F3571" s="2" t="inlineStr">
        <is>
          <t>Pokemon</t>
        </is>
      </c>
      <c r="G3571" s="2" t="inlineStr">
        <is>
          <t>Pack</t>
        </is>
      </c>
      <c r="H3571" s="2" t="inlineStr">
        <is>
          <t>SWSH12: Silver Tempest</t>
        </is>
      </c>
      <c r="I3571" s="3" t="n"/>
      <c r="J3571" s="3" t="n"/>
      <c r="K3571" s="3" t="n">
        <v>48.98</v>
      </c>
      <c r="L3571" s="3" t="n">
        <v>34.95</v>
      </c>
      <c r="M3571" s="2" t="inlineStr">
        <is>
          <t>TCGplayer</t>
        </is>
      </c>
      <c r="O3571" s="4" t="inlineStr">
        <is>
          <t>https://www.tcgplayer.com/product/285782</t>
        </is>
      </c>
    </row>
    <row r="3572">
      <c r="A3572" s="2" t="inlineStr">
        <is>
          <t>Silver Tempest Sleeved Booster Pack</t>
        </is>
      </c>
      <c r="B3572" s="3">
        <f>IF(I3572&lt;&gt;"",I3572,IF(J3572&lt;&gt;"",J3572,IF(K3572&lt;&gt;"",K3572,L3572)))</f>
        <v>15.03</v>
      </c>
      <c r="C3572" s="3">
        <f>MEDIAN(I3572:L3572)</f>
        <v>16.68</v>
      </c>
      <c r="D3572" s="3">
        <f>ROUND(C3572*(1-Settings!$B$2),2)</f>
        <v>11.68</v>
      </c>
      <c r="E3572" s="3">
        <f>ROUND(C3572*(1-Settings!$B$3),2)</f>
        <v>11.68</v>
      </c>
      <c r="F3572" s="2" t="inlineStr">
        <is>
          <t>Pokemon</t>
        </is>
      </c>
      <c r="G3572" s="2" t="inlineStr">
        <is>
          <t>Pack</t>
        </is>
      </c>
      <c r="H3572" s="2" t="inlineStr">
        <is>
          <t>SWSH12: Silver Tempest</t>
        </is>
      </c>
      <c r="I3572" s="3" t="n">
        <v>15.03</v>
      </c>
      <c r="J3572" s="3" t="n">
        <v>18.33</v>
      </c>
      <c r="K3572" s="3" t="n">
        <v>18.99</v>
      </c>
      <c r="L3572" s="3" t="n">
        <v>15</v>
      </c>
      <c r="M3572" s="2" t="inlineStr">
        <is>
          <t>PriceCharting + TCGplayer</t>
        </is>
      </c>
      <c r="N3572" s="4" t="inlineStr">
        <is>
          <t>https://www.pricecharting.com/game/pokemon-silver-tempest/sleeved-booster-pack</t>
        </is>
      </c>
      <c r="O3572" s="4" t="inlineStr">
        <is>
          <t>https://www.tcgplayer.com/product/283397</t>
        </is>
      </c>
    </row>
    <row r="3573">
      <c r="A3573" s="2" t="inlineStr">
        <is>
          <t>Crown Zenith Booster Pack</t>
        </is>
      </c>
      <c r="B3573" s="3">
        <f>IF(I3573&lt;&gt;"",I3573,IF(J3573&lt;&gt;"",J3573,IF(K3573&lt;&gt;"",K3573,L3573)))</f>
        <v>25.99</v>
      </c>
      <c r="C3573" s="3">
        <f>MEDIAN(I3573:L3573)</f>
        <v>25.985</v>
      </c>
      <c r="D3573" s="3">
        <f>ROUND(C3573*(1-Settings!$B$2),2)</f>
        <v>18.19</v>
      </c>
      <c r="E3573" s="3">
        <f>ROUND(C3573*(1-Settings!$B$3),2)</f>
        <v>18.19</v>
      </c>
      <c r="F3573" s="2" t="inlineStr">
        <is>
          <t>Pokemon</t>
        </is>
      </c>
      <c r="G3573" s="2" t="inlineStr">
        <is>
          <t>Pack</t>
        </is>
      </c>
      <c r="H3573" s="2" t="inlineStr">
        <is>
          <t>SWSH: Crown Zenith</t>
        </is>
      </c>
      <c r="I3573" s="3" t="n">
        <v>25.99</v>
      </c>
      <c r="J3573" s="3" t="n">
        <v>25.98</v>
      </c>
      <c r="K3573" s="3" t="n">
        <v>26.82</v>
      </c>
      <c r="L3573" s="3" t="n">
        <v>18.99</v>
      </c>
      <c r="M3573" s="2" t="inlineStr">
        <is>
          <t>PriceCharting + TCGplayer</t>
        </is>
      </c>
      <c r="N3573" s="4" t="inlineStr">
        <is>
          <t>https://www.pricecharting.com/game/pokemon-crown-zenith/booster-pack</t>
        </is>
      </c>
      <c r="O3573" s="4" t="inlineStr">
        <is>
          <t>https://www.tcgplayer.com/product/453466</t>
        </is>
      </c>
    </row>
    <row r="3574">
      <c r="A3574" s="2" t="inlineStr">
        <is>
          <t>Team Rocket Booster Pack</t>
        </is>
      </c>
      <c r="B3574" s="3">
        <f>IF(I3574&lt;&gt;"",I3574,IF(J3574&lt;&gt;"",J3574,IF(K3574&lt;&gt;"",K3574,L3574)))</f>
        <v>301.07</v>
      </c>
      <c r="C3574" s="3">
        <f>MEDIAN(I3574:L3574)</f>
        <v>301.07</v>
      </c>
      <c r="D3574" s="3">
        <f>ROUND(C3574*(1-Settings!$B$2),2)</f>
        <v>210.75</v>
      </c>
      <c r="E3574" s="3">
        <f>ROUND(C3574*(1-Settings!$B$3),2)</f>
        <v>210.75</v>
      </c>
      <c r="F3574" s="2" t="inlineStr">
        <is>
          <t>Pokemon</t>
        </is>
      </c>
      <c r="G3574" s="2" t="inlineStr">
        <is>
          <t>Pack</t>
        </is>
      </c>
      <c r="H3574" s="2" t="inlineStr">
        <is>
          <t>Team Rocket</t>
        </is>
      </c>
      <c r="I3574" s="3" t="n">
        <v>301.07</v>
      </c>
      <c r="J3574" s="3" t="n"/>
      <c r="K3574" s="3" t="n"/>
      <c r="L3574" s="3" t="n"/>
      <c r="M3574" s="2" t="inlineStr">
        <is>
          <t>PriceCharting</t>
        </is>
      </c>
      <c r="N3574" s="4" t="inlineStr">
        <is>
          <t>https://www.pricecharting.com/game/pokemon-team-rocket/booster-pack</t>
        </is>
      </c>
    </row>
    <row r="3575">
      <c r="A3575" s="2" t="inlineStr">
        <is>
          <t>Team Rocket Booster Pack [1st Edition]</t>
        </is>
      </c>
      <c r="B3575" s="3">
        <f>IF(I3575&lt;&gt;"",I3575,IF(J3575&lt;&gt;"",J3575,IF(K3575&lt;&gt;"",K3575,L3575)))</f>
        <v>637.0</v>
      </c>
      <c r="C3575" s="3">
        <f>MEDIAN(I3575:L3575)</f>
        <v>739.3399999999999</v>
      </c>
      <c r="D3575" s="3">
        <f>ROUND(C3575*(1-Settings!$B$2),2)</f>
        <v>517.54</v>
      </c>
      <c r="E3575" s="3">
        <f>ROUND(C3575*(1-Settings!$B$3),2)</f>
        <v>517.54</v>
      </c>
      <c r="F3575" s="2" t="inlineStr">
        <is>
          <t>Pokemon</t>
        </is>
      </c>
      <c r="G3575" s="2" t="inlineStr">
        <is>
          <t>Pack</t>
        </is>
      </c>
      <c r="H3575" s="2" t="inlineStr">
        <is>
          <t>Team Rocket</t>
        </is>
      </c>
      <c r="I3575" s="3" t="n">
        <v>637</v>
      </c>
      <c r="J3575" s="3" t="n">
        <v>753.6799999999999</v>
      </c>
      <c r="K3575" s="3" t="n">
        <v>801.84</v>
      </c>
      <c r="L3575" s="3" t="n">
        <v>725</v>
      </c>
      <c r="M3575" s="2" t="inlineStr">
        <is>
          <t>PriceCharting + TCGplayer</t>
        </is>
      </c>
      <c r="N3575" s="4" t="inlineStr">
        <is>
          <t>https://www.pricecharting.com/game/pokemon-team-rocket/booster-pack-1st-edition</t>
        </is>
      </c>
      <c r="O3575" s="4" t="inlineStr">
        <is>
          <t>https://www.tcgplayer.com/product/138136</t>
        </is>
      </c>
    </row>
    <row r="3576">
      <c r="A3576" s="2" t="inlineStr">
        <is>
          <t>Team Rocket Booster Pack [Unlimited Edition]</t>
        </is>
      </c>
      <c r="B3576" s="3">
        <f>IF(I3576&lt;&gt;"",I3576,IF(J3576&lt;&gt;"",J3576,IF(K3576&lt;&gt;"",K3576,L3576)))</f>
        <v>325.54</v>
      </c>
      <c r="C3576" s="3">
        <f>MEDIAN(I3576:L3576)</f>
        <v>325.54</v>
      </c>
      <c r="D3576" s="3">
        <f>ROUND(C3576*(1-Settings!$B$2),2)</f>
        <v>227.88</v>
      </c>
      <c r="E3576" s="3">
        <f>ROUND(C3576*(1-Settings!$B$3),2)</f>
        <v>227.88</v>
      </c>
      <c r="F3576" s="2" t="inlineStr">
        <is>
          <t>Pokemon</t>
        </is>
      </c>
      <c r="G3576" s="2" t="inlineStr">
        <is>
          <t>Pack</t>
        </is>
      </c>
      <c r="H3576" s="2" t="inlineStr">
        <is>
          <t>Team Rocket</t>
        </is>
      </c>
      <c r="I3576" s="3" t="n"/>
      <c r="J3576" s="3" t="n">
        <v>325.54</v>
      </c>
      <c r="K3576" s="3" t="n">
        <v>412.5</v>
      </c>
      <c r="L3576" s="3" t="n">
        <v>325.54</v>
      </c>
      <c r="M3576" s="2" t="inlineStr">
        <is>
          <t>TCGplayer</t>
        </is>
      </c>
      <c r="O3576" s="4" t="inlineStr">
        <is>
          <t>https://www.tcgplayer.com/product/138135</t>
        </is>
      </c>
    </row>
    <row r="3577">
      <c r="A3577" s="2" t="inlineStr">
        <is>
          <t>Team Rocket Returns Blister Pack</t>
        </is>
      </c>
      <c r="B3577" s="3">
        <f>IF(I3577&lt;&gt;"",I3577,IF(J3577&lt;&gt;"",J3577,IF(K3577&lt;&gt;"",K3577,L3577)))</f>
        <v>3097.32</v>
      </c>
      <c r="C3577" s="3">
        <f>MEDIAN(I3577:L3577)</f>
        <v>3097.32</v>
      </c>
      <c r="D3577" s="3">
        <f>ROUND(C3577*(1-Settings!$B$2),2)</f>
        <v>2168.12</v>
      </c>
      <c r="E3577" s="3">
        <f>ROUND(C3577*(1-Settings!$B$3),2)</f>
        <v>2168.12</v>
      </c>
      <c r="F3577" s="2" t="inlineStr">
        <is>
          <t>Pokemon</t>
        </is>
      </c>
      <c r="G3577" s="2" t="inlineStr">
        <is>
          <t>Pack</t>
        </is>
      </c>
      <c r="H3577" s="2" t="inlineStr">
        <is>
          <t>Team Rocket Returns</t>
        </is>
      </c>
      <c r="I3577" s="3" t="n">
        <v>3097.32</v>
      </c>
      <c r="J3577" s="3" t="n"/>
      <c r="K3577" s="3" t="n"/>
      <c r="L3577" s="3" t="n"/>
      <c r="M3577" s="2" t="inlineStr">
        <is>
          <t>PriceCharting</t>
        </is>
      </c>
      <c r="N3577" s="4" t="inlineStr">
        <is>
          <t>https://www.pricecharting.com/game/pokemon-team-rocket-returns/blister-pack</t>
        </is>
      </c>
    </row>
    <row r="3578">
      <c r="A3578" s="2" t="inlineStr">
        <is>
          <t>Team Up Blister Pack</t>
        </is>
      </c>
      <c r="B3578" s="3">
        <f>IF(I3578&lt;&gt;"",I3578,IF(J3578&lt;&gt;"",J3578,IF(K3578&lt;&gt;"",K3578,L3578)))</f>
        <v>387.5</v>
      </c>
      <c r="C3578" s="3">
        <f>MEDIAN(I3578:L3578)</f>
        <v>387.5</v>
      </c>
      <c r="D3578" s="3">
        <f>ROUND(C3578*(1-Settings!$B$2),2)</f>
        <v>271.25</v>
      </c>
      <c r="E3578" s="3">
        <f>ROUND(C3578*(1-Settings!$B$3),2)</f>
        <v>271.25</v>
      </c>
      <c r="F3578" s="2" t="inlineStr">
        <is>
          <t>Pokemon</t>
        </is>
      </c>
      <c r="G3578" s="2" t="inlineStr">
        <is>
          <t>Pack</t>
        </is>
      </c>
      <c r="H3578" s="2" t="inlineStr">
        <is>
          <t>Team Up</t>
        </is>
      </c>
      <c r="I3578" s="3" t="n">
        <v>387.5</v>
      </c>
      <c r="J3578" s="3" t="n"/>
      <c r="K3578" s="3" t="n"/>
      <c r="L3578" s="3" t="n"/>
      <c r="M3578" s="2" t="inlineStr">
        <is>
          <t>PriceCharting</t>
        </is>
      </c>
      <c r="N3578" s="4" t="inlineStr">
        <is>
          <t>https://www.pricecharting.com/game/pokemon-team-up/blister-pack</t>
        </is>
      </c>
    </row>
    <row r="3579">
      <c r="A3579" s="2" t="inlineStr">
        <is>
          <t>Team Up Sampling Pack</t>
        </is>
      </c>
      <c r="B3579" s="3">
        <f>IF(I3579&lt;&gt;"",I3579,IF(J3579&lt;&gt;"",J3579,IF(K3579&lt;&gt;"",K3579,L3579)))</f>
        <v>29.53</v>
      </c>
      <c r="C3579" s="3">
        <f>MEDIAN(I3579:L3579)</f>
        <v>29.53</v>
      </c>
      <c r="D3579" s="3">
        <f>ROUND(C3579*(1-Settings!$B$2),2)</f>
        <v>20.67</v>
      </c>
      <c r="E3579" s="3">
        <f>ROUND(C3579*(1-Settings!$B$3),2)</f>
        <v>20.67</v>
      </c>
      <c r="F3579" s="2" t="inlineStr">
        <is>
          <t>Pokemon</t>
        </is>
      </c>
      <c r="G3579" s="2" t="inlineStr">
        <is>
          <t>Pack</t>
        </is>
      </c>
      <c r="H3579" s="2" t="inlineStr">
        <is>
          <t>Team Up</t>
        </is>
      </c>
      <c r="I3579" s="3" t="n">
        <v>29.53</v>
      </c>
      <c r="J3579" s="3" t="n"/>
      <c r="K3579" s="3" t="n"/>
      <c r="L3579" s="3" t="n"/>
      <c r="M3579" s="2" t="inlineStr">
        <is>
          <t>PriceCharting</t>
        </is>
      </c>
      <c r="N3579" s="4" t="inlineStr">
        <is>
          <t>https://www.pricecharting.com/game/pokemon-team-up/sampling-pack</t>
        </is>
      </c>
    </row>
    <row r="3580">
      <c r="A3580" s="2" t="inlineStr">
        <is>
          <t>Temporal Forces Single Blister Pack: Bellibolt</t>
        </is>
      </c>
      <c r="B3580" s="3">
        <f>IF(I3580&lt;&gt;"",I3580,IF(J3580&lt;&gt;"",J3580,IF(K3580&lt;&gt;"",K3580,L3580)))</f>
        <v>12.82</v>
      </c>
      <c r="C3580" s="3">
        <f>MEDIAN(I3580:L3580)</f>
        <v>12.82</v>
      </c>
      <c r="D3580" s="3">
        <f>ROUND(C3580*(1-Settings!$B$2),2)</f>
        <v>8.97</v>
      </c>
      <c r="E3580" s="3">
        <f>ROUND(C3580*(1-Settings!$B$3),2)</f>
        <v>8.97</v>
      </c>
      <c r="F3580" s="2" t="inlineStr">
        <is>
          <t>Pokemon</t>
        </is>
      </c>
      <c r="G3580" s="2" t="inlineStr">
        <is>
          <t>Pack</t>
        </is>
      </c>
      <c r="H3580" s="2" t="inlineStr">
        <is>
          <t>Temporal Forces</t>
        </is>
      </c>
      <c r="I3580" s="3" t="n">
        <v>12.82</v>
      </c>
      <c r="J3580" s="3" t="n"/>
      <c r="K3580" s="3" t="n"/>
      <c r="L3580" s="3" t="n"/>
      <c r="M3580" s="2" t="inlineStr">
        <is>
          <t>PriceCharting</t>
        </is>
      </c>
      <c r="N3580" s="4" t="inlineStr">
        <is>
          <t>https://www.pricecharting.com/game/pokemon-temporal-forces/single-blister-pack-bellibolt</t>
        </is>
      </c>
    </row>
    <row r="3581">
      <c r="A3581" s="2" t="inlineStr">
        <is>
          <t>Temporal Forces Single Blister Pack: Carvanha</t>
        </is>
      </c>
      <c r="B3581" s="3">
        <f>IF(I3581&lt;&gt;"",I3581,IF(J3581&lt;&gt;"",J3581,IF(K3581&lt;&gt;"",K3581,L3581)))</f>
        <v>9.28</v>
      </c>
      <c r="C3581" s="3">
        <f>MEDIAN(I3581:L3581)</f>
        <v>9.28</v>
      </c>
      <c r="D3581" s="3">
        <f>ROUND(C3581*(1-Settings!$B$2),2)</f>
        <v>6.5</v>
      </c>
      <c r="E3581" s="3">
        <f>ROUND(C3581*(1-Settings!$B$3),2)</f>
        <v>6.5</v>
      </c>
      <c r="F3581" s="2" t="inlineStr">
        <is>
          <t>Pokemon</t>
        </is>
      </c>
      <c r="G3581" s="2" t="inlineStr">
        <is>
          <t>Pack</t>
        </is>
      </c>
      <c r="H3581" s="2" t="inlineStr">
        <is>
          <t>Temporal Forces</t>
        </is>
      </c>
      <c r="I3581" s="3" t="n">
        <v>9.279999999999999</v>
      </c>
      <c r="J3581" s="3" t="n"/>
      <c r="K3581" s="3" t="n"/>
      <c r="L3581" s="3" t="n"/>
      <c r="M3581" s="2" t="inlineStr">
        <is>
          <t>PriceCharting</t>
        </is>
      </c>
      <c r="N3581" s="4" t="inlineStr">
        <is>
          <t>https://www.pricecharting.com/game/pokemon-temporal-forces/single-blister-pack-carvanha</t>
        </is>
      </c>
    </row>
    <row r="3582">
      <c r="A3582" s="2" t="inlineStr">
        <is>
          <t>Trick Or Trade 2022 Booster Pack</t>
        </is>
      </c>
      <c r="B3582" s="3">
        <f>IF(I3582&lt;&gt;"",I3582,IF(J3582&lt;&gt;"",J3582,IF(K3582&lt;&gt;"",K3582,L3582)))</f>
        <v>2.13</v>
      </c>
      <c r="C3582" s="3">
        <f>MEDIAN(I3582:L3582)</f>
        <v>2.13</v>
      </c>
      <c r="D3582" s="3">
        <f>ROUND(C3582*(1-Settings!$B$2),2)</f>
        <v>1.49</v>
      </c>
      <c r="E3582" s="3">
        <f>ROUND(C3582*(1-Settings!$B$3),2)</f>
        <v>1.49</v>
      </c>
      <c r="F3582" s="2" t="inlineStr">
        <is>
          <t>Pokemon</t>
        </is>
      </c>
      <c r="G3582" s="2" t="inlineStr">
        <is>
          <t>Pack</t>
        </is>
      </c>
      <c r="H3582" s="2" t="inlineStr">
        <is>
          <t>Trick Or Trade 2022</t>
        </is>
      </c>
      <c r="I3582" s="3" t="n">
        <v>2.13</v>
      </c>
      <c r="J3582" s="3" t="n"/>
      <c r="K3582" s="3" t="n"/>
      <c r="L3582" s="3" t="n"/>
      <c r="M3582" s="2" t="inlineStr">
        <is>
          <t>PriceCharting</t>
        </is>
      </c>
      <c r="N3582" s="4" t="inlineStr">
        <is>
          <t>https://www.pricecharting.com/game/pokemon-trick-or-trade-2022/booster-pack</t>
        </is>
      </c>
    </row>
    <row r="3583">
      <c r="A3583" s="2" t="inlineStr">
        <is>
          <t>Trick Or Trade 2023 Booster Pack</t>
        </is>
      </c>
      <c r="B3583" s="3">
        <f>IF(I3583&lt;&gt;"",I3583,IF(J3583&lt;&gt;"",J3583,IF(K3583&lt;&gt;"",K3583,L3583)))</f>
        <v>2.4</v>
      </c>
      <c r="C3583" s="3">
        <f>MEDIAN(I3583:L3583)</f>
        <v>2.4</v>
      </c>
      <c r="D3583" s="3">
        <f>ROUND(C3583*(1-Settings!$B$2),2)</f>
        <v>1.68</v>
      </c>
      <c r="E3583" s="3">
        <f>ROUND(C3583*(1-Settings!$B$3),2)</f>
        <v>1.68</v>
      </c>
      <c r="F3583" s="2" t="inlineStr">
        <is>
          <t>Pokemon</t>
        </is>
      </c>
      <c r="G3583" s="2" t="inlineStr">
        <is>
          <t>Pack</t>
        </is>
      </c>
      <c r="H3583" s="2" t="inlineStr">
        <is>
          <t>Trick Or Trade 2023</t>
        </is>
      </c>
      <c r="I3583" s="3" t="n">
        <v>2.4</v>
      </c>
      <c r="J3583" s="3" t="n"/>
      <c r="K3583" s="3" t="n"/>
      <c r="L3583" s="3" t="n"/>
      <c r="M3583" s="2" t="inlineStr">
        <is>
          <t>PriceCharting</t>
        </is>
      </c>
      <c r="N3583" s="4" t="inlineStr">
        <is>
          <t>https://www.pricecharting.com/game/pokemon-trick-or-trade-2023/booster-pack</t>
        </is>
      </c>
    </row>
    <row r="3584">
      <c r="A3584" s="2" t="inlineStr">
        <is>
          <t>Trick Or Trade 2024 BOOster Pack</t>
        </is>
      </c>
      <c r="B3584" s="3">
        <f>IF(I3584&lt;&gt;"",I3584,IF(J3584&lt;&gt;"",J3584,IF(K3584&lt;&gt;"",K3584,L3584)))</f>
        <v>2.31</v>
      </c>
      <c r="C3584" s="3">
        <f>MEDIAN(I3584:L3584)</f>
        <v>2.31</v>
      </c>
      <c r="D3584" s="3">
        <f>ROUND(C3584*(1-Settings!$B$2),2)</f>
        <v>1.62</v>
      </c>
      <c r="E3584" s="3">
        <f>ROUND(C3584*(1-Settings!$B$3),2)</f>
        <v>1.62</v>
      </c>
      <c r="F3584" s="2" t="inlineStr">
        <is>
          <t>Pokemon</t>
        </is>
      </c>
      <c r="G3584" s="2" t="inlineStr">
        <is>
          <t>Pack</t>
        </is>
      </c>
      <c r="H3584" s="2" t="inlineStr">
        <is>
          <t>Trick Or Trade 2024</t>
        </is>
      </c>
      <c r="I3584" s="3" t="n">
        <v>2.31</v>
      </c>
      <c r="J3584" s="3" t="n"/>
      <c r="K3584" s="3" t="n"/>
      <c r="L3584" s="3" t="n"/>
      <c r="M3584" s="2" t="inlineStr">
        <is>
          <t>PriceCharting</t>
        </is>
      </c>
      <c r="N3584" s="4" t="inlineStr">
        <is>
          <t>https://www.pricecharting.com/game/pokemon-trick-or-trade-2024/booster-pack</t>
        </is>
      </c>
    </row>
    <row r="3585">
      <c r="A3585" s="2" t="inlineStr">
        <is>
          <t>Triumphant Blister Pack</t>
        </is>
      </c>
      <c r="B3585" s="3">
        <f>IF(I3585&lt;&gt;"",I3585,IF(J3585&lt;&gt;"",J3585,IF(K3585&lt;&gt;"",K3585,L3585)))</f>
        <v>509.9</v>
      </c>
      <c r="C3585" s="3">
        <f>MEDIAN(I3585:L3585)</f>
        <v>509.9</v>
      </c>
      <c r="D3585" s="3">
        <f>ROUND(C3585*(1-Settings!$B$2),2)</f>
        <v>356.93</v>
      </c>
      <c r="E3585" s="3">
        <f>ROUND(C3585*(1-Settings!$B$3),2)</f>
        <v>356.93</v>
      </c>
      <c r="F3585" s="2" t="inlineStr">
        <is>
          <t>Pokemon</t>
        </is>
      </c>
      <c r="G3585" s="2" t="inlineStr">
        <is>
          <t>Pack</t>
        </is>
      </c>
      <c r="H3585" s="2" t="inlineStr">
        <is>
          <t>Triumphant</t>
        </is>
      </c>
      <c r="I3585" s="3" t="n">
        <v>509.9</v>
      </c>
      <c r="J3585" s="3" t="n"/>
      <c r="K3585" s="3" t="n"/>
      <c r="L3585" s="3" t="n"/>
      <c r="M3585" s="2" t="inlineStr">
        <is>
          <t>PriceCharting</t>
        </is>
      </c>
      <c r="N3585" s="4" t="inlineStr">
        <is>
          <t>https://www.pricecharting.com/game/pokemon-triumphant/blister-pack</t>
        </is>
      </c>
    </row>
    <row r="3586">
      <c r="A3586" s="2" t="inlineStr">
        <is>
          <t>Triumphant Booster Pack</t>
        </is>
      </c>
      <c r="B3586" s="3">
        <f>IF(I3586&lt;&gt;"",I3586,IF(J3586&lt;&gt;"",J3586,IF(K3586&lt;&gt;"",K3586,L3586)))</f>
        <v>320.0</v>
      </c>
      <c r="C3586" s="3">
        <f>MEDIAN(I3586:L3586)</f>
        <v>360.0</v>
      </c>
      <c r="D3586" s="3">
        <f>ROUND(C3586*(1-Settings!$B$2),2)</f>
        <v>252.0</v>
      </c>
      <c r="E3586" s="3">
        <f>ROUND(C3586*(1-Settings!$B$3),2)</f>
        <v>252.0</v>
      </c>
      <c r="F3586" s="2" t="inlineStr">
        <is>
          <t>Pokemon</t>
        </is>
      </c>
      <c r="G3586" s="2" t="inlineStr">
        <is>
          <t>Pack</t>
        </is>
      </c>
      <c r="H3586" s="2" t="inlineStr">
        <is>
          <t>Triumphant</t>
        </is>
      </c>
      <c r="I3586" s="3" t="n">
        <v>320</v>
      </c>
      <c r="J3586" s="3" t="n">
        <v>400</v>
      </c>
      <c r="K3586" s="3" t="n"/>
      <c r="L3586" s="3" t="n"/>
      <c r="M3586" s="2" t="inlineStr">
        <is>
          <t>PriceCharting + TCGplayer</t>
        </is>
      </c>
      <c r="N3586" s="4" t="inlineStr">
        <is>
          <t>https://www.pricecharting.com/game/pokemon-triumphant/booster-pack</t>
        </is>
      </c>
      <c r="O3586" s="4" t="inlineStr">
        <is>
          <t>https://www.tcgplayer.com/product/98534</t>
        </is>
      </c>
    </row>
    <row r="3587">
      <c r="A3587" s="2" t="inlineStr">
        <is>
          <t>Twilight Masquerade Blister Pack [Pupitar]</t>
        </is>
      </c>
      <c r="B3587" s="3">
        <f>IF(I3587&lt;&gt;"",I3587,IF(J3587&lt;&gt;"",J3587,IF(K3587&lt;&gt;"",K3587,L3587)))</f>
        <v>4.88</v>
      </c>
      <c r="C3587" s="3">
        <f>MEDIAN(I3587:L3587)</f>
        <v>4.88</v>
      </c>
      <c r="D3587" s="3">
        <f>ROUND(C3587*(1-Settings!$B$2),2)</f>
        <v>3.42</v>
      </c>
      <c r="E3587" s="3">
        <f>ROUND(C3587*(1-Settings!$B$3),2)</f>
        <v>3.42</v>
      </c>
      <c r="F3587" s="2" t="inlineStr">
        <is>
          <t>Pokemon</t>
        </is>
      </c>
      <c r="G3587" s="2" t="inlineStr">
        <is>
          <t>Pack</t>
        </is>
      </c>
      <c r="H3587" s="2" t="inlineStr">
        <is>
          <t>Twilight Masquerade</t>
        </is>
      </c>
      <c r="I3587" s="3" t="n">
        <v>4.88</v>
      </c>
      <c r="J3587" s="3" t="n"/>
      <c r="K3587" s="3" t="n"/>
      <c r="L3587" s="3" t="n"/>
      <c r="M3587" s="2" t="inlineStr">
        <is>
          <t>PriceCharting</t>
        </is>
      </c>
      <c r="N3587" s="4" t="inlineStr">
        <is>
          <t>https://www.pricecharting.com/game/pokemon-twilight-masquerade/blister-pack-pupitar</t>
        </is>
      </c>
    </row>
    <row r="3588">
      <c r="A3588" s="2" t="inlineStr">
        <is>
          <t>Twilight Masquerade Blister Pack [Toxel]</t>
        </is>
      </c>
      <c r="B3588" s="3">
        <f>IF(I3588&lt;&gt;"",I3588,IF(J3588&lt;&gt;"",J3588,IF(K3588&lt;&gt;"",K3588,L3588)))</f>
        <v>10.85</v>
      </c>
      <c r="C3588" s="3">
        <f>MEDIAN(I3588:L3588)</f>
        <v>10.85</v>
      </c>
      <c r="D3588" s="3">
        <f>ROUND(C3588*(1-Settings!$B$2),2)</f>
        <v>7.6</v>
      </c>
      <c r="E3588" s="3">
        <f>ROUND(C3588*(1-Settings!$B$3),2)</f>
        <v>7.6</v>
      </c>
      <c r="F3588" s="2" t="inlineStr">
        <is>
          <t>Pokemon</t>
        </is>
      </c>
      <c r="G3588" s="2" t="inlineStr">
        <is>
          <t>Pack</t>
        </is>
      </c>
      <c r="H3588" s="2" t="inlineStr">
        <is>
          <t>Twilight Masquerade</t>
        </is>
      </c>
      <c r="I3588" s="3" t="n">
        <v>10.85</v>
      </c>
      <c r="J3588" s="3" t="n"/>
      <c r="K3588" s="3" t="n"/>
      <c r="L3588" s="3" t="n"/>
      <c r="M3588" s="2" t="inlineStr">
        <is>
          <t>PriceCharting</t>
        </is>
      </c>
      <c r="N3588" s="4" t="inlineStr">
        <is>
          <t>https://www.pricecharting.com/game/pokemon-twilight-masquerade/blister-pack-toxel</t>
        </is>
      </c>
    </row>
    <row r="3589">
      <c r="A3589" s="2" t="inlineStr">
        <is>
          <t>Unbroken Bonds Blister Pack</t>
        </is>
      </c>
      <c r="B3589" s="3">
        <f>IF(I3589&lt;&gt;"",I3589,IF(J3589&lt;&gt;"",J3589,IF(K3589&lt;&gt;"",K3589,L3589)))</f>
        <v>114.46</v>
      </c>
      <c r="C3589" s="3">
        <f>MEDIAN(I3589:L3589)</f>
        <v>114.46</v>
      </c>
      <c r="D3589" s="3">
        <f>ROUND(C3589*(1-Settings!$B$2),2)</f>
        <v>80.12</v>
      </c>
      <c r="E3589" s="3">
        <f>ROUND(C3589*(1-Settings!$B$3),2)</f>
        <v>80.12</v>
      </c>
      <c r="F3589" s="2" t="inlineStr">
        <is>
          <t>Pokemon</t>
        </is>
      </c>
      <c r="G3589" s="2" t="inlineStr">
        <is>
          <t>Pack</t>
        </is>
      </c>
      <c r="H3589" s="2" t="inlineStr">
        <is>
          <t>Unbroken Bonds</t>
        </is>
      </c>
      <c r="I3589" s="3" t="n">
        <v>114.46</v>
      </c>
      <c r="J3589" s="3" t="n"/>
      <c r="K3589" s="3" t="n"/>
      <c r="L3589" s="3" t="n"/>
      <c r="M3589" s="2" t="inlineStr">
        <is>
          <t>PriceCharting</t>
        </is>
      </c>
      <c r="N3589" s="4" t="inlineStr">
        <is>
          <t>https://www.pricecharting.com/game/pokemon-unbroken-bonds/blister-pack</t>
        </is>
      </c>
    </row>
    <row r="3590">
      <c r="A3590" s="2" t="inlineStr">
        <is>
          <t>Unbroken Bonds Blister Pack: Pikachu</t>
        </is>
      </c>
      <c r="B3590" s="3">
        <f>IF(I3590&lt;&gt;"",I3590,IF(J3590&lt;&gt;"",J3590,IF(K3590&lt;&gt;"",K3590,L3590)))</f>
        <v>154.77</v>
      </c>
      <c r="C3590" s="3">
        <f>MEDIAN(I3590:L3590)</f>
        <v>154.77</v>
      </c>
      <c r="D3590" s="3">
        <f>ROUND(C3590*(1-Settings!$B$2),2)</f>
        <v>108.34</v>
      </c>
      <c r="E3590" s="3">
        <f>ROUND(C3590*(1-Settings!$B$3),2)</f>
        <v>108.34</v>
      </c>
      <c r="F3590" s="2" t="inlineStr">
        <is>
          <t>Pokemon</t>
        </is>
      </c>
      <c r="G3590" s="2" t="inlineStr">
        <is>
          <t>Pack</t>
        </is>
      </c>
      <c r="H3590" s="2" t="inlineStr">
        <is>
          <t>Unbroken Bonds</t>
        </is>
      </c>
      <c r="I3590" s="3" t="n">
        <v>154.77</v>
      </c>
      <c r="J3590" s="3" t="n"/>
      <c r="K3590" s="3" t="n"/>
      <c r="L3590" s="3" t="n"/>
      <c r="M3590" s="2" t="inlineStr">
        <is>
          <t>PriceCharting</t>
        </is>
      </c>
      <c r="N3590" s="4" t="inlineStr">
        <is>
          <t>https://www.pricecharting.com/game/pokemon-unbroken-bonds/blister-pack-pikachu</t>
        </is>
      </c>
    </row>
    <row r="3591">
      <c r="A3591" s="2" t="inlineStr">
        <is>
          <t>Unbroken Bonds Mini Booster Pack</t>
        </is>
      </c>
      <c r="B3591" s="3">
        <f>IF(I3591&lt;&gt;"",I3591,IF(J3591&lt;&gt;"",J3591,IF(K3591&lt;&gt;"",K3591,L3591)))</f>
        <v>24.99</v>
      </c>
      <c r="C3591" s="3">
        <f>MEDIAN(I3591:L3591)</f>
        <v>24.99</v>
      </c>
      <c r="D3591" s="3">
        <f>ROUND(C3591*(1-Settings!$B$2),2)</f>
        <v>17.49</v>
      </c>
      <c r="E3591" s="3">
        <f>ROUND(C3591*(1-Settings!$B$3),2)</f>
        <v>17.49</v>
      </c>
      <c r="F3591" s="2" t="inlineStr">
        <is>
          <t>Pokemon</t>
        </is>
      </c>
      <c r="G3591" s="2" t="inlineStr">
        <is>
          <t>Pack</t>
        </is>
      </c>
      <c r="H3591" s="2" t="inlineStr">
        <is>
          <t>Unbroken Bonds</t>
        </is>
      </c>
      <c r="I3591" s="3" t="n">
        <v>24.99</v>
      </c>
      <c r="J3591" s="3" t="n"/>
      <c r="K3591" s="3" t="n"/>
      <c r="L3591" s="3" t="n"/>
      <c r="M3591" s="2" t="inlineStr">
        <is>
          <t>PriceCharting</t>
        </is>
      </c>
      <c r="N3591" s="4" t="inlineStr">
        <is>
          <t>https://www.pricecharting.com/game/pokemon-unbroken-bonds/mini-booster-pack</t>
        </is>
      </c>
    </row>
    <row r="3592">
      <c r="A3592" s="2" t="inlineStr">
        <is>
          <t>Undaunted Blister Pack</t>
        </is>
      </c>
      <c r="B3592" s="3">
        <f>IF(I3592&lt;&gt;"",I3592,IF(J3592&lt;&gt;"",J3592,IF(K3592&lt;&gt;"",K3592,L3592)))</f>
        <v>192.5</v>
      </c>
      <c r="C3592" s="3">
        <f>MEDIAN(I3592:L3592)</f>
        <v>192.5</v>
      </c>
      <c r="D3592" s="3">
        <f>ROUND(C3592*(1-Settings!$B$2),2)</f>
        <v>134.75</v>
      </c>
      <c r="E3592" s="3">
        <f>ROUND(C3592*(1-Settings!$B$3),2)</f>
        <v>134.75</v>
      </c>
      <c r="F3592" s="2" t="inlineStr">
        <is>
          <t>Pokemon</t>
        </is>
      </c>
      <c r="G3592" s="2" t="inlineStr">
        <is>
          <t>Pack</t>
        </is>
      </c>
      <c r="H3592" s="2" t="inlineStr">
        <is>
          <t>Undaunted</t>
        </is>
      </c>
      <c r="I3592" s="3" t="n">
        <v>192.5</v>
      </c>
      <c r="J3592" s="3" t="n"/>
      <c r="K3592" s="3" t="n"/>
      <c r="L3592" s="3" t="n"/>
      <c r="M3592" s="2" t="inlineStr">
        <is>
          <t>PriceCharting</t>
        </is>
      </c>
      <c r="N3592" s="4" t="inlineStr">
        <is>
          <t>https://www.pricecharting.com/game/pokemon-undaunted/blister-pack</t>
        </is>
      </c>
    </row>
    <row r="3593">
      <c r="A3593" s="2" t="inlineStr">
        <is>
          <t>Undaunted Booster Pack</t>
        </is>
      </c>
      <c r="B3593" s="3">
        <f>IF(I3593&lt;&gt;"",I3593,IF(J3593&lt;&gt;"",J3593,IF(K3593&lt;&gt;"",K3593,L3593)))</f>
        <v>545.3</v>
      </c>
      <c r="C3593" s="3">
        <f>MEDIAN(I3593:L3593)</f>
        <v>545.3</v>
      </c>
      <c r="D3593" s="3">
        <f>ROUND(C3593*(1-Settings!$B$2),2)</f>
        <v>381.71</v>
      </c>
      <c r="E3593" s="3">
        <f>ROUND(C3593*(1-Settings!$B$3),2)</f>
        <v>381.71</v>
      </c>
      <c r="F3593" s="2" t="inlineStr">
        <is>
          <t>Pokemon</t>
        </is>
      </c>
      <c r="G3593" s="2" t="inlineStr">
        <is>
          <t>Pack</t>
        </is>
      </c>
      <c r="H3593" s="2" t="inlineStr">
        <is>
          <t>Undaunted</t>
        </is>
      </c>
      <c r="I3593" s="3" t="n">
        <v>545.3</v>
      </c>
      <c r="J3593" s="3" t="n"/>
      <c r="K3593" s="3" t="n"/>
      <c r="L3593" s="3" t="n"/>
      <c r="M3593" s="2" t="inlineStr">
        <is>
          <t>PriceCharting + TCGplayer</t>
        </is>
      </c>
      <c r="N3593" s="4" t="inlineStr">
        <is>
          <t>https://www.pricecharting.com/game/pokemon-undaunted/booster-pack</t>
        </is>
      </c>
      <c r="O3593" s="4" t="inlineStr">
        <is>
          <t>https://www.tcgplayer.com/product/98586</t>
        </is>
      </c>
    </row>
    <row r="3594">
      <c r="A3594" s="2" t="inlineStr">
        <is>
          <t>Unified Minds Mini Booster Pack</t>
        </is>
      </c>
      <c r="B3594" s="3">
        <f>IF(I3594&lt;&gt;"",I3594,IF(J3594&lt;&gt;"",J3594,IF(K3594&lt;&gt;"",K3594,L3594)))</f>
        <v>18.0</v>
      </c>
      <c r="C3594" s="3">
        <f>MEDIAN(I3594:L3594)</f>
        <v>18.0</v>
      </c>
      <c r="D3594" s="3">
        <f>ROUND(C3594*(1-Settings!$B$2),2)</f>
        <v>12.6</v>
      </c>
      <c r="E3594" s="3">
        <f>ROUND(C3594*(1-Settings!$B$3),2)</f>
        <v>12.6</v>
      </c>
      <c r="F3594" s="2" t="inlineStr">
        <is>
          <t>Pokemon</t>
        </is>
      </c>
      <c r="G3594" s="2" t="inlineStr">
        <is>
          <t>Pack</t>
        </is>
      </c>
      <c r="H3594" s="2" t="inlineStr">
        <is>
          <t>Unified Minds</t>
        </is>
      </c>
      <c r="I3594" s="3" t="n">
        <v>18</v>
      </c>
      <c r="J3594" s="3" t="n"/>
      <c r="K3594" s="3" t="n"/>
      <c r="L3594" s="3" t="n"/>
      <c r="M3594" s="2" t="inlineStr">
        <is>
          <t>PriceCharting</t>
        </is>
      </c>
      <c r="N3594" s="4" t="inlineStr">
        <is>
          <t>https://www.pricecharting.com/game/pokemon-unified-minds/mini-booster-pack</t>
        </is>
      </c>
    </row>
    <row r="3595">
      <c r="A3595" s="2" t="inlineStr">
        <is>
          <t>Unified Minds Pikachu Blister Pack</t>
        </is>
      </c>
      <c r="B3595" s="3">
        <f>IF(I3595&lt;&gt;"",I3595,IF(J3595&lt;&gt;"",J3595,IF(K3595&lt;&gt;"",K3595,L3595)))</f>
        <v>249.0</v>
      </c>
      <c r="C3595" s="3">
        <f>MEDIAN(I3595:L3595)</f>
        <v>249.0</v>
      </c>
      <c r="D3595" s="3">
        <f>ROUND(C3595*(1-Settings!$B$2),2)</f>
        <v>174.3</v>
      </c>
      <c r="E3595" s="3">
        <f>ROUND(C3595*(1-Settings!$B$3),2)</f>
        <v>174.3</v>
      </c>
      <c r="F3595" s="2" t="inlineStr">
        <is>
          <t>Pokemon</t>
        </is>
      </c>
      <c r="G3595" s="2" t="inlineStr">
        <is>
          <t>Pack</t>
        </is>
      </c>
      <c r="H3595" s="2" t="inlineStr">
        <is>
          <t>Unified Minds</t>
        </is>
      </c>
      <c r="I3595" s="3" t="n">
        <v>249</v>
      </c>
      <c r="J3595" s="3" t="n"/>
      <c r="K3595" s="3" t="n"/>
      <c r="L3595" s="3" t="n"/>
      <c r="M3595" s="2" t="inlineStr">
        <is>
          <t>PriceCharting</t>
        </is>
      </c>
      <c r="N3595" s="4" t="inlineStr">
        <is>
          <t>https://www.pricecharting.com/game/pokemon-unified-minds/pikachu-blister-pack</t>
        </is>
      </c>
    </row>
    <row r="3596">
      <c r="A3596" s="2" t="inlineStr">
        <is>
          <t>Unified Minds Triple Blister Pack</t>
        </is>
      </c>
      <c r="B3596" s="3">
        <f>IF(I3596&lt;&gt;"",I3596,IF(J3596&lt;&gt;"",J3596,IF(K3596&lt;&gt;"",K3596,L3596)))</f>
        <v>270.71</v>
      </c>
      <c r="C3596" s="3">
        <f>MEDIAN(I3596:L3596)</f>
        <v>270.71</v>
      </c>
      <c r="D3596" s="3">
        <f>ROUND(C3596*(1-Settings!$B$2),2)</f>
        <v>189.5</v>
      </c>
      <c r="E3596" s="3">
        <f>ROUND(C3596*(1-Settings!$B$3),2)</f>
        <v>189.5</v>
      </c>
      <c r="F3596" s="2" t="inlineStr">
        <is>
          <t>Pokemon</t>
        </is>
      </c>
      <c r="G3596" s="2" t="inlineStr">
        <is>
          <t>Pack</t>
        </is>
      </c>
      <c r="H3596" s="2" t="inlineStr">
        <is>
          <t>Unified Minds</t>
        </is>
      </c>
      <c r="I3596" s="3" t="n">
        <v>270.71</v>
      </c>
      <c r="J3596" s="3" t="n"/>
      <c r="K3596" s="3" t="n"/>
      <c r="L3596" s="3" t="n"/>
      <c r="M3596" s="2" t="inlineStr">
        <is>
          <t>PriceCharting</t>
        </is>
      </c>
      <c r="N3596" s="4" t="inlineStr">
        <is>
          <t>https://www.pricecharting.com/game/pokemon-unified-minds/triple-blister-pack</t>
        </is>
      </c>
    </row>
    <row r="3597">
      <c r="A3597" s="2" t="inlineStr">
        <is>
          <t>Unleashed Blister Pack</t>
        </is>
      </c>
      <c r="B3597" s="3">
        <f>IF(I3597&lt;&gt;"",I3597,IF(J3597&lt;&gt;"",J3597,IF(K3597&lt;&gt;"",K3597,L3597)))</f>
        <v>830.0</v>
      </c>
      <c r="C3597" s="3">
        <f>MEDIAN(I3597:L3597)</f>
        <v>830.0</v>
      </c>
      <c r="D3597" s="3">
        <f>ROUND(C3597*(1-Settings!$B$2),2)</f>
        <v>581.0</v>
      </c>
      <c r="E3597" s="3">
        <f>ROUND(C3597*(1-Settings!$B$3),2)</f>
        <v>581.0</v>
      </c>
      <c r="F3597" s="2" t="inlineStr">
        <is>
          <t>Pokemon</t>
        </is>
      </c>
      <c r="G3597" s="2" t="inlineStr">
        <is>
          <t>Pack</t>
        </is>
      </c>
      <c r="H3597" s="2" t="inlineStr">
        <is>
          <t>Unleashed</t>
        </is>
      </c>
      <c r="I3597" s="3" t="n">
        <v>830</v>
      </c>
      <c r="J3597" s="3" t="n"/>
      <c r="K3597" s="3" t="n"/>
      <c r="L3597" s="3" t="n"/>
      <c r="M3597" s="2" t="inlineStr">
        <is>
          <t>PriceCharting</t>
        </is>
      </c>
      <c r="N3597" s="4" t="inlineStr">
        <is>
          <t>https://www.pricecharting.com/game/pokemon-unleashed/blister-pack</t>
        </is>
      </c>
    </row>
    <row r="3598">
      <c r="A3598" s="2" t="inlineStr">
        <is>
          <t>Unleashed Booster Pack</t>
        </is>
      </c>
      <c r="B3598" s="3">
        <f>IF(I3598&lt;&gt;"",I3598,IF(J3598&lt;&gt;"",J3598,IF(K3598&lt;&gt;"",K3598,L3598)))</f>
        <v>499.95</v>
      </c>
      <c r="C3598" s="3">
        <f>MEDIAN(I3598:L3598)</f>
        <v>463.095</v>
      </c>
      <c r="D3598" s="3">
        <f>ROUND(C3598*(1-Settings!$B$2),2)</f>
        <v>324.17</v>
      </c>
      <c r="E3598" s="3">
        <f>ROUND(C3598*(1-Settings!$B$3),2)</f>
        <v>324.17</v>
      </c>
      <c r="F3598" s="2" t="inlineStr">
        <is>
          <t>Pokemon</t>
        </is>
      </c>
      <c r="G3598" s="2" t="inlineStr">
        <is>
          <t>Pack</t>
        </is>
      </c>
      <c r="H3598" s="2" t="inlineStr">
        <is>
          <t>Unleashed</t>
        </is>
      </c>
      <c r="I3598" s="3" t="n">
        <v>499.95</v>
      </c>
      <c r="J3598" s="3" t="n">
        <v>426.24</v>
      </c>
      <c r="K3598" s="3" t="n">
        <v>499.99</v>
      </c>
      <c r="L3598" s="3" t="n">
        <v>320</v>
      </c>
      <c r="M3598" s="2" t="inlineStr">
        <is>
          <t>PriceCharting + TCGplayer</t>
        </is>
      </c>
      <c r="N3598" s="4" t="inlineStr">
        <is>
          <t>https://www.pricecharting.com/game/pokemon-unleashed/booster-pack</t>
        </is>
      </c>
      <c r="O3598" s="4" t="inlineStr">
        <is>
          <t>https://www.tcgplayer.com/product/98582</t>
        </is>
      </c>
    </row>
    <row r="3599">
      <c r="A3599" s="2" t="inlineStr">
        <is>
          <t>Xy Booster Pack</t>
        </is>
      </c>
      <c r="B3599" s="3">
        <f>IF(I3599&lt;&gt;"",I3599,IF(J3599&lt;&gt;"",J3599,IF(K3599&lt;&gt;"",K3599,L3599)))</f>
        <v>70.49</v>
      </c>
      <c r="C3599" s="3">
        <f>MEDIAN(I3599:L3599)</f>
        <v>70.49</v>
      </c>
      <c r="D3599" s="3">
        <f>ROUND(C3599*(1-Settings!$B$2),2)</f>
        <v>49.34</v>
      </c>
      <c r="E3599" s="3">
        <f>ROUND(C3599*(1-Settings!$B$3),2)</f>
        <v>49.34</v>
      </c>
      <c r="F3599" s="2" t="inlineStr">
        <is>
          <t>Pokemon</t>
        </is>
      </c>
      <c r="G3599" s="2" t="inlineStr">
        <is>
          <t>Pack</t>
        </is>
      </c>
      <c r="H3599" s="2" t="inlineStr">
        <is>
          <t>Xy</t>
        </is>
      </c>
      <c r="I3599" s="3" t="n">
        <v>70.48999999999999</v>
      </c>
      <c r="J3599" s="3" t="n"/>
      <c r="K3599" s="3" t="n"/>
      <c r="L3599" s="3" t="n"/>
      <c r="M3599" s="2" t="inlineStr">
        <is>
          <t>PriceCharting</t>
        </is>
      </c>
      <c r="N3599" s="4" t="inlineStr">
        <is>
          <t>https://www.pricecharting.com/game/pokemon-xy/booster-pack</t>
        </is>
      </c>
    </row>
    <row r="3600">
      <c r="A3600" s="2" t="inlineStr">
        <is>
          <t>Xy Mini Booster Pack</t>
        </is>
      </c>
      <c r="B3600" s="3">
        <f>IF(I3600&lt;&gt;"",I3600,IF(J3600&lt;&gt;"",J3600,IF(K3600&lt;&gt;"",K3600,L3600)))</f>
        <v>16.85</v>
      </c>
      <c r="C3600" s="3">
        <f>MEDIAN(I3600:L3600)</f>
        <v>16.85</v>
      </c>
      <c r="D3600" s="3">
        <f>ROUND(C3600*(1-Settings!$B$2),2)</f>
        <v>11.8</v>
      </c>
      <c r="E3600" s="3">
        <f>ROUND(C3600*(1-Settings!$B$3),2)</f>
        <v>11.8</v>
      </c>
      <c r="F3600" s="2" t="inlineStr">
        <is>
          <t>Pokemon</t>
        </is>
      </c>
      <c r="G3600" s="2" t="inlineStr">
        <is>
          <t>Pack</t>
        </is>
      </c>
      <c r="H3600" s="2" t="inlineStr">
        <is>
          <t>Xy</t>
        </is>
      </c>
      <c r="I3600" s="3" t="n">
        <v>16.85</v>
      </c>
      <c r="J3600" s="3" t="n"/>
      <c r="K3600" s="3" t="n"/>
      <c r="L3600" s="3" t="n"/>
      <c r="M3600" s="2" t="inlineStr">
        <is>
          <t>PriceCharting</t>
        </is>
      </c>
      <c r="N3600" s="4" t="inlineStr">
        <is>
          <t>https://www.pricecharting.com/game/pokemon-xy/mini-booster-pack</t>
        </is>
      </c>
    </row>
    <row r="3601">
      <c r="A3601" s="2" t="inlineStr">
        <is>
          <t>Xy Sleeved Booster Pack</t>
        </is>
      </c>
      <c r="B3601" s="3">
        <f>IF(I3601&lt;&gt;"",I3601,IF(J3601&lt;&gt;"",J3601,IF(K3601&lt;&gt;"",K3601,L3601)))</f>
        <v>73.0</v>
      </c>
      <c r="C3601" s="3">
        <f>MEDIAN(I3601:L3601)</f>
        <v>73.0</v>
      </c>
      <c r="D3601" s="3">
        <f>ROUND(C3601*(1-Settings!$B$2),2)</f>
        <v>51.1</v>
      </c>
      <c r="E3601" s="3">
        <f>ROUND(C3601*(1-Settings!$B$3),2)</f>
        <v>51.1</v>
      </c>
      <c r="F3601" s="2" t="inlineStr">
        <is>
          <t>Pokemon</t>
        </is>
      </c>
      <c r="G3601" s="2" t="inlineStr">
        <is>
          <t>Pack</t>
        </is>
      </c>
      <c r="H3601" s="2" t="inlineStr">
        <is>
          <t>Xy</t>
        </is>
      </c>
      <c r="I3601" s="3" t="n">
        <v>73</v>
      </c>
      <c r="J3601" s="3" t="n"/>
      <c r="K3601" s="3" t="n"/>
      <c r="L3601" s="3" t="n"/>
      <c r="M3601" s="2" t="inlineStr">
        <is>
          <t>PriceCharting</t>
        </is>
      </c>
      <c r="N3601" s="4" t="inlineStr">
        <is>
          <t>https://www.pricecharting.com/game/pokemon-xy/sleeved-booster-pack</t>
        </is>
      </c>
    </row>
    <row r="3602">
      <c r="A3602" s="2" t="inlineStr">
        <is>
          <t>Ancient Origins 3 Pack Blister [Malamar]</t>
        </is>
      </c>
      <c r="B3602" s="3">
        <f>IF(I3602&lt;&gt;"",I3602,IF(J3602&lt;&gt;"",J3602,IF(K3602&lt;&gt;"",K3602,L3602)))</f>
        <v>899.99</v>
      </c>
      <c r="C3602" s="3">
        <f>MEDIAN(I3602:L3602)</f>
        <v>899.99</v>
      </c>
      <c r="D3602" s="3">
        <f>ROUND(C3602*(1-Settings!$B$2),2)</f>
        <v>629.99</v>
      </c>
      <c r="E3602" s="3">
        <f>ROUND(C3602*(1-Settings!$B$3),2)</f>
        <v>629.99</v>
      </c>
      <c r="F3602" s="2" t="inlineStr">
        <is>
          <t>Pokemon</t>
        </is>
      </c>
      <c r="G3602" s="2" t="inlineStr">
        <is>
          <t>Pack</t>
        </is>
      </c>
      <c r="H3602" s="2" t="inlineStr">
        <is>
          <t>XY - Ancient Origins</t>
        </is>
      </c>
      <c r="I3602" s="3" t="n"/>
      <c r="J3602" s="3" t="n"/>
      <c r="K3602" s="3" t="n">
        <v>899.99</v>
      </c>
      <c r="L3602" s="3" t="n">
        <v>899.99</v>
      </c>
      <c r="M3602" s="2" t="inlineStr">
        <is>
          <t>TCGplayer</t>
        </is>
      </c>
      <c r="O3602" s="4" t="inlineStr">
        <is>
          <t>https://www.tcgplayer.com/product/100493</t>
        </is>
      </c>
    </row>
    <row r="3603">
      <c r="A3603" s="2" t="inlineStr">
        <is>
          <t>Ancient Origins 3 Pack Blister [Salamence]</t>
        </is>
      </c>
      <c r="B3603" s="3">
        <f>IF(I3603&lt;&gt;"",I3603,IF(J3603&lt;&gt;"",J3603,IF(K3603&lt;&gt;"",K3603,L3603)))</f>
        <v>599.99</v>
      </c>
      <c r="C3603" s="3">
        <f>MEDIAN(I3603:L3603)</f>
        <v>599.99</v>
      </c>
      <c r="D3603" s="3">
        <f>ROUND(C3603*(1-Settings!$B$2),2)</f>
        <v>419.99</v>
      </c>
      <c r="E3603" s="3">
        <f>ROUND(C3603*(1-Settings!$B$3),2)</f>
        <v>419.99</v>
      </c>
      <c r="F3603" s="2" t="inlineStr">
        <is>
          <t>Pokemon</t>
        </is>
      </c>
      <c r="G3603" s="2" t="inlineStr">
        <is>
          <t>Pack</t>
        </is>
      </c>
      <c r="H3603" s="2" t="inlineStr">
        <is>
          <t>XY - Ancient Origins</t>
        </is>
      </c>
      <c r="I3603" s="3" t="n">
        <v>599.99</v>
      </c>
      <c r="J3603" s="3" t="n"/>
      <c r="K3603" s="3" t="n"/>
      <c r="L3603" s="3" t="n"/>
      <c r="M3603" s="2" t="inlineStr">
        <is>
          <t>PriceCharting + TCGplayer</t>
        </is>
      </c>
      <c r="N3603" s="4" t="inlineStr">
        <is>
          <t>https://www.pricecharting.com/game/pokemon-ancient-origins/3-pack-blister-salamence</t>
        </is>
      </c>
      <c r="O3603" s="4" t="inlineStr">
        <is>
          <t>https://www.tcgplayer.com/product/100494</t>
        </is>
      </c>
    </row>
    <row r="3604">
      <c r="A3604" s="2" t="inlineStr">
        <is>
          <t>XY Ancient Origins Booster Pack</t>
        </is>
      </c>
      <c r="B3604" s="3">
        <f>IF(I3604&lt;&gt;"",I3604,IF(J3604&lt;&gt;"",J3604,IF(K3604&lt;&gt;"",K3604,L3604)))</f>
        <v>146.69</v>
      </c>
      <c r="C3604" s="3">
        <f>MEDIAN(I3604:L3604)</f>
        <v>189.0</v>
      </c>
      <c r="D3604" s="3">
        <f>ROUND(C3604*(1-Settings!$B$2),2)</f>
        <v>132.3</v>
      </c>
      <c r="E3604" s="3">
        <f>ROUND(C3604*(1-Settings!$B$3),2)</f>
        <v>132.3</v>
      </c>
      <c r="F3604" s="2" t="inlineStr">
        <is>
          <t>Pokemon</t>
        </is>
      </c>
      <c r="G3604" s="2" t="inlineStr">
        <is>
          <t>Pack</t>
        </is>
      </c>
      <c r="H3604" s="2" t="inlineStr">
        <is>
          <t>XY - Ancient Origins</t>
        </is>
      </c>
      <c r="I3604" s="3" t="n"/>
      <c r="J3604" s="3" t="n">
        <v>146.69</v>
      </c>
      <c r="K3604" s="3" t="n">
        <v>235.99</v>
      </c>
      <c r="L3604" s="3" t="n">
        <v>189</v>
      </c>
      <c r="M3604" s="2" t="inlineStr">
        <is>
          <t>TCGplayer</t>
        </is>
      </c>
      <c r="O3604" s="4" t="inlineStr">
        <is>
          <t>https://www.tcgplayer.com/product/100490</t>
        </is>
      </c>
    </row>
    <row r="3605">
      <c r="A3605" s="2" t="inlineStr">
        <is>
          <t>BREAKpoint 3 Pack Blister [Pyroar]</t>
        </is>
      </c>
      <c r="B3605" s="3">
        <f>IF(I3605&lt;&gt;"",I3605,IF(J3605&lt;&gt;"",J3605,IF(K3605&lt;&gt;"",K3605,L3605)))</f>
        <v>329.95</v>
      </c>
      <c r="C3605" s="3">
        <f>MEDIAN(I3605:L3605)</f>
        <v>329.95</v>
      </c>
      <c r="D3605" s="3">
        <f>ROUND(C3605*(1-Settings!$B$2),2)</f>
        <v>230.97</v>
      </c>
      <c r="E3605" s="3">
        <f>ROUND(C3605*(1-Settings!$B$3),2)</f>
        <v>230.97</v>
      </c>
      <c r="F3605" s="2" t="inlineStr">
        <is>
          <t>Pokemon</t>
        </is>
      </c>
      <c r="G3605" s="2" t="inlineStr">
        <is>
          <t>Pack</t>
        </is>
      </c>
      <c r="H3605" s="2" t="inlineStr">
        <is>
          <t>XY - BREAKpoint</t>
        </is>
      </c>
      <c r="I3605" s="3" t="n"/>
      <c r="J3605" s="3" t="n"/>
      <c r="K3605" s="3" t="n">
        <v>329.95</v>
      </c>
      <c r="L3605" s="3" t="n">
        <v>329.95</v>
      </c>
      <c r="M3605" s="2" t="inlineStr">
        <is>
          <t>TCGplayer</t>
        </is>
      </c>
      <c r="O3605" s="4" t="inlineStr">
        <is>
          <t>https://www.tcgplayer.com/product/117272</t>
        </is>
      </c>
    </row>
    <row r="3606">
      <c r="A3606" s="2" t="inlineStr">
        <is>
          <t>BREAKpoint Single Pack Blister [Hydreigon]</t>
        </is>
      </c>
      <c r="B3606" s="3">
        <f>IF(I3606&lt;&gt;"",I3606,IF(J3606&lt;&gt;"",J3606,IF(K3606&lt;&gt;"",K3606,L3606)))</f>
        <v>90.0</v>
      </c>
      <c r="C3606" s="3">
        <f>MEDIAN(I3606:L3606)</f>
        <v>90.0</v>
      </c>
      <c r="D3606" s="3">
        <f>ROUND(C3606*(1-Settings!$B$2),2)</f>
        <v>63.0</v>
      </c>
      <c r="E3606" s="3">
        <f>ROUND(C3606*(1-Settings!$B$3),2)</f>
        <v>63.0</v>
      </c>
      <c r="F3606" s="2" t="inlineStr">
        <is>
          <t>Pokemon</t>
        </is>
      </c>
      <c r="G3606" s="2" t="inlineStr">
        <is>
          <t>Pack</t>
        </is>
      </c>
      <c r="H3606" s="2" t="inlineStr">
        <is>
          <t>XY - BREAKpoint</t>
        </is>
      </c>
      <c r="I3606" s="3" t="n"/>
      <c r="J3606" s="3" t="n">
        <v>90</v>
      </c>
      <c r="K3606" s="3" t="n">
        <v>120</v>
      </c>
      <c r="L3606" s="3" t="n">
        <v>90</v>
      </c>
      <c r="M3606" s="2" t="inlineStr">
        <is>
          <t>TCGplayer</t>
        </is>
      </c>
      <c r="O3606" s="4" t="inlineStr">
        <is>
          <t>https://www.tcgplayer.com/product/117270</t>
        </is>
      </c>
    </row>
    <row r="3607">
      <c r="A3607" s="2" t="inlineStr">
        <is>
          <t>BREAKpoint Single Pack Blister [Pikachu]</t>
        </is>
      </c>
      <c r="B3607" s="3">
        <f>IF(I3607&lt;&gt;"",I3607,IF(J3607&lt;&gt;"",J3607,IF(K3607&lt;&gt;"",K3607,L3607)))</f>
        <v>399.99</v>
      </c>
      <c r="C3607" s="3">
        <f>MEDIAN(I3607:L3607)</f>
        <v>439.99</v>
      </c>
      <c r="D3607" s="3">
        <f>ROUND(C3607*(1-Settings!$B$2),2)</f>
        <v>307.99</v>
      </c>
      <c r="E3607" s="3">
        <f>ROUND(C3607*(1-Settings!$B$3),2)</f>
        <v>307.99</v>
      </c>
      <c r="F3607" s="2" t="inlineStr">
        <is>
          <t>Pokemon</t>
        </is>
      </c>
      <c r="G3607" s="2" t="inlineStr">
        <is>
          <t>Pack</t>
        </is>
      </c>
      <c r="H3607" s="2" t="inlineStr">
        <is>
          <t>XY - BREAKpoint</t>
        </is>
      </c>
      <c r="I3607" s="3" t="n"/>
      <c r="J3607" s="3" t="n">
        <v>399.99</v>
      </c>
      <c r="K3607" s="3" t="n">
        <v>498.34</v>
      </c>
      <c r="L3607" s="3" t="n">
        <v>439.99</v>
      </c>
      <c r="M3607" s="2" t="inlineStr">
        <is>
          <t>TCGplayer</t>
        </is>
      </c>
      <c r="O3607" s="4" t="inlineStr">
        <is>
          <t>https://www.tcgplayer.com/product/117271</t>
        </is>
      </c>
    </row>
    <row r="3608">
      <c r="A3608" s="2" t="inlineStr">
        <is>
          <t>XY - BREAKpoint Sleeved Booster Pack</t>
        </is>
      </c>
      <c r="B3608" s="3">
        <f>IF(I3608&lt;&gt;"",I3608,IF(J3608&lt;&gt;"",J3608,IF(K3608&lt;&gt;"",K3608,L3608)))</f>
        <v>55.45</v>
      </c>
      <c r="C3608" s="3">
        <f>MEDIAN(I3608:L3608)</f>
        <v>55.45</v>
      </c>
      <c r="D3608" s="3">
        <f>ROUND(C3608*(1-Settings!$B$2),2)</f>
        <v>38.82</v>
      </c>
      <c r="E3608" s="3">
        <f>ROUND(C3608*(1-Settings!$B$3),2)</f>
        <v>38.82</v>
      </c>
      <c r="F3608" s="2" t="inlineStr">
        <is>
          <t>Pokemon</t>
        </is>
      </c>
      <c r="G3608" s="2" t="inlineStr">
        <is>
          <t>Pack</t>
        </is>
      </c>
      <c r="H3608" s="2" t="inlineStr">
        <is>
          <t>XY - BREAKpoint</t>
        </is>
      </c>
      <c r="I3608" s="3" t="n"/>
      <c r="J3608" s="3" t="n">
        <v>55.45</v>
      </c>
      <c r="K3608" s="3" t="n">
        <v>82.22</v>
      </c>
      <c r="L3608" s="3" t="n">
        <v>54</v>
      </c>
      <c r="M3608" s="2" t="inlineStr">
        <is>
          <t>TCGplayer</t>
        </is>
      </c>
      <c r="O3608" s="4" t="inlineStr">
        <is>
          <t>https://www.tcgplayer.com/product/542096</t>
        </is>
      </c>
    </row>
    <row r="3609">
      <c r="A3609" s="2" t="inlineStr">
        <is>
          <t>XY BREAKpoint Booster Pack</t>
        </is>
      </c>
      <c r="B3609" s="3">
        <f>IF(I3609&lt;&gt;"",I3609,IF(J3609&lt;&gt;"",J3609,IF(K3609&lt;&gt;"",K3609,L3609)))</f>
        <v>47.28</v>
      </c>
      <c r="C3609" s="3">
        <f>MEDIAN(I3609:L3609)</f>
        <v>47.28</v>
      </c>
      <c r="D3609" s="3">
        <f>ROUND(C3609*(1-Settings!$B$2),2)</f>
        <v>33.1</v>
      </c>
      <c r="E3609" s="3">
        <f>ROUND(C3609*(1-Settings!$B$3),2)</f>
        <v>33.1</v>
      </c>
      <c r="F3609" s="2" t="inlineStr">
        <is>
          <t>Pokemon</t>
        </is>
      </c>
      <c r="G3609" s="2" t="inlineStr">
        <is>
          <t>Pack</t>
        </is>
      </c>
      <c r="H3609" s="2" t="inlineStr">
        <is>
          <t>XY - BREAKpoint</t>
        </is>
      </c>
      <c r="I3609" s="3" t="n"/>
      <c r="J3609" s="3" t="n">
        <v>47.28</v>
      </c>
      <c r="K3609" s="3" t="n">
        <v>54.95</v>
      </c>
      <c r="L3609" s="3" t="n">
        <v>25</v>
      </c>
      <c r="M3609" s="2" t="inlineStr">
        <is>
          <t>TCGplayer</t>
        </is>
      </c>
      <c r="O3609" s="4" t="inlineStr">
        <is>
          <t>https://www.tcgplayer.com/product/111279</t>
        </is>
      </c>
    </row>
    <row r="3610">
      <c r="A3610" s="2" t="inlineStr">
        <is>
          <t>BREAKthrough Collector Pin 3 Pack Blister [Mega Blaziken]</t>
        </is>
      </c>
      <c r="B3610" s="3">
        <f>IF(I3610&lt;&gt;"",I3610,IF(J3610&lt;&gt;"",J3610,IF(K3610&lt;&gt;"",K3610,L3610)))</f>
        <v>650.0</v>
      </c>
      <c r="C3610" s="3">
        <f>MEDIAN(I3610:L3610)</f>
        <v>650.0</v>
      </c>
      <c r="D3610" s="3">
        <f>ROUND(C3610*(1-Settings!$B$2),2)</f>
        <v>455.0</v>
      </c>
      <c r="E3610" s="3">
        <f>ROUND(C3610*(1-Settings!$B$3),2)</f>
        <v>455.0</v>
      </c>
      <c r="F3610" s="2" t="inlineStr">
        <is>
          <t>Pokemon</t>
        </is>
      </c>
      <c r="G3610" s="2" t="inlineStr">
        <is>
          <t>Pack</t>
        </is>
      </c>
      <c r="H3610" s="2" t="inlineStr">
        <is>
          <t>XY - BREAKthrough</t>
        </is>
      </c>
      <c r="I3610" s="3" t="n"/>
      <c r="J3610" s="3" t="n"/>
      <c r="K3610" s="3" t="n">
        <v>650</v>
      </c>
      <c r="L3610" s="3" t="n">
        <v>650</v>
      </c>
      <c r="M3610" s="2" t="inlineStr">
        <is>
          <t>TCGplayer</t>
        </is>
      </c>
      <c r="O3610" s="4" t="inlineStr">
        <is>
          <t>https://www.tcgplayer.com/product/117275</t>
        </is>
      </c>
    </row>
    <row r="3611">
      <c r="A3611" s="2" t="inlineStr">
        <is>
          <t>BREAKthrough Single Pack Blister [Hawlucha]</t>
        </is>
      </c>
      <c r="B3611" s="3">
        <f>IF(I3611&lt;&gt;"",I3611,IF(J3611&lt;&gt;"",J3611,IF(K3611&lt;&gt;"",K3611,L3611)))</f>
        <v>99.0</v>
      </c>
      <c r="C3611" s="3">
        <f>MEDIAN(I3611:L3611)</f>
        <v>99.0</v>
      </c>
      <c r="D3611" s="3">
        <f>ROUND(C3611*(1-Settings!$B$2),2)</f>
        <v>69.3</v>
      </c>
      <c r="E3611" s="3">
        <f>ROUND(C3611*(1-Settings!$B$3),2)</f>
        <v>69.3</v>
      </c>
      <c r="F3611" s="2" t="inlineStr">
        <is>
          <t>Pokemon</t>
        </is>
      </c>
      <c r="G3611" s="2" t="inlineStr">
        <is>
          <t>Pack</t>
        </is>
      </c>
      <c r="H3611" s="2" t="inlineStr">
        <is>
          <t>XY - BREAKthrough</t>
        </is>
      </c>
      <c r="I3611" s="3" t="n"/>
      <c r="J3611" s="3" t="n">
        <v>99</v>
      </c>
      <c r="K3611" s="3" t="n"/>
      <c r="L3611" s="3" t="n"/>
      <c r="M3611" s="2" t="inlineStr">
        <is>
          <t>TCGplayer</t>
        </is>
      </c>
      <c r="O3611" s="4" t="inlineStr">
        <is>
          <t>https://www.tcgplayer.com/product/108638</t>
        </is>
      </c>
    </row>
    <row r="3612">
      <c r="A3612" s="2" t="inlineStr">
        <is>
          <t>BREAKthrough Single Pack Blister [Jirachi]</t>
        </is>
      </c>
      <c r="B3612" s="3">
        <f>IF(I3612&lt;&gt;"",I3612,IF(J3612&lt;&gt;"",J3612,IF(K3612&lt;&gt;"",K3612,L3612)))</f>
        <v>127.49</v>
      </c>
      <c r="C3612" s="3">
        <f>MEDIAN(I3612:L3612)</f>
        <v>127.49</v>
      </c>
      <c r="D3612" s="3">
        <f>ROUND(C3612*(1-Settings!$B$2),2)</f>
        <v>89.24</v>
      </c>
      <c r="E3612" s="3">
        <f>ROUND(C3612*(1-Settings!$B$3),2)</f>
        <v>89.24</v>
      </c>
      <c r="F3612" s="2" t="inlineStr">
        <is>
          <t>Pokemon</t>
        </is>
      </c>
      <c r="G3612" s="2" t="inlineStr">
        <is>
          <t>Pack</t>
        </is>
      </c>
      <c r="H3612" s="2" t="inlineStr">
        <is>
          <t>XY - BREAKthrough</t>
        </is>
      </c>
      <c r="I3612" s="3" t="n"/>
      <c r="J3612" s="3" t="n">
        <v>127.49</v>
      </c>
      <c r="K3612" s="3" t="n"/>
      <c r="L3612" s="3" t="n"/>
      <c r="M3612" s="2" t="inlineStr">
        <is>
          <t>TCGplayer</t>
        </is>
      </c>
      <c r="O3612" s="4" t="inlineStr">
        <is>
          <t>https://www.tcgplayer.com/product/108637</t>
        </is>
      </c>
    </row>
    <row r="3613">
      <c r="A3613" s="2" t="inlineStr">
        <is>
          <t>BREAKthrough Sleeved Booster Pack</t>
        </is>
      </c>
      <c r="B3613" s="3">
        <f>IF(I3613&lt;&gt;"",I3613,IF(J3613&lt;&gt;"",J3613,IF(K3613&lt;&gt;"",K3613,L3613)))</f>
        <v>130.0</v>
      </c>
      <c r="C3613" s="3">
        <f>MEDIAN(I3613:L3613)</f>
        <v>130.0</v>
      </c>
      <c r="D3613" s="3">
        <f>ROUND(C3613*(1-Settings!$B$2),2)</f>
        <v>91.0</v>
      </c>
      <c r="E3613" s="3">
        <f>ROUND(C3613*(1-Settings!$B$3),2)</f>
        <v>91.0</v>
      </c>
      <c r="F3613" s="2" t="inlineStr">
        <is>
          <t>Pokemon</t>
        </is>
      </c>
      <c r="G3613" s="2" t="inlineStr">
        <is>
          <t>Pack</t>
        </is>
      </c>
      <c r="H3613" s="2" t="inlineStr">
        <is>
          <t>XY - BREAKthrough</t>
        </is>
      </c>
      <c r="I3613" s="3" t="n"/>
      <c r="J3613" s="3" t="n"/>
      <c r="K3613" s="3" t="n"/>
      <c r="L3613" s="3" t="n">
        <v>130</v>
      </c>
      <c r="M3613" s="2" t="inlineStr">
        <is>
          <t>PriceCharting + TCGplayer</t>
        </is>
      </c>
      <c r="N3613" s="4" t="inlineStr">
        <is>
          <t>https://www.pricecharting.com/game/pokemon-breakthrough/sleeved-booster-pack</t>
        </is>
      </c>
      <c r="O3613" s="4" t="inlineStr">
        <is>
          <t>https://www.tcgplayer.com/product/550675</t>
        </is>
      </c>
    </row>
    <row r="3614">
      <c r="A3614" s="2" t="inlineStr">
        <is>
          <t>XY BREAKthrough Booster Pack</t>
        </is>
      </c>
      <c r="B3614" s="3">
        <f>IF(I3614&lt;&gt;"",I3614,IF(J3614&lt;&gt;"",J3614,IF(K3614&lt;&gt;"",K3614,L3614)))</f>
        <v>63.0</v>
      </c>
      <c r="C3614" s="3">
        <f>MEDIAN(I3614:L3614)</f>
        <v>63.0</v>
      </c>
      <c r="D3614" s="3">
        <f>ROUND(C3614*(1-Settings!$B$2),2)</f>
        <v>44.1</v>
      </c>
      <c r="E3614" s="3">
        <f>ROUND(C3614*(1-Settings!$B$3),2)</f>
        <v>44.1</v>
      </c>
      <c r="F3614" s="2" t="inlineStr">
        <is>
          <t>Pokemon</t>
        </is>
      </c>
      <c r="G3614" s="2" t="inlineStr">
        <is>
          <t>Pack</t>
        </is>
      </c>
      <c r="H3614" s="2" t="inlineStr">
        <is>
          <t>XY - BREAKthrough</t>
        </is>
      </c>
      <c r="I3614" s="3" t="n"/>
      <c r="J3614" s="3" t="n">
        <v>63</v>
      </c>
      <c r="K3614" s="3" t="n">
        <v>75.48999999999999</v>
      </c>
      <c r="L3614" s="3" t="n">
        <v>34.99</v>
      </c>
      <c r="M3614" s="2" t="inlineStr">
        <is>
          <t>TCGplayer</t>
        </is>
      </c>
      <c r="O3614" s="4" t="inlineStr">
        <is>
          <t>https://www.tcgplayer.com/product/107666</t>
        </is>
      </c>
    </row>
    <row r="3615">
      <c r="A3615" s="2" t="inlineStr">
        <is>
          <t>Evolutions Booster Pack</t>
        </is>
      </c>
      <c r="B3615" s="3">
        <f>IF(I3615&lt;&gt;"",I3615,IF(J3615&lt;&gt;"",J3615,IF(K3615&lt;&gt;"",K3615,L3615)))</f>
        <v>72.94</v>
      </c>
      <c r="C3615" s="3">
        <f>MEDIAN(I3615:L3615)</f>
        <v>71.56</v>
      </c>
      <c r="D3615" s="3">
        <f>ROUND(C3615*(1-Settings!$B$2),2)</f>
        <v>50.09</v>
      </c>
      <c r="E3615" s="3">
        <f>ROUND(C3615*(1-Settings!$B$3),2)</f>
        <v>50.09</v>
      </c>
      <c r="F3615" s="2" t="inlineStr">
        <is>
          <t>Pokemon</t>
        </is>
      </c>
      <c r="G3615" s="2" t="inlineStr">
        <is>
          <t>Pack</t>
        </is>
      </c>
      <c r="H3615" s="2" t="inlineStr">
        <is>
          <t>XY - Evolutions</t>
        </is>
      </c>
      <c r="I3615" s="3" t="n">
        <v>72.94</v>
      </c>
      <c r="J3615" s="3" t="n">
        <v>71.06</v>
      </c>
      <c r="K3615" s="3" t="n">
        <v>72.06</v>
      </c>
      <c r="L3615" s="3" t="n">
        <v>25</v>
      </c>
      <c r="M3615" s="2" t="inlineStr">
        <is>
          <t>PriceCharting + TCGplayer</t>
        </is>
      </c>
      <c r="N3615" s="4" t="inlineStr">
        <is>
          <t>https://www.pricecharting.com/game/pokemon-evolutions/booster-pack</t>
        </is>
      </c>
      <c r="O3615" s="4" t="inlineStr">
        <is>
          <t>https://www.tcgplayer.com/product/129907</t>
        </is>
      </c>
    </row>
    <row r="3616">
      <c r="A3616" s="2" t="inlineStr">
        <is>
          <t>Evolutions Mini Pack</t>
        </is>
      </c>
      <c r="B3616" s="3">
        <f>IF(I3616&lt;&gt;"",I3616,IF(J3616&lt;&gt;"",J3616,IF(K3616&lt;&gt;"",K3616,L3616)))</f>
        <v>30.0</v>
      </c>
      <c r="C3616" s="3">
        <f>MEDIAN(I3616:L3616)</f>
        <v>48.88</v>
      </c>
      <c r="D3616" s="3">
        <f>ROUND(C3616*(1-Settings!$B$2),2)</f>
        <v>34.22</v>
      </c>
      <c r="E3616" s="3">
        <f>ROUND(C3616*(1-Settings!$B$3),2)</f>
        <v>34.22</v>
      </c>
      <c r="F3616" s="2" t="inlineStr">
        <is>
          <t>Pokemon</t>
        </is>
      </c>
      <c r="G3616" s="2" t="inlineStr">
        <is>
          <t>Pack</t>
        </is>
      </c>
      <c r="H3616" s="2" t="inlineStr">
        <is>
          <t>XY - Evolutions</t>
        </is>
      </c>
      <c r="I3616" s="3" t="n"/>
      <c r="J3616" s="3" t="n">
        <v>30</v>
      </c>
      <c r="K3616" s="3" t="n">
        <v>48.88</v>
      </c>
      <c r="L3616" s="3" t="n">
        <v>48.88</v>
      </c>
      <c r="M3616" s="2" t="inlineStr">
        <is>
          <t>TCGplayer</t>
        </is>
      </c>
      <c r="O3616" s="4" t="inlineStr">
        <is>
          <t>https://www.tcgplayer.com/product/686507</t>
        </is>
      </c>
    </row>
    <row r="3617">
      <c r="A3617" s="2" t="inlineStr">
        <is>
          <t>XY - Evolutions Sleeved Booster Pack</t>
        </is>
      </c>
      <c r="B3617" s="3">
        <f>IF(I3617&lt;&gt;"",I3617,IF(J3617&lt;&gt;"",J3617,IF(K3617&lt;&gt;"",K3617,L3617)))</f>
        <v>109.94</v>
      </c>
      <c r="C3617" s="3">
        <f>MEDIAN(I3617:L3617)</f>
        <v>124.88</v>
      </c>
      <c r="D3617" s="3">
        <f>ROUND(C3617*(1-Settings!$B$2),2)</f>
        <v>87.42</v>
      </c>
      <c r="E3617" s="3">
        <f>ROUND(C3617*(1-Settings!$B$3),2)</f>
        <v>87.42</v>
      </c>
      <c r="F3617" s="2" t="inlineStr">
        <is>
          <t>Pokemon</t>
        </is>
      </c>
      <c r="G3617" s="2" t="inlineStr">
        <is>
          <t>Pack</t>
        </is>
      </c>
      <c r="H3617" s="2" t="inlineStr">
        <is>
          <t>XY - Evolutions</t>
        </is>
      </c>
      <c r="I3617" s="3" t="n"/>
      <c r="J3617" s="3" t="n">
        <v>109.94</v>
      </c>
      <c r="K3617" s="3" t="n">
        <v>124.88</v>
      </c>
      <c r="L3617" s="3" t="n">
        <v>124.88</v>
      </c>
      <c r="M3617" s="2" t="inlineStr">
        <is>
          <t>TCGplayer</t>
        </is>
      </c>
      <c r="O3617" s="4" t="inlineStr">
        <is>
          <t>https://www.tcgplayer.com/product/272648</t>
        </is>
      </c>
    </row>
    <row r="3618">
      <c r="A3618" s="2" t="inlineStr">
        <is>
          <t>Fates Collide Single Pack Blister [Gastly]</t>
        </is>
      </c>
      <c r="B3618" s="3">
        <f>IF(I3618&lt;&gt;"",I3618,IF(J3618&lt;&gt;"",J3618,IF(K3618&lt;&gt;"",K3618,L3618)))</f>
        <v>116.0</v>
      </c>
      <c r="C3618" s="3">
        <f>MEDIAN(I3618:L3618)</f>
        <v>116.0</v>
      </c>
      <c r="D3618" s="3">
        <f>ROUND(C3618*(1-Settings!$B$2),2)</f>
        <v>81.2</v>
      </c>
      <c r="E3618" s="3">
        <f>ROUND(C3618*(1-Settings!$B$3),2)</f>
        <v>81.2</v>
      </c>
      <c r="F3618" s="2" t="inlineStr">
        <is>
          <t>Pokemon</t>
        </is>
      </c>
      <c r="G3618" s="2" t="inlineStr">
        <is>
          <t>Pack</t>
        </is>
      </c>
      <c r="H3618" s="2" t="inlineStr">
        <is>
          <t>XY - Fates Collide</t>
        </is>
      </c>
      <c r="I3618" s="3" t="n"/>
      <c r="J3618" s="3" t="n">
        <v>116</v>
      </c>
      <c r="K3618" s="3" t="n"/>
      <c r="L3618" s="3" t="n"/>
      <c r="M3618" s="2" t="inlineStr">
        <is>
          <t>TCGplayer</t>
        </is>
      </c>
      <c r="O3618" s="4" t="inlineStr">
        <is>
          <t>https://www.tcgplayer.com/product/118338</t>
        </is>
      </c>
    </row>
    <row r="3619">
      <c r="A3619" s="2" t="inlineStr">
        <is>
          <t>Fates Collide Single Pack Blister [Pansear]</t>
        </is>
      </c>
      <c r="B3619" s="3">
        <f>IF(I3619&lt;&gt;"",I3619,IF(J3619&lt;&gt;"",J3619,IF(K3619&lt;&gt;"",K3619,L3619)))</f>
        <v>95.99</v>
      </c>
      <c r="C3619" s="3">
        <f>MEDIAN(I3619:L3619)</f>
        <v>111.99</v>
      </c>
      <c r="D3619" s="3">
        <f>ROUND(C3619*(1-Settings!$B$2),2)</f>
        <v>78.39</v>
      </c>
      <c r="E3619" s="3">
        <f>ROUND(C3619*(1-Settings!$B$3),2)</f>
        <v>78.39</v>
      </c>
      <c r="F3619" s="2" t="inlineStr">
        <is>
          <t>Pokemon</t>
        </is>
      </c>
      <c r="G3619" s="2" t="inlineStr">
        <is>
          <t>Pack</t>
        </is>
      </c>
      <c r="H3619" s="2" t="inlineStr">
        <is>
          <t>XY - Fates Collide</t>
        </is>
      </c>
      <c r="I3619" s="3" t="n"/>
      <c r="J3619" s="3" t="n">
        <v>95.98999999999999</v>
      </c>
      <c r="K3619" s="3" t="n">
        <v>112.48</v>
      </c>
      <c r="L3619" s="3" t="n">
        <v>111.99</v>
      </c>
      <c r="M3619" s="2" t="inlineStr">
        <is>
          <t>TCGplayer</t>
        </is>
      </c>
      <c r="O3619" s="4" t="inlineStr">
        <is>
          <t>https://www.tcgplayer.com/product/118337</t>
        </is>
      </c>
    </row>
    <row r="3620">
      <c r="A3620" s="2" t="inlineStr">
        <is>
          <t>Fates Collide Three Pack Blister [Vivillon]</t>
        </is>
      </c>
      <c r="B3620" s="3">
        <f>IF(I3620&lt;&gt;"",I3620,IF(J3620&lt;&gt;"",J3620,IF(K3620&lt;&gt;"",K3620,L3620)))</f>
        <v>199.99</v>
      </c>
      <c r="C3620" s="3">
        <f>MEDIAN(I3620:L3620)</f>
        <v>199.99</v>
      </c>
      <c r="D3620" s="3">
        <f>ROUND(C3620*(1-Settings!$B$2),2)</f>
        <v>139.99</v>
      </c>
      <c r="E3620" s="3">
        <f>ROUND(C3620*(1-Settings!$B$3),2)</f>
        <v>139.99</v>
      </c>
      <c r="F3620" s="2" t="inlineStr">
        <is>
          <t>Pokemon</t>
        </is>
      </c>
      <c r="G3620" s="2" t="inlineStr">
        <is>
          <t>Pack</t>
        </is>
      </c>
      <c r="H3620" s="2" t="inlineStr">
        <is>
          <t>XY - Fates Collide</t>
        </is>
      </c>
      <c r="I3620" s="3" t="n"/>
      <c r="J3620" s="3" t="n">
        <v>199.99</v>
      </c>
      <c r="K3620" s="3" t="n"/>
      <c r="L3620" s="3" t="n"/>
      <c r="M3620" s="2" t="inlineStr">
        <is>
          <t>TCGplayer</t>
        </is>
      </c>
      <c r="O3620" s="4" t="inlineStr">
        <is>
          <t>https://www.tcgplayer.com/product/118340</t>
        </is>
      </c>
    </row>
    <row r="3621">
      <c r="A3621" s="2" t="inlineStr">
        <is>
          <t>XY - Fates Collide Sleeved Booster Pack [Delphox BREAK]</t>
        </is>
      </c>
      <c r="B3621" s="3">
        <f>IF(I3621&lt;&gt;"",I3621,IF(J3621&lt;&gt;"",J3621,IF(K3621&lt;&gt;"",K3621,L3621)))</f>
        <v>47.5</v>
      </c>
      <c r="C3621" s="3">
        <f>MEDIAN(I3621:L3621)</f>
        <v>47.5</v>
      </c>
      <c r="D3621" s="3">
        <f>ROUND(C3621*(1-Settings!$B$2),2)</f>
        <v>33.25</v>
      </c>
      <c r="E3621" s="3">
        <f>ROUND(C3621*(1-Settings!$B$3),2)</f>
        <v>33.25</v>
      </c>
      <c r="F3621" s="2" t="inlineStr">
        <is>
          <t>Pokemon</t>
        </is>
      </c>
      <c r="G3621" s="2" t="inlineStr">
        <is>
          <t>Pack</t>
        </is>
      </c>
      <c r="H3621" s="2" t="inlineStr">
        <is>
          <t>XY - Fates Collide</t>
        </is>
      </c>
      <c r="I3621" s="3" t="n"/>
      <c r="J3621" s="3" t="n">
        <v>47.5</v>
      </c>
      <c r="K3621" s="3" t="n">
        <v>57.49</v>
      </c>
      <c r="L3621" s="3" t="n">
        <v>39</v>
      </c>
      <c r="M3621" s="2" t="inlineStr">
        <is>
          <t>TCGplayer</t>
        </is>
      </c>
      <c r="O3621" s="4" t="inlineStr">
        <is>
          <t>https://www.tcgplayer.com/product/504698</t>
        </is>
      </c>
    </row>
    <row r="3622">
      <c r="A3622" s="2" t="inlineStr">
        <is>
          <t>XY - Fates Collide Sleeved Booster Pack [Lugia BREAK]</t>
        </is>
      </c>
      <c r="B3622" s="3">
        <f>IF(I3622&lt;&gt;"",I3622,IF(J3622&lt;&gt;"",J3622,IF(K3622&lt;&gt;"",K3622,L3622)))</f>
        <v>49.59</v>
      </c>
      <c r="C3622" s="3">
        <f>MEDIAN(I3622:L3622)</f>
        <v>59.99</v>
      </c>
      <c r="D3622" s="3">
        <f>ROUND(C3622*(1-Settings!$B$2),2)</f>
        <v>41.99</v>
      </c>
      <c r="E3622" s="3">
        <f>ROUND(C3622*(1-Settings!$B$3),2)</f>
        <v>41.99</v>
      </c>
      <c r="F3622" s="2" t="inlineStr">
        <is>
          <t>Pokemon</t>
        </is>
      </c>
      <c r="G3622" s="2" t="inlineStr">
        <is>
          <t>Pack</t>
        </is>
      </c>
      <c r="H3622" s="2" t="inlineStr">
        <is>
          <t>XY - Fates Collide</t>
        </is>
      </c>
      <c r="I3622" s="3" t="n"/>
      <c r="J3622" s="3" t="n">
        <v>49.59</v>
      </c>
      <c r="K3622" s="3" t="n">
        <v>79.98999999999999</v>
      </c>
      <c r="L3622" s="3" t="n">
        <v>59.99</v>
      </c>
      <c r="M3622" s="2" t="inlineStr">
        <is>
          <t>TCGplayer</t>
        </is>
      </c>
      <c r="O3622" s="4" t="inlineStr">
        <is>
          <t>https://www.tcgplayer.com/product/504699</t>
        </is>
      </c>
    </row>
    <row r="3623">
      <c r="A3623" s="2" t="inlineStr">
        <is>
          <t>XY - Fates Collide Sleeved Booster Pack [Zygarde]</t>
        </is>
      </c>
      <c r="B3623" s="3">
        <f>IF(I3623&lt;&gt;"",I3623,IF(J3623&lt;&gt;"",J3623,IF(K3623&lt;&gt;"",K3623,L3623)))</f>
        <v>51.93</v>
      </c>
      <c r="C3623" s="3">
        <f>MEDIAN(I3623:L3623)</f>
        <v>51.93</v>
      </c>
      <c r="D3623" s="3">
        <f>ROUND(C3623*(1-Settings!$B$2),2)</f>
        <v>36.35</v>
      </c>
      <c r="E3623" s="3">
        <f>ROUND(C3623*(1-Settings!$B$3),2)</f>
        <v>36.35</v>
      </c>
      <c r="F3623" s="2" t="inlineStr">
        <is>
          <t>Pokemon</t>
        </is>
      </c>
      <c r="G3623" s="2" t="inlineStr">
        <is>
          <t>Pack</t>
        </is>
      </c>
      <c r="H3623" s="2" t="inlineStr">
        <is>
          <t>XY - Fates Collide</t>
        </is>
      </c>
      <c r="I3623" s="3" t="n"/>
      <c r="J3623" s="3" t="n">
        <v>51.93</v>
      </c>
      <c r="K3623" s="3" t="n">
        <v>59.99</v>
      </c>
      <c r="L3623" s="3" t="n">
        <v>40</v>
      </c>
      <c r="M3623" s="2" t="inlineStr">
        <is>
          <t>TCGplayer</t>
        </is>
      </c>
      <c r="O3623" s="4" t="inlineStr">
        <is>
          <t>https://www.tcgplayer.com/product/504700</t>
        </is>
      </c>
    </row>
    <row r="3624">
      <c r="A3624" s="2" t="inlineStr">
        <is>
          <t>XY Fates Collide Booster Pack</t>
        </is>
      </c>
      <c r="B3624" s="3">
        <f>IF(I3624&lt;&gt;"",I3624,IF(J3624&lt;&gt;"",J3624,IF(K3624&lt;&gt;"",K3624,L3624)))</f>
        <v>43.82</v>
      </c>
      <c r="C3624" s="3">
        <f>MEDIAN(I3624:L3624)</f>
        <v>43.82</v>
      </c>
      <c r="D3624" s="3">
        <f>ROUND(C3624*(1-Settings!$B$2),2)</f>
        <v>30.67</v>
      </c>
      <c r="E3624" s="3">
        <f>ROUND(C3624*(1-Settings!$B$3),2)</f>
        <v>30.67</v>
      </c>
      <c r="F3624" s="2" t="inlineStr">
        <is>
          <t>Pokemon</t>
        </is>
      </c>
      <c r="G3624" s="2" t="inlineStr">
        <is>
          <t>Pack</t>
        </is>
      </c>
      <c r="H3624" s="2" t="inlineStr">
        <is>
          <t>XY - Fates Collide</t>
        </is>
      </c>
      <c r="I3624" s="3" t="n"/>
      <c r="J3624" s="3" t="n">
        <v>43.82</v>
      </c>
      <c r="K3624" s="3" t="n">
        <v>49.99</v>
      </c>
      <c r="L3624" s="3" t="n">
        <v>42.99</v>
      </c>
      <c r="M3624" s="2" t="inlineStr">
        <is>
          <t>TCGplayer</t>
        </is>
      </c>
      <c r="O3624" s="4" t="inlineStr">
        <is>
          <t>https://www.tcgplayer.com/product/168114</t>
        </is>
      </c>
    </row>
    <row r="3625">
      <c r="A3625" s="2" t="inlineStr">
        <is>
          <t>Flashfire Booster Pack</t>
        </is>
      </c>
      <c r="B3625" s="3">
        <f>IF(I3625&lt;&gt;"",I3625,IF(J3625&lt;&gt;"",J3625,IF(K3625&lt;&gt;"",K3625,L3625)))</f>
        <v>171.73</v>
      </c>
      <c r="C3625" s="3">
        <f>MEDIAN(I3625:L3625)</f>
        <v>164.46</v>
      </c>
      <c r="D3625" s="3">
        <f>ROUND(C3625*(1-Settings!$B$2),2)</f>
        <v>115.12</v>
      </c>
      <c r="E3625" s="3">
        <f>ROUND(C3625*(1-Settings!$B$3),2)</f>
        <v>115.12</v>
      </c>
      <c r="F3625" s="2" t="inlineStr">
        <is>
          <t>Pokemon</t>
        </is>
      </c>
      <c r="G3625" s="2" t="inlineStr">
        <is>
          <t>Pack</t>
        </is>
      </c>
      <c r="H3625" s="2" t="inlineStr">
        <is>
          <t>XY - Flashfire</t>
        </is>
      </c>
      <c r="I3625" s="3" t="n">
        <v>171.73</v>
      </c>
      <c r="J3625" s="3" t="n">
        <v>160.99</v>
      </c>
      <c r="K3625" s="3" t="n">
        <v>167.93</v>
      </c>
      <c r="L3625" s="3" t="n">
        <v>160.91</v>
      </c>
      <c r="M3625" s="2" t="inlineStr">
        <is>
          <t>PriceCharting + TCGplayer</t>
        </is>
      </c>
      <c r="N3625" s="4" t="inlineStr">
        <is>
          <t>https://www.pricecharting.com/game/pokemon-flashfire/booster-pack</t>
        </is>
      </c>
      <c r="O3625" s="4" t="inlineStr">
        <is>
          <t>https://www.tcgplayer.com/product/91595</t>
        </is>
      </c>
    </row>
    <row r="3626">
      <c r="A3626" s="2" t="inlineStr">
        <is>
          <t>Flashfire Sleeved Booster Pack</t>
        </is>
      </c>
      <c r="B3626" s="3">
        <f>IF(I3626&lt;&gt;"",I3626,IF(J3626&lt;&gt;"",J3626,IF(K3626&lt;&gt;"",K3626,L3626)))</f>
        <v>186.41</v>
      </c>
      <c r="C3626" s="3">
        <f>MEDIAN(I3626:L3626)</f>
        <v>249.99</v>
      </c>
      <c r="D3626" s="3">
        <f>ROUND(C3626*(1-Settings!$B$2),2)</f>
        <v>174.99</v>
      </c>
      <c r="E3626" s="3">
        <f>ROUND(C3626*(1-Settings!$B$3),2)</f>
        <v>174.99</v>
      </c>
      <c r="F3626" s="2" t="inlineStr">
        <is>
          <t>Pokemon</t>
        </is>
      </c>
      <c r="G3626" s="2" t="inlineStr">
        <is>
          <t>Pack</t>
        </is>
      </c>
      <c r="H3626" s="2" t="inlineStr">
        <is>
          <t>XY - Flashfire</t>
        </is>
      </c>
      <c r="I3626" s="3" t="n"/>
      <c r="J3626" s="3" t="n">
        <v>186.41</v>
      </c>
      <c r="K3626" s="3" t="n">
        <v>300</v>
      </c>
      <c r="L3626" s="3" t="n">
        <v>249.99</v>
      </c>
      <c r="M3626" s="2" t="inlineStr">
        <is>
          <t>TCGplayer</t>
        </is>
      </c>
      <c r="O3626" s="4" t="inlineStr">
        <is>
          <t>https://www.tcgplayer.com/product/524332</t>
        </is>
      </c>
    </row>
    <row r="3627">
      <c r="A3627" s="2" t="inlineStr">
        <is>
          <t>Furious Fists 2 Pack Blister [Dusknoir]</t>
        </is>
      </c>
      <c r="B3627" s="3">
        <f>IF(I3627&lt;&gt;"",I3627,IF(J3627&lt;&gt;"",J3627,IF(K3627&lt;&gt;"",K3627,L3627)))</f>
        <v>384.0</v>
      </c>
      <c r="C3627" s="3">
        <f>MEDIAN(I3627:L3627)</f>
        <v>384.0</v>
      </c>
      <c r="D3627" s="3">
        <f>ROUND(C3627*(1-Settings!$B$2),2)</f>
        <v>268.8</v>
      </c>
      <c r="E3627" s="3">
        <f>ROUND(C3627*(1-Settings!$B$3),2)</f>
        <v>268.8</v>
      </c>
      <c r="F3627" s="2" t="inlineStr">
        <is>
          <t>Pokemon</t>
        </is>
      </c>
      <c r="G3627" s="2" t="inlineStr">
        <is>
          <t>Pack</t>
        </is>
      </c>
      <c r="H3627" s="2" t="inlineStr">
        <is>
          <t>XY - Furious Fists</t>
        </is>
      </c>
      <c r="I3627" s="3" t="n"/>
      <c r="J3627" s="3" t="n"/>
      <c r="K3627" s="3" t="n">
        <v>384</v>
      </c>
      <c r="L3627" s="3" t="n">
        <v>384</v>
      </c>
      <c r="M3627" s="2" t="inlineStr">
        <is>
          <t>TCGplayer</t>
        </is>
      </c>
      <c r="O3627" s="4" t="inlineStr">
        <is>
          <t>https://www.tcgplayer.com/product/97773</t>
        </is>
      </c>
    </row>
    <row r="3628">
      <c r="A3628" s="2" t="inlineStr">
        <is>
          <t>Furious Fists 2 Pack Blister [Unova Trio]</t>
        </is>
      </c>
      <c r="B3628" s="3">
        <f>IF(I3628&lt;&gt;"",I3628,IF(J3628&lt;&gt;"",J3628,IF(K3628&lt;&gt;"",K3628,L3628)))</f>
        <v>1000.0</v>
      </c>
      <c r="C3628" s="3">
        <f>MEDIAN(I3628:L3628)</f>
        <v>1000.0</v>
      </c>
      <c r="D3628" s="3">
        <f>ROUND(C3628*(1-Settings!$B$2),2)</f>
        <v>700.0</v>
      </c>
      <c r="E3628" s="3">
        <f>ROUND(C3628*(1-Settings!$B$3),2)</f>
        <v>700.0</v>
      </c>
      <c r="F3628" s="2" t="inlineStr">
        <is>
          <t>Pokemon</t>
        </is>
      </c>
      <c r="G3628" s="2" t="inlineStr">
        <is>
          <t>Pack</t>
        </is>
      </c>
      <c r="H3628" s="2" t="inlineStr">
        <is>
          <t>XY - Furious Fists</t>
        </is>
      </c>
      <c r="I3628" s="3" t="n"/>
      <c r="J3628" s="3" t="n"/>
      <c r="K3628" s="3" t="n">
        <v>1000</v>
      </c>
      <c r="L3628" s="3" t="n">
        <v>1000</v>
      </c>
      <c r="M3628" s="2" t="inlineStr">
        <is>
          <t>TCGplayer</t>
        </is>
      </c>
      <c r="O3628" s="4" t="inlineStr">
        <is>
          <t>https://www.tcgplayer.com/product/97772</t>
        </is>
      </c>
    </row>
    <row r="3629">
      <c r="A3629" s="2" t="inlineStr">
        <is>
          <t>Furious Fists 3 Pack Blister [Slurpuff]</t>
        </is>
      </c>
      <c r="B3629" s="3">
        <f>IF(I3629&lt;&gt;"",I3629,IF(J3629&lt;&gt;"",J3629,IF(K3629&lt;&gt;"",K3629,L3629)))</f>
        <v>237.32</v>
      </c>
      <c r="C3629" s="3">
        <f>MEDIAN(I3629:L3629)</f>
        <v>237.32</v>
      </c>
      <c r="D3629" s="3">
        <f>ROUND(C3629*(1-Settings!$B$2),2)</f>
        <v>166.12</v>
      </c>
      <c r="E3629" s="3">
        <f>ROUND(C3629*(1-Settings!$B$3),2)</f>
        <v>166.12</v>
      </c>
      <c r="F3629" s="2" t="inlineStr">
        <is>
          <t>Pokemon</t>
        </is>
      </c>
      <c r="G3629" s="2" t="inlineStr">
        <is>
          <t>Pack</t>
        </is>
      </c>
      <c r="H3629" s="2" t="inlineStr">
        <is>
          <t>XY - Furious Fists</t>
        </is>
      </c>
      <c r="I3629" s="3" t="n"/>
      <c r="J3629" s="3" t="n">
        <v>237.32</v>
      </c>
      <c r="K3629" s="3" t="n"/>
      <c r="L3629" s="3" t="n"/>
      <c r="M3629" s="2" t="inlineStr">
        <is>
          <t>TCGplayer</t>
        </is>
      </c>
      <c r="O3629" s="4" t="inlineStr">
        <is>
          <t>https://www.tcgplayer.com/product/97768</t>
        </is>
      </c>
    </row>
    <row r="3630">
      <c r="A3630" s="2" t="inlineStr">
        <is>
          <t>Furious Fists Booster Pack</t>
        </is>
      </c>
      <c r="B3630" s="3">
        <f>IF(I3630&lt;&gt;"",I3630,IF(J3630&lt;&gt;"",J3630,IF(K3630&lt;&gt;"",K3630,L3630)))</f>
        <v>62.66</v>
      </c>
      <c r="C3630" s="3">
        <f>MEDIAN(I3630:L3630)</f>
        <v>80.96000000000001</v>
      </c>
      <c r="D3630" s="3">
        <f>ROUND(C3630*(1-Settings!$B$2),2)</f>
        <v>56.67</v>
      </c>
      <c r="E3630" s="3">
        <f>ROUND(C3630*(1-Settings!$B$3),2)</f>
        <v>56.67</v>
      </c>
      <c r="F3630" s="2" t="inlineStr">
        <is>
          <t>Pokemon</t>
        </is>
      </c>
      <c r="G3630" s="2" t="inlineStr">
        <is>
          <t>Pack</t>
        </is>
      </c>
      <c r="H3630" s="2" t="inlineStr">
        <is>
          <t>XY - Furious Fists</t>
        </is>
      </c>
      <c r="I3630" s="3" t="n">
        <v>62.66</v>
      </c>
      <c r="J3630" s="3" t="n">
        <v>80.66</v>
      </c>
      <c r="K3630" s="3" t="n">
        <v>88.48</v>
      </c>
      <c r="L3630" s="3" t="n">
        <v>81.26000000000001</v>
      </c>
      <c r="M3630" s="2" t="inlineStr">
        <is>
          <t>PriceCharting + TCGplayer</t>
        </is>
      </c>
      <c r="N3630" s="4" t="inlineStr">
        <is>
          <t>https://www.pricecharting.com/game/pokemon-furious-fists/booster-pack</t>
        </is>
      </c>
      <c r="O3630" s="4" t="inlineStr">
        <is>
          <t>https://www.tcgplayer.com/product/92169</t>
        </is>
      </c>
    </row>
    <row r="3631">
      <c r="A3631" s="2" t="inlineStr">
        <is>
          <t>Furious Fists Single Pack Blister [Gogoat]</t>
        </is>
      </c>
      <c r="B3631" s="3">
        <f>IF(I3631&lt;&gt;"",I3631,IF(J3631&lt;&gt;"",J3631,IF(K3631&lt;&gt;"",K3631,L3631)))</f>
        <v>200.0</v>
      </c>
      <c r="C3631" s="3">
        <f>MEDIAN(I3631:L3631)</f>
        <v>200.0</v>
      </c>
      <c r="D3631" s="3">
        <f>ROUND(C3631*(1-Settings!$B$2),2)</f>
        <v>140.0</v>
      </c>
      <c r="E3631" s="3">
        <f>ROUND(C3631*(1-Settings!$B$3),2)</f>
        <v>140.0</v>
      </c>
      <c r="F3631" s="2" t="inlineStr">
        <is>
          <t>Pokemon</t>
        </is>
      </c>
      <c r="G3631" s="2" t="inlineStr">
        <is>
          <t>Pack</t>
        </is>
      </c>
      <c r="H3631" s="2" t="inlineStr">
        <is>
          <t>XY - Furious Fists</t>
        </is>
      </c>
      <c r="I3631" s="3" t="n"/>
      <c r="J3631" s="3" t="n"/>
      <c r="K3631" s="3" t="n">
        <v>200</v>
      </c>
      <c r="L3631" s="3" t="n">
        <v>200</v>
      </c>
      <c r="M3631" s="2" t="inlineStr">
        <is>
          <t>TCGplayer</t>
        </is>
      </c>
      <c r="O3631" s="4" t="inlineStr">
        <is>
          <t>https://www.tcgplayer.com/product/97770</t>
        </is>
      </c>
    </row>
    <row r="3632">
      <c r="A3632" s="2" t="inlineStr">
        <is>
          <t>Furious Fists Single Pack Blister [Zoroark]</t>
        </is>
      </c>
      <c r="B3632" s="3">
        <f>IF(I3632&lt;&gt;"",I3632,IF(J3632&lt;&gt;"",J3632,IF(K3632&lt;&gt;"",K3632,L3632)))</f>
        <v>200.0</v>
      </c>
      <c r="C3632" s="3">
        <f>MEDIAN(I3632:L3632)</f>
        <v>200.0</v>
      </c>
      <c r="D3632" s="3">
        <f>ROUND(C3632*(1-Settings!$B$2),2)</f>
        <v>140.0</v>
      </c>
      <c r="E3632" s="3">
        <f>ROUND(C3632*(1-Settings!$B$3),2)</f>
        <v>140.0</v>
      </c>
      <c r="F3632" s="2" t="inlineStr">
        <is>
          <t>Pokemon</t>
        </is>
      </c>
      <c r="G3632" s="2" t="inlineStr">
        <is>
          <t>Pack</t>
        </is>
      </c>
      <c r="H3632" s="2" t="inlineStr">
        <is>
          <t>XY - Furious Fists</t>
        </is>
      </c>
      <c r="I3632" s="3" t="n"/>
      <c r="J3632" s="3" t="n"/>
      <c r="K3632" s="3" t="n">
        <v>200</v>
      </c>
      <c r="L3632" s="3" t="n">
        <v>200</v>
      </c>
      <c r="M3632" s="2" t="inlineStr">
        <is>
          <t>TCGplayer</t>
        </is>
      </c>
      <c r="O3632" s="4" t="inlineStr">
        <is>
          <t>https://www.tcgplayer.com/product/97771</t>
        </is>
      </c>
    </row>
    <row r="3633">
      <c r="A3633" s="2" t="inlineStr">
        <is>
          <t>Furious Fists Sleeved Booster Pack</t>
        </is>
      </c>
      <c r="B3633" s="3">
        <f>IF(I3633&lt;&gt;"",I3633,IF(J3633&lt;&gt;"",J3633,IF(K3633&lt;&gt;"",K3633,L3633)))</f>
        <v>87.72</v>
      </c>
      <c r="C3633" s="3">
        <f>MEDIAN(I3633:L3633)</f>
        <v>149.99</v>
      </c>
      <c r="D3633" s="3">
        <f>ROUND(C3633*(1-Settings!$B$2),2)</f>
        <v>104.99</v>
      </c>
      <c r="E3633" s="3">
        <f>ROUND(C3633*(1-Settings!$B$3),2)</f>
        <v>104.99</v>
      </c>
      <c r="F3633" s="2" t="inlineStr">
        <is>
          <t>Pokemon</t>
        </is>
      </c>
      <c r="G3633" s="2" t="inlineStr">
        <is>
          <t>Pack</t>
        </is>
      </c>
      <c r="H3633" s="2" t="inlineStr">
        <is>
          <t>XY - Furious Fists</t>
        </is>
      </c>
      <c r="I3633" s="3" t="n"/>
      <c r="J3633" s="3" t="n">
        <v>87.72</v>
      </c>
      <c r="K3633" s="3" t="n">
        <v>149.99</v>
      </c>
      <c r="L3633" s="3" t="n">
        <v>149.99</v>
      </c>
      <c r="M3633" s="2" t="inlineStr">
        <is>
          <t>TCGplayer</t>
        </is>
      </c>
      <c r="O3633" s="4" t="inlineStr">
        <is>
          <t>https://www.tcgplayer.com/product/550673</t>
        </is>
      </c>
    </row>
    <row r="3634">
      <c r="A3634" s="2" t="inlineStr">
        <is>
          <t>Phantom Forces Sleeved Booster Pack</t>
        </is>
      </c>
      <c r="B3634" s="3">
        <f>IF(I3634&lt;&gt;"",I3634,IF(J3634&lt;&gt;"",J3634,IF(K3634&lt;&gt;"",K3634,L3634)))</f>
        <v>486.7</v>
      </c>
      <c r="C3634" s="3">
        <f>MEDIAN(I3634:L3634)</f>
        <v>800.0</v>
      </c>
      <c r="D3634" s="3">
        <f>ROUND(C3634*(1-Settings!$B$2),2)</f>
        <v>560.0</v>
      </c>
      <c r="E3634" s="3">
        <f>ROUND(C3634*(1-Settings!$B$3),2)</f>
        <v>560.0</v>
      </c>
      <c r="F3634" s="2" t="inlineStr">
        <is>
          <t>Pokemon</t>
        </is>
      </c>
      <c r="G3634" s="2" t="inlineStr">
        <is>
          <t>Pack</t>
        </is>
      </c>
      <c r="H3634" s="2" t="inlineStr">
        <is>
          <t>XY - Phantom Forces</t>
        </is>
      </c>
      <c r="I3634" s="3" t="n">
        <v>486.7</v>
      </c>
      <c r="J3634" s="3" t="n"/>
      <c r="K3634" s="3" t="n">
        <v>800</v>
      </c>
      <c r="L3634" s="3" t="n">
        <v>800</v>
      </c>
      <c r="M3634" s="2" t="inlineStr">
        <is>
          <t>PriceCharting + TCGplayer</t>
        </is>
      </c>
      <c r="N3634" s="4" t="inlineStr">
        <is>
          <t>https://www.pricecharting.com/game/pokemon-phantom-forces/sleeved-booster-pack</t>
        </is>
      </c>
      <c r="O3634" s="4" t="inlineStr">
        <is>
          <t>https://www.tcgplayer.com/product/550676</t>
        </is>
      </c>
    </row>
    <row r="3635">
      <c r="A3635" s="2" t="inlineStr">
        <is>
          <t>XY Phantom Forces Booster Pack</t>
        </is>
      </c>
      <c r="B3635" s="3">
        <f>IF(I3635&lt;&gt;"",I3635,IF(J3635&lt;&gt;"",J3635,IF(K3635&lt;&gt;"",K3635,L3635)))</f>
        <v>226.78</v>
      </c>
      <c r="C3635" s="3">
        <f>MEDIAN(I3635:L3635)</f>
        <v>239.99</v>
      </c>
      <c r="D3635" s="3">
        <f>ROUND(C3635*(1-Settings!$B$2),2)</f>
        <v>167.99</v>
      </c>
      <c r="E3635" s="3">
        <f>ROUND(C3635*(1-Settings!$B$3),2)</f>
        <v>167.99</v>
      </c>
      <c r="F3635" s="2" t="inlineStr">
        <is>
          <t>Pokemon</t>
        </is>
      </c>
      <c r="G3635" s="2" t="inlineStr">
        <is>
          <t>Pack</t>
        </is>
      </c>
      <c r="H3635" s="2" t="inlineStr">
        <is>
          <t>XY - Phantom Forces</t>
        </is>
      </c>
      <c r="I3635" s="3" t="n"/>
      <c r="J3635" s="3" t="n">
        <v>226.78</v>
      </c>
      <c r="K3635" s="3" t="n">
        <v>299.99</v>
      </c>
      <c r="L3635" s="3" t="n">
        <v>239.99</v>
      </c>
      <c r="M3635" s="2" t="inlineStr">
        <is>
          <t>TCGplayer</t>
        </is>
      </c>
      <c r="O3635" s="4" t="inlineStr">
        <is>
          <t>https://www.tcgplayer.com/product/94622</t>
        </is>
      </c>
    </row>
    <row r="3636">
      <c r="A3636" s="2" t="inlineStr">
        <is>
          <t>Primal Clash Three Pack Blister [Ditto]</t>
        </is>
      </c>
      <c r="B3636" s="3">
        <f>IF(I3636&lt;&gt;"",I3636,IF(J3636&lt;&gt;"",J3636,IF(K3636&lt;&gt;"",K3636,L3636)))</f>
        <v>583.33</v>
      </c>
      <c r="C3636" s="3">
        <f>MEDIAN(I3636:L3636)</f>
        <v>1499.99</v>
      </c>
      <c r="D3636" s="3">
        <f>ROUND(C3636*(1-Settings!$B$2),2)</f>
        <v>1049.99</v>
      </c>
      <c r="E3636" s="3">
        <f>ROUND(C3636*(1-Settings!$B$3),2)</f>
        <v>1049.99</v>
      </c>
      <c r="F3636" s="2" t="inlineStr">
        <is>
          <t>Pokemon</t>
        </is>
      </c>
      <c r="G3636" s="2" t="inlineStr">
        <is>
          <t>Pack</t>
        </is>
      </c>
      <c r="H3636" s="2" t="inlineStr">
        <is>
          <t>XY - Primal Clash</t>
        </is>
      </c>
      <c r="I3636" s="3" t="n"/>
      <c r="J3636" s="3" t="n">
        <v>583.33</v>
      </c>
      <c r="K3636" s="3" t="n">
        <v>1499.99</v>
      </c>
      <c r="L3636" s="3" t="n">
        <v>1499.99</v>
      </c>
      <c r="M3636" s="2" t="inlineStr">
        <is>
          <t>TCGplayer</t>
        </is>
      </c>
      <c r="O3636" s="4" t="inlineStr">
        <is>
          <t>https://www.tcgplayer.com/product/97758</t>
        </is>
      </c>
    </row>
    <row r="3637">
      <c r="A3637" s="2" t="inlineStr">
        <is>
          <t>XY - Primal Clash Sleeved Booster Pack</t>
        </is>
      </c>
      <c r="B3637" s="3">
        <f>IF(I3637&lt;&gt;"",I3637,IF(J3637&lt;&gt;"",J3637,IF(K3637&lt;&gt;"",K3637,L3637)))</f>
        <v>99.08</v>
      </c>
      <c r="C3637" s="3">
        <f>MEDIAN(I3637:L3637)</f>
        <v>124.0</v>
      </c>
      <c r="D3637" s="3">
        <f>ROUND(C3637*(1-Settings!$B$2),2)</f>
        <v>86.8</v>
      </c>
      <c r="E3637" s="3">
        <f>ROUND(C3637*(1-Settings!$B$3),2)</f>
        <v>86.8</v>
      </c>
      <c r="F3637" s="2" t="inlineStr">
        <is>
          <t>Pokemon</t>
        </is>
      </c>
      <c r="G3637" s="2" t="inlineStr">
        <is>
          <t>Pack</t>
        </is>
      </c>
      <c r="H3637" s="2" t="inlineStr">
        <is>
          <t>XY - Primal Clash</t>
        </is>
      </c>
      <c r="I3637" s="3" t="n"/>
      <c r="J3637" s="3" t="n">
        <v>99.08</v>
      </c>
      <c r="K3637" s="3" t="n">
        <v>124.99</v>
      </c>
      <c r="L3637" s="3" t="n">
        <v>124</v>
      </c>
      <c r="M3637" s="2" t="inlineStr">
        <is>
          <t>TCGplayer</t>
        </is>
      </c>
      <c r="O3637" s="4" t="inlineStr">
        <is>
          <t>https://www.tcgplayer.com/product/546608</t>
        </is>
      </c>
    </row>
    <row r="3638">
      <c r="A3638" s="2" t="inlineStr">
        <is>
          <t>XY Primal Clash Booster Pack</t>
        </is>
      </c>
      <c r="B3638" s="3">
        <f>IF(I3638&lt;&gt;"",I3638,IF(J3638&lt;&gt;"",J3638,IF(K3638&lt;&gt;"",K3638,L3638)))</f>
        <v>67.12</v>
      </c>
      <c r="C3638" s="3">
        <f>MEDIAN(I3638:L3638)</f>
        <v>70.0</v>
      </c>
      <c r="D3638" s="3">
        <f>ROUND(C3638*(1-Settings!$B$2),2)</f>
        <v>49.0</v>
      </c>
      <c r="E3638" s="3">
        <f>ROUND(C3638*(1-Settings!$B$3),2)</f>
        <v>49.0</v>
      </c>
      <c r="F3638" s="2" t="inlineStr">
        <is>
          <t>Pokemon</t>
        </is>
      </c>
      <c r="G3638" s="2" t="inlineStr">
        <is>
          <t>Pack</t>
        </is>
      </c>
      <c r="H3638" s="2" t="inlineStr">
        <is>
          <t>XY - Primal Clash</t>
        </is>
      </c>
      <c r="I3638" s="3" t="n"/>
      <c r="J3638" s="3" t="n">
        <v>67.12</v>
      </c>
      <c r="K3638" s="3" t="n">
        <v>89.98999999999999</v>
      </c>
      <c r="L3638" s="3" t="n">
        <v>70</v>
      </c>
      <c r="M3638" s="2" t="inlineStr">
        <is>
          <t>TCGplayer</t>
        </is>
      </c>
      <c r="O3638" s="4" t="inlineStr">
        <is>
          <t>https://www.tcgplayer.com/product/97751</t>
        </is>
      </c>
    </row>
    <row r="3639">
      <c r="A3639" s="2" t="inlineStr">
        <is>
          <t>Dragonite Collector's Pin 3 Pack Blister</t>
        </is>
      </c>
      <c r="B3639" s="3">
        <f>IF(I3639&lt;&gt;"",I3639,IF(J3639&lt;&gt;"",J3639,IF(K3639&lt;&gt;"",K3639,L3639)))</f>
        <v>309.0</v>
      </c>
      <c r="C3639" s="3">
        <f>MEDIAN(I3639:L3639)</f>
        <v>509.0</v>
      </c>
      <c r="D3639" s="3">
        <f>ROUND(C3639*(1-Settings!$B$2),2)</f>
        <v>356.3</v>
      </c>
      <c r="E3639" s="3">
        <f>ROUND(C3639*(1-Settings!$B$3),2)</f>
        <v>356.3</v>
      </c>
      <c r="F3639" s="2" t="inlineStr">
        <is>
          <t>Pokemon</t>
        </is>
      </c>
      <c r="G3639" s="2" t="inlineStr">
        <is>
          <t>Pack</t>
        </is>
      </c>
      <c r="H3639" s="2" t="inlineStr">
        <is>
          <t>XY - Roaring Skies</t>
        </is>
      </c>
      <c r="I3639" s="3" t="n"/>
      <c r="J3639" s="3" t="n">
        <v>309</v>
      </c>
      <c r="K3639" s="3" t="n">
        <v>1074</v>
      </c>
      <c r="L3639" s="3" t="n">
        <v>509</v>
      </c>
      <c r="M3639" s="2" t="inlineStr">
        <is>
          <t>TCGplayer</t>
        </is>
      </c>
      <c r="O3639" s="4" t="inlineStr">
        <is>
          <t>https://www.tcgplayer.com/product/100501</t>
        </is>
      </c>
    </row>
    <row r="3640">
      <c r="A3640" s="2" t="inlineStr">
        <is>
          <t>Roaring Skies Booster Pack</t>
        </is>
      </c>
      <c r="B3640" s="3">
        <f>IF(I3640&lt;&gt;"",I3640,IF(J3640&lt;&gt;"",J3640,IF(K3640&lt;&gt;"",K3640,L3640)))</f>
        <v>83.55</v>
      </c>
      <c r="C3640" s="3">
        <f>MEDIAN(I3640:L3640)</f>
        <v>85.03999999999999</v>
      </c>
      <c r="D3640" s="3">
        <f>ROUND(C3640*(1-Settings!$B$2),2)</f>
        <v>59.53</v>
      </c>
      <c r="E3640" s="3">
        <f>ROUND(C3640*(1-Settings!$B$3),2)</f>
        <v>59.53</v>
      </c>
      <c r="F3640" s="2" t="inlineStr">
        <is>
          <t>Pokemon</t>
        </is>
      </c>
      <c r="G3640" s="2" t="inlineStr">
        <is>
          <t>Pack</t>
        </is>
      </c>
      <c r="H3640" s="2" t="inlineStr">
        <is>
          <t>XY - Roaring Skies</t>
        </is>
      </c>
      <c r="I3640" s="3" t="n">
        <v>83.55</v>
      </c>
      <c r="J3640" s="3" t="n">
        <v>85.39</v>
      </c>
      <c r="K3640" s="3" t="n">
        <v>106.75</v>
      </c>
      <c r="L3640" s="3" t="n">
        <v>84.69</v>
      </c>
      <c r="M3640" s="2" t="inlineStr">
        <is>
          <t>PriceCharting + TCGplayer</t>
        </is>
      </c>
      <c r="N3640" s="4" t="inlineStr">
        <is>
          <t>https://www.pricecharting.com/game/pokemon-roaring-skies/booster-pack</t>
        </is>
      </c>
      <c r="O3640" s="4" t="inlineStr">
        <is>
          <t>https://www.tcgplayer.com/product/129906</t>
        </is>
      </c>
    </row>
    <row r="3641">
      <c r="A3641" s="2" t="inlineStr">
        <is>
          <t>Roaring Skies Sleeved Booster Pack</t>
        </is>
      </c>
      <c r="B3641" s="3">
        <f>IF(I3641&lt;&gt;"",I3641,IF(J3641&lt;&gt;"",J3641,IF(K3641&lt;&gt;"",K3641,L3641)))</f>
        <v>104.88</v>
      </c>
      <c r="C3641" s="3">
        <f>MEDIAN(I3641:L3641)</f>
        <v>125.18</v>
      </c>
      <c r="D3641" s="3">
        <f>ROUND(C3641*(1-Settings!$B$2),2)</f>
        <v>87.63</v>
      </c>
      <c r="E3641" s="3">
        <f>ROUND(C3641*(1-Settings!$B$3),2)</f>
        <v>87.63</v>
      </c>
      <c r="F3641" s="2" t="inlineStr">
        <is>
          <t>Pokemon</t>
        </is>
      </c>
      <c r="G3641" s="2" t="inlineStr">
        <is>
          <t>Pack</t>
        </is>
      </c>
      <c r="H3641" s="2" t="inlineStr">
        <is>
          <t>XY - Roaring Skies</t>
        </is>
      </c>
      <c r="I3641" s="3" t="n">
        <v>104.88</v>
      </c>
      <c r="J3641" s="3" t="n">
        <v>119.36</v>
      </c>
      <c r="K3641" s="3" t="n">
        <v>139.99</v>
      </c>
      <c r="L3641" s="3" t="n">
        <v>131</v>
      </c>
      <c r="M3641" s="2" t="inlineStr">
        <is>
          <t>PriceCharting + TCGplayer</t>
        </is>
      </c>
      <c r="N3641" s="4" t="inlineStr">
        <is>
          <t>https://www.pricecharting.com/game/pokemon-roaring-skies/sleeved-booster-pack</t>
        </is>
      </c>
      <c r="O3641" s="4" t="inlineStr">
        <is>
          <t>https://www.tcgplayer.com/product/697502</t>
        </is>
      </c>
    </row>
    <row r="3642">
      <c r="A3642" s="2" t="inlineStr">
        <is>
          <t>Steam Siege 3 Pack Blister [Azelf]</t>
        </is>
      </c>
      <c r="B3642" s="3">
        <f>IF(I3642&lt;&gt;"",I3642,IF(J3642&lt;&gt;"",J3642,IF(K3642&lt;&gt;"",K3642,L3642)))</f>
        <v>355.0</v>
      </c>
      <c r="C3642" s="3">
        <f>MEDIAN(I3642:L3642)</f>
        <v>355.0</v>
      </c>
      <c r="D3642" s="3">
        <f>ROUND(C3642*(1-Settings!$B$2),2)</f>
        <v>248.5</v>
      </c>
      <c r="E3642" s="3">
        <f>ROUND(C3642*(1-Settings!$B$3),2)</f>
        <v>248.5</v>
      </c>
      <c r="F3642" s="2" t="inlineStr">
        <is>
          <t>Pokemon</t>
        </is>
      </c>
      <c r="G3642" s="2" t="inlineStr">
        <is>
          <t>Pack</t>
        </is>
      </c>
      <c r="H3642" s="2" t="inlineStr">
        <is>
          <t>XY - Steam Siege</t>
        </is>
      </c>
      <c r="I3642" s="3" t="n"/>
      <c r="J3642" s="3" t="n"/>
      <c r="K3642" s="3" t="n">
        <v>355</v>
      </c>
      <c r="L3642" s="3" t="n">
        <v>355</v>
      </c>
      <c r="M3642" s="2" t="inlineStr">
        <is>
          <t>TCGplayer</t>
        </is>
      </c>
      <c r="O3642" s="4" t="inlineStr">
        <is>
          <t>https://www.tcgplayer.com/product/120704</t>
        </is>
      </c>
    </row>
    <row r="3643">
      <c r="A3643" s="2" t="inlineStr">
        <is>
          <t>Steam Siege 3 Pack Blister [Rayquaza]</t>
        </is>
      </c>
      <c r="B3643" s="3">
        <f>IF(I3643&lt;&gt;"",I3643,IF(J3643&lt;&gt;"",J3643,IF(K3643&lt;&gt;"",K3643,L3643)))</f>
        <v>300.0</v>
      </c>
      <c r="C3643" s="3">
        <f>MEDIAN(I3643:L3643)</f>
        <v>300.0</v>
      </c>
      <c r="D3643" s="3">
        <f>ROUND(C3643*(1-Settings!$B$2),2)</f>
        <v>210.0</v>
      </c>
      <c r="E3643" s="3">
        <f>ROUND(C3643*(1-Settings!$B$3),2)</f>
        <v>210.0</v>
      </c>
      <c r="F3643" s="2" t="inlineStr">
        <is>
          <t>Pokemon</t>
        </is>
      </c>
      <c r="G3643" s="2" t="inlineStr">
        <is>
          <t>Pack</t>
        </is>
      </c>
      <c r="H3643" s="2" t="inlineStr">
        <is>
          <t>XY - Steam Siege</t>
        </is>
      </c>
      <c r="I3643" s="3" t="n"/>
      <c r="J3643" s="3" t="n">
        <v>300</v>
      </c>
      <c r="K3643" s="3" t="n"/>
      <c r="L3643" s="3" t="n"/>
      <c r="M3643" s="2" t="inlineStr">
        <is>
          <t>TCGplayer</t>
        </is>
      </c>
      <c r="O3643" s="4" t="inlineStr">
        <is>
          <t>https://www.tcgplayer.com/product/120705</t>
        </is>
      </c>
    </row>
    <row r="3644">
      <c r="A3644" s="2" t="inlineStr">
        <is>
          <t>Steam Siege Booster Pack</t>
        </is>
      </c>
      <c r="B3644" s="3">
        <f>IF(I3644&lt;&gt;"",I3644,IF(J3644&lt;&gt;"",J3644,IF(K3644&lt;&gt;"",K3644,L3644)))</f>
        <v>31.71</v>
      </c>
      <c r="C3644" s="3">
        <f>MEDIAN(I3644:L3644)</f>
        <v>31.71</v>
      </c>
      <c r="D3644" s="3">
        <f>ROUND(C3644*(1-Settings!$B$2),2)</f>
        <v>22.2</v>
      </c>
      <c r="E3644" s="3">
        <f>ROUND(C3644*(1-Settings!$B$3),2)</f>
        <v>22.2</v>
      </c>
      <c r="F3644" s="2" t="inlineStr">
        <is>
          <t>Pokemon</t>
        </is>
      </c>
      <c r="G3644" s="2" t="inlineStr">
        <is>
          <t>Pack</t>
        </is>
      </c>
      <c r="H3644" s="2" t="inlineStr">
        <is>
          <t>XY - Steam Siege</t>
        </is>
      </c>
      <c r="I3644" s="3" t="n"/>
      <c r="J3644" s="3" t="n">
        <v>31.71</v>
      </c>
      <c r="K3644" s="3" t="n">
        <v>34.25</v>
      </c>
      <c r="L3644" s="3" t="n">
        <v>29.99</v>
      </c>
      <c r="M3644" s="2" t="inlineStr">
        <is>
          <t>TCGplayer</t>
        </is>
      </c>
      <c r="O3644" s="4" t="inlineStr">
        <is>
          <t>https://www.tcgplayer.com/product/130013</t>
        </is>
      </c>
    </row>
    <row r="3645">
      <c r="A3645" s="2" t="inlineStr">
        <is>
          <t>Steam Siege Single Pack Blister [Lucario]</t>
        </is>
      </c>
      <c r="B3645" s="3">
        <f>IF(I3645&lt;&gt;"",I3645,IF(J3645&lt;&gt;"",J3645,IF(K3645&lt;&gt;"",K3645,L3645)))</f>
        <v>64.06</v>
      </c>
      <c r="C3645" s="3">
        <f>MEDIAN(I3645:L3645)</f>
        <v>58.0</v>
      </c>
      <c r="D3645" s="3">
        <f>ROUND(C3645*(1-Settings!$B$2),2)</f>
        <v>40.6</v>
      </c>
      <c r="E3645" s="3">
        <f>ROUND(C3645*(1-Settings!$B$3),2)</f>
        <v>40.6</v>
      </c>
      <c r="F3645" s="2" t="inlineStr">
        <is>
          <t>Pokemon</t>
        </is>
      </c>
      <c r="G3645" s="2" t="inlineStr">
        <is>
          <t>Pack</t>
        </is>
      </c>
      <c r="H3645" s="2" t="inlineStr">
        <is>
          <t>XY - Steam Siege</t>
        </is>
      </c>
      <c r="I3645" s="3" t="n"/>
      <c r="J3645" s="3" t="n">
        <v>64.06</v>
      </c>
      <c r="K3645" s="3" t="n">
        <v>58</v>
      </c>
      <c r="L3645" s="3" t="n">
        <v>58</v>
      </c>
      <c r="M3645" s="2" t="inlineStr">
        <is>
          <t>TCGplayer</t>
        </is>
      </c>
      <c r="O3645" s="4" t="inlineStr">
        <is>
          <t>https://www.tcgplayer.com/product/120702</t>
        </is>
      </c>
    </row>
    <row r="3646">
      <c r="A3646" s="2" t="inlineStr">
        <is>
          <t>XY Steam Siege Sleeved Booster Pack</t>
        </is>
      </c>
      <c r="B3646" s="3">
        <f>IF(I3646&lt;&gt;"",I3646,IF(J3646&lt;&gt;"",J3646,IF(K3646&lt;&gt;"",K3646,L3646)))</f>
        <v>39.45</v>
      </c>
      <c r="C3646" s="3">
        <f>MEDIAN(I3646:L3646)</f>
        <v>39.45</v>
      </c>
      <c r="D3646" s="3">
        <f>ROUND(C3646*(1-Settings!$B$2),2)</f>
        <v>27.62</v>
      </c>
      <c r="E3646" s="3">
        <f>ROUND(C3646*(1-Settings!$B$3),2)</f>
        <v>27.62</v>
      </c>
      <c r="F3646" s="2" t="inlineStr">
        <is>
          <t>Pokemon</t>
        </is>
      </c>
      <c r="G3646" s="2" t="inlineStr">
        <is>
          <t>Pack</t>
        </is>
      </c>
      <c r="H3646" s="2" t="inlineStr">
        <is>
          <t>XY - Steam Siege</t>
        </is>
      </c>
      <c r="I3646" s="3" t="n"/>
      <c r="J3646" s="3" t="n">
        <v>39.45</v>
      </c>
      <c r="K3646" s="3" t="n">
        <v>42.48</v>
      </c>
      <c r="L3646" s="3" t="n">
        <v>38.63</v>
      </c>
      <c r="M3646" s="2" t="inlineStr">
        <is>
          <t>TCGplayer</t>
        </is>
      </c>
      <c r="O3646" s="4" t="inlineStr">
        <is>
          <t>https://www.tcgplayer.com/product/268448</t>
        </is>
      </c>
    </row>
    <row r="3647">
      <c r="A3647" s="2" t="inlineStr">
        <is>
          <t>XY Base Set Sleeved Booster Pack</t>
        </is>
      </c>
      <c r="B3647" s="3">
        <f>IF(I3647&lt;&gt;"",I3647,IF(J3647&lt;&gt;"",J3647,IF(K3647&lt;&gt;"",K3647,L3647)))</f>
        <v>159.99</v>
      </c>
      <c r="C3647" s="3">
        <f>MEDIAN(I3647:L3647)</f>
        <v>179.99</v>
      </c>
      <c r="D3647" s="3">
        <f>ROUND(C3647*(1-Settings!$B$2),2)</f>
        <v>125.99</v>
      </c>
      <c r="E3647" s="3">
        <f>ROUND(C3647*(1-Settings!$B$3),2)</f>
        <v>125.99</v>
      </c>
      <c r="F3647" s="2" t="inlineStr">
        <is>
          <t>Pokemon</t>
        </is>
      </c>
      <c r="G3647" s="2" t="inlineStr">
        <is>
          <t>Pack</t>
        </is>
      </c>
      <c r="H3647" s="2" t="inlineStr">
        <is>
          <t>XY Base Set</t>
        </is>
      </c>
      <c r="I3647" s="3" t="n"/>
      <c r="J3647" s="3" t="n">
        <v>159.99</v>
      </c>
      <c r="K3647" s="3" t="n">
        <v>179.99</v>
      </c>
      <c r="L3647" s="3" t="n">
        <v>179.99</v>
      </c>
      <c r="M3647" s="2" t="inlineStr">
        <is>
          <t>TCGplayer</t>
        </is>
      </c>
      <c r="O3647" s="4" t="inlineStr">
        <is>
          <t>https://www.tcgplayer.com/product/562107</t>
        </is>
      </c>
    </row>
    <row r="3648">
      <c r="A3648" s="2" t="inlineStr">
        <is>
          <t>XY Booster Pack</t>
        </is>
      </c>
      <c r="B3648" s="3">
        <f>IF(I3648&lt;&gt;"",I3648,IF(J3648&lt;&gt;"",J3648,IF(K3648&lt;&gt;"",K3648,L3648)))</f>
        <v>133.34</v>
      </c>
      <c r="C3648" s="3">
        <f>MEDIAN(I3648:L3648)</f>
        <v>164.99</v>
      </c>
      <c r="D3648" s="3">
        <f>ROUND(C3648*(1-Settings!$B$2),2)</f>
        <v>115.49</v>
      </c>
      <c r="E3648" s="3">
        <f>ROUND(C3648*(1-Settings!$B$3),2)</f>
        <v>115.49</v>
      </c>
      <c r="F3648" s="2" t="inlineStr">
        <is>
          <t>Pokemon</t>
        </is>
      </c>
      <c r="G3648" s="2" t="inlineStr">
        <is>
          <t>Pack</t>
        </is>
      </c>
      <c r="H3648" s="2" t="inlineStr">
        <is>
          <t>XY Base Set</t>
        </is>
      </c>
      <c r="I3648" s="3" t="n"/>
      <c r="J3648" s="3" t="n">
        <v>133.34</v>
      </c>
      <c r="K3648" s="3" t="n">
        <v>180</v>
      </c>
      <c r="L3648" s="3" t="n">
        <v>164.99</v>
      </c>
      <c r="M3648" s="2" t="inlineStr">
        <is>
          <t>TCGplayer</t>
        </is>
      </c>
      <c r="O3648" s="4" t="inlineStr">
        <is>
          <t>https://www.tcgplayer.com/product/91602</t>
        </is>
      </c>
    </row>
    <row r="3649">
      <c r="A3649" s="2" t="inlineStr">
        <is>
          <t>XY Two Pack Blister [Dragon Trio]</t>
        </is>
      </c>
      <c r="B3649" s="3">
        <f>IF(I3649&lt;&gt;"",I3649,IF(J3649&lt;&gt;"",J3649,IF(K3649&lt;&gt;"",K3649,L3649)))</f>
        <v>875.0</v>
      </c>
      <c r="C3649" s="3">
        <f>MEDIAN(I3649:L3649)</f>
        <v>812.5</v>
      </c>
      <c r="D3649" s="3">
        <f>ROUND(C3649*(1-Settings!$B$2),2)</f>
        <v>568.75</v>
      </c>
      <c r="E3649" s="3">
        <f>ROUND(C3649*(1-Settings!$B$3),2)</f>
        <v>568.75</v>
      </c>
      <c r="F3649" s="2" t="inlineStr">
        <is>
          <t>Pokemon</t>
        </is>
      </c>
      <c r="G3649" s="2" t="inlineStr">
        <is>
          <t>Pack</t>
        </is>
      </c>
      <c r="H3649" s="2" t="inlineStr">
        <is>
          <t>XY Base Set</t>
        </is>
      </c>
      <c r="I3649" s="3" t="n"/>
      <c r="J3649" s="3" t="n"/>
      <c r="K3649" s="3" t="n">
        <v>875</v>
      </c>
      <c r="L3649" s="3" t="n">
        <v>750</v>
      </c>
      <c r="M3649" s="2" t="inlineStr">
        <is>
          <t>TCGplayer</t>
        </is>
      </c>
      <c r="O3649" s="4" t="inlineStr">
        <is>
          <t>https://www.tcgplayer.com/product/97733</t>
        </is>
      </c>
    </row>
  </sheetData>
  <autoFilter ref="A1:O3649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4" r:id="rId4"/>
    <hyperlink xmlns:r="http://schemas.openxmlformats.org/officeDocument/2006/relationships" ref="O5" r:id="rId5"/>
    <hyperlink xmlns:r="http://schemas.openxmlformats.org/officeDocument/2006/relationships" ref="N6" r:id="rId6"/>
    <hyperlink xmlns:r="http://schemas.openxmlformats.org/officeDocument/2006/relationships" ref="O6" r:id="rId7"/>
    <hyperlink xmlns:r="http://schemas.openxmlformats.org/officeDocument/2006/relationships" ref="N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  <hyperlink xmlns:r="http://schemas.openxmlformats.org/officeDocument/2006/relationships" ref="N10" r:id="rId13"/>
    <hyperlink xmlns:r="http://schemas.openxmlformats.org/officeDocument/2006/relationships" ref="N11" r:id="rId14"/>
    <hyperlink xmlns:r="http://schemas.openxmlformats.org/officeDocument/2006/relationships" ref="N12" r:id="rId15"/>
    <hyperlink xmlns:r="http://schemas.openxmlformats.org/officeDocument/2006/relationships" ref="N13" r:id="rId16"/>
    <hyperlink xmlns:r="http://schemas.openxmlformats.org/officeDocument/2006/relationships" ref="O14" r:id="rId17"/>
    <hyperlink xmlns:r="http://schemas.openxmlformats.org/officeDocument/2006/relationships" ref="O15" r:id="rId18"/>
    <hyperlink xmlns:r="http://schemas.openxmlformats.org/officeDocument/2006/relationships" ref="N16" r:id="rId19"/>
    <hyperlink xmlns:r="http://schemas.openxmlformats.org/officeDocument/2006/relationships" ref="N17" r:id="rId20"/>
    <hyperlink xmlns:r="http://schemas.openxmlformats.org/officeDocument/2006/relationships" ref="N18" r:id="rId21"/>
    <hyperlink xmlns:r="http://schemas.openxmlformats.org/officeDocument/2006/relationships" ref="N19" r:id="rId22"/>
    <hyperlink xmlns:r="http://schemas.openxmlformats.org/officeDocument/2006/relationships" ref="N20" r:id="rId23"/>
    <hyperlink xmlns:r="http://schemas.openxmlformats.org/officeDocument/2006/relationships" ref="N21" r:id="rId24"/>
    <hyperlink xmlns:r="http://schemas.openxmlformats.org/officeDocument/2006/relationships" ref="N22" r:id="rId25"/>
    <hyperlink xmlns:r="http://schemas.openxmlformats.org/officeDocument/2006/relationships" ref="N23" r:id="rId26"/>
    <hyperlink xmlns:r="http://schemas.openxmlformats.org/officeDocument/2006/relationships" ref="N24" r:id="rId27"/>
    <hyperlink xmlns:r="http://schemas.openxmlformats.org/officeDocument/2006/relationships" ref="N25" r:id="rId28"/>
    <hyperlink xmlns:r="http://schemas.openxmlformats.org/officeDocument/2006/relationships" ref="N26" r:id="rId29"/>
    <hyperlink xmlns:r="http://schemas.openxmlformats.org/officeDocument/2006/relationships" ref="N27" r:id="rId30"/>
    <hyperlink xmlns:r="http://schemas.openxmlformats.org/officeDocument/2006/relationships" ref="N28" r:id="rId31"/>
    <hyperlink xmlns:r="http://schemas.openxmlformats.org/officeDocument/2006/relationships" ref="N29" r:id="rId32"/>
    <hyperlink xmlns:r="http://schemas.openxmlformats.org/officeDocument/2006/relationships" ref="N30" r:id="rId33"/>
    <hyperlink xmlns:r="http://schemas.openxmlformats.org/officeDocument/2006/relationships" ref="N31" r:id="rId34"/>
    <hyperlink xmlns:r="http://schemas.openxmlformats.org/officeDocument/2006/relationships" ref="N32" r:id="rId35"/>
    <hyperlink xmlns:r="http://schemas.openxmlformats.org/officeDocument/2006/relationships" ref="N33" r:id="rId36"/>
    <hyperlink xmlns:r="http://schemas.openxmlformats.org/officeDocument/2006/relationships" ref="N34" r:id="rId37"/>
    <hyperlink xmlns:r="http://schemas.openxmlformats.org/officeDocument/2006/relationships" ref="N35" r:id="rId38"/>
    <hyperlink xmlns:r="http://schemas.openxmlformats.org/officeDocument/2006/relationships" ref="N36" r:id="rId39"/>
    <hyperlink xmlns:r="http://schemas.openxmlformats.org/officeDocument/2006/relationships" ref="N37" r:id="rId40"/>
    <hyperlink xmlns:r="http://schemas.openxmlformats.org/officeDocument/2006/relationships" ref="O37" r:id="rId41"/>
    <hyperlink xmlns:r="http://schemas.openxmlformats.org/officeDocument/2006/relationships" ref="N38" r:id="rId42"/>
    <hyperlink xmlns:r="http://schemas.openxmlformats.org/officeDocument/2006/relationships" ref="N39" r:id="rId43"/>
    <hyperlink xmlns:r="http://schemas.openxmlformats.org/officeDocument/2006/relationships" ref="O39" r:id="rId44"/>
    <hyperlink xmlns:r="http://schemas.openxmlformats.org/officeDocument/2006/relationships" ref="N40" r:id="rId45"/>
    <hyperlink xmlns:r="http://schemas.openxmlformats.org/officeDocument/2006/relationships" ref="N41" r:id="rId46"/>
    <hyperlink xmlns:r="http://schemas.openxmlformats.org/officeDocument/2006/relationships" ref="O41" r:id="rId47"/>
    <hyperlink xmlns:r="http://schemas.openxmlformats.org/officeDocument/2006/relationships" ref="N42" r:id="rId48"/>
    <hyperlink xmlns:r="http://schemas.openxmlformats.org/officeDocument/2006/relationships" ref="O42" r:id="rId49"/>
    <hyperlink xmlns:r="http://schemas.openxmlformats.org/officeDocument/2006/relationships" ref="O43" r:id="rId50"/>
    <hyperlink xmlns:r="http://schemas.openxmlformats.org/officeDocument/2006/relationships" ref="O44" r:id="rId51"/>
    <hyperlink xmlns:r="http://schemas.openxmlformats.org/officeDocument/2006/relationships" ref="N45" r:id="rId52"/>
    <hyperlink xmlns:r="http://schemas.openxmlformats.org/officeDocument/2006/relationships" ref="O46" r:id="rId53"/>
    <hyperlink xmlns:r="http://schemas.openxmlformats.org/officeDocument/2006/relationships" ref="O47" r:id="rId54"/>
    <hyperlink xmlns:r="http://schemas.openxmlformats.org/officeDocument/2006/relationships" ref="N48" r:id="rId55"/>
    <hyperlink xmlns:r="http://schemas.openxmlformats.org/officeDocument/2006/relationships" ref="N49" r:id="rId56"/>
    <hyperlink xmlns:r="http://schemas.openxmlformats.org/officeDocument/2006/relationships" ref="N50" r:id="rId57"/>
    <hyperlink xmlns:r="http://schemas.openxmlformats.org/officeDocument/2006/relationships" ref="O50" r:id="rId58"/>
    <hyperlink xmlns:r="http://schemas.openxmlformats.org/officeDocument/2006/relationships" ref="O51" r:id="rId59"/>
    <hyperlink xmlns:r="http://schemas.openxmlformats.org/officeDocument/2006/relationships" ref="O52" r:id="rId60"/>
    <hyperlink xmlns:r="http://schemas.openxmlformats.org/officeDocument/2006/relationships" ref="N53" r:id="rId61"/>
    <hyperlink xmlns:r="http://schemas.openxmlformats.org/officeDocument/2006/relationships" ref="N54" r:id="rId62"/>
    <hyperlink xmlns:r="http://schemas.openxmlformats.org/officeDocument/2006/relationships" ref="O54" r:id="rId63"/>
    <hyperlink xmlns:r="http://schemas.openxmlformats.org/officeDocument/2006/relationships" ref="O55" r:id="rId64"/>
    <hyperlink xmlns:r="http://schemas.openxmlformats.org/officeDocument/2006/relationships" ref="N56" r:id="rId65"/>
    <hyperlink xmlns:r="http://schemas.openxmlformats.org/officeDocument/2006/relationships" ref="O56" r:id="rId66"/>
    <hyperlink xmlns:r="http://schemas.openxmlformats.org/officeDocument/2006/relationships" ref="N57" r:id="rId67"/>
    <hyperlink xmlns:r="http://schemas.openxmlformats.org/officeDocument/2006/relationships" ref="N58" r:id="rId68"/>
    <hyperlink xmlns:r="http://schemas.openxmlformats.org/officeDocument/2006/relationships" ref="O58" r:id="rId69"/>
    <hyperlink xmlns:r="http://schemas.openxmlformats.org/officeDocument/2006/relationships" ref="N59" r:id="rId70"/>
    <hyperlink xmlns:r="http://schemas.openxmlformats.org/officeDocument/2006/relationships" ref="O60" r:id="rId71"/>
    <hyperlink xmlns:r="http://schemas.openxmlformats.org/officeDocument/2006/relationships" ref="O61" r:id="rId72"/>
    <hyperlink xmlns:r="http://schemas.openxmlformats.org/officeDocument/2006/relationships" ref="O62" r:id="rId73"/>
    <hyperlink xmlns:r="http://schemas.openxmlformats.org/officeDocument/2006/relationships" ref="O63" r:id="rId74"/>
    <hyperlink xmlns:r="http://schemas.openxmlformats.org/officeDocument/2006/relationships" ref="N64" r:id="rId75"/>
    <hyperlink xmlns:r="http://schemas.openxmlformats.org/officeDocument/2006/relationships" ref="O65" r:id="rId76"/>
    <hyperlink xmlns:r="http://schemas.openxmlformats.org/officeDocument/2006/relationships" ref="N66" r:id="rId77"/>
    <hyperlink xmlns:r="http://schemas.openxmlformats.org/officeDocument/2006/relationships" ref="O67" r:id="rId78"/>
    <hyperlink xmlns:r="http://schemas.openxmlformats.org/officeDocument/2006/relationships" ref="O68" r:id="rId79"/>
    <hyperlink xmlns:r="http://schemas.openxmlformats.org/officeDocument/2006/relationships" ref="O69" r:id="rId80"/>
    <hyperlink xmlns:r="http://schemas.openxmlformats.org/officeDocument/2006/relationships" ref="O70" r:id="rId81"/>
    <hyperlink xmlns:r="http://schemas.openxmlformats.org/officeDocument/2006/relationships" ref="N71" r:id="rId82"/>
    <hyperlink xmlns:r="http://schemas.openxmlformats.org/officeDocument/2006/relationships" ref="N72" r:id="rId83"/>
    <hyperlink xmlns:r="http://schemas.openxmlformats.org/officeDocument/2006/relationships" ref="N73" r:id="rId84"/>
    <hyperlink xmlns:r="http://schemas.openxmlformats.org/officeDocument/2006/relationships" ref="N74" r:id="rId85"/>
    <hyperlink xmlns:r="http://schemas.openxmlformats.org/officeDocument/2006/relationships" ref="N75" r:id="rId86"/>
    <hyperlink xmlns:r="http://schemas.openxmlformats.org/officeDocument/2006/relationships" ref="N76" r:id="rId87"/>
    <hyperlink xmlns:r="http://schemas.openxmlformats.org/officeDocument/2006/relationships" ref="N77" r:id="rId88"/>
    <hyperlink xmlns:r="http://schemas.openxmlformats.org/officeDocument/2006/relationships" ref="N78" r:id="rId89"/>
    <hyperlink xmlns:r="http://schemas.openxmlformats.org/officeDocument/2006/relationships" ref="N79" r:id="rId90"/>
    <hyperlink xmlns:r="http://schemas.openxmlformats.org/officeDocument/2006/relationships" ref="N80" r:id="rId91"/>
    <hyperlink xmlns:r="http://schemas.openxmlformats.org/officeDocument/2006/relationships" ref="N81" r:id="rId92"/>
    <hyperlink xmlns:r="http://schemas.openxmlformats.org/officeDocument/2006/relationships" ref="N82" r:id="rId93"/>
    <hyperlink xmlns:r="http://schemas.openxmlformats.org/officeDocument/2006/relationships" ref="N83" r:id="rId94"/>
    <hyperlink xmlns:r="http://schemas.openxmlformats.org/officeDocument/2006/relationships" ref="N84" r:id="rId95"/>
    <hyperlink xmlns:r="http://schemas.openxmlformats.org/officeDocument/2006/relationships" ref="N85" r:id="rId96"/>
    <hyperlink xmlns:r="http://schemas.openxmlformats.org/officeDocument/2006/relationships" ref="N86" r:id="rId97"/>
    <hyperlink xmlns:r="http://schemas.openxmlformats.org/officeDocument/2006/relationships" ref="N87" r:id="rId98"/>
    <hyperlink xmlns:r="http://schemas.openxmlformats.org/officeDocument/2006/relationships" ref="N88" r:id="rId99"/>
    <hyperlink xmlns:r="http://schemas.openxmlformats.org/officeDocument/2006/relationships" ref="N89" r:id="rId100"/>
    <hyperlink xmlns:r="http://schemas.openxmlformats.org/officeDocument/2006/relationships" ref="N90" r:id="rId101"/>
    <hyperlink xmlns:r="http://schemas.openxmlformats.org/officeDocument/2006/relationships" ref="N91" r:id="rId102"/>
    <hyperlink xmlns:r="http://schemas.openxmlformats.org/officeDocument/2006/relationships" ref="N92" r:id="rId103"/>
    <hyperlink xmlns:r="http://schemas.openxmlformats.org/officeDocument/2006/relationships" ref="N93" r:id="rId104"/>
    <hyperlink xmlns:r="http://schemas.openxmlformats.org/officeDocument/2006/relationships" ref="N94" r:id="rId105"/>
    <hyperlink xmlns:r="http://schemas.openxmlformats.org/officeDocument/2006/relationships" ref="N95" r:id="rId106"/>
    <hyperlink xmlns:r="http://schemas.openxmlformats.org/officeDocument/2006/relationships" ref="O96" r:id="rId107"/>
    <hyperlink xmlns:r="http://schemas.openxmlformats.org/officeDocument/2006/relationships" ref="O97" r:id="rId108"/>
    <hyperlink xmlns:r="http://schemas.openxmlformats.org/officeDocument/2006/relationships" ref="O98" r:id="rId109"/>
    <hyperlink xmlns:r="http://schemas.openxmlformats.org/officeDocument/2006/relationships" ref="O99" r:id="rId110"/>
    <hyperlink xmlns:r="http://schemas.openxmlformats.org/officeDocument/2006/relationships" ref="O100" r:id="rId111"/>
    <hyperlink xmlns:r="http://schemas.openxmlformats.org/officeDocument/2006/relationships" ref="O101" r:id="rId112"/>
    <hyperlink xmlns:r="http://schemas.openxmlformats.org/officeDocument/2006/relationships" ref="O102" r:id="rId113"/>
    <hyperlink xmlns:r="http://schemas.openxmlformats.org/officeDocument/2006/relationships" ref="O103" r:id="rId114"/>
    <hyperlink xmlns:r="http://schemas.openxmlformats.org/officeDocument/2006/relationships" ref="O104" r:id="rId115"/>
    <hyperlink xmlns:r="http://schemas.openxmlformats.org/officeDocument/2006/relationships" ref="O105" r:id="rId116"/>
    <hyperlink xmlns:r="http://schemas.openxmlformats.org/officeDocument/2006/relationships" ref="O106" r:id="rId117"/>
    <hyperlink xmlns:r="http://schemas.openxmlformats.org/officeDocument/2006/relationships" ref="O107" r:id="rId118"/>
    <hyperlink xmlns:r="http://schemas.openxmlformats.org/officeDocument/2006/relationships" ref="O108" r:id="rId119"/>
    <hyperlink xmlns:r="http://schemas.openxmlformats.org/officeDocument/2006/relationships" ref="O109" r:id="rId120"/>
    <hyperlink xmlns:r="http://schemas.openxmlformats.org/officeDocument/2006/relationships" ref="O110" r:id="rId121"/>
    <hyperlink xmlns:r="http://schemas.openxmlformats.org/officeDocument/2006/relationships" ref="O111" r:id="rId122"/>
    <hyperlink xmlns:r="http://schemas.openxmlformats.org/officeDocument/2006/relationships" ref="O112" r:id="rId123"/>
    <hyperlink xmlns:r="http://schemas.openxmlformats.org/officeDocument/2006/relationships" ref="O113" r:id="rId124"/>
    <hyperlink xmlns:r="http://schemas.openxmlformats.org/officeDocument/2006/relationships" ref="O114" r:id="rId125"/>
    <hyperlink xmlns:r="http://schemas.openxmlformats.org/officeDocument/2006/relationships" ref="O115" r:id="rId126"/>
    <hyperlink xmlns:r="http://schemas.openxmlformats.org/officeDocument/2006/relationships" ref="O116" r:id="rId127"/>
    <hyperlink xmlns:r="http://schemas.openxmlformats.org/officeDocument/2006/relationships" ref="O117" r:id="rId128"/>
    <hyperlink xmlns:r="http://schemas.openxmlformats.org/officeDocument/2006/relationships" ref="O118" r:id="rId129"/>
    <hyperlink xmlns:r="http://schemas.openxmlformats.org/officeDocument/2006/relationships" ref="O119" r:id="rId130"/>
    <hyperlink xmlns:r="http://schemas.openxmlformats.org/officeDocument/2006/relationships" ref="O120" r:id="rId131"/>
    <hyperlink xmlns:r="http://schemas.openxmlformats.org/officeDocument/2006/relationships" ref="O121" r:id="rId132"/>
    <hyperlink xmlns:r="http://schemas.openxmlformats.org/officeDocument/2006/relationships" ref="O122" r:id="rId133"/>
    <hyperlink xmlns:r="http://schemas.openxmlformats.org/officeDocument/2006/relationships" ref="O123" r:id="rId134"/>
    <hyperlink xmlns:r="http://schemas.openxmlformats.org/officeDocument/2006/relationships" ref="O124" r:id="rId135"/>
    <hyperlink xmlns:r="http://schemas.openxmlformats.org/officeDocument/2006/relationships" ref="O125" r:id="rId136"/>
    <hyperlink xmlns:r="http://schemas.openxmlformats.org/officeDocument/2006/relationships" ref="O126" r:id="rId137"/>
    <hyperlink xmlns:r="http://schemas.openxmlformats.org/officeDocument/2006/relationships" ref="O127" r:id="rId138"/>
    <hyperlink xmlns:r="http://schemas.openxmlformats.org/officeDocument/2006/relationships" ref="O128" r:id="rId139"/>
    <hyperlink xmlns:r="http://schemas.openxmlformats.org/officeDocument/2006/relationships" ref="O129" r:id="rId140"/>
    <hyperlink xmlns:r="http://schemas.openxmlformats.org/officeDocument/2006/relationships" ref="O130" r:id="rId141"/>
    <hyperlink xmlns:r="http://schemas.openxmlformats.org/officeDocument/2006/relationships" ref="O131" r:id="rId142"/>
    <hyperlink xmlns:r="http://schemas.openxmlformats.org/officeDocument/2006/relationships" ref="O132" r:id="rId143"/>
    <hyperlink xmlns:r="http://schemas.openxmlformats.org/officeDocument/2006/relationships" ref="O133" r:id="rId144"/>
    <hyperlink xmlns:r="http://schemas.openxmlformats.org/officeDocument/2006/relationships" ref="O134" r:id="rId145"/>
    <hyperlink xmlns:r="http://schemas.openxmlformats.org/officeDocument/2006/relationships" ref="O135" r:id="rId146"/>
    <hyperlink xmlns:r="http://schemas.openxmlformats.org/officeDocument/2006/relationships" ref="O136" r:id="rId147"/>
    <hyperlink xmlns:r="http://schemas.openxmlformats.org/officeDocument/2006/relationships" ref="O137" r:id="rId148"/>
    <hyperlink xmlns:r="http://schemas.openxmlformats.org/officeDocument/2006/relationships" ref="O138" r:id="rId149"/>
    <hyperlink xmlns:r="http://schemas.openxmlformats.org/officeDocument/2006/relationships" ref="O139" r:id="rId150"/>
    <hyperlink xmlns:r="http://schemas.openxmlformats.org/officeDocument/2006/relationships" ref="O140" r:id="rId151"/>
    <hyperlink xmlns:r="http://schemas.openxmlformats.org/officeDocument/2006/relationships" ref="O141" r:id="rId152"/>
    <hyperlink xmlns:r="http://schemas.openxmlformats.org/officeDocument/2006/relationships" ref="O142" r:id="rId153"/>
    <hyperlink xmlns:r="http://schemas.openxmlformats.org/officeDocument/2006/relationships" ref="O143" r:id="rId154"/>
    <hyperlink xmlns:r="http://schemas.openxmlformats.org/officeDocument/2006/relationships" ref="O144" r:id="rId155"/>
    <hyperlink xmlns:r="http://schemas.openxmlformats.org/officeDocument/2006/relationships" ref="O145" r:id="rId156"/>
    <hyperlink xmlns:r="http://schemas.openxmlformats.org/officeDocument/2006/relationships" ref="N146" r:id="rId157"/>
    <hyperlink xmlns:r="http://schemas.openxmlformats.org/officeDocument/2006/relationships" ref="O146" r:id="rId158"/>
    <hyperlink xmlns:r="http://schemas.openxmlformats.org/officeDocument/2006/relationships" ref="N147" r:id="rId159"/>
    <hyperlink xmlns:r="http://schemas.openxmlformats.org/officeDocument/2006/relationships" ref="N148" r:id="rId160"/>
    <hyperlink xmlns:r="http://schemas.openxmlformats.org/officeDocument/2006/relationships" ref="N149" r:id="rId161"/>
    <hyperlink xmlns:r="http://schemas.openxmlformats.org/officeDocument/2006/relationships" ref="N150" r:id="rId162"/>
    <hyperlink xmlns:r="http://schemas.openxmlformats.org/officeDocument/2006/relationships" ref="N151" r:id="rId163"/>
    <hyperlink xmlns:r="http://schemas.openxmlformats.org/officeDocument/2006/relationships" ref="N152" r:id="rId164"/>
    <hyperlink xmlns:r="http://schemas.openxmlformats.org/officeDocument/2006/relationships" ref="N153" r:id="rId165"/>
    <hyperlink xmlns:r="http://schemas.openxmlformats.org/officeDocument/2006/relationships" ref="N154" r:id="rId166"/>
    <hyperlink xmlns:r="http://schemas.openxmlformats.org/officeDocument/2006/relationships" ref="N155" r:id="rId167"/>
    <hyperlink xmlns:r="http://schemas.openxmlformats.org/officeDocument/2006/relationships" ref="N156" r:id="rId168"/>
    <hyperlink xmlns:r="http://schemas.openxmlformats.org/officeDocument/2006/relationships" ref="N157" r:id="rId169"/>
    <hyperlink xmlns:r="http://schemas.openxmlformats.org/officeDocument/2006/relationships" ref="N158" r:id="rId170"/>
    <hyperlink xmlns:r="http://schemas.openxmlformats.org/officeDocument/2006/relationships" ref="N159" r:id="rId171"/>
    <hyperlink xmlns:r="http://schemas.openxmlformats.org/officeDocument/2006/relationships" ref="N160" r:id="rId172"/>
    <hyperlink xmlns:r="http://schemas.openxmlformats.org/officeDocument/2006/relationships" ref="N161" r:id="rId173"/>
    <hyperlink xmlns:r="http://schemas.openxmlformats.org/officeDocument/2006/relationships" ref="N162" r:id="rId174"/>
    <hyperlink xmlns:r="http://schemas.openxmlformats.org/officeDocument/2006/relationships" ref="N163" r:id="rId175"/>
    <hyperlink xmlns:r="http://schemas.openxmlformats.org/officeDocument/2006/relationships" ref="N164" r:id="rId176"/>
    <hyperlink xmlns:r="http://schemas.openxmlformats.org/officeDocument/2006/relationships" ref="N165" r:id="rId177"/>
    <hyperlink xmlns:r="http://schemas.openxmlformats.org/officeDocument/2006/relationships" ref="N166" r:id="rId178"/>
    <hyperlink xmlns:r="http://schemas.openxmlformats.org/officeDocument/2006/relationships" ref="N167" r:id="rId179"/>
    <hyperlink xmlns:r="http://schemas.openxmlformats.org/officeDocument/2006/relationships" ref="N168" r:id="rId180"/>
    <hyperlink xmlns:r="http://schemas.openxmlformats.org/officeDocument/2006/relationships" ref="N169" r:id="rId181"/>
    <hyperlink xmlns:r="http://schemas.openxmlformats.org/officeDocument/2006/relationships" ref="N170" r:id="rId182"/>
    <hyperlink xmlns:r="http://schemas.openxmlformats.org/officeDocument/2006/relationships" ref="N171" r:id="rId183"/>
    <hyperlink xmlns:r="http://schemas.openxmlformats.org/officeDocument/2006/relationships" ref="N172" r:id="rId184"/>
    <hyperlink xmlns:r="http://schemas.openxmlformats.org/officeDocument/2006/relationships" ref="N173" r:id="rId185"/>
    <hyperlink xmlns:r="http://schemas.openxmlformats.org/officeDocument/2006/relationships" ref="N174" r:id="rId186"/>
    <hyperlink xmlns:r="http://schemas.openxmlformats.org/officeDocument/2006/relationships" ref="N175" r:id="rId187"/>
    <hyperlink xmlns:r="http://schemas.openxmlformats.org/officeDocument/2006/relationships" ref="N176" r:id="rId188"/>
    <hyperlink xmlns:r="http://schemas.openxmlformats.org/officeDocument/2006/relationships" ref="N177" r:id="rId189"/>
    <hyperlink xmlns:r="http://schemas.openxmlformats.org/officeDocument/2006/relationships" ref="N178" r:id="rId190"/>
    <hyperlink xmlns:r="http://schemas.openxmlformats.org/officeDocument/2006/relationships" ref="N179" r:id="rId191"/>
    <hyperlink xmlns:r="http://schemas.openxmlformats.org/officeDocument/2006/relationships" ref="N180" r:id="rId192"/>
    <hyperlink xmlns:r="http://schemas.openxmlformats.org/officeDocument/2006/relationships" ref="N181" r:id="rId193"/>
    <hyperlink xmlns:r="http://schemas.openxmlformats.org/officeDocument/2006/relationships" ref="O181" r:id="rId194"/>
    <hyperlink xmlns:r="http://schemas.openxmlformats.org/officeDocument/2006/relationships" ref="N182" r:id="rId195"/>
    <hyperlink xmlns:r="http://schemas.openxmlformats.org/officeDocument/2006/relationships" ref="N183" r:id="rId196"/>
    <hyperlink xmlns:r="http://schemas.openxmlformats.org/officeDocument/2006/relationships" ref="O184" r:id="rId197"/>
    <hyperlink xmlns:r="http://schemas.openxmlformats.org/officeDocument/2006/relationships" ref="O185" r:id="rId198"/>
    <hyperlink xmlns:r="http://schemas.openxmlformats.org/officeDocument/2006/relationships" ref="O186" r:id="rId199"/>
    <hyperlink xmlns:r="http://schemas.openxmlformats.org/officeDocument/2006/relationships" ref="O187" r:id="rId200"/>
    <hyperlink xmlns:r="http://schemas.openxmlformats.org/officeDocument/2006/relationships" ref="O188" r:id="rId201"/>
    <hyperlink xmlns:r="http://schemas.openxmlformats.org/officeDocument/2006/relationships" ref="N189" r:id="rId202"/>
    <hyperlink xmlns:r="http://schemas.openxmlformats.org/officeDocument/2006/relationships" ref="O190" r:id="rId203"/>
    <hyperlink xmlns:r="http://schemas.openxmlformats.org/officeDocument/2006/relationships" ref="O191" r:id="rId204"/>
    <hyperlink xmlns:r="http://schemas.openxmlformats.org/officeDocument/2006/relationships" ref="N192" r:id="rId205"/>
    <hyperlink xmlns:r="http://schemas.openxmlformats.org/officeDocument/2006/relationships" ref="O192" r:id="rId206"/>
    <hyperlink xmlns:r="http://schemas.openxmlformats.org/officeDocument/2006/relationships" ref="N193" r:id="rId207"/>
    <hyperlink xmlns:r="http://schemas.openxmlformats.org/officeDocument/2006/relationships" ref="O193" r:id="rId208"/>
    <hyperlink xmlns:r="http://schemas.openxmlformats.org/officeDocument/2006/relationships" ref="N194" r:id="rId209"/>
    <hyperlink xmlns:r="http://schemas.openxmlformats.org/officeDocument/2006/relationships" ref="O195" r:id="rId210"/>
    <hyperlink xmlns:r="http://schemas.openxmlformats.org/officeDocument/2006/relationships" ref="O196" r:id="rId211"/>
    <hyperlink xmlns:r="http://schemas.openxmlformats.org/officeDocument/2006/relationships" ref="O197" r:id="rId212"/>
    <hyperlink xmlns:r="http://schemas.openxmlformats.org/officeDocument/2006/relationships" ref="O198" r:id="rId213"/>
    <hyperlink xmlns:r="http://schemas.openxmlformats.org/officeDocument/2006/relationships" ref="O199" r:id="rId214"/>
    <hyperlink xmlns:r="http://schemas.openxmlformats.org/officeDocument/2006/relationships" ref="O200" r:id="rId215"/>
    <hyperlink xmlns:r="http://schemas.openxmlformats.org/officeDocument/2006/relationships" ref="O201" r:id="rId216"/>
    <hyperlink xmlns:r="http://schemas.openxmlformats.org/officeDocument/2006/relationships" ref="O202" r:id="rId217"/>
    <hyperlink xmlns:r="http://schemas.openxmlformats.org/officeDocument/2006/relationships" ref="O203" r:id="rId218"/>
    <hyperlink xmlns:r="http://schemas.openxmlformats.org/officeDocument/2006/relationships" ref="O204" r:id="rId219"/>
    <hyperlink xmlns:r="http://schemas.openxmlformats.org/officeDocument/2006/relationships" ref="O205" r:id="rId220"/>
    <hyperlink xmlns:r="http://schemas.openxmlformats.org/officeDocument/2006/relationships" ref="N206" r:id="rId221"/>
    <hyperlink xmlns:r="http://schemas.openxmlformats.org/officeDocument/2006/relationships" ref="O206" r:id="rId222"/>
    <hyperlink xmlns:r="http://schemas.openxmlformats.org/officeDocument/2006/relationships" ref="N207" r:id="rId223"/>
    <hyperlink xmlns:r="http://schemas.openxmlformats.org/officeDocument/2006/relationships" ref="O207" r:id="rId224"/>
    <hyperlink xmlns:r="http://schemas.openxmlformats.org/officeDocument/2006/relationships" ref="N208" r:id="rId225"/>
    <hyperlink xmlns:r="http://schemas.openxmlformats.org/officeDocument/2006/relationships" ref="O209" r:id="rId226"/>
    <hyperlink xmlns:r="http://schemas.openxmlformats.org/officeDocument/2006/relationships" ref="O210" r:id="rId227"/>
    <hyperlink xmlns:r="http://schemas.openxmlformats.org/officeDocument/2006/relationships" ref="N211" r:id="rId228"/>
    <hyperlink xmlns:r="http://schemas.openxmlformats.org/officeDocument/2006/relationships" ref="O211" r:id="rId229"/>
    <hyperlink xmlns:r="http://schemas.openxmlformats.org/officeDocument/2006/relationships" ref="N212" r:id="rId230"/>
    <hyperlink xmlns:r="http://schemas.openxmlformats.org/officeDocument/2006/relationships" ref="O212" r:id="rId231"/>
    <hyperlink xmlns:r="http://schemas.openxmlformats.org/officeDocument/2006/relationships" ref="O213" r:id="rId232"/>
    <hyperlink xmlns:r="http://schemas.openxmlformats.org/officeDocument/2006/relationships" ref="O214" r:id="rId233"/>
    <hyperlink xmlns:r="http://schemas.openxmlformats.org/officeDocument/2006/relationships" ref="N215" r:id="rId234"/>
    <hyperlink xmlns:r="http://schemas.openxmlformats.org/officeDocument/2006/relationships" ref="O215" r:id="rId235"/>
    <hyperlink xmlns:r="http://schemas.openxmlformats.org/officeDocument/2006/relationships" ref="N216" r:id="rId236"/>
    <hyperlink xmlns:r="http://schemas.openxmlformats.org/officeDocument/2006/relationships" ref="O216" r:id="rId237"/>
    <hyperlink xmlns:r="http://schemas.openxmlformats.org/officeDocument/2006/relationships" ref="N217" r:id="rId238"/>
    <hyperlink xmlns:r="http://schemas.openxmlformats.org/officeDocument/2006/relationships" ref="O218" r:id="rId239"/>
    <hyperlink xmlns:r="http://schemas.openxmlformats.org/officeDocument/2006/relationships" ref="O219" r:id="rId240"/>
    <hyperlink xmlns:r="http://schemas.openxmlformats.org/officeDocument/2006/relationships" ref="N220" r:id="rId241"/>
    <hyperlink xmlns:r="http://schemas.openxmlformats.org/officeDocument/2006/relationships" ref="N221" r:id="rId242"/>
    <hyperlink xmlns:r="http://schemas.openxmlformats.org/officeDocument/2006/relationships" ref="N222" r:id="rId243"/>
    <hyperlink xmlns:r="http://schemas.openxmlformats.org/officeDocument/2006/relationships" ref="N223" r:id="rId244"/>
    <hyperlink xmlns:r="http://schemas.openxmlformats.org/officeDocument/2006/relationships" ref="O224" r:id="rId245"/>
    <hyperlink xmlns:r="http://schemas.openxmlformats.org/officeDocument/2006/relationships" ref="O225" r:id="rId246"/>
    <hyperlink xmlns:r="http://schemas.openxmlformats.org/officeDocument/2006/relationships" ref="O226" r:id="rId247"/>
    <hyperlink xmlns:r="http://schemas.openxmlformats.org/officeDocument/2006/relationships" ref="O227" r:id="rId248"/>
    <hyperlink xmlns:r="http://schemas.openxmlformats.org/officeDocument/2006/relationships" ref="N228" r:id="rId249"/>
    <hyperlink xmlns:r="http://schemas.openxmlformats.org/officeDocument/2006/relationships" ref="N229" r:id="rId250"/>
    <hyperlink xmlns:r="http://schemas.openxmlformats.org/officeDocument/2006/relationships" ref="N230" r:id="rId251"/>
    <hyperlink xmlns:r="http://schemas.openxmlformats.org/officeDocument/2006/relationships" ref="N231" r:id="rId252"/>
    <hyperlink xmlns:r="http://schemas.openxmlformats.org/officeDocument/2006/relationships" ref="N232" r:id="rId253"/>
    <hyperlink xmlns:r="http://schemas.openxmlformats.org/officeDocument/2006/relationships" ref="N233" r:id="rId254"/>
    <hyperlink xmlns:r="http://schemas.openxmlformats.org/officeDocument/2006/relationships" ref="N234" r:id="rId255"/>
    <hyperlink xmlns:r="http://schemas.openxmlformats.org/officeDocument/2006/relationships" ref="N235" r:id="rId256"/>
    <hyperlink xmlns:r="http://schemas.openxmlformats.org/officeDocument/2006/relationships" ref="N236" r:id="rId257"/>
    <hyperlink xmlns:r="http://schemas.openxmlformats.org/officeDocument/2006/relationships" ref="N237" r:id="rId258"/>
    <hyperlink xmlns:r="http://schemas.openxmlformats.org/officeDocument/2006/relationships" ref="N238" r:id="rId259"/>
    <hyperlink xmlns:r="http://schemas.openxmlformats.org/officeDocument/2006/relationships" ref="N239" r:id="rId260"/>
    <hyperlink xmlns:r="http://schemas.openxmlformats.org/officeDocument/2006/relationships" ref="N240" r:id="rId261"/>
    <hyperlink xmlns:r="http://schemas.openxmlformats.org/officeDocument/2006/relationships" ref="N241" r:id="rId262"/>
    <hyperlink xmlns:r="http://schemas.openxmlformats.org/officeDocument/2006/relationships" ref="N242" r:id="rId263"/>
    <hyperlink xmlns:r="http://schemas.openxmlformats.org/officeDocument/2006/relationships" ref="N243" r:id="rId264"/>
    <hyperlink xmlns:r="http://schemas.openxmlformats.org/officeDocument/2006/relationships" ref="N244" r:id="rId265"/>
    <hyperlink xmlns:r="http://schemas.openxmlformats.org/officeDocument/2006/relationships" ref="N245" r:id="rId266"/>
    <hyperlink xmlns:r="http://schemas.openxmlformats.org/officeDocument/2006/relationships" ref="N246" r:id="rId267"/>
    <hyperlink xmlns:r="http://schemas.openxmlformats.org/officeDocument/2006/relationships" ref="N247" r:id="rId268"/>
    <hyperlink xmlns:r="http://schemas.openxmlformats.org/officeDocument/2006/relationships" ref="N248" r:id="rId269"/>
    <hyperlink xmlns:r="http://schemas.openxmlformats.org/officeDocument/2006/relationships" ref="N249" r:id="rId270"/>
    <hyperlink xmlns:r="http://schemas.openxmlformats.org/officeDocument/2006/relationships" ref="N250" r:id="rId271"/>
    <hyperlink xmlns:r="http://schemas.openxmlformats.org/officeDocument/2006/relationships" ref="N251" r:id="rId272"/>
    <hyperlink xmlns:r="http://schemas.openxmlformats.org/officeDocument/2006/relationships" ref="N252" r:id="rId273"/>
    <hyperlink xmlns:r="http://schemas.openxmlformats.org/officeDocument/2006/relationships" ref="N253" r:id="rId274"/>
    <hyperlink xmlns:r="http://schemas.openxmlformats.org/officeDocument/2006/relationships" ref="N254" r:id="rId275"/>
    <hyperlink xmlns:r="http://schemas.openxmlformats.org/officeDocument/2006/relationships" ref="N255" r:id="rId276"/>
    <hyperlink xmlns:r="http://schemas.openxmlformats.org/officeDocument/2006/relationships" ref="N256" r:id="rId277"/>
    <hyperlink xmlns:r="http://schemas.openxmlformats.org/officeDocument/2006/relationships" ref="N257" r:id="rId278"/>
    <hyperlink xmlns:r="http://schemas.openxmlformats.org/officeDocument/2006/relationships" ref="N258" r:id="rId279"/>
    <hyperlink xmlns:r="http://schemas.openxmlformats.org/officeDocument/2006/relationships" ref="N259" r:id="rId280"/>
    <hyperlink xmlns:r="http://schemas.openxmlformats.org/officeDocument/2006/relationships" ref="N260" r:id="rId281"/>
    <hyperlink xmlns:r="http://schemas.openxmlformats.org/officeDocument/2006/relationships" ref="N261" r:id="rId282"/>
    <hyperlink xmlns:r="http://schemas.openxmlformats.org/officeDocument/2006/relationships" ref="N262" r:id="rId283"/>
    <hyperlink xmlns:r="http://schemas.openxmlformats.org/officeDocument/2006/relationships" ref="N263" r:id="rId284"/>
    <hyperlink xmlns:r="http://schemas.openxmlformats.org/officeDocument/2006/relationships" ref="N264" r:id="rId285"/>
    <hyperlink xmlns:r="http://schemas.openxmlformats.org/officeDocument/2006/relationships" ref="N265" r:id="rId286"/>
    <hyperlink xmlns:r="http://schemas.openxmlformats.org/officeDocument/2006/relationships" ref="N266" r:id="rId287"/>
    <hyperlink xmlns:r="http://schemas.openxmlformats.org/officeDocument/2006/relationships" ref="N267" r:id="rId288"/>
    <hyperlink xmlns:r="http://schemas.openxmlformats.org/officeDocument/2006/relationships" ref="N268" r:id="rId289"/>
    <hyperlink xmlns:r="http://schemas.openxmlformats.org/officeDocument/2006/relationships" ref="N269" r:id="rId290"/>
    <hyperlink xmlns:r="http://schemas.openxmlformats.org/officeDocument/2006/relationships" ref="N270" r:id="rId291"/>
    <hyperlink xmlns:r="http://schemas.openxmlformats.org/officeDocument/2006/relationships" ref="N271" r:id="rId292"/>
    <hyperlink xmlns:r="http://schemas.openxmlformats.org/officeDocument/2006/relationships" ref="N272" r:id="rId293"/>
    <hyperlink xmlns:r="http://schemas.openxmlformats.org/officeDocument/2006/relationships" ref="N273" r:id="rId294"/>
    <hyperlink xmlns:r="http://schemas.openxmlformats.org/officeDocument/2006/relationships" ref="N274" r:id="rId295"/>
    <hyperlink xmlns:r="http://schemas.openxmlformats.org/officeDocument/2006/relationships" ref="N275" r:id="rId296"/>
    <hyperlink xmlns:r="http://schemas.openxmlformats.org/officeDocument/2006/relationships" ref="N276" r:id="rId297"/>
    <hyperlink xmlns:r="http://schemas.openxmlformats.org/officeDocument/2006/relationships" ref="N277" r:id="rId298"/>
    <hyperlink xmlns:r="http://schemas.openxmlformats.org/officeDocument/2006/relationships" ref="N278" r:id="rId299"/>
    <hyperlink xmlns:r="http://schemas.openxmlformats.org/officeDocument/2006/relationships" ref="O278" r:id="rId300"/>
    <hyperlink xmlns:r="http://schemas.openxmlformats.org/officeDocument/2006/relationships" ref="N279" r:id="rId301"/>
    <hyperlink xmlns:r="http://schemas.openxmlformats.org/officeDocument/2006/relationships" ref="O279" r:id="rId302"/>
    <hyperlink xmlns:r="http://schemas.openxmlformats.org/officeDocument/2006/relationships" ref="N280" r:id="rId303"/>
    <hyperlink xmlns:r="http://schemas.openxmlformats.org/officeDocument/2006/relationships" ref="O280" r:id="rId304"/>
    <hyperlink xmlns:r="http://schemas.openxmlformats.org/officeDocument/2006/relationships" ref="N281" r:id="rId305"/>
    <hyperlink xmlns:r="http://schemas.openxmlformats.org/officeDocument/2006/relationships" ref="N282" r:id="rId306"/>
    <hyperlink xmlns:r="http://schemas.openxmlformats.org/officeDocument/2006/relationships" ref="O283" r:id="rId307"/>
    <hyperlink xmlns:r="http://schemas.openxmlformats.org/officeDocument/2006/relationships" ref="O284" r:id="rId308"/>
    <hyperlink xmlns:r="http://schemas.openxmlformats.org/officeDocument/2006/relationships" ref="N285" r:id="rId309"/>
    <hyperlink xmlns:r="http://schemas.openxmlformats.org/officeDocument/2006/relationships" ref="O285" r:id="rId310"/>
    <hyperlink xmlns:r="http://schemas.openxmlformats.org/officeDocument/2006/relationships" ref="N286" r:id="rId311"/>
    <hyperlink xmlns:r="http://schemas.openxmlformats.org/officeDocument/2006/relationships" ref="O286" r:id="rId312"/>
    <hyperlink xmlns:r="http://schemas.openxmlformats.org/officeDocument/2006/relationships" ref="N287" r:id="rId313"/>
    <hyperlink xmlns:r="http://schemas.openxmlformats.org/officeDocument/2006/relationships" ref="O288" r:id="rId314"/>
    <hyperlink xmlns:r="http://schemas.openxmlformats.org/officeDocument/2006/relationships" ref="O289" r:id="rId315"/>
    <hyperlink xmlns:r="http://schemas.openxmlformats.org/officeDocument/2006/relationships" ref="O290" r:id="rId316"/>
    <hyperlink xmlns:r="http://schemas.openxmlformats.org/officeDocument/2006/relationships" ref="O291" r:id="rId317"/>
    <hyperlink xmlns:r="http://schemas.openxmlformats.org/officeDocument/2006/relationships" ref="O292" r:id="rId318"/>
    <hyperlink xmlns:r="http://schemas.openxmlformats.org/officeDocument/2006/relationships" ref="O293" r:id="rId319"/>
    <hyperlink xmlns:r="http://schemas.openxmlformats.org/officeDocument/2006/relationships" ref="O294" r:id="rId320"/>
    <hyperlink xmlns:r="http://schemas.openxmlformats.org/officeDocument/2006/relationships" ref="O295" r:id="rId321"/>
    <hyperlink xmlns:r="http://schemas.openxmlformats.org/officeDocument/2006/relationships" ref="O296" r:id="rId322"/>
    <hyperlink xmlns:r="http://schemas.openxmlformats.org/officeDocument/2006/relationships" ref="O297" r:id="rId323"/>
    <hyperlink xmlns:r="http://schemas.openxmlformats.org/officeDocument/2006/relationships" ref="O298" r:id="rId324"/>
    <hyperlink xmlns:r="http://schemas.openxmlformats.org/officeDocument/2006/relationships" ref="O299" r:id="rId325"/>
    <hyperlink xmlns:r="http://schemas.openxmlformats.org/officeDocument/2006/relationships" ref="O300" r:id="rId326"/>
    <hyperlink xmlns:r="http://schemas.openxmlformats.org/officeDocument/2006/relationships" ref="O301" r:id="rId327"/>
    <hyperlink xmlns:r="http://schemas.openxmlformats.org/officeDocument/2006/relationships" ref="O302" r:id="rId328"/>
    <hyperlink xmlns:r="http://schemas.openxmlformats.org/officeDocument/2006/relationships" ref="O303" r:id="rId329"/>
    <hyperlink xmlns:r="http://schemas.openxmlformats.org/officeDocument/2006/relationships" ref="O304" r:id="rId330"/>
    <hyperlink xmlns:r="http://schemas.openxmlformats.org/officeDocument/2006/relationships" ref="O305" r:id="rId331"/>
    <hyperlink xmlns:r="http://schemas.openxmlformats.org/officeDocument/2006/relationships" ref="O306" r:id="rId332"/>
    <hyperlink xmlns:r="http://schemas.openxmlformats.org/officeDocument/2006/relationships" ref="O307" r:id="rId333"/>
    <hyperlink xmlns:r="http://schemas.openxmlformats.org/officeDocument/2006/relationships" ref="O308" r:id="rId334"/>
    <hyperlink xmlns:r="http://schemas.openxmlformats.org/officeDocument/2006/relationships" ref="O309" r:id="rId335"/>
    <hyperlink xmlns:r="http://schemas.openxmlformats.org/officeDocument/2006/relationships" ref="O310" r:id="rId336"/>
    <hyperlink xmlns:r="http://schemas.openxmlformats.org/officeDocument/2006/relationships" ref="O311" r:id="rId337"/>
    <hyperlink xmlns:r="http://schemas.openxmlformats.org/officeDocument/2006/relationships" ref="O312" r:id="rId338"/>
    <hyperlink xmlns:r="http://schemas.openxmlformats.org/officeDocument/2006/relationships" ref="O313" r:id="rId339"/>
    <hyperlink xmlns:r="http://schemas.openxmlformats.org/officeDocument/2006/relationships" ref="O314" r:id="rId340"/>
    <hyperlink xmlns:r="http://schemas.openxmlformats.org/officeDocument/2006/relationships" ref="O315" r:id="rId341"/>
    <hyperlink xmlns:r="http://schemas.openxmlformats.org/officeDocument/2006/relationships" ref="O316" r:id="rId342"/>
    <hyperlink xmlns:r="http://schemas.openxmlformats.org/officeDocument/2006/relationships" ref="O317" r:id="rId343"/>
    <hyperlink xmlns:r="http://schemas.openxmlformats.org/officeDocument/2006/relationships" ref="O318" r:id="rId344"/>
    <hyperlink xmlns:r="http://schemas.openxmlformats.org/officeDocument/2006/relationships" ref="O319" r:id="rId345"/>
    <hyperlink xmlns:r="http://schemas.openxmlformats.org/officeDocument/2006/relationships" ref="O320" r:id="rId346"/>
    <hyperlink xmlns:r="http://schemas.openxmlformats.org/officeDocument/2006/relationships" ref="O321" r:id="rId347"/>
    <hyperlink xmlns:r="http://schemas.openxmlformats.org/officeDocument/2006/relationships" ref="O322" r:id="rId348"/>
    <hyperlink xmlns:r="http://schemas.openxmlformats.org/officeDocument/2006/relationships" ref="O323" r:id="rId349"/>
    <hyperlink xmlns:r="http://schemas.openxmlformats.org/officeDocument/2006/relationships" ref="O324" r:id="rId350"/>
    <hyperlink xmlns:r="http://schemas.openxmlformats.org/officeDocument/2006/relationships" ref="O325" r:id="rId351"/>
    <hyperlink xmlns:r="http://schemas.openxmlformats.org/officeDocument/2006/relationships" ref="O326" r:id="rId352"/>
    <hyperlink xmlns:r="http://schemas.openxmlformats.org/officeDocument/2006/relationships" ref="O327" r:id="rId353"/>
    <hyperlink xmlns:r="http://schemas.openxmlformats.org/officeDocument/2006/relationships" ref="O328" r:id="rId354"/>
    <hyperlink xmlns:r="http://schemas.openxmlformats.org/officeDocument/2006/relationships" ref="O329" r:id="rId355"/>
    <hyperlink xmlns:r="http://schemas.openxmlformats.org/officeDocument/2006/relationships" ref="O330" r:id="rId356"/>
    <hyperlink xmlns:r="http://schemas.openxmlformats.org/officeDocument/2006/relationships" ref="O331" r:id="rId357"/>
    <hyperlink xmlns:r="http://schemas.openxmlformats.org/officeDocument/2006/relationships" ref="O332" r:id="rId358"/>
    <hyperlink xmlns:r="http://schemas.openxmlformats.org/officeDocument/2006/relationships" ref="O333" r:id="rId359"/>
    <hyperlink xmlns:r="http://schemas.openxmlformats.org/officeDocument/2006/relationships" ref="O334" r:id="rId360"/>
    <hyperlink xmlns:r="http://schemas.openxmlformats.org/officeDocument/2006/relationships" ref="O335" r:id="rId361"/>
    <hyperlink xmlns:r="http://schemas.openxmlformats.org/officeDocument/2006/relationships" ref="O336" r:id="rId362"/>
    <hyperlink xmlns:r="http://schemas.openxmlformats.org/officeDocument/2006/relationships" ref="O337" r:id="rId363"/>
    <hyperlink xmlns:r="http://schemas.openxmlformats.org/officeDocument/2006/relationships" ref="O338" r:id="rId364"/>
    <hyperlink xmlns:r="http://schemas.openxmlformats.org/officeDocument/2006/relationships" ref="O339" r:id="rId365"/>
    <hyperlink xmlns:r="http://schemas.openxmlformats.org/officeDocument/2006/relationships" ref="O340" r:id="rId366"/>
    <hyperlink xmlns:r="http://schemas.openxmlformats.org/officeDocument/2006/relationships" ref="O341" r:id="rId367"/>
    <hyperlink xmlns:r="http://schemas.openxmlformats.org/officeDocument/2006/relationships" ref="O342" r:id="rId368"/>
    <hyperlink xmlns:r="http://schemas.openxmlformats.org/officeDocument/2006/relationships" ref="O343" r:id="rId369"/>
    <hyperlink xmlns:r="http://schemas.openxmlformats.org/officeDocument/2006/relationships" ref="O344" r:id="rId370"/>
    <hyperlink xmlns:r="http://schemas.openxmlformats.org/officeDocument/2006/relationships" ref="O345" r:id="rId371"/>
    <hyperlink xmlns:r="http://schemas.openxmlformats.org/officeDocument/2006/relationships" ref="O346" r:id="rId372"/>
    <hyperlink xmlns:r="http://schemas.openxmlformats.org/officeDocument/2006/relationships" ref="O347" r:id="rId373"/>
    <hyperlink xmlns:r="http://schemas.openxmlformats.org/officeDocument/2006/relationships" ref="O348" r:id="rId374"/>
    <hyperlink xmlns:r="http://schemas.openxmlformats.org/officeDocument/2006/relationships" ref="O349" r:id="rId375"/>
    <hyperlink xmlns:r="http://schemas.openxmlformats.org/officeDocument/2006/relationships" ref="O350" r:id="rId376"/>
    <hyperlink xmlns:r="http://schemas.openxmlformats.org/officeDocument/2006/relationships" ref="O351" r:id="rId377"/>
    <hyperlink xmlns:r="http://schemas.openxmlformats.org/officeDocument/2006/relationships" ref="O352" r:id="rId378"/>
    <hyperlink xmlns:r="http://schemas.openxmlformats.org/officeDocument/2006/relationships" ref="O353" r:id="rId379"/>
    <hyperlink xmlns:r="http://schemas.openxmlformats.org/officeDocument/2006/relationships" ref="O354" r:id="rId380"/>
    <hyperlink xmlns:r="http://schemas.openxmlformats.org/officeDocument/2006/relationships" ref="O355" r:id="rId381"/>
    <hyperlink xmlns:r="http://schemas.openxmlformats.org/officeDocument/2006/relationships" ref="O356" r:id="rId382"/>
    <hyperlink xmlns:r="http://schemas.openxmlformats.org/officeDocument/2006/relationships" ref="O357" r:id="rId383"/>
    <hyperlink xmlns:r="http://schemas.openxmlformats.org/officeDocument/2006/relationships" ref="O358" r:id="rId384"/>
    <hyperlink xmlns:r="http://schemas.openxmlformats.org/officeDocument/2006/relationships" ref="O359" r:id="rId385"/>
    <hyperlink xmlns:r="http://schemas.openxmlformats.org/officeDocument/2006/relationships" ref="O360" r:id="rId386"/>
    <hyperlink xmlns:r="http://schemas.openxmlformats.org/officeDocument/2006/relationships" ref="O361" r:id="rId387"/>
    <hyperlink xmlns:r="http://schemas.openxmlformats.org/officeDocument/2006/relationships" ref="O362" r:id="rId388"/>
    <hyperlink xmlns:r="http://schemas.openxmlformats.org/officeDocument/2006/relationships" ref="O363" r:id="rId389"/>
    <hyperlink xmlns:r="http://schemas.openxmlformats.org/officeDocument/2006/relationships" ref="O364" r:id="rId390"/>
    <hyperlink xmlns:r="http://schemas.openxmlformats.org/officeDocument/2006/relationships" ref="O365" r:id="rId391"/>
    <hyperlink xmlns:r="http://schemas.openxmlformats.org/officeDocument/2006/relationships" ref="O366" r:id="rId392"/>
    <hyperlink xmlns:r="http://schemas.openxmlformats.org/officeDocument/2006/relationships" ref="O367" r:id="rId393"/>
    <hyperlink xmlns:r="http://schemas.openxmlformats.org/officeDocument/2006/relationships" ref="O368" r:id="rId394"/>
    <hyperlink xmlns:r="http://schemas.openxmlformats.org/officeDocument/2006/relationships" ref="O369" r:id="rId395"/>
    <hyperlink xmlns:r="http://schemas.openxmlformats.org/officeDocument/2006/relationships" ref="O370" r:id="rId396"/>
    <hyperlink xmlns:r="http://schemas.openxmlformats.org/officeDocument/2006/relationships" ref="O371" r:id="rId397"/>
    <hyperlink xmlns:r="http://schemas.openxmlformats.org/officeDocument/2006/relationships" ref="N372" r:id="rId398"/>
    <hyperlink xmlns:r="http://schemas.openxmlformats.org/officeDocument/2006/relationships" ref="O372" r:id="rId399"/>
    <hyperlink xmlns:r="http://schemas.openxmlformats.org/officeDocument/2006/relationships" ref="N373" r:id="rId400"/>
    <hyperlink xmlns:r="http://schemas.openxmlformats.org/officeDocument/2006/relationships" ref="O373" r:id="rId401"/>
    <hyperlink xmlns:r="http://schemas.openxmlformats.org/officeDocument/2006/relationships" ref="N374" r:id="rId402"/>
    <hyperlink xmlns:r="http://schemas.openxmlformats.org/officeDocument/2006/relationships" ref="N375" r:id="rId403"/>
    <hyperlink xmlns:r="http://schemas.openxmlformats.org/officeDocument/2006/relationships" ref="O375" r:id="rId404"/>
    <hyperlink xmlns:r="http://schemas.openxmlformats.org/officeDocument/2006/relationships" ref="O376" r:id="rId405"/>
    <hyperlink xmlns:r="http://schemas.openxmlformats.org/officeDocument/2006/relationships" ref="N377" r:id="rId406"/>
    <hyperlink xmlns:r="http://schemas.openxmlformats.org/officeDocument/2006/relationships" ref="O377" r:id="rId407"/>
    <hyperlink xmlns:r="http://schemas.openxmlformats.org/officeDocument/2006/relationships" ref="N378" r:id="rId408"/>
    <hyperlink xmlns:r="http://schemas.openxmlformats.org/officeDocument/2006/relationships" ref="O378" r:id="rId409"/>
    <hyperlink xmlns:r="http://schemas.openxmlformats.org/officeDocument/2006/relationships" ref="N379" r:id="rId410"/>
    <hyperlink xmlns:r="http://schemas.openxmlformats.org/officeDocument/2006/relationships" ref="O380" r:id="rId411"/>
    <hyperlink xmlns:r="http://schemas.openxmlformats.org/officeDocument/2006/relationships" ref="N381" r:id="rId412"/>
    <hyperlink xmlns:r="http://schemas.openxmlformats.org/officeDocument/2006/relationships" ref="N382" r:id="rId413"/>
    <hyperlink xmlns:r="http://schemas.openxmlformats.org/officeDocument/2006/relationships" ref="O383" r:id="rId414"/>
    <hyperlink xmlns:r="http://schemas.openxmlformats.org/officeDocument/2006/relationships" ref="O384" r:id="rId415"/>
    <hyperlink xmlns:r="http://schemas.openxmlformats.org/officeDocument/2006/relationships" ref="O385" r:id="rId416"/>
    <hyperlink xmlns:r="http://schemas.openxmlformats.org/officeDocument/2006/relationships" ref="O386" r:id="rId417"/>
    <hyperlink xmlns:r="http://schemas.openxmlformats.org/officeDocument/2006/relationships" ref="N387" r:id="rId418"/>
    <hyperlink xmlns:r="http://schemas.openxmlformats.org/officeDocument/2006/relationships" ref="N388" r:id="rId419"/>
    <hyperlink xmlns:r="http://schemas.openxmlformats.org/officeDocument/2006/relationships" ref="N389" r:id="rId420"/>
    <hyperlink xmlns:r="http://schemas.openxmlformats.org/officeDocument/2006/relationships" ref="N390" r:id="rId421"/>
    <hyperlink xmlns:r="http://schemas.openxmlformats.org/officeDocument/2006/relationships" ref="N391" r:id="rId422"/>
    <hyperlink xmlns:r="http://schemas.openxmlformats.org/officeDocument/2006/relationships" ref="N392" r:id="rId423"/>
    <hyperlink xmlns:r="http://schemas.openxmlformats.org/officeDocument/2006/relationships" ref="N393" r:id="rId424"/>
    <hyperlink xmlns:r="http://schemas.openxmlformats.org/officeDocument/2006/relationships" ref="N394" r:id="rId425"/>
    <hyperlink xmlns:r="http://schemas.openxmlformats.org/officeDocument/2006/relationships" ref="N395" r:id="rId426"/>
    <hyperlink xmlns:r="http://schemas.openxmlformats.org/officeDocument/2006/relationships" ref="N396" r:id="rId427"/>
    <hyperlink xmlns:r="http://schemas.openxmlformats.org/officeDocument/2006/relationships" ref="N397" r:id="rId428"/>
    <hyperlink xmlns:r="http://schemas.openxmlformats.org/officeDocument/2006/relationships" ref="N398" r:id="rId429"/>
    <hyperlink xmlns:r="http://schemas.openxmlformats.org/officeDocument/2006/relationships" ref="N399" r:id="rId430"/>
    <hyperlink xmlns:r="http://schemas.openxmlformats.org/officeDocument/2006/relationships" ref="N400" r:id="rId431"/>
    <hyperlink xmlns:r="http://schemas.openxmlformats.org/officeDocument/2006/relationships" ref="N401" r:id="rId432"/>
    <hyperlink xmlns:r="http://schemas.openxmlformats.org/officeDocument/2006/relationships" ref="N402" r:id="rId433"/>
    <hyperlink xmlns:r="http://schemas.openxmlformats.org/officeDocument/2006/relationships" ref="N403" r:id="rId434"/>
    <hyperlink xmlns:r="http://schemas.openxmlformats.org/officeDocument/2006/relationships" ref="N404" r:id="rId435"/>
    <hyperlink xmlns:r="http://schemas.openxmlformats.org/officeDocument/2006/relationships" ref="N405" r:id="rId436"/>
    <hyperlink xmlns:r="http://schemas.openxmlformats.org/officeDocument/2006/relationships" ref="N406" r:id="rId437"/>
    <hyperlink xmlns:r="http://schemas.openxmlformats.org/officeDocument/2006/relationships" ref="N407" r:id="rId438"/>
    <hyperlink xmlns:r="http://schemas.openxmlformats.org/officeDocument/2006/relationships" ref="N408" r:id="rId439"/>
    <hyperlink xmlns:r="http://schemas.openxmlformats.org/officeDocument/2006/relationships" ref="N409" r:id="rId440"/>
    <hyperlink xmlns:r="http://schemas.openxmlformats.org/officeDocument/2006/relationships" ref="O409" r:id="rId441"/>
    <hyperlink xmlns:r="http://schemas.openxmlformats.org/officeDocument/2006/relationships" ref="N410" r:id="rId442"/>
    <hyperlink xmlns:r="http://schemas.openxmlformats.org/officeDocument/2006/relationships" ref="O410" r:id="rId443"/>
    <hyperlink xmlns:r="http://schemas.openxmlformats.org/officeDocument/2006/relationships" ref="N411" r:id="rId444"/>
    <hyperlink xmlns:r="http://schemas.openxmlformats.org/officeDocument/2006/relationships" ref="O411" r:id="rId445"/>
    <hyperlink xmlns:r="http://schemas.openxmlformats.org/officeDocument/2006/relationships" ref="N412" r:id="rId446"/>
    <hyperlink xmlns:r="http://schemas.openxmlformats.org/officeDocument/2006/relationships" ref="O412" r:id="rId447"/>
    <hyperlink xmlns:r="http://schemas.openxmlformats.org/officeDocument/2006/relationships" ref="O413" r:id="rId448"/>
    <hyperlink xmlns:r="http://schemas.openxmlformats.org/officeDocument/2006/relationships" ref="N414" r:id="rId449"/>
    <hyperlink xmlns:r="http://schemas.openxmlformats.org/officeDocument/2006/relationships" ref="O415" r:id="rId450"/>
    <hyperlink xmlns:r="http://schemas.openxmlformats.org/officeDocument/2006/relationships" ref="O416" r:id="rId451"/>
    <hyperlink xmlns:r="http://schemas.openxmlformats.org/officeDocument/2006/relationships" ref="O417" r:id="rId452"/>
    <hyperlink xmlns:r="http://schemas.openxmlformats.org/officeDocument/2006/relationships" ref="O418" r:id="rId453"/>
    <hyperlink xmlns:r="http://schemas.openxmlformats.org/officeDocument/2006/relationships" ref="O419" r:id="rId454"/>
    <hyperlink xmlns:r="http://schemas.openxmlformats.org/officeDocument/2006/relationships" ref="O420" r:id="rId455"/>
    <hyperlink xmlns:r="http://schemas.openxmlformats.org/officeDocument/2006/relationships" ref="O421" r:id="rId456"/>
    <hyperlink xmlns:r="http://schemas.openxmlformats.org/officeDocument/2006/relationships" ref="O422" r:id="rId457"/>
    <hyperlink xmlns:r="http://schemas.openxmlformats.org/officeDocument/2006/relationships" ref="N423" r:id="rId458"/>
    <hyperlink xmlns:r="http://schemas.openxmlformats.org/officeDocument/2006/relationships" ref="O423" r:id="rId459"/>
    <hyperlink xmlns:r="http://schemas.openxmlformats.org/officeDocument/2006/relationships" ref="N424" r:id="rId460"/>
    <hyperlink xmlns:r="http://schemas.openxmlformats.org/officeDocument/2006/relationships" ref="N425" r:id="rId461"/>
    <hyperlink xmlns:r="http://schemas.openxmlformats.org/officeDocument/2006/relationships" ref="O425" r:id="rId462"/>
    <hyperlink xmlns:r="http://schemas.openxmlformats.org/officeDocument/2006/relationships" ref="O426" r:id="rId463"/>
    <hyperlink xmlns:r="http://schemas.openxmlformats.org/officeDocument/2006/relationships" ref="O427" r:id="rId464"/>
    <hyperlink xmlns:r="http://schemas.openxmlformats.org/officeDocument/2006/relationships" ref="O428" r:id="rId465"/>
    <hyperlink xmlns:r="http://schemas.openxmlformats.org/officeDocument/2006/relationships" ref="O429" r:id="rId466"/>
    <hyperlink xmlns:r="http://schemas.openxmlformats.org/officeDocument/2006/relationships" ref="O430" r:id="rId467"/>
    <hyperlink xmlns:r="http://schemas.openxmlformats.org/officeDocument/2006/relationships" ref="N431" r:id="rId468"/>
    <hyperlink xmlns:r="http://schemas.openxmlformats.org/officeDocument/2006/relationships" ref="O431" r:id="rId469"/>
    <hyperlink xmlns:r="http://schemas.openxmlformats.org/officeDocument/2006/relationships" ref="N432" r:id="rId470"/>
    <hyperlink xmlns:r="http://schemas.openxmlformats.org/officeDocument/2006/relationships" ref="O432" r:id="rId471"/>
    <hyperlink xmlns:r="http://schemas.openxmlformats.org/officeDocument/2006/relationships" ref="N433" r:id="rId472"/>
    <hyperlink xmlns:r="http://schemas.openxmlformats.org/officeDocument/2006/relationships" ref="N434" r:id="rId473"/>
    <hyperlink xmlns:r="http://schemas.openxmlformats.org/officeDocument/2006/relationships" ref="O435" r:id="rId474"/>
    <hyperlink xmlns:r="http://schemas.openxmlformats.org/officeDocument/2006/relationships" ref="N436" r:id="rId475"/>
    <hyperlink xmlns:r="http://schemas.openxmlformats.org/officeDocument/2006/relationships" ref="O437" r:id="rId476"/>
    <hyperlink xmlns:r="http://schemas.openxmlformats.org/officeDocument/2006/relationships" ref="N438" r:id="rId477"/>
    <hyperlink xmlns:r="http://schemas.openxmlformats.org/officeDocument/2006/relationships" ref="O438" r:id="rId478"/>
    <hyperlink xmlns:r="http://schemas.openxmlformats.org/officeDocument/2006/relationships" ref="N439" r:id="rId479"/>
    <hyperlink xmlns:r="http://schemas.openxmlformats.org/officeDocument/2006/relationships" ref="O439" r:id="rId480"/>
    <hyperlink xmlns:r="http://schemas.openxmlformats.org/officeDocument/2006/relationships" ref="N440" r:id="rId481"/>
    <hyperlink xmlns:r="http://schemas.openxmlformats.org/officeDocument/2006/relationships" ref="O441" r:id="rId482"/>
    <hyperlink xmlns:r="http://schemas.openxmlformats.org/officeDocument/2006/relationships" ref="N442" r:id="rId483"/>
    <hyperlink xmlns:r="http://schemas.openxmlformats.org/officeDocument/2006/relationships" ref="N443" r:id="rId484"/>
    <hyperlink xmlns:r="http://schemas.openxmlformats.org/officeDocument/2006/relationships" ref="N444" r:id="rId485"/>
    <hyperlink xmlns:r="http://schemas.openxmlformats.org/officeDocument/2006/relationships" ref="N445" r:id="rId486"/>
    <hyperlink xmlns:r="http://schemas.openxmlformats.org/officeDocument/2006/relationships" ref="N446" r:id="rId487"/>
    <hyperlink xmlns:r="http://schemas.openxmlformats.org/officeDocument/2006/relationships" ref="N447" r:id="rId488"/>
    <hyperlink xmlns:r="http://schemas.openxmlformats.org/officeDocument/2006/relationships" ref="N448" r:id="rId489"/>
    <hyperlink xmlns:r="http://schemas.openxmlformats.org/officeDocument/2006/relationships" ref="N449" r:id="rId490"/>
    <hyperlink xmlns:r="http://schemas.openxmlformats.org/officeDocument/2006/relationships" ref="O449" r:id="rId491"/>
    <hyperlink xmlns:r="http://schemas.openxmlformats.org/officeDocument/2006/relationships" ref="N450" r:id="rId492"/>
    <hyperlink xmlns:r="http://schemas.openxmlformats.org/officeDocument/2006/relationships" ref="N451" r:id="rId493"/>
    <hyperlink xmlns:r="http://schemas.openxmlformats.org/officeDocument/2006/relationships" ref="N452" r:id="rId494"/>
    <hyperlink xmlns:r="http://schemas.openxmlformats.org/officeDocument/2006/relationships" ref="N453" r:id="rId495"/>
    <hyperlink xmlns:r="http://schemas.openxmlformats.org/officeDocument/2006/relationships" ref="O454" r:id="rId496"/>
    <hyperlink xmlns:r="http://schemas.openxmlformats.org/officeDocument/2006/relationships" ref="N455" r:id="rId497"/>
    <hyperlink xmlns:r="http://schemas.openxmlformats.org/officeDocument/2006/relationships" ref="O455" r:id="rId498"/>
    <hyperlink xmlns:r="http://schemas.openxmlformats.org/officeDocument/2006/relationships" ref="N456" r:id="rId499"/>
    <hyperlink xmlns:r="http://schemas.openxmlformats.org/officeDocument/2006/relationships" ref="N457" r:id="rId500"/>
    <hyperlink xmlns:r="http://schemas.openxmlformats.org/officeDocument/2006/relationships" ref="O457" r:id="rId501"/>
    <hyperlink xmlns:r="http://schemas.openxmlformats.org/officeDocument/2006/relationships" ref="N458" r:id="rId502"/>
    <hyperlink xmlns:r="http://schemas.openxmlformats.org/officeDocument/2006/relationships" ref="N459" r:id="rId503"/>
    <hyperlink xmlns:r="http://schemas.openxmlformats.org/officeDocument/2006/relationships" ref="N460" r:id="rId504"/>
    <hyperlink xmlns:r="http://schemas.openxmlformats.org/officeDocument/2006/relationships" ref="N461" r:id="rId505"/>
    <hyperlink xmlns:r="http://schemas.openxmlformats.org/officeDocument/2006/relationships" ref="N462" r:id="rId506"/>
    <hyperlink xmlns:r="http://schemas.openxmlformats.org/officeDocument/2006/relationships" ref="O462" r:id="rId507"/>
    <hyperlink xmlns:r="http://schemas.openxmlformats.org/officeDocument/2006/relationships" ref="N463" r:id="rId508"/>
    <hyperlink xmlns:r="http://schemas.openxmlformats.org/officeDocument/2006/relationships" ref="N464" r:id="rId509"/>
    <hyperlink xmlns:r="http://schemas.openxmlformats.org/officeDocument/2006/relationships" ref="N465" r:id="rId510"/>
    <hyperlink xmlns:r="http://schemas.openxmlformats.org/officeDocument/2006/relationships" ref="N466" r:id="rId511"/>
    <hyperlink xmlns:r="http://schemas.openxmlformats.org/officeDocument/2006/relationships" ref="N467" r:id="rId512"/>
    <hyperlink xmlns:r="http://schemas.openxmlformats.org/officeDocument/2006/relationships" ref="N468" r:id="rId513"/>
    <hyperlink xmlns:r="http://schemas.openxmlformats.org/officeDocument/2006/relationships" ref="N469" r:id="rId514"/>
    <hyperlink xmlns:r="http://schemas.openxmlformats.org/officeDocument/2006/relationships" ref="N470" r:id="rId515"/>
    <hyperlink xmlns:r="http://schemas.openxmlformats.org/officeDocument/2006/relationships" ref="N471" r:id="rId516"/>
    <hyperlink xmlns:r="http://schemas.openxmlformats.org/officeDocument/2006/relationships" ref="N472" r:id="rId517"/>
    <hyperlink xmlns:r="http://schemas.openxmlformats.org/officeDocument/2006/relationships" ref="N473" r:id="rId518"/>
    <hyperlink xmlns:r="http://schemas.openxmlformats.org/officeDocument/2006/relationships" ref="N474" r:id="rId519"/>
    <hyperlink xmlns:r="http://schemas.openxmlformats.org/officeDocument/2006/relationships" ref="N475" r:id="rId520"/>
    <hyperlink xmlns:r="http://schemas.openxmlformats.org/officeDocument/2006/relationships" ref="N476" r:id="rId521"/>
    <hyperlink xmlns:r="http://schemas.openxmlformats.org/officeDocument/2006/relationships" ref="N477" r:id="rId522"/>
    <hyperlink xmlns:r="http://schemas.openxmlformats.org/officeDocument/2006/relationships" ref="N478" r:id="rId523"/>
    <hyperlink xmlns:r="http://schemas.openxmlformats.org/officeDocument/2006/relationships" ref="N479" r:id="rId524"/>
    <hyperlink xmlns:r="http://schemas.openxmlformats.org/officeDocument/2006/relationships" ref="N480" r:id="rId525"/>
    <hyperlink xmlns:r="http://schemas.openxmlformats.org/officeDocument/2006/relationships" ref="N481" r:id="rId526"/>
    <hyperlink xmlns:r="http://schemas.openxmlformats.org/officeDocument/2006/relationships" ref="N482" r:id="rId527"/>
    <hyperlink xmlns:r="http://schemas.openxmlformats.org/officeDocument/2006/relationships" ref="N483" r:id="rId528"/>
    <hyperlink xmlns:r="http://schemas.openxmlformats.org/officeDocument/2006/relationships" ref="N484" r:id="rId529"/>
    <hyperlink xmlns:r="http://schemas.openxmlformats.org/officeDocument/2006/relationships" ref="N485" r:id="rId530"/>
    <hyperlink xmlns:r="http://schemas.openxmlformats.org/officeDocument/2006/relationships" ref="N486" r:id="rId531"/>
    <hyperlink xmlns:r="http://schemas.openxmlformats.org/officeDocument/2006/relationships" ref="N487" r:id="rId532"/>
    <hyperlink xmlns:r="http://schemas.openxmlformats.org/officeDocument/2006/relationships" ref="N488" r:id="rId533"/>
    <hyperlink xmlns:r="http://schemas.openxmlformats.org/officeDocument/2006/relationships" ref="N489" r:id="rId534"/>
    <hyperlink xmlns:r="http://schemas.openxmlformats.org/officeDocument/2006/relationships" ref="N490" r:id="rId535"/>
    <hyperlink xmlns:r="http://schemas.openxmlformats.org/officeDocument/2006/relationships" ref="N491" r:id="rId536"/>
    <hyperlink xmlns:r="http://schemas.openxmlformats.org/officeDocument/2006/relationships" ref="N492" r:id="rId537"/>
    <hyperlink xmlns:r="http://schemas.openxmlformats.org/officeDocument/2006/relationships" ref="O493" r:id="rId538"/>
    <hyperlink xmlns:r="http://schemas.openxmlformats.org/officeDocument/2006/relationships" ref="N494" r:id="rId539"/>
    <hyperlink xmlns:r="http://schemas.openxmlformats.org/officeDocument/2006/relationships" ref="O494" r:id="rId540"/>
    <hyperlink xmlns:r="http://schemas.openxmlformats.org/officeDocument/2006/relationships" ref="N495" r:id="rId541"/>
    <hyperlink xmlns:r="http://schemas.openxmlformats.org/officeDocument/2006/relationships" ref="N496" r:id="rId542"/>
    <hyperlink xmlns:r="http://schemas.openxmlformats.org/officeDocument/2006/relationships" ref="N497" r:id="rId543"/>
    <hyperlink xmlns:r="http://schemas.openxmlformats.org/officeDocument/2006/relationships" ref="N498" r:id="rId544"/>
    <hyperlink xmlns:r="http://schemas.openxmlformats.org/officeDocument/2006/relationships" ref="O498" r:id="rId545"/>
    <hyperlink xmlns:r="http://schemas.openxmlformats.org/officeDocument/2006/relationships" ref="N499" r:id="rId546"/>
    <hyperlink xmlns:r="http://schemas.openxmlformats.org/officeDocument/2006/relationships" ref="N500" r:id="rId547"/>
    <hyperlink xmlns:r="http://schemas.openxmlformats.org/officeDocument/2006/relationships" ref="N501" r:id="rId548"/>
    <hyperlink xmlns:r="http://schemas.openxmlformats.org/officeDocument/2006/relationships" ref="O501" r:id="rId549"/>
    <hyperlink xmlns:r="http://schemas.openxmlformats.org/officeDocument/2006/relationships" ref="N502" r:id="rId550"/>
    <hyperlink xmlns:r="http://schemas.openxmlformats.org/officeDocument/2006/relationships" ref="O502" r:id="rId551"/>
    <hyperlink xmlns:r="http://schemas.openxmlformats.org/officeDocument/2006/relationships" ref="N503" r:id="rId552"/>
    <hyperlink xmlns:r="http://schemas.openxmlformats.org/officeDocument/2006/relationships" ref="O503" r:id="rId553"/>
    <hyperlink xmlns:r="http://schemas.openxmlformats.org/officeDocument/2006/relationships" ref="N504" r:id="rId554"/>
    <hyperlink xmlns:r="http://schemas.openxmlformats.org/officeDocument/2006/relationships" ref="O504" r:id="rId555"/>
    <hyperlink xmlns:r="http://schemas.openxmlformats.org/officeDocument/2006/relationships" ref="N505" r:id="rId556"/>
    <hyperlink xmlns:r="http://schemas.openxmlformats.org/officeDocument/2006/relationships" ref="O505" r:id="rId557"/>
    <hyperlink xmlns:r="http://schemas.openxmlformats.org/officeDocument/2006/relationships" ref="N506" r:id="rId558"/>
    <hyperlink xmlns:r="http://schemas.openxmlformats.org/officeDocument/2006/relationships" ref="O506" r:id="rId559"/>
    <hyperlink xmlns:r="http://schemas.openxmlformats.org/officeDocument/2006/relationships" ref="N507" r:id="rId560"/>
    <hyperlink xmlns:r="http://schemas.openxmlformats.org/officeDocument/2006/relationships" ref="O507" r:id="rId561"/>
    <hyperlink xmlns:r="http://schemas.openxmlformats.org/officeDocument/2006/relationships" ref="N508" r:id="rId562"/>
    <hyperlink xmlns:r="http://schemas.openxmlformats.org/officeDocument/2006/relationships" ref="O508" r:id="rId563"/>
    <hyperlink xmlns:r="http://schemas.openxmlformats.org/officeDocument/2006/relationships" ref="N509" r:id="rId564"/>
    <hyperlink xmlns:r="http://schemas.openxmlformats.org/officeDocument/2006/relationships" ref="O509" r:id="rId565"/>
    <hyperlink xmlns:r="http://schemas.openxmlformats.org/officeDocument/2006/relationships" ref="N510" r:id="rId566"/>
    <hyperlink xmlns:r="http://schemas.openxmlformats.org/officeDocument/2006/relationships" ref="O510" r:id="rId567"/>
    <hyperlink xmlns:r="http://schemas.openxmlformats.org/officeDocument/2006/relationships" ref="N511" r:id="rId568"/>
    <hyperlink xmlns:r="http://schemas.openxmlformats.org/officeDocument/2006/relationships" ref="O511" r:id="rId569"/>
    <hyperlink xmlns:r="http://schemas.openxmlformats.org/officeDocument/2006/relationships" ref="N512" r:id="rId570"/>
    <hyperlink xmlns:r="http://schemas.openxmlformats.org/officeDocument/2006/relationships" ref="N513" r:id="rId571"/>
    <hyperlink xmlns:r="http://schemas.openxmlformats.org/officeDocument/2006/relationships" ref="N514" r:id="rId572"/>
    <hyperlink xmlns:r="http://schemas.openxmlformats.org/officeDocument/2006/relationships" ref="N515" r:id="rId573"/>
    <hyperlink xmlns:r="http://schemas.openxmlformats.org/officeDocument/2006/relationships" ref="N516" r:id="rId574"/>
    <hyperlink xmlns:r="http://schemas.openxmlformats.org/officeDocument/2006/relationships" ref="N517" r:id="rId575"/>
    <hyperlink xmlns:r="http://schemas.openxmlformats.org/officeDocument/2006/relationships" ref="O517" r:id="rId576"/>
    <hyperlink xmlns:r="http://schemas.openxmlformats.org/officeDocument/2006/relationships" ref="N518" r:id="rId577"/>
    <hyperlink xmlns:r="http://schemas.openxmlformats.org/officeDocument/2006/relationships" ref="N519" r:id="rId578"/>
    <hyperlink xmlns:r="http://schemas.openxmlformats.org/officeDocument/2006/relationships" ref="N520" r:id="rId579"/>
    <hyperlink xmlns:r="http://schemas.openxmlformats.org/officeDocument/2006/relationships" ref="O520" r:id="rId580"/>
    <hyperlink xmlns:r="http://schemas.openxmlformats.org/officeDocument/2006/relationships" ref="N521" r:id="rId581"/>
    <hyperlink xmlns:r="http://schemas.openxmlformats.org/officeDocument/2006/relationships" ref="N522" r:id="rId582"/>
    <hyperlink xmlns:r="http://schemas.openxmlformats.org/officeDocument/2006/relationships" ref="O522" r:id="rId583"/>
    <hyperlink xmlns:r="http://schemas.openxmlformats.org/officeDocument/2006/relationships" ref="N523" r:id="rId584"/>
    <hyperlink xmlns:r="http://schemas.openxmlformats.org/officeDocument/2006/relationships" ref="N524" r:id="rId585"/>
    <hyperlink xmlns:r="http://schemas.openxmlformats.org/officeDocument/2006/relationships" ref="N525" r:id="rId586"/>
    <hyperlink xmlns:r="http://schemas.openxmlformats.org/officeDocument/2006/relationships" ref="N526" r:id="rId587"/>
    <hyperlink xmlns:r="http://schemas.openxmlformats.org/officeDocument/2006/relationships" ref="N527" r:id="rId588"/>
    <hyperlink xmlns:r="http://schemas.openxmlformats.org/officeDocument/2006/relationships" ref="N528" r:id="rId589"/>
    <hyperlink xmlns:r="http://schemas.openxmlformats.org/officeDocument/2006/relationships" ref="N529" r:id="rId590"/>
    <hyperlink xmlns:r="http://schemas.openxmlformats.org/officeDocument/2006/relationships" ref="N530" r:id="rId591"/>
    <hyperlink xmlns:r="http://schemas.openxmlformats.org/officeDocument/2006/relationships" ref="N531" r:id="rId592"/>
    <hyperlink xmlns:r="http://schemas.openxmlformats.org/officeDocument/2006/relationships" ref="N532" r:id="rId593"/>
    <hyperlink xmlns:r="http://schemas.openxmlformats.org/officeDocument/2006/relationships" ref="N533" r:id="rId594"/>
    <hyperlink xmlns:r="http://schemas.openxmlformats.org/officeDocument/2006/relationships" ref="N534" r:id="rId595"/>
    <hyperlink xmlns:r="http://schemas.openxmlformats.org/officeDocument/2006/relationships" ref="N535" r:id="rId596"/>
    <hyperlink xmlns:r="http://schemas.openxmlformats.org/officeDocument/2006/relationships" ref="N536" r:id="rId597"/>
    <hyperlink xmlns:r="http://schemas.openxmlformats.org/officeDocument/2006/relationships" ref="N537" r:id="rId598"/>
    <hyperlink xmlns:r="http://schemas.openxmlformats.org/officeDocument/2006/relationships" ref="N538" r:id="rId599"/>
    <hyperlink xmlns:r="http://schemas.openxmlformats.org/officeDocument/2006/relationships" ref="N539" r:id="rId600"/>
    <hyperlink xmlns:r="http://schemas.openxmlformats.org/officeDocument/2006/relationships" ref="N540" r:id="rId601"/>
    <hyperlink xmlns:r="http://schemas.openxmlformats.org/officeDocument/2006/relationships" ref="N541" r:id="rId602"/>
    <hyperlink xmlns:r="http://schemas.openxmlformats.org/officeDocument/2006/relationships" ref="N542" r:id="rId603"/>
    <hyperlink xmlns:r="http://schemas.openxmlformats.org/officeDocument/2006/relationships" ref="N543" r:id="rId604"/>
    <hyperlink xmlns:r="http://schemas.openxmlformats.org/officeDocument/2006/relationships" ref="N544" r:id="rId605"/>
    <hyperlink xmlns:r="http://schemas.openxmlformats.org/officeDocument/2006/relationships" ref="N545" r:id="rId606"/>
    <hyperlink xmlns:r="http://schemas.openxmlformats.org/officeDocument/2006/relationships" ref="N546" r:id="rId607"/>
    <hyperlink xmlns:r="http://schemas.openxmlformats.org/officeDocument/2006/relationships" ref="N547" r:id="rId608"/>
    <hyperlink xmlns:r="http://schemas.openxmlformats.org/officeDocument/2006/relationships" ref="N548" r:id="rId609"/>
    <hyperlink xmlns:r="http://schemas.openxmlformats.org/officeDocument/2006/relationships" ref="N549" r:id="rId610"/>
    <hyperlink xmlns:r="http://schemas.openxmlformats.org/officeDocument/2006/relationships" ref="N550" r:id="rId611"/>
    <hyperlink xmlns:r="http://schemas.openxmlformats.org/officeDocument/2006/relationships" ref="N551" r:id="rId612"/>
    <hyperlink xmlns:r="http://schemas.openxmlformats.org/officeDocument/2006/relationships" ref="N552" r:id="rId613"/>
    <hyperlink xmlns:r="http://schemas.openxmlformats.org/officeDocument/2006/relationships" ref="N553" r:id="rId614"/>
    <hyperlink xmlns:r="http://schemas.openxmlformats.org/officeDocument/2006/relationships" ref="N554" r:id="rId615"/>
    <hyperlink xmlns:r="http://schemas.openxmlformats.org/officeDocument/2006/relationships" ref="N555" r:id="rId616"/>
    <hyperlink xmlns:r="http://schemas.openxmlformats.org/officeDocument/2006/relationships" ref="N556" r:id="rId617"/>
    <hyperlink xmlns:r="http://schemas.openxmlformats.org/officeDocument/2006/relationships" ref="N557" r:id="rId618"/>
    <hyperlink xmlns:r="http://schemas.openxmlformats.org/officeDocument/2006/relationships" ref="N558" r:id="rId619"/>
    <hyperlink xmlns:r="http://schemas.openxmlformats.org/officeDocument/2006/relationships" ref="N559" r:id="rId620"/>
    <hyperlink xmlns:r="http://schemas.openxmlformats.org/officeDocument/2006/relationships" ref="N560" r:id="rId621"/>
    <hyperlink xmlns:r="http://schemas.openxmlformats.org/officeDocument/2006/relationships" ref="N561" r:id="rId622"/>
    <hyperlink xmlns:r="http://schemas.openxmlformats.org/officeDocument/2006/relationships" ref="N562" r:id="rId623"/>
    <hyperlink xmlns:r="http://schemas.openxmlformats.org/officeDocument/2006/relationships" ref="N563" r:id="rId624"/>
    <hyperlink xmlns:r="http://schemas.openxmlformats.org/officeDocument/2006/relationships" ref="N564" r:id="rId625"/>
    <hyperlink xmlns:r="http://schemas.openxmlformats.org/officeDocument/2006/relationships" ref="N565" r:id="rId626"/>
    <hyperlink xmlns:r="http://schemas.openxmlformats.org/officeDocument/2006/relationships" ref="N566" r:id="rId627"/>
    <hyperlink xmlns:r="http://schemas.openxmlformats.org/officeDocument/2006/relationships" ref="N567" r:id="rId628"/>
    <hyperlink xmlns:r="http://schemas.openxmlformats.org/officeDocument/2006/relationships" ref="N568" r:id="rId629"/>
    <hyperlink xmlns:r="http://schemas.openxmlformats.org/officeDocument/2006/relationships" ref="N569" r:id="rId630"/>
    <hyperlink xmlns:r="http://schemas.openxmlformats.org/officeDocument/2006/relationships" ref="N570" r:id="rId631"/>
    <hyperlink xmlns:r="http://schemas.openxmlformats.org/officeDocument/2006/relationships" ref="N571" r:id="rId632"/>
    <hyperlink xmlns:r="http://schemas.openxmlformats.org/officeDocument/2006/relationships" ref="N572" r:id="rId633"/>
    <hyperlink xmlns:r="http://schemas.openxmlformats.org/officeDocument/2006/relationships" ref="N573" r:id="rId634"/>
    <hyperlink xmlns:r="http://schemas.openxmlformats.org/officeDocument/2006/relationships" ref="N574" r:id="rId635"/>
    <hyperlink xmlns:r="http://schemas.openxmlformats.org/officeDocument/2006/relationships" ref="N575" r:id="rId636"/>
    <hyperlink xmlns:r="http://schemas.openxmlformats.org/officeDocument/2006/relationships" ref="N576" r:id="rId637"/>
    <hyperlink xmlns:r="http://schemas.openxmlformats.org/officeDocument/2006/relationships" ref="N577" r:id="rId638"/>
    <hyperlink xmlns:r="http://schemas.openxmlformats.org/officeDocument/2006/relationships" ref="N578" r:id="rId639"/>
    <hyperlink xmlns:r="http://schemas.openxmlformats.org/officeDocument/2006/relationships" ref="N579" r:id="rId640"/>
    <hyperlink xmlns:r="http://schemas.openxmlformats.org/officeDocument/2006/relationships" ref="N580" r:id="rId641"/>
    <hyperlink xmlns:r="http://schemas.openxmlformats.org/officeDocument/2006/relationships" ref="N581" r:id="rId642"/>
    <hyperlink xmlns:r="http://schemas.openxmlformats.org/officeDocument/2006/relationships" ref="N582" r:id="rId643"/>
    <hyperlink xmlns:r="http://schemas.openxmlformats.org/officeDocument/2006/relationships" ref="N583" r:id="rId644"/>
    <hyperlink xmlns:r="http://schemas.openxmlformats.org/officeDocument/2006/relationships" ref="N584" r:id="rId645"/>
    <hyperlink xmlns:r="http://schemas.openxmlformats.org/officeDocument/2006/relationships" ref="N585" r:id="rId646"/>
    <hyperlink xmlns:r="http://schemas.openxmlformats.org/officeDocument/2006/relationships" ref="N586" r:id="rId647"/>
    <hyperlink xmlns:r="http://schemas.openxmlformats.org/officeDocument/2006/relationships" ref="N587" r:id="rId648"/>
    <hyperlink xmlns:r="http://schemas.openxmlformats.org/officeDocument/2006/relationships" ref="N588" r:id="rId649"/>
    <hyperlink xmlns:r="http://schemas.openxmlformats.org/officeDocument/2006/relationships" ref="N589" r:id="rId650"/>
    <hyperlink xmlns:r="http://schemas.openxmlformats.org/officeDocument/2006/relationships" ref="N590" r:id="rId651"/>
    <hyperlink xmlns:r="http://schemas.openxmlformats.org/officeDocument/2006/relationships" ref="N591" r:id="rId652"/>
    <hyperlink xmlns:r="http://schemas.openxmlformats.org/officeDocument/2006/relationships" ref="N592" r:id="rId653"/>
    <hyperlink xmlns:r="http://schemas.openxmlformats.org/officeDocument/2006/relationships" ref="N593" r:id="rId654"/>
    <hyperlink xmlns:r="http://schemas.openxmlformats.org/officeDocument/2006/relationships" ref="N594" r:id="rId655"/>
    <hyperlink xmlns:r="http://schemas.openxmlformats.org/officeDocument/2006/relationships" ref="N595" r:id="rId656"/>
    <hyperlink xmlns:r="http://schemas.openxmlformats.org/officeDocument/2006/relationships" ref="N596" r:id="rId657"/>
    <hyperlink xmlns:r="http://schemas.openxmlformats.org/officeDocument/2006/relationships" ref="N597" r:id="rId658"/>
    <hyperlink xmlns:r="http://schemas.openxmlformats.org/officeDocument/2006/relationships" ref="N598" r:id="rId659"/>
    <hyperlink xmlns:r="http://schemas.openxmlformats.org/officeDocument/2006/relationships" ref="N599" r:id="rId660"/>
    <hyperlink xmlns:r="http://schemas.openxmlformats.org/officeDocument/2006/relationships" ref="N600" r:id="rId661"/>
    <hyperlink xmlns:r="http://schemas.openxmlformats.org/officeDocument/2006/relationships" ref="N601" r:id="rId662"/>
    <hyperlink xmlns:r="http://schemas.openxmlformats.org/officeDocument/2006/relationships" ref="N602" r:id="rId663"/>
    <hyperlink xmlns:r="http://schemas.openxmlformats.org/officeDocument/2006/relationships" ref="N603" r:id="rId664"/>
    <hyperlink xmlns:r="http://schemas.openxmlformats.org/officeDocument/2006/relationships" ref="N604" r:id="rId665"/>
    <hyperlink xmlns:r="http://schemas.openxmlformats.org/officeDocument/2006/relationships" ref="N605" r:id="rId666"/>
    <hyperlink xmlns:r="http://schemas.openxmlformats.org/officeDocument/2006/relationships" ref="O606" r:id="rId667"/>
    <hyperlink xmlns:r="http://schemas.openxmlformats.org/officeDocument/2006/relationships" ref="N607" r:id="rId668"/>
    <hyperlink xmlns:r="http://schemas.openxmlformats.org/officeDocument/2006/relationships" ref="N608" r:id="rId669"/>
    <hyperlink xmlns:r="http://schemas.openxmlformats.org/officeDocument/2006/relationships" ref="N609" r:id="rId670"/>
    <hyperlink xmlns:r="http://schemas.openxmlformats.org/officeDocument/2006/relationships" ref="O609" r:id="rId671"/>
    <hyperlink xmlns:r="http://schemas.openxmlformats.org/officeDocument/2006/relationships" ref="N610" r:id="rId672"/>
    <hyperlink xmlns:r="http://schemas.openxmlformats.org/officeDocument/2006/relationships" ref="N611" r:id="rId673"/>
    <hyperlink xmlns:r="http://schemas.openxmlformats.org/officeDocument/2006/relationships" ref="O611" r:id="rId674"/>
    <hyperlink xmlns:r="http://schemas.openxmlformats.org/officeDocument/2006/relationships" ref="N612" r:id="rId675"/>
    <hyperlink xmlns:r="http://schemas.openxmlformats.org/officeDocument/2006/relationships" ref="N613" r:id="rId676"/>
    <hyperlink xmlns:r="http://schemas.openxmlformats.org/officeDocument/2006/relationships" ref="O614" r:id="rId677"/>
    <hyperlink xmlns:r="http://schemas.openxmlformats.org/officeDocument/2006/relationships" ref="O615" r:id="rId678"/>
    <hyperlink xmlns:r="http://schemas.openxmlformats.org/officeDocument/2006/relationships" ref="O616" r:id="rId679"/>
    <hyperlink xmlns:r="http://schemas.openxmlformats.org/officeDocument/2006/relationships" ref="O617" r:id="rId680"/>
    <hyperlink xmlns:r="http://schemas.openxmlformats.org/officeDocument/2006/relationships" ref="O618" r:id="rId681"/>
    <hyperlink xmlns:r="http://schemas.openxmlformats.org/officeDocument/2006/relationships" ref="O619" r:id="rId682"/>
    <hyperlink xmlns:r="http://schemas.openxmlformats.org/officeDocument/2006/relationships" ref="O620" r:id="rId683"/>
    <hyperlink xmlns:r="http://schemas.openxmlformats.org/officeDocument/2006/relationships" ref="O621" r:id="rId684"/>
    <hyperlink xmlns:r="http://schemas.openxmlformats.org/officeDocument/2006/relationships" ref="O622" r:id="rId685"/>
    <hyperlink xmlns:r="http://schemas.openxmlformats.org/officeDocument/2006/relationships" ref="N623" r:id="rId686"/>
    <hyperlink xmlns:r="http://schemas.openxmlformats.org/officeDocument/2006/relationships" ref="O623" r:id="rId687"/>
    <hyperlink xmlns:r="http://schemas.openxmlformats.org/officeDocument/2006/relationships" ref="O624" r:id="rId688"/>
    <hyperlink xmlns:r="http://schemas.openxmlformats.org/officeDocument/2006/relationships" ref="O625" r:id="rId689"/>
    <hyperlink xmlns:r="http://schemas.openxmlformats.org/officeDocument/2006/relationships" ref="O626" r:id="rId690"/>
    <hyperlink xmlns:r="http://schemas.openxmlformats.org/officeDocument/2006/relationships" ref="O627" r:id="rId691"/>
    <hyperlink xmlns:r="http://schemas.openxmlformats.org/officeDocument/2006/relationships" ref="O628" r:id="rId692"/>
    <hyperlink xmlns:r="http://schemas.openxmlformats.org/officeDocument/2006/relationships" ref="O629" r:id="rId693"/>
    <hyperlink xmlns:r="http://schemas.openxmlformats.org/officeDocument/2006/relationships" ref="O630" r:id="rId694"/>
    <hyperlink xmlns:r="http://schemas.openxmlformats.org/officeDocument/2006/relationships" ref="O631" r:id="rId695"/>
    <hyperlink xmlns:r="http://schemas.openxmlformats.org/officeDocument/2006/relationships" ref="N632" r:id="rId696"/>
    <hyperlink xmlns:r="http://schemas.openxmlformats.org/officeDocument/2006/relationships" ref="N633" r:id="rId697"/>
    <hyperlink xmlns:r="http://schemas.openxmlformats.org/officeDocument/2006/relationships" ref="N634" r:id="rId698"/>
    <hyperlink xmlns:r="http://schemas.openxmlformats.org/officeDocument/2006/relationships" ref="N635" r:id="rId699"/>
    <hyperlink xmlns:r="http://schemas.openxmlformats.org/officeDocument/2006/relationships" ref="O635" r:id="rId700"/>
    <hyperlink xmlns:r="http://schemas.openxmlformats.org/officeDocument/2006/relationships" ref="N636" r:id="rId701"/>
    <hyperlink xmlns:r="http://schemas.openxmlformats.org/officeDocument/2006/relationships" ref="N637" r:id="rId702"/>
    <hyperlink xmlns:r="http://schemas.openxmlformats.org/officeDocument/2006/relationships" ref="O637" r:id="rId703"/>
    <hyperlink xmlns:r="http://schemas.openxmlformats.org/officeDocument/2006/relationships" ref="N638" r:id="rId704"/>
    <hyperlink xmlns:r="http://schemas.openxmlformats.org/officeDocument/2006/relationships" ref="N639" r:id="rId705"/>
    <hyperlink xmlns:r="http://schemas.openxmlformats.org/officeDocument/2006/relationships" ref="N640" r:id="rId706"/>
    <hyperlink xmlns:r="http://schemas.openxmlformats.org/officeDocument/2006/relationships" ref="N641" r:id="rId707"/>
    <hyperlink xmlns:r="http://schemas.openxmlformats.org/officeDocument/2006/relationships" ref="O641" r:id="rId708"/>
    <hyperlink xmlns:r="http://schemas.openxmlformats.org/officeDocument/2006/relationships" ref="N642" r:id="rId709"/>
    <hyperlink xmlns:r="http://schemas.openxmlformats.org/officeDocument/2006/relationships" ref="N643" r:id="rId710"/>
    <hyperlink xmlns:r="http://schemas.openxmlformats.org/officeDocument/2006/relationships" ref="O643" r:id="rId711"/>
    <hyperlink xmlns:r="http://schemas.openxmlformats.org/officeDocument/2006/relationships" ref="N644" r:id="rId712"/>
    <hyperlink xmlns:r="http://schemas.openxmlformats.org/officeDocument/2006/relationships" ref="O644" r:id="rId713"/>
    <hyperlink xmlns:r="http://schemas.openxmlformats.org/officeDocument/2006/relationships" ref="N645" r:id="rId714"/>
    <hyperlink xmlns:r="http://schemas.openxmlformats.org/officeDocument/2006/relationships" ref="O645" r:id="rId715"/>
    <hyperlink xmlns:r="http://schemas.openxmlformats.org/officeDocument/2006/relationships" ref="N646" r:id="rId716"/>
    <hyperlink xmlns:r="http://schemas.openxmlformats.org/officeDocument/2006/relationships" ref="N647" r:id="rId717"/>
    <hyperlink xmlns:r="http://schemas.openxmlformats.org/officeDocument/2006/relationships" ref="N648" r:id="rId718"/>
    <hyperlink xmlns:r="http://schemas.openxmlformats.org/officeDocument/2006/relationships" ref="N649" r:id="rId719"/>
    <hyperlink xmlns:r="http://schemas.openxmlformats.org/officeDocument/2006/relationships" ref="N650" r:id="rId720"/>
    <hyperlink xmlns:r="http://schemas.openxmlformats.org/officeDocument/2006/relationships" ref="N651" r:id="rId721"/>
    <hyperlink xmlns:r="http://schemas.openxmlformats.org/officeDocument/2006/relationships" ref="N652" r:id="rId722"/>
    <hyperlink xmlns:r="http://schemas.openxmlformats.org/officeDocument/2006/relationships" ref="N653" r:id="rId723"/>
    <hyperlink xmlns:r="http://schemas.openxmlformats.org/officeDocument/2006/relationships" ref="N654" r:id="rId724"/>
    <hyperlink xmlns:r="http://schemas.openxmlformats.org/officeDocument/2006/relationships" ref="N655" r:id="rId725"/>
    <hyperlink xmlns:r="http://schemas.openxmlformats.org/officeDocument/2006/relationships" ref="N656" r:id="rId726"/>
    <hyperlink xmlns:r="http://schemas.openxmlformats.org/officeDocument/2006/relationships" ref="N657" r:id="rId727"/>
    <hyperlink xmlns:r="http://schemas.openxmlformats.org/officeDocument/2006/relationships" ref="N658" r:id="rId728"/>
    <hyperlink xmlns:r="http://schemas.openxmlformats.org/officeDocument/2006/relationships" ref="N659" r:id="rId729"/>
    <hyperlink xmlns:r="http://schemas.openxmlformats.org/officeDocument/2006/relationships" ref="O659" r:id="rId730"/>
    <hyperlink xmlns:r="http://schemas.openxmlformats.org/officeDocument/2006/relationships" ref="N660" r:id="rId731"/>
    <hyperlink xmlns:r="http://schemas.openxmlformats.org/officeDocument/2006/relationships" ref="O660" r:id="rId732"/>
    <hyperlink xmlns:r="http://schemas.openxmlformats.org/officeDocument/2006/relationships" ref="N661" r:id="rId733"/>
    <hyperlink xmlns:r="http://schemas.openxmlformats.org/officeDocument/2006/relationships" ref="O661" r:id="rId734"/>
    <hyperlink xmlns:r="http://schemas.openxmlformats.org/officeDocument/2006/relationships" ref="N662" r:id="rId735"/>
    <hyperlink xmlns:r="http://schemas.openxmlformats.org/officeDocument/2006/relationships" ref="O662" r:id="rId736"/>
    <hyperlink xmlns:r="http://schemas.openxmlformats.org/officeDocument/2006/relationships" ref="N663" r:id="rId737"/>
    <hyperlink xmlns:r="http://schemas.openxmlformats.org/officeDocument/2006/relationships" ref="N664" r:id="rId738"/>
    <hyperlink xmlns:r="http://schemas.openxmlformats.org/officeDocument/2006/relationships" ref="N665" r:id="rId739"/>
    <hyperlink xmlns:r="http://schemas.openxmlformats.org/officeDocument/2006/relationships" ref="N666" r:id="rId740"/>
    <hyperlink xmlns:r="http://schemas.openxmlformats.org/officeDocument/2006/relationships" ref="O666" r:id="rId741"/>
    <hyperlink xmlns:r="http://schemas.openxmlformats.org/officeDocument/2006/relationships" ref="N667" r:id="rId742"/>
    <hyperlink xmlns:r="http://schemas.openxmlformats.org/officeDocument/2006/relationships" ref="O668" r:id="rId743"/>
    <hyperlink xmlns:r="http://schemas.openxmlformats.org/officeDocument/2006/relationships" ref="O669" r:id="rId744"/>
    <hyperlink xmlns:r="http://schemas.openxmlformats.org/officeDocument/2006/relationships" ref="O670" r:id="rId745"/>
    <hyperlink xmlns:r="http://schemas.openxmlformats.org/officeDocument/2006/relationships" ref="O671" r:id="rId746"/>
    <hyperlink xmlns:r="http://schemas.openxmlformats.org/officeDocument/2006/relationships" ref="O672" r:id="rId747"/>
    <hyperlink xmlns:r="http://schemas.openxmlformats.org/officeDocument/2006/relationships" ref="O673" r:id="rId748"/>
    <hyperlink xmlns:r="http://schemas.openxmlformats.org/officeDocument/2006/relationships" ref="O674" r:id="rId749"/>
    <hyperlink xmlns:r="http://schemas.openxmlformats.org/officeDocument/2006/relationships" ref="O675" r:id="rId750"/>
    <hyperlink xmlns:r="http://schemas.openxmlformats.org/officeDocument/2006/relationships" ref="O676" r:id="rId751"/>
    <hyperlink xmlns:r="http://schemas.openxmlformats.org/officeDocument/2006/relationships" ref="O677" r:id="rId752"/>
    <hyperlink xmlns:r="http://schemas.openxmlformats.org/officeDocument/2006/relationships" ref="O678" r:id="rId753"/>
    <hyperlink xmlns:r="http://schemas.openxmlformats.org/officeDocument/2006/relationships" ref="O679" r:id="rId754"/>
    <hyperlink xmlns:r="http://schemas.openxmlformats.org/officeDocument/2006/relationships" ref="O680" r:id="rId755"/>
    <hyperlink xmlns:r="http://schemas.openxmlformats.org/officeDocument/2006/relationships" ref="O681" r:id="rId756"/>
    <hyperlink xmlns:r="http://schemas.openxmlformats.org/officeDocument/2006/relationships" ref="O682" r:id="rId757"/>
    <hyperlink xmlns:r="http://schemas.openxmlformats.org/officeDocument/2006/relationships" ref="O683" r:id="rId758"/>
    <hyperlink xmlns:r="http://schemas.openxmlformats.org/officeDocument/2006/relationships" ref="O684" r:id="rId759"/>
    <hyperlink xmlns:r="http://schemas.openxmlformats.org/officeDocument/2006/relationships" ref="O685" r:id="rId760"/>
    <hyperlink xmlns:r="http://schemas.openxmlformats.org/officeDocument/2006/relationships" ref="O686" r:id="rId761"/>
    <hyperlink xmlns:r="http://schemas.openxmlformats.org/officeDocument/2006/relationships" ref="O687" r:id="rId762"/>
    <hyperlink xmlns:r="http://schemas.openxmlformats.org/officeDocument/2006/relationships" ref="O688" r:id="rId763"/>
    <hyperlink xmlns:r="http://schemas.openxmlformats.org/officeDocument/2006/relationships" ref="O689" r:id="rId764"/>
    <hyperlink xmlns:r="http://schemas.openxmlformats.org/officeDocument/2006/relationships" ref="O690" r:id="rId765"/>
    <hyperlink xmlns:r="http://schemas.openxmlformats.org/officeDocument/2006/relationships" ref="O691" r:id="rId766"/>
    <hyperlink xmlns:r="http://schemas.openxmlformats.org/officeDocument/2006/relationships" ref="O692" r:id="rId767"/>
    <hyperlink xmlns:r="http://schemas.openxmlformats.org/officeDocument/2006/relationships" ref="O693" r:id="rId768"/>
    <hyperlink xmlns:r="http://schemas.openxmlformats.org/officeDocument/2006/relationships" ref="O694" r:id="rId769"/>
    <hyperlink xmlns:r="http://schemas.openxmlformats.org/officeDocument/2006/relationships" ref="O695" r:id="rId770"/>
    <hyperlink xmlns:r="http://schemas.openxmlformats.org/officeDocument/2006/relationships" ref="N696" r:id="rId771"/>
    <hyperlink xmlns:r="http://schemas.openxmlformats.org/officeDocument/2006/relationships" ref="O696" r:id="rId772"/>
    <hyperlink xmlns:r="http://schemas.openxmlformats.org/officeDocument/2006/relationships" ref="N697" r:id="rId773"/>
    <hyperlink xmlns:r="http://schemas.openxmlformats.org/officeDocument/2006/relationships" ref="N698" r:id="rId774"/>
    <hyperlink xmlns:r="http://schemas.openxmlformats.org/officeDocument/2006/relationships" ref="N699" r:id="rId775"/>
    <hyperlink xmlns:r="http://schemas.openxmlformats.org/officeDocument/2006/relationships" ref="N700" r:id="rId776"/>
    <hyperlink xmlns:r="http://schemas.openxmlformats.org/officeDocument/2006/relationships" ref="N701" r:id="rId777"/>
    <hyperlink xmlns:r="http://schemas.openxmlformats.org/officeDocument/2006/relationships" ref="O701" r:id="rId778"/>
    <hyperlink xmlns:r="http://schemas.openxmlformats.org/officeDocument/2006/relationships" ref="N702" r:id="rId779"/>
    <hyperlink xmlns:r="http://schemas.openxmlformats.org/officeDocument/2006/relationships" ref="O702" r:id="rId780"/>
    <hyperlink xmlns:r="http://schemas.openxmlformats.org/officeDocument/2006/relationships" ref="N703" r:id="rId781"/>
    <hyperlink xmlns:r="http://schemas.openxmlformats.org/officeDocument/2006/relationships" ref="O703" r:id="rId782"/>
    <hyperlink xmlns:r="http://schemas.openxmlformats.org/officeDocument/2006/relationships" ref="N704" r:id="rId783"/>
    <hyperlink xmlns:r="http://schemas.openxmlformats.org/officeDocument/2006/relationships" ref="O704" r:id="rId784"/>
    <hyperlink xmlns:r="http://schemas.openxmlformats.org/officeDocument/2006/relationships" ref="N705" r:id="rId785"/>
    <hyperlink xmlns:r="http://schemas.openxmlformats.org/officeDocument/2006/relationships" ref="O705" r:id="rId786"/>
    <hyperlink xmlns:r="http://schemas.openxmlformats.org/officeDocument/2006/relationships" ref="N706" r:id="rId787"/>
    <hyperlink xmlns:r="http://schemas.openxmlformats.org/officeDocument/2006/relationships" ref="O706" r:id="rId788"/>
    <hyperlink xmlns:r="http://schemas.openxmlformats.org/officeDocument/2006/relationships" ref="N707" r:id="rId789"/>
    <hyperlink xmlns:r="http://schemas.openxmlformats.org/officeDocument/2006/relationships" ref="O707" r:id="rId790"/>
    <hyperlink xmlns:r="http://schemas.openxmlformats.org/officeDocument/2006/relationships" ref="N708" r:id="rId791"/>
    <hyperlink xmlns:r="http://schemas.openxmlformats.org/officeDocument/2006/relationships" ref="O708" r:id="rId792"/>
    <hyperlink xmlns:r="http://schemas.openxmlformats.org/officeDocument/2006/relationships" ref="N709" r:id="rId793"/>
    <hyperlink xmlns:r="http://schemas.openxmlformats.org/officeDocument/2006/relationships" ref="O709" r:id="rId794"/>
    <hyperlink xmlns:r="http://schemas.openxmlformats.org/officeDocument/2006/relationships" ref="O710" r:id="rId795"/>
    <hyperlink xmlns:r="http://schemas.openxmlformats.org/officeDocument/2006/relationships" ref="O711" r:id="rId796"/>
    <hyperlink xmlns:r="http://schemas.openxmlformats.org/officeDocument/2006/relationships" ref="O712" r:id="rId797"/>
    <hyperlink xmlns:r="http://schemas.openxmlformats.org/officeDocument/2006/relationships" ref="O713" r:id="rId798"/>
    <hyperlink xmlns:r="http://schemas.openxmlformats.org/officeDocument/2006/relationships" ref="O714" r:id="rId799"/>
    <hyperlink xmlns:r="http://schemas.openxmlformats.org/officeDocument/2006/relationships" ref="O715" r:id="rId800"/>
    <hyperlink xmlns:r="http://schemas.openxmlformats.org/officeDocument/2006/relationships" ref="O716" r:id="rId801"/>
    <hyperlink xmlns:r="http://schemas.openxmlformats.org/officeDocument/2006/relationships" ref="O717" r:id="rId802"/>
    <hyperlink xmlns:r="http://schemas.openxmlformats.org/officeDocument/2006/relationships" ref="O718" r:id="rId803"/>
    <hyperlink xmlns:r="http://schemas.openxmlformats.org/officeDocument/2006/relationships" ref="O719" r:id="rId804"/>
    <hyperlink xmlns:r="http://schemas.openxmlformats.org/officeDocument/2006/relationships" ref="O720" r:id="rId805"/>
    <hyperlink xmlns:r="http://schemas.openxmlformats.org/officeDocument/2006/relationships" ref="O721" r:id="rId806"/>
    <hyperlink xmlns:r="http://schemas.openxmlformats.org/officeDocument/2006/relationships" ref="O722" r:id="rId807"/>
    <hyperlink xmlns:r="http://schemas.openxmlformats.org/officeDocument/2006/relationships" ref="O723" r:id="rId808"/>
    <hyperlink xmlns:r="http://schemas.openxmlformats.org/officeDocument/2006/relationships" ref="O724" r:id="rId809"/>
    <hyperlink xmlns:r="http://schemas.openxmlformats.org/officeDocument/2006/relationships" ref="O725" r:id="rId810"/>
    <hyperlink xmlns:r="http://schemas.openxmlformats.org/officeDocument/2006/relationships" ref="O726" r:id="rId811"/>
    <hyperlink xmlns:r="http://schemas.openxmlformats.org/officeDocument/2006/relationships" ref="O727" r:id="rId812"/>
    <hyperlink xmlns:r="http://schemas.openxmlformats.org/officeDocument/2006/relationships" ref="O728" r:id="rId813"/>
    <hyperlink xmlns:r="http://schemas.openxmlformats.org/officeDocument/2006/relationships" ref="O729" r:id="rId814"/>
    <hyperlink xmlns:r="http://schemas.openxmlformats.org/officeDocument/2006/relationships" ref="N730" r:id="rId815"/>
    <hyperlink xmlns:r="http://schemas.openxmlformats.org/officeDocument/2006/relationships" ref="N731" r:id="rId816"/>
    <hyperlink xmlns:r="http://schemas.openxmlformats.org/officeDocument/2006/relationships" ref="N732" r:id="rId817"/>
    <hyperlink xmlns:r="http://schemas.openxmlformats.org/officeDocument/2006/relationships" ref="N733" r:id="rId818"/>
    <hyperlink xmlns:r="http://schemas.openxmlformats.org/officeDocument/2006/relationships" ref="N734" r:id="rId819"/>
    <hyperlink xmlns:r="http://schemas.openxmlformats.org/officeDocument/2006/relationships" ref="N735" r:id="rId820"/>
    <hyperlink xmlns:r="http://schemas.openxmlformats.org/officeDocument/2006/relationships" ref="O735" r:id="rId821"/>
    <hyperlink xmlns:r="http://schemas.openxmlformats.org/officeDocument/2006/relationships" ref="N736" r:id="rId822"/>
    <hyperlink xmlns:r="http://schemas.openxmlformats.org/officeDocument/2006/relationships" ref="O737" r:id="rId823"/>
    <hyperlink xmlns:r="http://schemas.openxmlformats.org/officeDocument/2006/relationships" ref="N738" r:id="rId824"/>
    <hyperlink xmlns:r="http://schemas.openxmlformats.org/officeDocument/2006/relationships" ref="O738" r:id="rId825"/>
    <hyperlink xmlns:r="http://schemas.openxmlformats.org/officeDocument/2006/relationships" ref="N739" r:id="rId826"/>
    <hyperlink xmlns:r="http://schemas.openxmlformats.org/officeDocument/2006/relationships" ref="O739" r:id="rId827"/>
    <hyperlink xmlns:r="http://schemas.openxmlformats.org/officeDocument/2006/relationships" ref="N740" r:id="rId828"/>
    <hyperlink xmlns:r="http://schemas.openxmlformats.org/officeDocument/2006/relationships" ref="O740" r:id="rId829"/>
    <hyperlink xmlns:r="http://schemas.openxmlformats.org/officeDocument/2006/relationships" ref="N741" r:id="rId830"/>
    <hyperlink xmlns:r="http://schemas.openxmlformats.org/officeDocument/2006/relationships" ref="O741" r:id="rId831"/>
    <hyperlink xmlns:r="http://schemas.openxmlformats.org/officeDocument/2006/relationships" ref="N742" r:id="rId832"/>
    <hyperlink xmlns:r="http://schemas.openxmlformats.org/officeDocument/2006/relationships" ref="O742" r:id="rId833"/>
    <hyperlink xmlns:r="http://schemas.openxmlformats.org/officeDocument/2006/relationships" ref="N743" r:id="rId834"/>
    <hyperlink xmlns:r="http://schemas.openxmlformats.org/officeDocument/2006/relationships" ref="O743" r:id="rId835"/>
    <hyperlink xmlns:r="http://schemas.openxmlformats.org/officeDocument/2006/relationships" ref="O744" r:id="rId836"/>
    <hyperlink xmlns:r="http://schemas.openxmlformats.org/officeDocument/2006/relationships" ref="N745" r:id="rId837"/>
    <hyperlink xmlns:r="http://schemas.openxmlformats.org/officeDocument/2006/relationships" ref="O745" r:id="rId838"/>
    <hyperlink xmlns:r="http://schemas.openxmlformats.org/officeDocument/2006/relationships" ref="O746" r:id="rId839"/>
    <hyperlink xmlns:r="http://schemas.openxmlformats.org/officeDocument/2006/relationships" ref="N747" r:id="rId840"/>
    <hyperlink xmlns:r="http://schemas.openxmlformats.org/officeDocument/2006/relationships" ref="O747" r:id="rId841"/>
    <hyperlink xmlns:r="http://schemas.openxmlformats.org/officeDocument/2006/relationships" ref="N748" r:id="rId842"/>
    <hyperlink xmlns:r="http://schemas.openxmlformats.org/officeDocument/2006/relationships" ref="O748" r:id="rId843"/>
    <hyperlink xmlns:r="http://schemas.openxmlformats.org/officeDocument/2006/relationships" ref="N749" r:id="rId844"/>
    <hyperlink xmlns:r="http://schemas.openxmlformats.org/officeDocument/2006/relationships" ref="O749" r:id="rId845"/>
    <hyperlink xmlns:r="http://schemas.openxmlformats.org/officeDocument/2006/relationships" ref="O750" r:id="rId846"/>
    <hyperlink xmlns:r="http://schemas.openxmlformats.org/officeDocument/2006/relationships" ref="N751" r:id="rId847"/>
    <hyperlink xmlns:r="http://schemas.openxmlformats.org/officeDocument/2006/relationships" ref="O751" r:id="rId848"/>
    <hyperlink xmlns:r="http://schemas.openxmlformats.org/officeDocument/2006/relationships" ref="N752" r:id="rId849"/>
    <hyperlink xmlns:r="http://schemas.openxmlformats.org/officeDocument/2006/relationships" ref="O752" r:id="rId850"/>
    <hyperlink xmlns:r="http://schemas.openxmlformats.org/officeDocument/2006/relationships" ref="O753" r:id="rId851"/>
    <hyperlink xmlns:r="http://schemas.openxmlformats.org/officeDocument/2006/relationships" ref="O754" r:id="rId852"/>
    <hyperlink xmlns:r="http://schemas.openxmlformats.org/officeDocument/2006/relationships" ref="O755" r:id="rId853"/>
    <hyperlink xmlns:r="http://schemas.openxmlformats.org/officeDocument/2006/relationships" ref="O756" r:id="rId854"/>
    <hyperlink xmlns:r="http://schemas.openxmlformats.org/officeDocument/2006/relationships" ref="O757" r:id="rId855"/>
    <hyperlink xmlns:r="http://schemas.openxmlformats.org/officeDocument/2006/relationships" ref="O758" r:id="rId856"/>
    <hyperlink xmlns:r="http://schemas.openxmlformats.org/officeDocument/2006/relationships" ref="O759" r:id="rId857"/>
    <hyperlink xmlns:r="http://schemas.openxmlformats.org/officeDocument/2006/relationships" ref="O760" r:id="rId858"/>
    <hyperlink xmlns:r="http://schemas.openxmlformats.org/officeDocument/2006/relationships" ref="O761" r:id="rId859"/>
    <hyperlink xmlns:r="http://schemas.openxmlformats.org/officeDocument/2006/relationships" ref="O762" r:id="rId860"/>
    <hyperlink xmlns:r="http://schemas.openxmlformats.org/officeDocument/2006/relationships" ref="O763" r:id="rId861"/>
    <hyperlink xmlns:r="http://schemas.openxmlformats.org/officeDocument/2006/relationships" ref="O764" r:id="rId862"/>
    <hyperlink xmlns:r="http://schemas.openxmlformats.org/officeDocument/2006/relationships" ref="O765" r:id="rId863"/>
    <hyperlink xmlns:r="http://schemas.openxmlformats.org/officeDocument/2006/relationships" ref="O766" r:id="rId864"/>
    <hyperlink xmlns:r="http://schemas.openxmlformats.org/officeDocument/2006/relationships" ref="O767" r:id="rId865"/>
    <hyperlink xmlns:r="http://schemas.openxmlformats.org/officeDocument/2006/relationships" ref="O768" r:id="rId866"/>
    <hyperlink xmlns:r="http://schemas.openxmlformats.org/officeDocument/2006/relationships" ref="O769" r:id="rId867"/>
    <hyperlink xmlns:r="http://schemas.openxmlformats.org/officeDocument/2006/relationships" ref="O770" r:id="rId868"/>
    <hyperlink xmlns:r="http://schemas.openxmlformats.org/officeDocument/2006/relationships" ref="O771" r:id="rId869"/>
    <hyperlink xmlns:r="http://schemas.openxmlformats.org/officeDocument/2006/relationships" ref="O772" r:id="rId870"/>
    <hyperlink xmlns:r="http://schemas.openxmlformats.org/officeDocument/2006/relationships" ref="O773" r:id="rId871"/>
    <hyperlink xmlns:r="http://schemas.openxmlformats.org/officeDocument/2006/relationships" ref="O774" r:id="rId872"/>
    <hyperlink xmlns:r="http://schemas.openxmlformats.org/officeDocument/2006/relationships" ref="O775" r:id="rId873"/>
    <hyperlink xmlns:r="http://schemas.openxmlformats.org/officeDocument/2006/relationships" ref="O776" r:id="rId874"/>
    <hyperlink xmlns:r="http://schemas.openxmlformats.org/officeDocument/2006/relationships" ref="O777" r:id="rId875"/>
    <hyperlink xmlns:r="http://schemas.openxmlformats.org/officeDocument/2006/relationships" ref="O778" r:id="rId876"/>
    <hyperlink xmlns:r="http://schemas.openxmlformats.org/officeDocument/2006/relationships" ref="O779" r:id="rId877"/>
    <hyperlink xmlns:r="http://schemas.openxmlformats.org/officeDocument/2006/relationships" ref="O780" r:id="rId878"/>
    <hyperlink xmlns:r="http://schemas.openxmlformats.org/officeDocument/2006/relationships" ref="N781" r:id="rId879"/>
    <hyperlink xmlns:r="http://schemas.openxmlformats.org/officeDocument/2006/relationships" ref="O781" r:id="rId880"/>
    <hyperlink xmlns:r="http://schemas.openxmlformats.org/officeDocument/2006/relationships" ref="N782" r:id="rId881"/>
    <hyperlink xmlns:r="http://schemas.openxmlformats.org/officeDocument/2006/relationships" ref="O782" r:id="rId882"/>
    <hyperlink xmlns:r="http://schemas.openxmlformats.org/officeDocument/2006/relationships" ref="N783" r:id="rId883"/>
    <hyperlink xmlns:r="http://schemas.openxmlformats.org/officeDocument/2006/relationships" ref="O783" r:id="rId884"/>
    <hyperlink xmlns:r="http://schemas.openxmlformats.org/officeDocument/2006/relationships" ref="N784" r:id="rId885"/>
    <hyperlink xmlns:r="http://schemas.openxmlformats.org/officeDocument/2006/relationships" ref="O784" r:id="rId886"/>
    <hyperlink xmlns:r="http://schemas.openxmlformats.org/officeDocument/2006/relationships" ref="N785" r:id="rId887"/>
    <hyperlink xmlns:r="http://schemas.openxmlformats.org/officeDocument/2006/relationships" ref="O785" r:id="rId888"/>
    <hyperlink xmlns:r="http://schemas.openxmlformats.org/officeDocument/2006/relationships" ref="N786" r:id="rId889"/>
    <hyperlink xmlns:r="http://schemas.openxmlformats.org/officeDocument/2006/relationships" ref="O786" r:id="rId890"/>
    <hyperlink xmlns:r="http://schemas.openxmlformats.org/officeDocument/2006/relationships" ref="N787" r:id="rId891"/>
    <hyperlink xmlns:r="http://schemas.openxmlformats.org/officeDocument/2006/relationships" ref="O787" r:id="rId892"/>
    <hyperlink xmlns:r="http://schemas.openxmlformats.org/officeDocument/2006/relationships" ref="N788" r:id="rId893"/>
    <hyperlink xmlns:r="http://schemas.openxmlformats.org/officeDocument/2006/relationships" ref="O788" r:id="rId894"/>
    <hyperlink xmlns:r="http://schemas.openxmlformats.org/officeDocument/2006/relationships" ref="N789" r:id="rId895"/>
    <hyperlink xmlns:r="http://schemas.openxmlformats.org/officeDocument/2006/relationships" ref="O789" r:id="rId896"/>
    <hyperlink xmlns:r="http://schemas.openxmlformats.org/officeDocument/2006/relationships" ref="N790" r:id="rId897"/>
    <hyperlink xmlns:r="http://schemas.openxmlformats.org/officeDocument/2006/relationships" ref="O790" r:id="rId898"/>
    <hyperlink xmlns:r="http://schemas.openxmlformats.org/officeDocument/2006/relationships" ref="O791" r:id="rId899"/>
    <hyperlink xmlns:r="http://schemas.openxmlformats.org/officeDocument/2006/relationships" ref="N792" r:id="rId900"/>
    <hyperlink xmlns:r="http://schemas.openxmlformats.org/officeDocument/2006/relationships" ref="O792" r:id="rId901"/>
    <hyperlink xmlns:r="http://schemas.openxmlformats.org/officeDocument/2006/relationships" ref="N793" r:id="rId902"/>
    <hyperlink xmlns:r="http://schemas.openxmlformats.org/officeDocument/2006/relationships" ref="O793" r:id="rId903"/>
    <hyperlink xmlns:r="http://schemas.openxmlformats.org/officeDocument/2006/relationships" ref="N794" r:id="rId904"/>
    <hyperlink xmlns:r="http://schemas.openxmlformats.org/officeDocument/2006/relationships" ref="N795" r:id="rId905"/>
    <hyperlink xmlns:r="http://schemas.openxmlformats.org/officeDocument/2006/relationships" ref="O795" r:id="rId906"/>
    <hyperlink xmlns:r="http://schemas.openxmlformats.org/officeDocument/2006/relationships" ref="O796" r:id="rId907"/>
    <hyperlink xmlns:r="http://schemas.openxmlformats.org/officeDocument/2006/relationships" ref="N797" r:id="rId908"/>
    <hyperlink xmlns:r="http://schemas.openxmlformats.org/officeDocument/2006/relationships" ref="N798" r:id="rId909"/>
    <hyperlink xmlns:r="http://schemas.openxmlformats.org/officeDocument/2006/relationships" ref="O798" r:id="rId910"/>
    <hyperlink xmlns:r="http://schemas.openxmlformats.org/officeDocument/2006/relationships" ref="N799" r:id="rId911"/>
    <hyperlink xmlns:r="http://schemas.openxmlformats.org/officeDocument/2006/relationships" ref="N800" r:id="rId912"/>
    <hyperlink xmlns:r="http://schemas.openxmlformats.org/officeDocument/2006/relationships" ref="N801" r:id="rId913"/>
    <hyperlink xmlns:r="http://schemas.openxmlformats.org/officeDocument/2006/relationships" ref="O801" r:id="rId914"/>
    <hyperlink xmlns:r="http://schemas.openxmlformats.org/officeDocument/2006/relationships" ref="N802" r:id="rId915"/>
    <hyperlink xmlns:r="http://schemas.openxmlformats.org/officeDocument/2006/relationships" ref="O802" r:id="rId916"/>
    <hyperlink xmlns:r="http://schemas.openxmlformats.org/officeDocument/2006/relationships" ref="N803" r:id="rId917"/>
    <hyperlink xmlns:r="http://schemas.openxmlformats.org/officeDocument/2006/relationships" ref="N804" r:id="rId918"/>
    <hyperlink xmlns:r="http://schemas.openxmlformats.org/officeDocument/2006/relationships" ref="N805" r:id="rId919"/>
    <hyperlink xmlns:r="http://schemas.openxmlformats.org/officeDocument/2006/relationships" ref="O806" r:id="rId920"/>
    <hyperlink xmlns:r="http://schemas.openxmlformats.org/officeDocument/2006/relationships" ref="O807" r:id="rId921"/>
    <hyperlink xmlns:r="http://schemas.openxmlformats.org/officeDocument/2006/relationships" ref="O808" r:id="rId922"/>
    <hyperlink xmlns:r="http://schemas.openxmlformats.org/officeDocument/2006/relationships" ref="N809" r:id="rId923"/>
    <hyperlink xmlns:r="http://schemas.openxmlformats.org/officeDocument/2006/relationships" ref="O809" r:id="rId924"/>
    <hyperlink xmlns:r="http://schemas.openxmlformats.org/officeDocument/2006/relationships" ref="N810" r:id="rId925"/>
    <hyperlink xmlns:r="http://schemas.openxmlformats.org/officeDocument/2006/relationships" ref="O810" r:id="rId926"/>
    <hyperlink xmlns:r="http://schemas.openxmlformats.org/officeDocument/2006/relationships" ref="O811" r:id="rId927"/>
    <hyperlink xmlns:r="http://schemas.openxmlformats.org/officeDocument/2006/relationships" ref="O812" r:id="rId928"/>
    <hyperlink xmlns:r="http://schemas.openxmlformats.org/officeDocument/2006/relationships" ref="O813" r:id="rId929"/>
    <hyperlink xmlns:r="http://schemas.openxmlformats.org/officeDocument/2006/relationships" ref="N814" r:id="rId930"/>
    <hyperlink xmlns:r="http://schemas.openxmlformats.org/officeDocument/2006/relationships" ref="N815" r:id="rId931"/>
    <hyperlink xmlns:r="http://schemas.openxmlformats.org/officeDocument/2006/relationships" ref="N816" r:id="rId932"/>
    <hyperlink xmlns:r="http://schemas.openxmlformats.org/officeDocument/2006/relationships" ref="O817" r:id="rId933"/>
    <hyperlink xmlns:r="http://schemas.openxmlformats.org/officeDocument/2006/relationships" ref="N818" r:id="rId934"/>
    <hyperlink xmlns:r="http://schemas.openxmlformats.org/officeDocument/2006/relationships" ref="N819" r:id="rId935"/>
    <hyperlink xmlns:r="http://schemas.openxmlformats.org/officeDocument/2006/relationships" ref="N820" r:id="rId936"/>
    <hyperlink xmlns:r="http://schemas.openxmlformats.org/officeDocument/2006/relationships" ref="N821" r:id="rId937"/>
    <hyperlink xmlns:r="http://schemas.openxmlformats.org/officeDocument/2006/relationships" ref="N822" r:id="rId938"/>
    <hyperlink xmlns:r="http://schemas.openxmlformats.org/officeDocument/2006/relationships" ref="N823" r:id="rId939"/>
    <hyperlink xmlns:r="http://schemas.openxmlformats.org/officeDocument/2006/relationships" ref="N824" r:id="rId940"/>
    <hyperlink xmlns:r="http://schemas.openxmlformats.org/officeDocument/2006/relationships" ref="N825" r:id="rId941"/>
    <hyperlink xmlns:r="http://schemas.openxmlformats.org/officeDocument/2006/relationships" ref="N826" r:id="rId942"/>
    <hyperlink xmlns:r="http://schemas.openxmlformats.org/officeDocument/2006/relationships" ref="N827" r:id="rId943"/>
    <hyperlink xmlns:r="http://schemas.openxmlformats.org/officeDocument/2006/relationships" ref="N828" r:id="rId944"/>
    <hyperlink xmlns:r="http://schemas.openxmlformats.org/officeDocument/2006/relationships" ref="N829" r:id="rId945"/>
    <hyperlink xmlns:r="http://schemas.openxmlformats.org/officeDocument/2006/relationships" ref="N830" r:id="rId946"/>
    <hyperlink xmlns:r="http://schemas.openxmlformats.org/officeDocument/2006/relationships" ref="N831" r:id="rId947"/>
    <hyperlink xmlns:r="http://schemas.openxmlformats.org/officeDocument/2006/relationships" ref="N832" r:id="rId948"/>
    <hyperlink xmlns:r="http://schemas.openxmlformats.org/officeDocument/2006/relationships" ref="N833" r:id="rId949"/>
    <hyperlink xmlns:r="http://schemas.openxmlformats.org/officeDocument/2006/relationships" ref="N834" r:id="rId950"/>
    <hyperlink xmlns:r="http://schemas.openxmlformats.org/officeDocument/2006/relationships" ref="N835" r:id="rId951"/>
    <hyperlink xmlns:r="http://schemas.openxmlformats.org/officeDocument/2006/relationships" ref="N836" r:id="rId952"/>
    <hyperlink xmlns:r="http://schemas.openxmlformats.org/officeDocument/2006/relationships" ref="N837" r:id="rId953"/>
    <hyperlink xmlns:r="http://schemas.openxmlformats.org/officeDocument/2006/relationships" ref="N838" r:id="rId954"/>
    <hyperlink xmlns:r="http://schemas.openxmlformats.org/officeDocument/2006/relationships" ref="N839" r:id="rId955"/>
    <hyperlink xmlns:r="http://schemas.openxmlformats.org/officeDocument/2006/relationships" ref="N840" r:id="rId956"/>
    <hyperlink xmlns:r="http://schemas.openxmlformats.org/officeDocument/2006/relationships" ref="N841" r:id="rId957"/>
    <hyperlink xmlns:r="http://schemas.openxmlformats.org/officeDocument/2006/relationships" ref="N842" r:id="rId958"/>
    <hyperlink xmlns:r="http://schemas.openxmlformats.org/officeDocument/2006/relationships" ref="N843" r:id="rId959"/>
    <hyperlink xmlns:r="http://schemas.openxmlformats.org/officeDocument/2006/relationships" ref="N844" r:id="rId960"/>
    <hyperlink xmlns:r="http://schemas.openxmlformats.org/officeDocument/2006/relationships" ref="N845" r:id="rId961"/>
    <hyperlink xmlns:r="http://schemas.openxmlformats.org/officeDocument/2006/relationships" ref="N846" r:id="rId962"/>
    <hyperlink xmlns:r="http://schemas.openxmlformats.org/officeDocument/2006/relationships" ref="N847" r:id="rId963"/>
    <hyperlink xmlns:r="http://schemas.openxmlformats.org/officeDocument/2006/relationships" ref="N848" r:id="rId964"/>
    <hyperlink xmlns:r="http://schemas.openxmlformats.org/officeDocument/2006/relationships" ref="N849" r:id="rId965"/>
    <hyperlink xmlns:r="http://schemas.openxmlformats.org/officeDocument/2006/relationships" ref="N850" r:id="rId966"/>
    <hyperlink xmlns:r="http://schemas.openxmlformats.org/officeDocument/2006/relationships" ref="N851" r:id="rId967"/>
    <hyperlink xmlns:r="http://schemas.openxmlformats.org/officeDocument/2006/relationships" ref="N852" r:id="rId968"/>
    <hyperlink xmlns:r="http://schemas.openxmlformats.org/officeDocument/2006/relationships" ref="N853" r:id="rId969"/>
    <hyperlink xmlns:r="http://schemas.openxmlformats.org/officeDocument/2006/relationships" ref="N854" r:id="rId970"/>
    <hyperlink xmlns:r="http://schemas.openxmlformats.org/officeDocument/2006/relationships" ref="N855" r:id="rId971"/>
    <hyperlink xmlns:r="http://schemas.openxmlformats.org/officeDocument/2006/relationships" ref="N856" r:id="rId972"/>
    <hyperlink xmlns:r="http://schemas.openxmlformats.org/officeDocument/2006/relationships" ref="N857" r:id="rId973"/>
    <hyperlink xmlns:r="http://schemas.openxmlformats.org/officeDocument/2006/relationships" ref="N858" r:id="rId974"/>
    <hyperlink xmlns:r="http://schemas.openxmlformats.org/officeDocument/2006/relationships" ref="N859" r:id="rId975"/>
    <hyperlink xmlns:r="http://schemas.openxmlformats.org/officeDocument/2006/relationships" ref="N860" r:id="rId976"/>
    <hyperlink xmlns:r="http://schemas.openxmlformats.org/officeDocument/2006/relationships" ref="N861" r:id="rId977"/>
    <hyperlink xmlns:r="http://schemas.openxmlformats.org/officeDocument/2006/relationships" ref="N862" r:id="rId978"/>
    <hyperlink xmlns:r="http://schemas.openxmlformats.org/officeDocument/2006/relationships" ref="N863" r:id="rId979"/>
    <hyperlink xmlns:r="http://schemas.openxmlformats.org/officeDocument/2006/relationships" ref="N864" r:id="rId980"/>
    <hyperlink xmlns:r="http://schemas.openxmlformats.org/officeDocument/2006/relationships" ref="N865" r:id="rId981"/>
    <hyperlink xmlns:r="http://schemas.openxmlformats.org/officeDocument/2006/relationships" ref="N866" r:id="rId982"/>
    <hyperlink xmlns:r="http://schemas.openxmlformats.org/officeDocument/2006/relationships" ref="N867" r:id="rId983"/>
    <hyperlink xmlns:r="http://schemas.openxmlformats.org/officeDocument/2006/relationships" ref="N868" r:id="rId984"/>
    <hyperlink xmlns:r="http://schemas.openxmlformats.org/officeDocument/2006/relationships" ref="N869" r:id="rId985"/>
    <hyperlink xmlns:r="http://schemas.openxmlformats.org/officeDocument/2006/relationships" ref="N870" r:id="rId986"/>
    <hyperlink xmlns:r="http://schemas.openxmlformats.org/officeDocument/2006/relationships" ref="N871" r:id="rId987"/>
    <hyperlink xmlns:r="http://schemas.openxmlformats.org/officeDocument/2006/relationships" ref="N872" r:id="rId988"/>
    <hyperlink xmlns:r="http://schemas.openxmlformats.org/officeDocument/2006/relationships" ref="N873" r:id="rId989"/>
    <hyperlink xmlns:r="http://schemas.openxmlformats.org/officeDocument/2006/relationships" ref="N874" r:id="rId990"/>
    <hyperlink xmlns:r="http://schemas.openxmlformats.org/officeDocument/2006/relationships" ref="N875" r:id="rId991"/>
    <hyperlink xmlns:r="http://schemas.openxmlformats.org/officeDocument/2006/relationships" ref="O876" r:id="rId992"/>
    <hyperlink xmlns:r="http://schemas.openxmlformats.org/officeDocument/2006/relationships" ref="O877" r:id="rId993"/>
    <hyperlink xmlns:r="http://schemas.openxmlformats.org/officeDocument/2006/relationships" ref="O878" r:id="rId994"/>
    <hyperlink xmlns:r="http://schemas.openxmlformats.org/officeDocument/2006/relationships" ref="N879" r:id="rId995"/>
    <hyperlink xmlns:r="http://schemas.openxmlformats.org/officeDocument/2006/relationships" ref="O879" r:id="rId996"/>
    <hyperlink xmlns:r="http://schemas.openxmlformats.org/officeDocument/2006/relationships" ref="N880" r:id="rId997"/>
    <hyperlink xmlns:r="http://schemas.openxmlformats.org/officeDocument/2006/relationships" ref="N881" r:id="rId998"/>
    <hyperlink xmlns:r="http://schemas.openxmlformats.org/officeDocument/2006/relationships" ref="N882" r:id="rId999"/>
    <hyperlink xmlns:r="http://schemas.openxmlformats.org/officeDocument/2006/relationships" ref="O883" r:id="rId1000"/>
    <hyperlink xmlns:r="http://schemas.openxmlformats.org/officeDocument/2006/relationships" ref="N884" r:id="rId1001"/>
    <hyperlink xmlns:r="http://schemas.openxmlformats.org/officeDocument/2006/relationships" ref="N885" r:id="rId1002"/>
    <hyperlink xmlns:r="http://schemas.openxmlformats.org/officeDocument/2006/relationships" ref="N886" r:id="rId1003"/>
    <hyperlink xmlns:r="http://schemas.openxmlformats.org/officeDocument/2006/relationships" ref="O886" r:id="rId1004"/>
    <hyperlink xmlns:r="http://schemas.openxmlformats.org/officeDocument/2006/relationships" ref="N887" r:id="rId1005"/>
    <hyperlink xmlns:r="http://schemas.openxmlformats.org/officeDocument/2006/relationships" ref="N888" r:id="rId1006"/>
    <hyperlink xmlns:r="http://schemas.openxmlformats.org/officeDocument/2006/relationships" ref="N889" r:id="rId1007"/>
    <hyperlink xmlns:r="http://schemas.openxmlformats.org/officeDocument/2006/relationships" ref="N890" r:id="rId1008"/>
    <hyperlink xmlns:r="http://schemas.openxmlformats.org/officeDocument/2006/relationships" ref="N891" r:id="rId1009"/>
    <hyperlink xmlns:r="http://schemas.openxmlformats.org/officeDocument/2006/relationships" ref="N892" r:id="rId1010"/>
    <hyperlink xmlns:r="http://schemas.openxmlformats.org/officeDocument/2006/relationships" ref="N893" r:id="rId1011"/>
    <hyperlink xmlns:r="http://schemas.openxmlformats.org/officeDocument/2006/relationships" ref="N894" r:id="rId1012"/>
    <hyperlink xmlns:r="http://schemas.openxmlformats.org/officeDocument/2006/relationships" ref="O895" r:id="rId1013"/>
    <hyperlink xmlns:r="http://schemas.openxmlformats.org/officeDocument/2006/relationships" ref="O896" r:id="rId1014"/>
    <hyperlink xmlns:r="http://schemas.openxmlformats.org/officeDocument/2006/relationships" ref="O897" r:id="rId1015"/>
    <hyperlink xmlns:r="http://schemas.openxmlformats.org/officeDocument/2006/relationships" ref="O898" r:id="rId1016"/>
    <hyperlink xmlns:r="http://schemas.openxmlformats.org/officeDocument/2006/relationships" ref="N899" r:id="rId1017"/>
    <hyperlink xmlns:r="http://schemas.openxmlformats.org/officeDocument/2006/relationships" ref="O899" r:id="rId1018"/>
    <hyperlink xmlns:r="http://schemas.openxmlformats.org/officeDocument/2006/relationships" ref="O900" r:id="rId1019"/>
    <hyperlink xmlns:r="http://schemas.openxmlformats.org/officeDocument/2006/relationships" ref="O901" r:id="rId1020"/>
    <hyperlink xmlns:r="http://schemas.openxmlformats.org/officeDocument/2006/relationships" ref="O902" r:id="rId1021"/>
    <hyperlink xmlns:r="http://schemas.openxmlformats.org/officeDocument/2006/relationships" ref="O903" r:id="rId1022"/>
    <hyperlink xmlns:r="http://schemas.openxmlformats.org/officeDocument/2006/relationships" ref="N904" r:id="rId1023"/>
    <hyperlink xmlns:r="http://schemas.openxmlformats.org/officeDocument/2006/relationships" ref="O905" r:id="rId1024"/>
    <hyperlink xmlns:r="http://schemas.openxmlformats.org/officeDocument/2006/relationships" ref="N906" r:id="rId1025"/>
    <hyperlink xmlns:r="http://schemas.openxmlformats.org/officeDocument/2006/relationships" ref="N907" r:id="rId1026"/>
    <hyperlink xmlns:r="http://schemas.openxmlformats.org/officeDocument/2006/relationships" ref="O907" r:id="rId1027"/>
    <hyperlink xmlns:r="http://schemas.openxmlformats.org/officeDocument/2006/relationships" ref="O908" r:id="rId1028"/>
    <hyperlink xmlns:r="http://schemas.openxmlformats.org/officeDocument/2006/relationships" ref="N909" r:id="rId1029"/>
    <hyperlink xmlns:r="http://schemas.openxmlformats.org/officeDocument/2006/relationships" ref="N910" r:id="rId1030"/>
    <hyperlink xmlns:r="http://schemas.openxmlformats.org/officeDocument/2006/relationships" ref="O911" r:id="rId1031"/>
    <hyperlink xmlns:r="http://schemas.openxmlformats.org/officeDocument/2006/relationships" ref="N912" r:id="rId1032"/>
    <hyperlink xmlns:r="http://schemas.openxmlformats.org/officeDocument/2006/relationships" ref="N913" r:id="rId1033"/>
    <hyperlink xmlns:r="http://schemas.openxmlformats.org/officeDocument/2006/relationships" ref="O914" r:id="rId1034"/>
    <hyperlink xmlns:r="http://schemas.openxmlformats.org/officeDocument/2006/relationships" ref="O915" r:id="rId1035"/>
    <hyperlink xmlns:r="http://schemas.openxmlformats.org/officeDocument/2006/relationships" ref="O916" r:id="rId1036"/>
    <hyperlink xmlns:r="http://schemas.openxmlformats.org/officeDocument/2006/relationships" ref="O917" r:id="rId1037"/>
    <hyperlink xmlns:r="http://schemas.openxmlformats.org/officeDocument/2006/relationships" ref="O918" r:id="rId1038"/>
    <hyperlink xmlns:r="http://schemas.openxmlformats.org/officeDocument/2006/relationships" ref="N919" r:id="rId1039"/>
    <hyperlink xmlns:r="http://schemas.openxmlformats.org/officeDocument/2006/relationships" ref="N920" r:id="rId1040"/>
    <hyperlink xmlns:r="http://schemas.openxmlformats.org/officeDocument/2006/relationships" ref="O921" r:id="rId1041"/>
    <hyperlink xmlns:r="http://schemas.openxmlformats.org/officeDocument/2006/relationships" ref="O922" r:id="rId1042"/>
    <hyperlink xmlns:r="http://schemas.openxmlformats.org/officeDocument/2006/relationships" ref="O923" r:id="rId1043"/>
    <hyperlink xmlns:r="http://schemas.openxmlformats.org/officeDocument/2006/relationships" ref="O924" r:id="rId1044"/>
    <hyperlink xmlns:r="http://schemas.openxmlformats.org/officeDocument/2006/relationships" ref="O925" r:id="rId1045"/>
    <hyperlink xmlns:r="http://schemas.openxmlformats.org/officeDocument/2006/relationships" ref="O926" r:id="rId1046"/>
    <hyperlink xmlns:r="http://schemas.openxmlformats.org/officeDocument/2006/relationships" ref="O927" r:id="rId1047"/>
    <hyperlink xmlns:r="http://schemas.openxmlformats.org/officeDocument/2006/relationships" ref="O928" r:id="rId1048"/>
    <hyperlink xmlns:r="http://schemas.openxmlformats.org/officeDocument/2006/relationships" ref="O929" r:id="rId1049"/>
    <hyperlink xmlns:r="http://schemas.openxmlformats.org/officeDocument/2006/relationships" ref="O930" r:id="rId1050"/>
    <hyperlink xmlns:r="http://schemas.openxmlformats.org/officeDocument/2006/relationships" ref="O931" r:id="rId1051"/>
    <hyperlink xmlns:r="http://schemas.openxmlformats.org/officeDocument/2006/relationships" ref="N932" r:id="rId1052"/>
    <hyperlink xmlns:r="http://schemas.openxmlformats.org/officeDocument/2006/relationships" ref="N933" r:id="rId1053"/>
    <hyperlink xmlns:r="http://schemas.openxmlformats.org/officeDocument/2006/relationships" ref="N934" r:id="rId1054"/>
    <hyperlink xmlns:r="http://schemas.openxmlformats.org/officeDocument/2006/relationships" ref="N935" r:id="rId1055"/>
    <hyperlink xmlns:r="http://schemas.openxmlformats.org/officeDocument/2006/relationships" ref="N936" r:id="rId1056"/>
    <hyperlink xmlns:r="http://schemas.openxmlformats.org/officeDocument/2006/relationships" ref="N937" r:id="rId1057"/>
    <hyperlink xmlns:r="http://schemas.openxmlformats.org/officeDocument/2006/relationships" ref="N938" r:id="rId1058"/>
    <hyperlink xmlns:r="http://schemas.openxmlformats.org/officeDocument/2006/relationships" ref="N939" r:id="rId1059"/>
    <hyperlink xmlns:r="http://schemas.openxmlformats.org/officeDocument/2006/relationships" ref="N940" r:id="rId1060"/>
    <hyperlink xmlns:r="http://schemas.openxmlformats.org/officeDocument/2006/relationships" ref="N941" r:id="rId1061"/>
    <hyperlink xmlns:r="http://schemas.openxmlformats.org/officeDocument/2006/relationships" ref="N942" r:id="rId1062"/>
    <hyperlink xmlns:r="http://schemas.openxmlformats.org/officeDocument/2006/relationships" ref="N943" r:id="rId1063"/>
    <hyperlink xmlns:r="http://schemas.openxmlformats.org/officeDocument/2006/relationships" ref="N944" r:id="rId1064"/>
    <hyperlink xmlns:r="http://schemas.openxmlformats.org/officeDocument/2006/relationships" ref="N945" r:id="rId1065"/>
    <hyperlink xmlns:r="http://schemas.openxmlformats.org/officeDocument/2006/relationships" ref="N946" r:id="rId1066"/>
    <hyperlink xmlns:r="http://schemas.openxmlformats.org/officeDocument/2006/relationships" ref="N947" r:id="rId1067"/>
    <hyperlink xmlns:r="http://schemas.openxmlformats.org/officeDocument/2006/relationships" ref="N948" r:id="rId1068"/>
    <hyperlink xmlns:r="http://schemas.openxmlformats.org/officeDocument/2006/relationships" ref="N949" r:id="rId1069"/>
    <hyperlink xmlns:r="http://schemas.openxmlformats.org/officeDocument/2006/relationships" ref="N950" r:id="rId1070"/>
    <hyperlink xmlns:r="http://schemas.openxmlformats.org/officeDocument/2006/relationships" ref="N951" r:id="rId1071"/>
    <hyperlink xmlns:r="http://schemas.openxmlformats.org/officeDocument/2006/relationships" ref="N952" r:id="rId1072"/>
    <hyperlink xmlns:r="http://schemas.openxmlformats.org/officeDocument/2006/relationships" ref="N953" r:id="rId1073"/>
    <hyperlink xmlns:r="http://schemas.openxmlformats.org/officeDocument/2006/relationships" ref="N954" r:id="rId1074"/>
    <hyperlink xmlns:r="http://schemas.openxmlformats.org/officeDocument/2006/relationships" ref="N955" r:id="rId1075"/>
    <hyperlink xmlns:r="http://schemas.openxmlformats.org/officeDocument/2006/relationships" ref="N956" r:id="rId1076"/>
    <hyperlink xmlns:r="http://schemas.openxmlformats.org/officeDocument/2006/relationships" ref="N957" r:id="rId1077"/>
    <hyperlink xmlns:r="http://schemas.openxmlformats.org/officeDocument/2006/relationships" ref="N958" r:id="rId1078"/>
    <hyperlink xmlns:r="http://schemas.openxmlformats.org/officeDocument/2006/relationships" ref="N959" r:id="rId1079"/>
    <hyperlink xmlns:r="http://schemas.openxmlformats.org/officeDocument/2006/relationships" ref="N960" r:id="rId1080"/>
    <hyperlink xmlns:r="http://schemas.openxmlformats.org/officeDocument/2006/relationships" ref="N961" r:id="rId1081"/>
    <hyperlink xmlns:r="http://schemas.openxmlformats.org/officeDocument/2006/relationships" ref="N962" r:id="rId1082"/>
    <hyperlink xmlns:r="http://schemas.openxmlformats.org/officeDocument/2006/relationships" ref="N963" r:id="rId1083"/>
    <hyperlink xmlns:r="http://schemas.openxmlformats.org/officeDocument/2006/relationships" ref="N964" r:id="rId1084"/>
    <hyperlink xmlns:r="http://schemas.openxmlformats.org/officeDocument/2006/relationships" ref="N965" r:id="rId1085"/>
    <hyperlink xmlns:r="http://schemas.openxmlformats.org/officeDocument/2006/relationships" ref="N966" r:id="rId1086"/>
    <hyperlink xmlns:r="http://schemas.openxmlformats.org/officeDocument/2006/relationships" ref="N967" r:id="rId1087"/>
    <hyperlink xmlns:r="http://schemas.openxmlformats.org/officeDocument/2006/relationships" ref="N968" r:id="rId1088"/>
    <hyperlink xmlns:r="http://schemas.openxmlformats.org/officeDocument/2006/relationships" ref="N969" r:id="rId1089"/>
    <hyperlink xmlns:r="http://schemas.openxmlformats.org/officeDocument/2006/relationships" ref="N970" r:id="rId1090"/>
    <hyperlink xmlns:r="http://schemas.openxmlformats.org/officeDocument/2006/relationships" ref="N971" r:id="rId1091"/>
    <hyperlink xmlns:r="http://schemas.openxmlformats.org/officeDocument/2006/relationships" ref="N972" r:id="rId1092"/>
    <hyperlink xmlns:r="http://schemas.openxmlformats.org/officeDocument/2006/relationships" ref="N973" r:id="rId1093"/>
    <hyperlink xmlns:r="http://schemas.openxmlformats.org/officeDocument/2006/relationships" ref="N974" r:id="rId1094"/>
    <hyperlink xmlns:r="http://schemas.openxmlformats.org/officeDocument/2006/relationships" ref="N975" r:id="rId1095"/>
    <hyperlink xmlns:r="http://schemas.openxmlformats.org/officeDocument/2006/relationships" ref="N976" r:id="rId1096"/>
    <hyperlink xmlns:r="http://schemas.openxmlformats.org/officeDocument/2006/relationships" ref="N977" r:id="rId1097"/>
    <hyperlink xmlns:r="http://schemas.openxmlformats.org/officeDocument/2006/relationships" ref="N978" r:id="rId1098"/>
    <hyperlink xmlns:r="http://schemas.openxmlformats.org/officeDocument/2006/relationships" ref="N979" r:id="rId1099"/>
    <hyperlink xmlns:r="http://schemas.openxmlformats.org/officeDocument/2006/relationships" ref="N980" r:id="rId1100"/>
    <hyperlink xmlns:r="http://schemas.openxmlformats.org/officeDocument/2006/relationships" ref="O981" r:id="rId1101"/>
    <hyperlink xmlns:r="http://schemas.openxmlformats.org/officeDocument/2006/relationships" ref="N982" r:id="rId1102"/>
    <hyperlink xmlns:r="http://schemas.openxmlformats.org/officeDocument/2006/relationships" ref="O983" r:id="rId1103"/>
    <hyperlink xmlns:r="http://schemas.openxmlformats.org/officeDocument/2006/relationships" ref="N984" r:id="rId1104"/>
    <hyperlink xmlns:r="http://schemas.openxmlformats.org/officeDocument/2006/relationships" ref="O985" r:id="rId1105"/>
    <hyperlink xmlns:r="http://schemas.openxmlformats.org/officeDocument/2006/relationships" ref="N986" r:id="rId1106"/>
    <hyperlink xmlns:r="http://schemas.openxmlformats.org/officeDocument/2006/relationships" ref="N987" r:id="rId1107"/>
    <hyperlink xmlns:r="http://schemas.openxmlformats.org/officeDocument/2006/relationships" ref="O987" r:id="rId1108"/>
    <hyperlink xmlns:r="http://schemas.openxmlformats.org/officeDocument/2006/relationships" ref="N988" r:id="rId1109"/>
    <hyperlink xmlns:r="http://schemas.openxmlformats.org/officeDocument/2006/relationships" ref="O989" r:id="rId1110"/>
    <hyperlink xmlns:r="http://schemas.openxmlformats.org/officeDocument/2006/relationships" ref="O990" r:id="rId1111"/>
    <hyperlink xmlns:r="http://schemas.openxmlformats.org/officeDocument/2006/relationships" ref="N991" r:id="rId1112"/>
    <hyperlink xmlns:r="http://schemas.openxmlformats.org/officeDocument/2006/relationships" ref="N992" r:id="rId1113"/>
    <hyperlink xmlns:r="http://schemas.openxmlformats.org/officeDocument/2006/relationships" ref="O993" r:id="rId1114"/>
    <hyperlink xmlns:r="http://schemas.openxmlformats.org/officeDocument/2006/relationships" ref="O994" r:id="rId1115"/>
    <hyperlink xmlns:r="http://schemas.openxmlformats.org/officeDocument/2006/relationships" ref="N995" r:id="rId1116"/>
    <hyperlink xmlns:r="http://schemas.openxmlformats.org/officeDocument/2006/relationships" ref="O996" r:id="rId1117"/>
    <hyperlink xmlns:r="http://schemas.openxmlformats.org/officeDocument/2006/relationships" ref="N997" r:id="rId1118"/>
    <hyperlink xmlns:r="http://schemas.openxmlformats.org/officeDocument/2006/relationships" ref="O998" r:id="rId1119"/>
    <hyperlink xmlns:r="http://schemas.openxmlformats.org/officeDocument/2006/relationships" ref="N999" r:id="rId1120"/>
    <hyperlink xmlns:r="http://schemas.openxmlformats.org/officeDocument/2006/relationships" ref="O999" r:id="rId1121"/>
    <hyperlink xmlns:r="http://schemas.openxmlformats.org/officeDocument/2006/relationships" ref="N1000" r:id="rId1122"/>
    <hyperlink xmlns:r="http://schemas.openxmlformats.org/officeDocument/2006/relationships" ref="N1001" r:id="rId1123"/>
    <hyperlink xmlns:r="http://schemas.openxmlformats.org/officeDocument/2006/relationships" ref="N1002" r:id="rId1124"/>
    <hyperlink xmlns:r="http://schemas.openxmlformats.org/officeDocument/2006/relationships" ref="N1003" r:id="rId1125"/>
    <hyperlink xmlns:r="http://schemas.openxmlformats.org/officeDocument/2006/relationships" ref="N1004" r:id="rId1126"/>
    <hyperlink xmlns:r="http://schemas.openxmlformats.org/officeDocument/2006/relationships" ref="N1005" r:id="rId1127"/>
    <hyperlink xmlns:r="http://schemas.openxmlformats.org/officeDocument/2006/relationships" ref="N1006" r:id="rId1128"/>
    <hyperlink xmlns:r="http://schemas.openxmlformats.org/officeDocument/2006/relationships" ref="N1007" r:id="rId1129"/>
    <hyperlink xmlns:r="http://schemas.openxmlformats.org/officeDocument/2006/relationships" ref="N1008" r:id="rId1130"/>
    <hyperlink xmlns:r="http://schemas.openxmlformats.org/officeDocument/2006/relationships" ref="N1009" r:id="rId1131"/>
    <hyperlink xmlns:r="http://schemas.openxmlformats.org/officeDocument/2006/relationships" ref="N1010" r:id="rId1132"/>
    <hyperlink xmlns:r="http://schemas.openxmlformats.org/officeDocument/2006/relationships" ref="N1011" r:id="rId1133"/>
    <hyperlink xmlns:r="http://schemas.openxmlformats.org/officeDocument/2006/relationships" ref="N1012" r:id="rId1134"/>
    <hyperlink xmlns:r="http://schemas.openxmlformats.org/officeDocument/2006/relationships" ref="N1013" r:id="rId1135"/>
    <hyperlink xmlns:r="http://schemas.openxmlformats.org/officeDocument/2006/relationships" ref="N1014" r:id="rId1136"/>
    <hyperlink xmlns:r="http://schemas.openxmlformats.org/officeDocument/2006/relationships" ref="N1015" r:id="rId1137"/>
    <hyperlink xmlns:r="http://schemas.openxmlformats.org/officeDocument/2006/relationships" ref="N1016" r:id="rId1138"/>
    <hyperlink xmlns:r="http://schemas.openxmlformats.org/officeDocument/2006/relationships" ref="N1017" r:id="rId1139"/>
    <hyperlink xmlns:r="http://schemas.openxmlformats.org/officeDocument/2006/relationships" ref="N1018" r:id="rId1140"/>
    <hyperlink xmlns:r="http://schemas.openxmlformats.org/officeDocument/2006/relationships" ref="N1019" r:id="rId1141"/>
    <hyperlink xmlns:r="http://schemas.openxmlformats.org/officeDocument/2006/relationships" ref="N1020" r:id="rId1142"/>
    <hyperlink xmlns:r="http://schemas.openxmlformats.org/officeDocument/2006/relationships" ref="N1021" r:id="rId1143"/>
    <hyperlink xmlns:r="http://schemas.openxmlformats.org/officeDocument/2006/relationships" ref="N1022" r:id="rId1144"/>
    <hyperlink xmlns:r="http://schemas.openxmlformats.org/officeDocument/2006/relationships" ref="N1023" r:id="rId1145"/>
    <hyperlink xmlns:r="http://schemas.openxmlformats.org/officeDocument/2006/relationships" ref="O1024" r:id="rId1146"/>
    <hyperlink xmlns:r="http://schemas.openxmlformats.org/officeDocument/2006/relationships" ref="O1025" r:id="rId1147"/>
    <hyperlink xmlns:r="http://schemas.openxmlformats.org/officeDocument/2006/relationships" ref="O1026" r:id="rId1148"/>
    <hyperlink xmlns:r="http://schemas.openxmlformats.org/officeDocument/2006/relationships" ref="O1027" r:id="rId1149"/>
    <hyperlink xmlns:r="http://schemas.openxmlformats.org/officeDocument/2006/relationships" ref="O1028" r:id="rId1150"/>
    <hyperlink xmlns:r="http://schemas.openxmlformats.org/officeDocument/2006/relationships" ref="O1029" r:id="rId1151"/>
    <hyperlink xmlns:r="http://schemas.openxmlformats.org/officeDocument/2006/relationships" ref="N1030" r:id="rId1152"/>
    <hyperlink xmlns:r="http://schemas.openxmlformats.org/officeDocument/2006/relationships" ref="N1031" r:id="rId1153"/>
    <hyperlink xmlns:r="http://schemas.openxmlformats.org/officeDocument/2006/relationships" ref="N1032" r:id="rId1154"/>
    <hyperlink xmlns:r="http://schemas.openxmlformats.org/officeDocument/2006/relationships" ref="N1033" r:id="rId1155"/>
    <hyperlink xmlns:r="http://schemas.openxmlformats.org/officeDocument/2006/relationships" ref="N1034" r:id="rId1156"/>
    <hyperlink xmlns:r="http://schemas.openxmlformats.org/officeDocument/2006/relationships" ref="N1035" r:id="rId1157"/>
    <hyperlink xmlns:r="http://schemas.openxmlformats.org/officeDocument/2006/relationships" ref="N1036" r:id="rId1158"/>
    <hyperlink xmlns:r="http://schemas.openxmlformats.org/officeDocument/2006/relationships" ref="N1037" r:id="rId1159"/>
    <hyperlink xmlns:r="http://schemas.openxmlformats.org/officeDocument/2006/relationships" ref="N1038" r:id="rId1160"/>
    <hyperlink xmlns:r="http://schemas.openxmlformats.org/officeDocument/2006/relationships" ref="N1039" r:id="rId1161"/>
    <hyperlink xmlns:r="http://schemas.openxmlformats.org/officeDocument/2006/relationships" ref="N1040" r:id="rId1162"/>
    <hyperlink xmlns:r="http://schemas.openxmlformats.org/officeDocument/2006/relationships" ref="N1041" r:id="rId1163"/>
    <hyperlink xmlns:r="http://schemas.openxmlformats.org/officeDocument/2006/relationships" ref="N1042" r:id="rId1164"/>
    <hyperlink xmlns:r="http://schemas.openxmlformats.org/officeDocument/2006/relationships" ref="N1043" r:id="rId1165"/>
    <hyperlink xmlns:r="http://schemas.openxmlformats.org/officeDocument/2006/relationships" ref="N1044" r:id="rId1166"/>
    <hyperlink xmlns:r="http://schemas.openxmlformats.org/officeDocument/2006/relationships" ref="O1044" r:id="rId1167"/>
    <hyperlink xmlns:r="http://schemas.openxmlformats.org/officeDocument/2006/relationships" ref="N1045" r:id="rId1168"/>
    <hyperlink xmlns:r="http://schemas.openxmlformats.org/officeDocument/2006/relationships" ref="N1046" r:id="rId1169"/>
    <hyperlink xmlns:r="http://schemas.openxmlformats.org/officeDocument/2006/relationships" ref="N1047" r:id="rId1170"/>
    <hyperlink xmlns:r="http://schemas.openxmlformats.org/officeDocument/2006/relationships" ref="N1048" r:id="rId1171"/>
    <hyperlink xmlns:r="http://schemas.openxmlformats.org/officeDocument/2006/relationships" ref="N1049" r:id="rId1172"/>
    <hyperlink xmlns:r="http://schemas.openxmlformats.org/officeDocument/2006/relationships" ref="N1050" r:id="rId1173"/>
    <hyperlink xmlns:r="http://schemas.openxmlformats.org/officeDocument/2006/relationships" ref="N1051" r:id="rId1174"/>
    <hyperlink xmlns:r="http://schemas.openxmlformats.org/officeDocument/2006/relationships" ref="O1052" r:id="rId1175"/>
    <hyperlink xmlns:r="http://schemas.openxmlformats.org/officeDocument/2006/relationships" ref="O1053" r:id="rId1176"/>
    <hyperlink xmlns:r="http://schemas.openxmlformats.org/officeDocument/2006/relationships" ref="O1054" r:id="rId1177"/>
    <hyperlink xmlns:r="http://schemas.openxmlformats.org/officeDocument/2006/relationships" ref="O1055" r:id="rId1178"/>
    <hyperlink xmlns:r="http://schemas.openxmlformats.org/officeDocument/2006/relationships" ref="O1056" r:id="rId1179"/>
    <hyperlink xmlns:r="http://schemas.openxmlformats.org/officeDocument/2006/relationships" ref="O1057" r:id="rId1180"/>
    <hyperlink xmlns:r="http://schemas.openxmlformats.org/officeDocument/2006/relationships" ref="O1058" r:id="rId1181"/>
    <hyperlink xmlns:r="http://schemas.openxmlformats.org/officeDocument/2006/relationships" ref="O1059" r:id="rId1182"/>
    <hyperlink xmlns:r="http://schemas.openxmlformats.org/officeDocument/2006/relationships" ref="O1060" r:id="rId1183"/>
    <hyperlink xmlns:r="http://schemas.openxmlformats.org/officeDocument/2006/relationships" ref="O1061" r:id="rId1184"/>
    <hyperlink xmlns:r="http://schemas.openxmlformats.org/officeDocument/2006/relationships" ref="O1062" r:id="rId1185"/>
    <hyperlink xmlns:r="http://schemas.openxmlformats.org/officeDocument/2006/relationships" ref="O1063" r:id="rId1186"/>
    <hyperlink xmlns:r="http://schemas.openxmlformats.org/officeDocument/2006/relationships" ref="O1064" r:id="rId1187"/>
    <hyperlink xmlns:r="http://schemas.openxmlformats.org/officeDocument/2006/relationships" ref="O1065" r:id="rId1188"/>
    <hyperlink xmlns:r="http://schemas.openxmlformats.org/officeDocument/2006/relationships" ref="N1066" r:id="rId1189"/>
    <hyperlink xmlns:r="http://schemas.openxmlformats.org/officeDocument/2006/relationships" ref="N1067" r:id="rId1190"/>
    <hyperlink xmlns:r="http://schemas.openxmlformats.org/officeDocument/2006/relationships" ref="N1068" r:id="rId1191"/>
    <hyperlink xmlns:r="http://schemas.openxmlformats.org/officeDocument/2006/relationships" ref="N1069" r:id="rId1192"/>
    <hyperlink xmlns:r="http://schemas.openxmlformats.org/officeDocument/2006/relationships" ref="N1070" r:id="rId1193"/>
    <hyperlink xmlns:r="http://schemas.openxmlformats.org/officeDocument/2006/relationships" ref="N1071" r:id="rId1194"/>
    <hyperlink xmlns:r="http://schemas.openxmlformats.org/officeDocument/2006/relationships" ref="N1072" r:id="rId1195"/>
    <hyperlink xmlns:r="http://schemas.openxmlformats.org/officeDocument/2006/relationships" ref="N1073" r:id="rId1196"/>
    <hyperlink xmlns:r="http://schemas.openxmlformats.org/officeDocument/2006/relationships" ref="N1074" r:id="rId1197"/>
    <hyperlink xmlns:r="http://schemas.openxmlformats.org/officeDocument/2006/relationships" ref="N1075" r:id="rId1198"/>
    <hyperlink xmlns:r="http://schemas.openxmlformats.org/officeDocument/2006/relationships" ref="N1076" r:id="rId1199"/>
    <hyperlink xmlns:r="http://schemas.openxmlformats.org/officeDocument/2006/relationships" ref="N1077" r:id="rId1200"/>
    <hyperlink xmlns:r="http://schemas.openxmlformats.org/officeDocument/2006/relationships" ref="N1078" r:id="rId1201"/>
    <hyperlink xmlns:r="http://schemas.openxmlformats.org/officeDocument/2006/relationships" ref="N1079" r:id="rId1202"/>
    <hyperlink xmlns:r="http://schemas.openxmlformats.org/officeDocument/2006/relationships" ref="N1080" r:id="rId1203"/>
    <hyperlink xmlns:r="http://schemas.openxmlformats.org/officeDocument/2006/relationships" ref="N1081" r:id="rId1204"/>
    <hyperlink xmlns:r="http://schemas.openxmlformats.org/officeDocument/2006/relationships" ref="N1082" r:id="rId1205"/>
    <hyperlink xmlns:r="http://schemas.openxmlformats.org/officeDocument/2006/relationships" ref="N1083" r:id="rId1206"/>
    <hyperlink xmlns:r="http://schemas.openxmlformats.org/officeDocument/2006/relationships" ref="N1084" r:id="rId1207"/>
    <hyperlink xmlns:r="http://schemas.openxmlformats.org/officeDocument/2006/relationships" ref="O1085" r:id="rId1208"/>
    <hyperlink xmlns:r="http://schemas.openxmlformats.org/officeDocument/2006/relationships" ref="N1086" r:id="rId1209"/>
    <hyperlink xmlns:r="http://schemas.openxmlformats.org/officeDocument/2006/relationships" ref="N1087" r:id="rId1210"/>
    <hyperlink xmlns:r="http://schemas.openxmlformats.org/officeDocument/2006/relationships" ref="O1087" r:id="rId1211"/>
    <hyperlink xmlns:r="http://schemas.openxmlformats.org/officeDocument/2006/relationships" ref="N1088" r:id="rId1212"/>
    <hyperlink xmlns:r="http://schemas.openxmlformats.org/officeDocument/2006/relationships" ref="O1088" r:id="rId1213"/>
    <hyperlink xmlns:r="http://schemas.openxmlformats.org/officeDocument/2006/relationships" ref="N1089" r:id="rId1214"/>
    <hyperlink xmlns:r="http://schemas.openxmlformats.org/officeDocument/2006/relationships" ref="O1089" r:id="rId1215"/>
    <hyperlink xmlns:r="http://schemas.openxmlformats.org/officeDocument/2006/relationships" ref="N1090" r:id="rId1216"/>
    <hyperlink xmlns:r="http://schemas.openxmlformats.org/officeDocument/2006/relationships" ref="O1090" r:id="rId1217"/>
    <hyperlink xmlns:r="http://schemas.openxmlformats.org/officeDocument/2006/relationships" ref="N1091" r:id="rId1218"/>
    <hyperlink xmlns:r="http://schemas.openxmlformats.org/officeDocument/2006/relationships" ref="N1092" r:id="rId1219"/>
    <hyperlink xmlns:r="http://schemas.openxmlformats.org/officeDocument/2006/relationships" ref="O1093" r:id="rId1220"/>
    <hyperlink xmlns:r="http://schemas.openxmlformats.org/officeDocument/2006/relationships" ref="O1094" r:id="rId1221"/>
    <hyperlink xmlns:r="http://schemas.openxmlformats.org/officeDocument/2006/relationships" ref="O1095" r:id="rId1222"/>
    <hyperlink xmlns:r="http://schemas.openxmlformats.org/officeDocument/2006/relationships" ref="O1096" r:id="rId1223"/>
    <hyperlink xmlns:r="http://schemas.openxmlformats.org/officeDocument/2006/relationships" ref="O1097" r:id="rId1224"/>
    <hyperlink xmlns:r="http://schemas.openxmlformats.org/officeDocument/2006/relationships" ref="N1098" r:id="rId1225"/>
    <hyperlink xmlns:r="http://schemas.openxmlformats.org/officeDocument/2006/relationships" ref="O1098" r:id="rId1226"/>
    <hyperlink xmlns:r="http://schemas.openxmlformats.org/officeDocument/2006/relationships" ref="N1099" r:id="rId1227"/>
    <hyperlink xmlns:r="http://schemas.openxmlformats.org/officeDocument/2006/relationships" ref="O1100" r:id="rId1228"/>
    <hyperlink xmlns:r="http://schemas.openxmlformats.org/officeDocument/2006/relationships" ref="O1101" r:id="rId1229"/>
    <hyperlink xmlns:r="http://schemas.openxmlformats.org/officeDocument/2006/relationships" ref="O1102" r:id="rId1230"/>
    <hyperlink xmlns:r="http://schemas.openxmlformats.org/officeDocument/2006/relationships" ref="O1103" r:id="rId1231"/>
    <hyperlink xmlns:r="http://schemas.openxmlformats.org/officeDocument/2006/relationships" ref="N1104" r:id="rId1232"/>
    <hyperlink xmlns:r="http://schemas.openxmlformats.org/officeDocument/2006/relationships" ref="N1105" r:id="rId1233"/>
    <hyperlink xmlns:r="http://schemas.openxmlformats.org/officeDocument/2006/relationships" ref="O1106" r:id="rId1234"/>
    <hyperlink xmlns:r="http://schemas.openxmlformats.org/officeDocument/2006/relationships" ref="N1107" r:id="rId1235"/>
    <hyperlink xmlns:r="http://schemas.openxmlformats.org/officeDocument/2006/relationships" ref="N1108" r:id="rId1236"/>
    <hyperlink xmlns:r="http://schemas.openxmlformats.org/officeDocument/2006/relationships" ref="N1109" r:id="rId1237"/>
    <hyperlink xmlns:r="http://schemas.openxmlformats.org/officeDocument/2006/relationships" ref="N1110" r:id="rId1238"/>
    <hyperlink xmlns:r="http://schemas.openxmlformats.org/officeDocument/2006/relationships" ref="N1111" r:id="rId1239"/>
    <hyperlink xmlns:r="http://schemas.openxmlformats.org/officeDocument/2006/relationships" ref="N1112" r:id="rId1240"/>
    <hyperlink xmlns:r="http://schemas.openxmlformats.org/officeDocument/2006/relationships" ref="N1113" r:id="rId1241"/>
    <hyperlink xmlns:r="http://schemas.openxmlformats.org/officeDocument/2006/relationships" ref="N1114" r:id="rId1242"/>
    <hyperlink xmlns:r="http://schemas.openxmlformats.org/officeDocument/2006/relationships" ref="N1115" r:id="rId1243"/>
    <hyperlink xmlns:r="http://schemas.openxmlformats.org/officeDocument/2006/relationships" ref="N1116" r:id="rId1244"/>
    <hyperlink xmlns:r="http://schemas.openxmlformats.org/officeDocument/2006/relationships" ref="N1117" r:id="rId1245"/>
    <hyperlink xmlns:r="http://schemas.openxmlformats.org/officeDocument/2006/relationships" ref="N1118" r:id="rId1246"/>
    <hyperlink xmlns:r="http://schemas.openxmlformats.org/officeDocument/2006/relationships" ref="N1119" r:id="rId1247"/>
    <hyperlink xmlns:r="http://schemas.openxmlformats.org/officeDocument/2006/relationships" ref="N1120" r:id="rId1248"/>
    <hyperlink xmlns:r="http://schemas.openxmlformats.org/officeDocument/2006/relationships" ref="N1121" r:id="rId1249"/>
    <hyperlink xmlns:r="http://schemas.openxmlformats.org/officeDocument/2006/relationships" ref="N1122" r:id="rId1250"/>
    <hyperlink xmlns:r="http://schemas.openxmlformats.org/officeDocument/2006/relationships" ref="N1123" r:id="rId1251"/>
    <hyperlink xmlns:r="http://schemas.openxmlformats.org/officeDocument/2006/relationships" ref="N1124" r:id="rId1252"/>
    <hyperlink xmlns:r="http://schemas.openxmlformats.org/officeDocument/2006/relationships" ref="N1125" r:id="rId1253"/>
    <hyperlink xmlns:r="http://schemas.openxmlformats.org/officeDocument/2006/relationships" ref="N1126" r:id="rId1254"/>
    <hyperlink xmlns:r="http://schemas.openxmlformats.org/officeDocument/2006/relationships" ref="N1127" r:id="rId1255"/>
    <hyperlink xmlns:r="http://schemas.openxmlformats.org/officeDocument/2006/relationships" ref="N1128" r:id="rId1256"/>
    <hyperlink xmlns:r="http://schemas.openxmlformats.org/officeDocument/2006/relationships" ref="N1129" r:id="rId1257"/>
    <hyperlink xmlns:r="http://schemas.openxmlformats.org/officeDocument/2006/relationships" ref="N1130" r:id="rId1258"/>
    <hyperlink xmlns:r="http://schemas.openxmlformats.org/officeDocument/2006/relationships" ref="N1131" r:id="rId1259"/>
    <hyperlink xmlns:r="http://schemas.openxmlformats.org/officeDocument/2006/relationships" ref="N1132" r:id="rId1260"/>
    <hyperlink xmlns:r="http://schemas.openxmlformats.org/officeDocument/2006/relationships" ref="N1133" r:id="rId1261"/>
    <hyperlink xmlns:r="http://schemas.openxmlformats.org/officeDocument/2006/relationships" ref="N1134" r:id="rId1262"/>
    <hyperlink xmlns:r="http://schemas.openxmlformats.org/officeDocument/2006/relationships" ref="N1135" r:id="rId1263"/>
    <hyperlink xmlns:r="http://schemas.openxmlformats.org/officeDocument/2006/relationships" ref="N1136" r:id="rId1264"/>
    <hyperlink xmlns:r="http://schemas.openxmlformats.org/officeDocument/2006/relationships" ref="N1137" r:id="rId1265"/>
    <hyperlink xmlns:r="http://schemas.openxmlformats.org/officeDocument/2006/relationships" ref="N1138" r:id="rId1266"/>
    <hyperlink xmlns:r="http://schemas.openxmlformats.org/officeDocument/2006/relationships" ref="N1139" r:id="rId1267"/>
    <hyperlink xmlns:r="http://schemas.openxmlformats.org/officeDocument/2006/relationships" ref="N1140" r:id="rId1268"/>
    <hyperlink xmlns:r="http://schemas.openxmlformats.org/officeDocument/2006/relationships" ref="N1141" r:id="rId1269"/>
    <hyperlink xmlns:r="http://schemas.openxmlformats.org/officeDocument/2006/relationships" ref="N1142" r:id="rId1270"/>
    <hyperlink xmlns:r="http://schemas.openxmlformats.org/officeDocument/2006/relationships" ref="N1143" r:id="rId1271"/>
    <hyperlink xmlns:r="http://schemas.openxmlformats.org/officeDocument/2006/relationships" ref="N1144" r:id="rId1272"/>
    <hyperlink xmlns:r="http://schemas.openxmlformats.org/officeDocument/2006/relationships" ref="N1145" r:id="rId1273"/>
    <hyperlink xmlns:r="http://schemas.openxmlformats.org/officeDocument/2006/relationships" ref="N1146" r:id="rId1274"/>
    <hyperlink xmlns:r="http://schemas.openxmlformats.org/officeDocument/2006/relationships" ref="N1147" r:id="rId1275"/>
    <hyperlink xmlns:r="http://schemas.openxmlformats.org/officeDocument/2006/relationships" ref="N1148" r:id="rId1276"/>
    <hyperlink xmlns:r="http://schemas.openxmlformats.org/officeDocument/2006/relationships" ref="N1149" r:id="rId1277"/>
    <hyperlink xmlns:r="http://schemas.openxmlformats.org/officeDocument/2006/relationships" ref="N1150" r:id="rId1278"/>
    <hyperlink xmlns:r="http://schemas.openxmlformats.org/officeDocument/2006/relationships" ref="N1151" r:id="rId1279"/>
    <hyperlink xmlns:r="http://schemas.openxmlformats.org/officeDocument/2006/relationships" ref="N1152" r:id="rId1280"/>
    <hyperlink xmlns:r="http://schemas.openxmlformats.org/officeDocument/2006/relationships" ref="N1153" r:id="rId1281"/>
    <hyperlink xmlns:r="http://schemas.openxmlformats.org/officeDocument/2006/relationships" ref="N1154" r:id="rId1282"/>
    <hyperlink xmlns:r="http://schemas.openxmlformats.org/officeDocument/2006/relationships" ref="N1155" r:id="rId1283"/>
    <hyperlink xmlns:r="http://schemas.openxmlformats.org/officeDocument/2006/relationships" ref="N1156" r:id="rId1284"/>
    <hyperlink xmlns:r="http://schemas.openxmlformats.org/officeDocument/2006/relationships" ref="N1157" r:id="rId1285"/>
    <hyperlink xmlns:r="http://schemas.openxmlformats.org/officeDocument/2006/relationships" ref="N1158" r:id="rId1286"/>
    <hyperlink xmlns:r="http://schemas.openxmlformats.org/officeDocument/2006/relationships" ref="N1159" r:id="rId1287"/>
    <hyperlink xmlns:r="http://schemas.openxmlformats.org/officeDocument/2006/relationships" ref="N1160" r:id="rId1288"/>
    <hyperlink xmlns:r="http://schemas.openxmlformats.org/officeDocument/2006/relationships" ref="N1161" r:id="rId1289"/>
    <hyperlink xmlns:r="http://schemas.openxmlformats.org/officeDocument/2006/relationships" ref="N1162" r:id="rId1290"/>
    <hyperlink xmlns:r="http://schemas.openxmlformats.org/officeDocument/2006/relationships" ref="N1163" r:id="rId1291"/>
    <hyperlink xmlns:r="http://schemas.openxmlformats.org/officeDocument/2006/relationships" ref="N1164" r:id="rId1292"/>
    <hyperlink xmlns:r="http://schemas.openxmlformats.org/officeDocument/2006/relationships" ref="N1165" r:id="rId1293"/>
    <hyperlink xmlns:r="http://schemas.openxmlformats.org/officeDocument/2006/relationships" ref="N1166" r:id="rId1294"/>
    <hyperlink xmlns:r="http://schemas.openxmlformats.org/officeDocument/2006/relationships" ref="N1167" r:id="rId1295"/>
    <hyperlink xmlns:r="http://schemas.openxmlformats.org/officeDocument/2006/relationships" ref="N1168" r:id="rId1296"/>
    <hyperlink xmlns:r="http://schemas.openxmlformats.org/officeDocument/2006/relationships" ref="N1169" r:id="rId1297"/>
    <hyperlink xmlns:r="http://schemas.openxmlformats.org/officeDocument/2006/relationships" ref="N1170" r:id="rId1298"/>
    <hyperlink xmlns:r="http://schemas.openxmlformats.org/officeDocument/2006/relationships" ref="N1171" r:id="rId1299"/>
    <hyperlink xmlns:r="http://schemas.openxmlformats.org/officeDocument/2006/relationships" ref="N1172" r:id="rId1300"/>
    <hyperlink xmlns:r="http://schemas.openxmlformats.org/officeDocument/2006/relationships" ref="N1173" r:id="rId1301"/>
    <hyperlink xmlns:r="http://schemas.openxmlformats.org/officeDocument/2006/relationships" ref="N1174" r:id="rId1302"/>
    <hyperlink xmlns:r="http://schemas.openxmlformats.org/officeDocument/2006/relationships" ref="N1175" r:id="rId1303"/>
    <hyperlink xmlns:r="http://schemas.openxmlformats.org/officeDocument/2006/relationships" ref="N1176" r:id="rId1304"/>
    <hyperlink xmlns:r="http://schemas.openxmlformats.org/officeDocument/2006/relationships" ref="N1177" r:id="rId1305"/>
    <hyperlink xmlns:r="http://schemas.openxmlformats.org/officeDocument/2006/relationships" ref="N1178" r:id="rId1306"/>
    <hyperlink xmlns:r="http://schemas.openxmlformats.org/officeDocument/2006/relationships" ref="N1179" r:id="rId1307"/>
    <hyperlink xmlns:r="http://schemas.openxmlformats.org/officeDocument/2006/relationships" ref="N1180" r:id="rId1308"/>
    <hyperlink xmlns:r="http://schemas.openxmlformats.org/officeDocument/2006/relationships" ref="O1181" r:id="rId1309"/>
    <hyperlink xmlns:r="http://schemas.openxmlformats.org/officeDocument/2006/relationships" ref="O1182" r:id="rId1310"/>
    <hyperlink xmlns:r="http://schemas.openxmlformats.org/officeDocument/2006/relationships" ref="O1183" r:id="rId1311"/>
    <hyperlink xmlns:r="http://schemas.openxmlformats.org/officeDocument/2006/relationships" ref="O1184" r:id="rId1312"/>
    <hyperlink xmlns:r="http://schemas.openxmlformats.org/officeDocument/2006/relationships" ref="O1185" r:id="rId1313"/>
    <hyperlink xmlns:r="http://schemas.openxmlformats.org/officeDocument/2006/relationships" ref="O1186" r:id="rId1314"/>
    <hyperlink xmlns:r="http://schemas.openxmlformats.org/officeDocument/2006/relationships" ref="O1187" r:id="rId1315"/>
    <hyperlink xmlns:r="http://schemas.openxmlformats.org/officeDocument/2006/relationships" ref="O1188" r:id="rId1316"/>
    <hyperlink xmlns:r="http://schemas.openxmlformats.org/officeDocument/2006/relationships" ref="O1189" r:id="rId1317"/>
    <hyperlink xmlns:r="http://schemas.openxmlformats.org/officeDocument/2006/relationships" ref="O1190" r:id="rId1318"/>
    <hyperlink xmlns:r="http://schemas.openxmlformats.org/officeDocument/2006/relationships" ref="O1191" r:id="rId1319"/>
    <hyperlink xmlns:r="http://schemas.openxmlformats.org/officeDocument/2006/relationships" ref="O1192" r:id="rId1320"/>
    <hyperlink xmlns:r="http://schemas.openxmlformats.org/officeDocument/2006/relationships" ref="O1193" r:id="rId1321"/>
    <hyperlink xmlns:r="http://schemas.openxmlformats.org/officeDocument/2006/relationships" ref="O1194" r:id="rId1322"/>
    <hyperlink xmlns:r="http://schemas.openxmlformats.org/officeDocument/2006/relationships" ref="O1195" r:id="rId1323"/>
    <hyperlink xmlns:r="http://schemas.openxmlformats.org/officeDocument/2006/relationships" ref="O1196" r:id="rId1324"/>
    <hyperlink xmlns:r="http://schemas.openxmlformats.org/officeDocument/2006/relationships" ref="O1197" r:id="rId1325"/>
    <hyperlink xmlns:r="http://schemas.openxmlformats.org/officeDocument/2006/relationships" ref="O1198" r:id="rId1326"/>
    <hyperlink xmlns:r="http://schemas.openxmlformats.org/officeDocument/2006/relationships" ref="O1199" r:id="rId1327"/>
    <hyperlink xmlns:r="http://schemas.openxmlformats.org/officeDocument/2006/relationships" ref="O1200" r:id="rId1328"/>
    <hyperlink xmlns:r="http://schemas.openxmlformats.org/officeDocument/2006/relationships" ref="O1201" r:id="rId1329"/>
    <hyperlink xmlns:r="http://schemas.openxmlformats.org/officeDocument/2006/relationships" ref="O1202" r:id="rId1330"/>
    <hyperlink xmlns:r="http://schemas.openxmlformats.org/officeDocument/2006/relationships" ref="O1203" r:id="rId1331"/>
    <hyperlink xmlns:r="http://schemas.openxmlformats.org/officeDocument/2006/relationships" ref="O1204" r:id="rId1332"/>
    <hyperlink xmlns:r="http://schemas.openxmlformats.org/officeDocument/2006/relationships" ref="O1205" r:id="rId1333"/>
    <hyperlink xmlns:r="http://schemas.openxmlformats.org/officeDocument/2006/relationships" ref="O1206" r:id="rId1334"/>
    <hyperlink xmlns:r="http://schemas.openxmlformats.org/officeDocument/2006/relationships" ref="O1207" r:id="rId1335"/>
    <hyperlink xmlns:r="http://schemas.openxmlformats.org/officeDocument/2006/relationships" ref="O1208" r:id="rId1336"/>
    <hyperlink xmlns:r="http://schemas.openxmlformats.org/officeDocument/2006/relationships" ref="O1209" r:id="rId1337"/>
    <hyperlink xmlns:r="http://schemas.openxmlformats.org/officeDocument/2006/relationships" ref="O1210" r:id="rId1338"/>
    <hyperlink xmlns:r="http://schemas.openxmlformats.org/officeDocument/2006/relationships" ref="O1211" r:id="rId1339"/>
    <hyperlink xmlns:r="http://schemas.openxmlformats.org/officeDocument/2006/relationships" ref="O1212" r:id="rId1340"/>
    <hyperlink xmlns:r="http://schemas.openxmlformats.org/officeDocument/2006/relationships" ref="O1213" r:id="rId1341"/>
    <hyperlink xmlns:r="http://schemas.openxmlformats.org/officeDocument/2006/relationships" ref="O1214" r:id="rId1342"/>
    <hyperlink xmlns:r="http://schemas.openxmlformats.org/officeDocument/2006/relationships" ref="O1215" r:id="rId1343"/>
    <hyperlink xmlns:r="http://schemas.openxmlformats.org/officeDocument/2006/relationships" ref="O1216" r:id="rId1344"/>
    <hyperlink xmlns:r="http://schemas.openxmlformats.org/officeDocument/2006/relationships" ref="O1217" r:id="rId1345"/>
    <hyperlink xmlns:r="http://schemas.openxmlformats.org/officeDocument/2006/relationships" ref="O1218" r:id="rId1346"/>
    <hyperlink xmlns:r="http://schemas.openxmlformats.org/officeDocument/2006/relationships" ref="O1219" r:id="rId1347"/>
    <hyperlink xmlns:r="http://schemas.openxmlformats.org/officeDocument/2006/relationships" ref="O1220" r:id="rId1348"/>
    <hyperlink xmlns:r="http://schemas.openxmlformats.org/officeDocument/2006/relationships" ref="O1221" r:id="rId1349"/>
    <hyperlink xmlns:r="http://schemas.openxmlformats.org/officeDocument/2006/relationships" ref="O1222" r:id="rId1350"/>
    <hyperlink xmlns:r="http://schemas.openxmlformats.org/officeDocument/2006/relationships" ref="O1223" r:id="rId1351"/>
    <hyperlink xmlns:r="http://schemas.openxmlformats.org/officeDocument/2006/relationships" ref="O1224" r:id="rId1352"/>
    <hyperlink xmlns:r="http://schemas.openxmlformats.org/officeDocument/2006/relationships" ref="O1225" r:id="rId1353"/>
    <hyperlink xmlns:r="http://schemas.openxmlformats.org/officeDocument/2006/relationships" ref="O1226" r:id="rId1354"/>
    <hyperlink xmlns:r="http://schemas.openxmlformats.org/officeDocument/2006/relationships" ref="O1227" r:id="rId1355"/>
    <hyperlink xmlns:r="http://schemas.openxmlformats.org/officeDocument/2006/relationships" ref="O1228" r:id="rId1356"/>
    <hyperlink xmlns:r="http://schemas.openxmlformats.org/officeDocument/2006/relationships" ref="N1229" r:id="rId1357"/>
    <hyperlink xmlns:r="http://schemas.openxmlformats.org/officeDocument/2006/relationships" ref="O1229" r:id="rId1358"/>
    <hyperlink xmlns:r="http://schemas.openxmlformats.org/officeDocument/2006/relationships" ref="N1230" r:id="rId1359"/>
    <hyperlink xmlns:r="http://schemas.openxmlformats.org/officeDocument/2006/relationships" ref="O1230" r:id="rId1360"/>
    <hyperlink xmlns:r="http://schemas.openxmlformats.org/officeDocument/2006/relationships" ref="N1231" r:id="rId1361"/>
    <hyperlink xmlns:r="http://schemas.openxmlformats.org/officeDocument/2006/relationships" ref="O1231" r:id="rId1362"/>
    <hyperlink xmlns:r="http://schemas.openxmlformats.org/officeDocument/2006/relationships" ref="N1232" r:id="rId1363"/>
    <hyperlink xmlns:r="http://schemas.openxmlformats.org/officeDocument/2006/relationships" ref="O1232" r:id="rId1364"/>
    <hyperlink xmlns:r="http://schemas.openxmlformats.org/officeDocument/2006/relationships" ref="N1233" r:id="rId1365"/>
    <hyperlink xmlns:r="http://schemas.openxmlformats.org/officeDocument/2006/relationships" ref="O1233" r:id="rId1366"/>
    <hyperlink xmlns:r="http://schemas.openxmlformats.org/officeDocument/2006/relationships" ref="N1234" r:id="rId1367"/>
    <hyperlink xmlns:r="http://schemas.openxmlformats.org/officeDocument/2006/relationships" ref="O1234" r:id="rId1368"/>
    <hyperlink xmlns:r="http://schemas.openxmlformats.org/officeDocument/2006/relationships" ref="O1235" r:id="rId1369"/>
    <hyperlink xmlns:r="http://schemas.openxmlformats.org/officeDocument/2006/relationships" ref="O1236" r:id="rId1370"/>
    <hyperlink xmlns:r="http://schemas.openxmlformats.org/officeDocument/2006/relationships" ref="O1237" r:id="rId1371"/>
    <hyperlink xmlns:r="http://schemas.openxmlformats.org/officeDocument/2006/relationships" ref="O1238" r:id="rId1372"/>
    <hyperlink xmlns:r="http://schemas.openxmlformats.org/officeDocument/2006/relationships" ref="O1239" r:id="rId1373"/>
    <hyperlink xmlns:r="http://schemas.openxmlformats.org/officeDocument/2006/relationships" ref="O1240" r:id="rId1374"/>
    <hyperlink xmlns:r="http://schemas.openxmlformats.org/officeDocument/2006/relationships" ref="O1241" r:id="rId1375"/>
    <hyperlink xmlns:r="http://schemas.openxmlformats.org/officeDocument/2006/relationships" ref="N1242" r:id="rId1376"/>
    <hyperlink xmlns:r="http://schemas.openxmlformats.org/officeDocument/2006/relationships" ref="O1242" r:id="rId1377"/>
    <hyperlink xmlns:r="http://schemas.openxmlformats.org/officeDocument/2006/relationships" ref="N1243" r:id="rId1378"/>
    <hyperlink xmlns:r="http://schemas.openxmlformats.org/officeDocument/2006/relationships" ref="O1243" r:id="rId1379"/>
    <hyperlink xmlns:r="http://schemas.openxmlformats.org/officeDocument/2006/relationships" ref="N1244" r:id="rId1380"/>
    <hyperlink xmlns:r="http://schemas.openxmlformats.org/officeDocument/2006/relationships" ref="O1244" r:id="rId1381"/>
    <hyperlink xmlns:r="http://schemas.openxmlformats.org/officeDocument/2006/relationships" ref="N1245" r:id="rId1382"/>
    <hyperlink xmlns:r="http://schemas.openxmlformats.org/officeDocument/2006/relationships" ref="O1245" r:id="rId1383"/>
    <hyperlink xmlns:r="http://schemas.openxmlformats.org/officeDocument/2006/relationships" ref="N1246" r:id="rId1384"/>
    <hyperlink xmlns:r="http://schemas.openxmlformats.org/officeDocument/2006/relationships" ref="O1246" r:id="rId1385"/>
    <hyperlink xmlns:r="http://schemas.openxmlformats.org/officeDocument/2006/relationships" ref="N1247" r:id="rId1386"/>
    <hyperlink xmlns:r="http://schemas.openxmlformats.org/officeDocument/2006/relationships" ref="O1247" r:id="rId1387"/>
    <hyperlink xmlns:r="http://schemas.openxmlformats.org/officeDocument/2006/relationships" ref="N1248" r:id="rId1388"/>
    <hyperlink xmlns:r="http://schemas.openxmlformats.org/officeDocument/2006/relationships" ref="O1248" r:id="rId1389"/>
    <hyperlink xmlns:r="http://schemas.openxmlformats.org/officeDocument/2006/relationships" ref="N1249" r:id="rId1390"/>
    <hyperlink xmlns:r="http://schemas.openxmlformats.org/officeDocument/2006/relationships" ref="O1249" r:id="rId1391"/>
    <hyperlink xmlns:r="http://schemas.openxmlformats.org/officeDocument/2006/relationships" ref="N1250" r:id="rId1392"/>
    <hyperlink xmlns:r="http://schemas.openxmlformats.org/officeDocument/2006/relationships" ref="O1250" r:id="rId1393"/>
    <hyperlink xmlns:r="http://schemas.openxmlformats.org/officeDocument/2006/relationships" ref="N1251" r:id="rId1394"/>
    <hyperlink xmlns:r="http://schemas.openxmlformats.org/officeDocument/2006/relationships" ref="O1251" r:id="rId1395"/>
    <hyperlink xmlns:r="http://schemas.openxmlformats.org/officeDocument/2006/relationships" ref="N1252" r:id="rId1396"/>
    <hyperlink xmlns:r="http://schemas.openxmlformats.org/officeDocument/2006/relationships" ref="O1252" r:id="rId1397"/>
    <hyperlink xmlns:r="http://schemas.openxmlformats.org/officeDocument/2006/relationships" ref="N1253" r:id="rId1398"/>
    <hyperlink xmlns:r="http://schemas.openxmlformats.org/officeDocument/2006/relationships" ref="O1253" r:id="rId1399"/>
    <hyperlink xmlns:r="http://schemas.openxmlformats.org/officeDocument/2006/relationships" ref="N1254" r:id="rId1400"/>
    <hyperlink xmlns:r="http://schemas.openxmlformats.org/officeDocument/2006/relationships" ref="O1254" r:id="rId1401"/>
    <hyperlink xmlns:r="http://schemas.openxmlformats.org/officeDocument/2006/relationships" ref="N1255" r:id="rId1402"/>
    <hyperlink xmlns:r="http://schemas.openxmlformats.org/officeDocument/2006/relationships" ref="O1255" r:id="rId1403"/>
    <hyperlink xmlns:r="http://schemas.openxmlformats.org/officeDocument/2006/relationships" ref="O1256" r:id="rId1404"/>
    <hyperlink xmlns:r="http://schemas.openxmlformats.org/officeDocument/2006/relationships" ref="N1257" r:id="rId1405"/>
    <hyperlink xmlns:r="http://schemas.openxmlformats.org/officeDocument/2006/relationships" ref="O1257" r:id="rId1406"/>
    <hyperlink xmlns:r="http://schemas.openxmlformats.org/officeDocument/2006/relationships" ref="N1258" r:id="rId1407"/>
    <hyperlink xmlns:r="http://schemas.openxmlformats.org/officeDocument/2006/relationships" ref="O1258" r:id="rId1408"/>
    <hyperlink xmlns:r="http://schemas.openxmlformats.org/officeDocument/2006/relationships" ref="N1259" r:id="rId1409"/>
    <hyperlink xmlns:r="http://schemas.openxmlformats.org/officeDocument/2006/relationships" ref="O1259" r:id="rId1410"/>
    <hyperlink xmlns:r="http://schemas.openxmlformats.org/officeDocument/2006/relationships" ref="N1260" r:id="rId1411"/>
    <hyperlink xmlns:r="http://schemas.openxmlformats.org/officeDocument/2006/relationships" ref="O1260" r:id="rId1412"/>
    <hyperlink xmlns:r="http://schemas.openxmlformats.org/officeDocument/2006/relationships" ref="O1261" r:id="rId1413"/>
    <hyperlink xmlns:r="http://schemas.openxmlformats.org/officeDocument/2006/relationships" ref="N1262" r:id="rId1414"/>
    <hyperlink xmlns:r="http://schemas.openxmlformats.org/officeDocument/2006/relationships" ref="O1262" r:id="rId1415"/>
    <hyperlink xmlns:r="http://schemas.openxmlformats.org/officeDocument/2006/relationships" ref="N1263" r:id="rId1416"/>
    <hyperlink xmlns:r="http://schemas.openxmlformats.org/officeDocument/2006/relationships" ref="O1263" r:id="rId1417"/>
    <hyperlink xmlns:r="http://schemas.openxmlformats.org/officeDocument/2006/relationships" ref="N1264" r:id="rId1418"/>
    <hyperlink xmlns:r="http://schemas.openxmlformats.org/officeDocument/2006/relationships" ref="O1264" r:id="rId1419"/>
    <hyperlink xmlns:r="http://schemas.openxmlformats.org/officeDocument/2006/relationships" ref="N1265" r:id="rId1420"/>
    <hyperlink xmlns:r="http://schemas.openxmlformats.org/officeDocument/2006/relationships" ref="O1265" r:id="rId1421"/>
    <hyperlink xmlns:r="http://schemas.openxmlformats.org/officeDocument/2006/relationships" ref="N1266" r:id="rId1422"/>
    <hyperlink xmlns:r="http://schemas.openxmlformats.org/officeDocument/2006/relationships" ref="O1266" r:id="rId1423"/>
    <hyperlink xmlns:r="http://schemas.openxmlformats.org/officeDocument/2006/relationships" ref="O1267" r:id="rId1424"/>
    <hyperlink xmlns:r="http://schemas.openxmlformats.org/officeDocument/2006/relationships" ref="N1268" r:id="rId1425"/>
    <hyperlink xmlns:r="http://schemas.openxmlformats.org/officeDocument/2006/relationships" ref="O1268" r:id="rId1426"/>
    <hyperlink xmlns:r="http://schemas.openxmlformats.org/officeDocument/2006/relationships" ref="N1269" r:id="rId1427"/>
    <hyperlink xmlns:r="http://schemas.openxmlformats.org/officeDocument/2006/relationships" ref="O1269" r:id="rId1428"/>
    <hyperlink xmlns:r="http://schemas.openxmlformats.org/officeDocument/2006/relationships" ref="N1270" r:id="rId1429"/>
    <hyperlink xmlns:r="http://schemas.openxmlformats.org/officeDocument/2006/relationships" ref="O1270" r:id="rId1430"/>
    <hyperlink xmlns:r="http://schemas.openxmlformats.org/officeDocument/2006/relationships" ref="N1271" r:id="rId1431"/>
    <hyperlink xmlns:r="http://schemas.openxmlformats.org/officeDocument/2006/relationships" ref="O1271" r:id="rId1432"/>
    <hyperlink xmlns:r="http://schemas.openxmlformats.org/officeDocument/2006/relationships" ref="N1272" r:id="rId1433"/>
    <hyperlink xmlns:r="http://schemas.openxmlformats.org/officeDocument/2006/relationships" ref="O1272" r:id="rId1434"/>
    <hyperlink xmlns:r="http://schemas.openxmlformats.org/officeDocument/2006/relationships" ref="N1273" r:id="rId1435"/>
    <hyperlink xmlns:r="http://schemas.openxmlformats.org/officeDocument/2006/relationships" ref="O1273" r:id="rId1436"/>
    <hyperlink xmlns:r="http://schemas.openxmlformats.org/officeDocument/2006/relationships" ref="N1274" r:id="rId1437"/>
    <hyperlink xmlns:r="http://schemas.openxmlformats.org/officeDocument/2006/relationships" ref="O1274" r:id="rId1438"/>
    <hyperlink xmlns:r="http://schemas.openxmlformats.org/officeDocument/2006/relationships" ref="N1275" r:id="rId1439"/>
    <hyperlink xmlns:r="http://schemas.openxmlformats.org/officeDocument/2006/relationships" ref="O1275" r:id="rId1440"/>
    <hyperlink xmlns:r="http://schemas.openxmlformats.org/officeDocument/2006/relationships" ref="O1276" r:id="rId1441"/>
    <hyperlink xmlns:r="http://schemas.openxmlformats.org/officeDocument/2006/relationships" ref="O1277" r:id="rId1442"/>
    <hyperlink xmlns:r="http://schemas.openxmlformats.org/officeDocument/2006/relationships" ref="O1278" r:id="rId1443"/>
    <hyperlink xmlns:r="http://schemas.openxmlformats.org/officeDocument/2006/relationships" ref="O1279" r:id="rId1444"/>
    <hyperlink xmlns:r="http://schemas.openxmlformats.org/officeDocument/2006/relationships" ref="O1280" r:id="rId1445"/>
    <hyperlink xmlns:r="http://schemas.openxmlformats.org/officeDocument/2006/relationships" ref="O1281" r:id="rId1446"/>
    <hyperlink xmlns:r="http://schemas.openxmlformats.org/officeDocument/2006/relationships" ref="O1282" r:id="rId1447"/>
    <hyperlink xmlns:r="http://schemas.openxmlformats.org/officeDocument/2006/relationships" ref="O1283" r:id="rId1448"/>
    <hyperlink xmlns:r="http://schemas.openxmlformats.org/officeDocument/2006/relationships" ref="O1284" r:id="rId1449"/>
    <hyperlink xmlns:r="http://schemas.openxmlformats.org/officeDocument/2006/relationships" ref="O1285" r:id="rId1450"/>
    <hyperlink xmlns:r="http://schemas.openxmlformats.org/officeDocument/2006/relationships" ref="O1286" r:id="rId1451"/>
    <hyperlink xmlns:r="http://schemas.openxmlformats.org/officeDocument/2006/relationships" ref="O1287" r:id="rId1452"/>
    <hyperlink xmlns:r="http://schemas.openxmlformats.org/officeDocument/2006/relationships" ref="O1288" r:id="rId1453"/>
    <hyperlink xmlns:r="http://schemas.openxmlformats.org/officeDocument/2006/relationships" ref="O1289" r:id="rId1454"/>
    <hyperlink xmlns:r="http://schemas.openxmlformats.org/officeDocument/2006/relationships" ref="N1290" r:id="rId1455"/>
    <hyperlink xmlns:r="http://schemas.openxmlformats.org/officeDocument/2006/relationships" ref="O1290" r:id="rId1456"/>
    <hyperlink xmlns:r="http://schemas.openxmlformats.org/officeDocument/2006/relationships" ref="N1291" r:id="rId1457"/>
    <hyperlink xmlns:r="http://schemas.openxmlformats.org/officeDocument/2006/relationships" ref="N1292" r:id="rId1458"/>
    <hyperlink xmlns:r="http://schemas.openxmlformats.org/officeDocument/2006/relationships" ref="N1293" r:id="rId1459"/>
    <hyperlink xmlns:r="http://schemas.openxmlformats.org/officeDocument/2006/relationships" ref="N1294" r:id="rId1460"/>
    <hyperlink xmlns:r="http://schemas.openxmlformats.org/officeDocument/2006/relationships" ref="N1295" r:id="rId1461"/>
    <hyperlink xmlns:r="http://schemas.openxmlformats.org/officeDocument/2006/relationships" ref="N1296" r:id="rId1462"/>
    <hyperlink xmlns:r="http://schemas.openxmlformats.org/officeDocument/2006/relationships" ref="N1297" r:id="rId1463"/>
    <hyperlink xmlns:r="http://schemas.openxmlformats.org/officeDocument/2006/relationships" ref="N1298" r:id="rId1464"/>
    <hyperlink xmlns:r="http://schemas.openxmlformats.org/officeDocument/2006/relationships" ref="N1299" r:id="rId1465"/>
    <hyperlink xmlns:r="http://schemas.openxmlformats.org/officeDocument/2006/relationships" ref="N1300" r:id="rId1466"/>
    <hyperlink xmlns:r="http://schemas.openxmlformats.org/officeDocument/2006/relationships" ref="N1301" r:id="rId1467"/>
    <hyperlink xmlns:r="http://schemas.openxmlformats.org/officeDocument/2006/relationships" ref="N1302" r:id="rId1468"/>
    <hyperlink xmlns:r="http://schemas.openxmlformats.org/officeDocument/2006/relationships" ref="O1303" r:id="rId1469"/>
    <hyperlink xmlns:r="http://schemas.openxmlformats.org/officeDocument/2006/relationships" ref="O1304" r:id="rId1470"/>
    <hyperlink xmlns:r="http://schemas.openxmlformats.org/officeDocument/2006/relationships" ref="O1305" r:id="rId1471"/>
    <hyperlink xmlns:r="http://schemas.openxmlformats.org/officeDocument/2006/relationships" ref="O1306" r:id="rId1472"/>
    <hyperlink xmlns:r="http://schemas.openxmlformats.org/officeDocument/2006/relationships" ref="O1307" r:id="rId1473"/>
    <hyperlink xmlns:r="http://schemas.openxmlformats.org/officeDocument/2006/relationships" ref="O1308" r:id="rId1474"/>
    <hyperlink xmlns:r="http://schemas.openxmlformats.org/officeDocument/2006/relationships" ref="O1309" r:id="rId1475"/>
    <hyperlink xmlns:r="http://schemas.openxmlformats.org/officeDocument/2006/relationships" ref="O1310" r:id="rId1476"/>
    <hyperlink xmlns:r="http://schemas.openxmlformats.org/officeDocument/2006/relationships" ref="O1311" r:id="rId1477"/>
    <hyperlink xmlns:r="http://schemas.openxmlformats.org/officeDocument/2006/relationships" ref="O1312" r:id="rId1478"/>
    <hyperlink xmlns:r="http://schemas.openxmlformats.org/officeDocument/2006/relationships" ref="O1313" r:id="rId1479"/>
    <hyperlink xmlns:r="http://schemas.openxmlformats.org/officeDocument/2006/relationships" ref="O1314" r:id="rId1480"/>
    <hyperlink xmlns:r="http://schemas.openxmlformats.org/officeDocument/2006/relationships" ref="O1315" r:id="rId1481"/>
    <hyperlink xmlns:r="http://schemas.openxmlformats.org/officeDocument/2006/relationships" ref="O1316" r:id="rId1482"/>
    <hyperlink xmlns:r="http://schemas.openxmlformats.org/officeDocument/2006/relationships" ref="O1317" r:id="rId1483"/>
    <hyperlink xmlns:r="http://schemas.openxmlformats.org/officeDocument/2006/relationships" ref="O1318" r:id="rId1484"/>
    <hyperlink xmlns:r="http://schemas.openxmlformats.org/officeDocument/2006/relationships" ref="O1319" r:id="rId1485"/>
    <hyperlink xmlns:r="http://schemas.openxmlformats.org/officeDocument/2006/relationships" ref="O1320" r:id="rId1486"/>
    <hyperlink xmlns:r="http://schemas.openxmlformats.org/officeDocument/2006/relationships" ref="O1321" r:id="rId1487"/>
    <hyperlink xmlns:r="http://schemas.openxmlformats.org/officeDocument/2006/relationships" ref="O1322" r:id="rId1488"/>
    <hyperlink xmlns:r="http://schemas.openxmlformats.org/officeDocument/2006/relationships" ref="O1323" r:id="rId1489"/>
    <hyperlink xmlns:r="http://schemas.openxmlformats.org/officeDocument/2006/relationships" ref="O1324" r:id="rId1490"/>
    <hyperlink xmlns:r="http://schemas.openxmlformats.org/officeDocument/2006/relationships" ref="O1325" r:id="rId1491"/>
    <hyperlink xmlns:r="http://schemas.openxmlformats.org/officeDocument/2006/relationships" ref="O1326" r:id="rId1492"/>
    <hyperlink xmlns:r="http://schemas.openxmlformats.org/officeDocument/2006/relationships" ref="O1327" r:id="rId1493"/>
    <hyperlink xmlns:r="http://schemas.openxmlformats.org/officeDocument/2006/relationships" ref="O1328" r:id="rId1494"/>
    <hyperlink xmlns:r="http://schemas.openxmlformats.org/officeDocument/2006/relationships" ref="O1329" r:id="rId1495"/>
    <hyperlink xmlns:r="http://schemas.openxmlformats.org/officeDocument/2006/relationships" ref="O1330" r:id="rId1496"/>
    <hyperlink xmlns:r="http://schemas.openxmlformats.org/officeDocument/2006/relationships" ref="O1331" r:id="rId1497"/>
    <hyperlink xmlns:r="http://schemas.openxmlformats.org/officeDocument/2006/relationships" ref="O1332" r:id="rId1498"/>
    <hyperlink xmlns:r="http://schemas.openxmlformats.org/officeDocument/2006/relationships" ref="O1333" r:id="rId1499"/>
    <hyperlink xmlns:r="http://schemas.openxmlformats.org/officeDocument/2006/relationships" ref="O1334" r:id="rId1500"/>
    <hyperlink xmlns:r="http://schemas.openxmlformats.org/officeDocument/2006/relationships" ref="O1335" r:id="rId1501"/>
    <hyperlink xmlns:r="http://schemas.openxmlformats.org/officeDocument/2006/relationships" ref="O1336" r:id="rId1502"/>
    <hyperlink xmlns:r="http://schemas.openxmlformats.org/officeDocument/2006/relationships" ref="O1337" r:id="rId1503"/>
    <hyperlink xmlns:r="http://schemas.openxmlformats.org/officeDocument/2006/relationships" ref="O1338" r:id="rId1504"/>
    <hyperlink xmlns:r="http://schemas.openxmlformats.org/officeDocument/2006/relationships" ref="O1339" r:id="rId1505"/>
    <hyperlink xmlns:r="http://schemas.openxmlformats.org/officeDocument/2006/relationships" ref="O1340" r:id="rId1506"/>
    <hyperlink xmlns:r="http://schemas.openxmlformats.org/officeDocument/2006/relationships" ref="O1341" r:id="rId1507"/>
    <hyperlink xmlns:r="http://schemas.openxmlformats.org/officeDocument/2006/relationships" ref="O1342" r:id="rId1508"/>
    <hyperlink xmlns:r="http://schemas.openxmlformats.org/officeDocument/2006/relationships" ref="O1343" r:id="rId1509"/>
    <hyperlink xmlns:r="http://schemas.openxmlformats.org/officeDocument/2006/relationships" ref="O1344" r:id="rId1510"/>
    <hyperlink xmlns:r="http://schemas.openxmlformats.org/officeDocument/2006/relationships" ref="O1345" r:id="rId1511"/>
    <hyperlink xmlns:r="http://schemas.openxmlformats.org/officeDocument/2006/relationships" ref="O1346" r:id="rId1512"/>
    <hyperlink xmlns:r="http://schemas.openxmlformats.org/officeDocument/2006/relationships" ref="O1347" r:id="rId1513"/>
    <hyperlink xmlns:r="http://schemas.openxmlformats.org/officeDocument/2006/relationships" ref="O1348" r:id="rId1514"/>
    <hyperlink xmlns:r="http://schemas.openxmlformats.org/officeDocument/2006/relationships" ref="O1349" r:id="rId1515"/>
    <hyperlink xmlns:r="http://schemas.openxmlformats.org/officeDocument/2006/relationships" ref="O1350" r:id="rId1516"/>
    <hyperlink xmlns:r="http://schemas.openxmlformats.org/officeDocument/2006/relationships" ref="O1351" r:id="rId1517"/>
    <hyperlink xmlns:r="http://schemas.openxmlformats.org/officeDocument/2006/relationships" ref="O1352" r:id="rId1518"/>
    <hyperlink xmlns:r="http://schemas.openxmlformats.org/officeDocument/2006/relationships" ref="O1353" r:id="rId1519"/>
    <hyperlink xmlns:r="http://schemas.openxmlformats.org/officeDocument/2006/relationships" ref="O1354" r:id="rId1520"/>
    <hyperlink xmlns:r="http://schemas.openxmlformats.org/officeDocument/2006/relationships" ref="O1355" r:id="rId1521"/>
    <hyperlink xmlns:r="http://schemas.openxmlformats.org/officeDocument/2006/relationships" ref="O1356" r:id="rId1522"/>
    <hyperlink xmlns:r="http://schemas.openxmlformats.org/officeDocument/2006/relationships" ref="O1357" r:id="rId1523"/>
    <hyperlink xmlns:r="http://schemas.openxmlformats.org/officeDocument/2006/relationships" ref="O1358" r:id="rId1524"/>
    <hyperlink xmlns:r="http://schemas.openxmlformats.org/officeDocument/2006/relationships" ref="O1359" r:id="rId1525"/>
    <hyperlink xmlns:r="http://schemas.openxmlformats.org/officeDocument/2006/relationships" ref="O1360" r:id="rId1526"/>
    <hyperlink xmlns:r="http://schemas.openxmlformats.org/officeDocument/2006/relationships" ref="O1361" r:id="rId1527"/>
    <hyperlink xmlns:r="http://schemas.openxmlformats.org/officeDocument/2006/relationships" ref="O1362" r:id="rId1528"/>
    <hyperlink xmlns:r="http://schemas.openxmlformats.org/officeDocument/2006/relationships" ref="O1363" r:id="rId1529"/>
    <hyperlink xmlns:r="http://schemas.openxmlformats.org/officeDocument/2006/relationships" ref="O1364" r:id="rId1530"/>
    <hyperlink xmlns:r="http://schemas.openxmlformats.org/officeDocument/2006/relationships" ref="O1365" r:id="rId1531"/>
    <hyperlink xmlns:r="http://schemas.openxmlformats.org/officeDocument/2006/relationships" ref="O1366" r:id="rId1532"/>
    <hyperlink xmlns:r="http://schemas.openxmlformats.org/officeDocument/2006/relationships" ref="O1367" r:id="rId1533"/>
    <hyperlink xmlns:r="http://schemas.openxmlformats.org/officeDocument/2006/relationships" ref="O1368" r:id="rId1534"/>
    <hyperlink xmlns:r="http://schemas.openxmlformats.org/officeDocument/2006/relationships" ref="O1369" r:id="rId1535"/>
    <hyperlink xmlns:r="http://schemas.openxmlformats.org/officeDocument/2006/relationships" ref="O1370" r:id="rId1536"/>
    <hyperlink xmlns:r="http://schemas.openxmlformats.org/officeDocument/2006/relationships" ref="O1371" r:id="rId1537"/>
    <hyperlink xmlns:r="http://schemas.openxmlformats.org/officeDocument/2006/relationships" ref="O1372" r:id="rId1538"/>
    <hyperlink xmlns:r="http://schemas.openxmlformats.org/officeDocument/2006/relationships" ref="O1373" r:id="rId1539"/>
    <hyperlink xmlns:r="http://schemas.openxmlformats.org/officeDocument/2006/relationships" ref="O1374" r:id="rId1540"/>
    <hyperlink xmlns:r="http://schemas.openxmlformats.org/officeDocument/2006/relationships" ref="O1375" r:id="rId1541"/>
    <hyperlink xmlns:r="http://schemas.openxmlformats.org/officeDocument/2006/relationships" ref="O1376" r:id="rId1542"/>
    <hyperlink xmlns:r="http://schemas.openxmlformats.org/officeDocument/2006/relationships" ref="O1377" r:id="rId1543"/>
    <hyperlink xmlns:r="http://schemas.openxmlformats.org/officeDocument/2006/relationships" ref="O1378" r:id="rId1544"/>
    <hyperlink xmlns:r="http://schemas.openxmlformats.org/officeDocument/2006/relationships" ref="O1379" r:id="rId1545"/>
    <hyperlink xmlns:r="http://schemas.openxmlformats.org/officeDocument/2006/relationships" ref="O1380" r:id="rId1546"/>
    <hyperlink xmlns:r="http://schemas.openxmlformats.org/officeDocument/2006/relationships" ref="O1381" r:id="rId1547"/>
    <hyperlink xmlns:r="http://schemas.openxmlformats.org/officeDocument/2006/relationships" ref="O1382" r:id="rId1548"/>
    <hyperlink xmlns:r="http://schemas.openxmlformats.org/officeDocument/2006/relationships" ref="O1383" r:id="rId1549"/>
    <hyperlink xmlns:r="http://schemas.openxmlformats.org/officeDocument/2006/relationships" ref="O1384" r:id="rId1550"/>
    <hyperlink xmlns:r="http://schemas.openxmlformats.org/officeDocument/2006/relationships" ref="O1385" r:id="rId1551"/>
    <hyperlink xmlns:r="http://schemas.openxmlformats.org/officeDocument/2006/relationships" ref="O1386" r:id="rId1552"/>
    <hyperlink xmlns:r="http://schemas.openxmlformats.org/officeDocument/2006/relationships" ref="O1387" r:id="rId1553"/>
    <hyperlink xmlns:r="http://schemas.openxmlformats.org/officeDocument/2006/relationships" ref="O1388" r:id="rId1554"/>
    <hyperlink xmlns:r="http://schemas.openxmlformats.org/officeDocument/2006/relationships" ref="O1389" r:id="rId1555"/>
    <hyperlink xmlns:r="http://schemas.openxmlformats.org/officeDocument/2006/relationships" ref="O1390" r:id="rId1556"/>
    <hyperlink xmlns:r="http://schemas.openxmlformats.org/officeDocument/2006/relationships" ref="O1391" r:id="rId1557"/>
    <hyperlink xmlns:r="http://schemas.openxmlformats.org/officeDocument/2006/relationships" ref="O1392" r:id="rId1558"/>
    <hyperlink xmlns:r="http://schemas.openxmlformats.org/officeDocument/2006/relationships" ref="O1393" r:id="rId1559"/>
    <hyperlink xmlns:r="http://schemas.openxmlformats.org/officeDocument/2006/relationships" ref="O1394" r:id="rId1560"/>
    <hyperlink xmlns:r="http://schemas.openxmlformats.org/officeDocument/2006/relationships" ref="O1395" r:id="rId1561"/>
    <hyperlink xmlns:r="http://schemas.openxmlformats.org/officeDocument/2006/relationships" ref="O1396" r:id="rId1562"/>
    <hyperlink xmlns:r="http://schemas.openxmlformats.org/officeDocument/2006/relationships" ref="O1397" r:id="rId1563"/>
    <hyperlink xmlns:r="http://schemas.openxmlformats.org/officeDocument/2006/relationships" ref="O1398" r:id="rId1564"/>
    <hyperlink xmlns:r="http://schemas.openxmlformats.org/officeDocument/2006/relationships" ref="O1399" r:id="rId1565"/>
    <hyperlink xmlns:r="http://schemas.openxmlformats.org/officeDocument/2006/relationships" ref="O1400" r:id="rId1566"/>
    <hyperlink xmlns:r="http://schemas.openxmlformats.org/officeDocument/2006/relationships" ref="O1401" r:id="rId1567"/>
    <hyperlink xmlns:r="http://schemas.openxmlformats.org/officeDocument/2006/relationships" ref="O1402" r:id="rId1568"/>
    <hyperlink xmlns:r="http://schemas.openxmlformats.org/officeDocument/2006/relationships" ref="O1403" r:id="rId1569"/>
    <hyperlink xmlns:r="http://schemas.openxmlformats.org/officeDocument/2006/relationships" ref="O1404" r:id="rId1570"/>
    <hyperlink xmlns:r="http://schemas.openxmlformats.org/officeDocument/2006/relationships" ref="O1405" r:id="rId1571"/>
    <hyperlink xmlns:r="http://schemas.openxmlformats.org/officeDocument/2006/relationships" ref="O1406" r:id="rId1572"/>
    <hyperlink xmlns:r="http://schemas.openxmlformats.org/officeDocument/2006/relationships" ref="O1407" r:id="rId1573"/>
    <hyperlink xmlns:r="http://schemas.openxmlformats.org/officeDocument/2006/relationships" ref="O1408" r:id="rId1574"/>
    <hyperlink xmlns:r="http://schemas.openxmlformats.org/officeDocument/2006/relationships" ref="O1409" r:id="rId1575"/>
    <hyperlink xmlns:r="http://schemas.openxmlformats.org/officeDocument/2006/relationships" ref="O1410" r:id="rId1576"/>
    <hyperlink xmlns:r="http://schemas.openxmlformats.org/officeDocument/2006/relationships" ref="O1411" r:id="rId1577"/>
    <hyperlink xmlns:r="http://schemas.openxmlformats.org/officeDocument/2006/relationships" ref="O1412" r:id="rId1578"/>
    <hyperlink xmlns:r="http://schemas.openxmlformats.org/officeDocument/2006/relationships" ref="O1413" r:id="rId1579"/>
    <hyperlink xmlns:r="http://schemas.openxmlformats.org/officeDocument/2006/relationships" ref="O1414" r:id="rId1580"/>
    <hyperlink xmlns:r="http://schemas.openxmlformats.org/officeDocument/2006/relationships" ref="O1415" r:id="rId1581"/>
    <hyperlink xmlns:r="http://schemas.openxmlformats.org/officeDocument/2006/relationships" ref="O1416" r:id="rId1582"/>
    <hyperlink xmlns:r="http://schemas.openxmlformats.org/officeDocument/2006/relationships" ref="O1417" r:id="rId1583"/>
    <hyperlink xmlns:r="http://schemas.openxmlformats.org/officeDocument/2006/relationships" ref="O1418" r:id="rId1584"/>
    <hyperlink xmlns:r="http://schemas.openxmlformats.org/officeDocument/2006/relationships" ref="O1419" r:id="rId1585"/>
    <hyperlink xmlns:r="http://schemas.openxmlformats.org/officeDocument/2006/relationships" ref="O1420" r:id="rId1586"/>
    <hyperlink xmlns:r="http://schemas.openxmlformats.org/officeDocument/2006/relationships" ref="O1421" r:id="rId1587"/>
    <hyperlink xmlns:r="http://schemas.openxmlformats.org/officeDocument/2006/relationships" ref="O1422" r:id="rId1588"/>
    <hyperlink xmlns:r="http://schemas.openxmlformats.org/officeDocument/2006/relationships" ref="O1423" r:id="rId1589"/>
    <hyperlink xmlns:r="http://schemas.openxmlformats.org/officeDocument/2006/relationships" ref="O1424" r:id="rId1590"/>
    <hyperlink xmlns:r="http://schemas.openxmlformats.org/officeDocument/2006/relationships" ref="O1425" r:id="rId1591"/>
    <hyperlink xmlns:r="http://schemas.openxmlformats.org/officeDocument/2006/relationships" ref="O1426" r:id="rId1592"/>
    <hyperlink xmlns:r="http://schemas.openxmlformats.org/officeDocument/2006/relationships" ref="O1427" r:id="rId1593"/>
    <hyperlink xmlns:r="http://schemas.openxmlformats.org/officeDocument/2006/relationships" ref="O1428" r:id="rId1594"/>
    <hyperlink xmlns:r="http://schemas.openxmlformats.org/officeDocument/2006/relationships" ref="O1429" r:id="rId1595"/>
    <hyperlink xmlns:r="http://schemas.openxmlformats.org/officeDocument/2006/relationships" ref="O1430" r:id="rId1596"/>
    <hyperlink xmlns:r="http://schemas.openxmlformats.org/officeDocument/2006/relationships" ref="O1431" r:id="rId1597"/>
    <hyperlink xmlns:r="http://schemas.openxmlformats.org/officeDocument/2006/relationships" ref="O1432" r:id="rId1598"/>
    <hyperlink xmlns:r="http://schemas.openxmlformats.org/officeDocument/2006/relationships" ref="O1433" r:id="rId1599"/>
    <hyperlink xmlns:r="http://schemas.openxmlformats.org/officeDocument/2006/relationships" ref="O1434" r:id="rId1600"/>
    <hyperlink xmlns:r="http://schemas.openxmlformats.org/officeDocument/2006/relationships" ref="O1435" r:id="rId1601"/>
    <hyperlink xmlns:r="http://schemas.openxmlformats.org/officeDocument/2006/relationships" ref="O1436" r:id="rId1602"/>
    <hyperlink xmlns:r="http://schemas.openxmlformats.org/officeDocument/2006/relationships" ref="O1437" r:id="rId1603"/>
    <hyperlink xmlns:r="http://schemas.openxmlformats.org/officeDocument/2006/relationships" ref="O1438" r:id="rId1604"/>
    <hyperlink xmlns:r="http://schemas.openxmlformats.org/officeDocument/2006/relationships" ref="O1439" r:id="rId1605"/>
    <hyperlink xmlns:r="http://schemas.openxmlformats.org/officeDocument/2006/relationships" ref="O1440" r:id="rId1606"/>
    <hyperlink xmlns:r="http://schemas.openxmlformats.org/officeDocument/2006/relationships" ref="O1441" r:id="rId1607"/>
    <hyperlink xmlns:r="http://schemas.openxmlformats.org/officeDocument/2006/relationships" ref="O1442" r:id="rId1608"/>
    <hyperlink xmlns:r="http://schemas.openxmlformats.org/officeDocument/2006/relationships" ref="O1443" r:id="rId1609"/>
    <hyperlink xmlns:r="http://schemas.openxmlformats.org/officeDocument/2006/relationships" ref="O1444" r:id="rId1610"/>
    <hyperlink xmlns:r="http://schemas.openxmlformats.org/officeDocument/2006/relationships" ref="O1445" r:id="rId1611"/>
    <hyperlink xmlns:r="http://schemas.openxmlformats.org/officeDocument/2006/relationships" ref="O1446" r:id="rId1612"/>
    <hyperlink xmlns:r="http://schemas.openxmlformats.org/officeDocument/2006/relationships" ref="O1447" r:id="rId1613"/>
    <hyperlink xmlns:r="http://schemas.openxmlformats.org/officeDocument/2006/relationships" ref="O1448" r:id="rId1614"/>
    <hyperlink xmlns:r="http://schemas.openxmlformats.org/officeDocument/2006/relationships" ref="O1449" r:id="rId1615"/>
    <hyperlink xmlns:r="http://schemas.openxmlformats.org/officeDocument/2006/relationships" ref="O1450" r:id="rId1616"/>
    <hyperlink xmlns:r="http://schemas.openxmlformats.org/officeDocument/2006/relationships" ref="O1451" r:id="rId1617"/>
    <hyperlink xmlns:r="http://schemas.openxmlformats.org/officeDocument/2006/relationships" ref="O1452" r:id="rId1618"/>
    <hyperlink xmlns:r="http://schemas.openxmlformats.org/officeDocument/2006/relationships" ref="O1453" r:id="rId1619"/>
    <hyperlink xmlns:r="http://schemas.openxmlformats.org/officeDocument/2006/relationships" ref="O1454" r:id="rId1620"/>
    <hyperlink xmlns:r="http://schemas.openxmlformats.org/officeDocument/2006/relationships" ref="O1455" r:id="rId1621"/>
    <hyperlink xmlns:r="http://schemas.openxmlformats.org/officeDocument/2006/relationships" ref="O1456" r:id="rId1622"/>
    <hyperlink xmlns:r="http://schemas.openxmlformats.org/officeDocument/2006/relationships" ref="O1457" r:id="rId1623"/>
    <hyperlink xmlns:r="http://schemas.openxmlformats.org/officeDocument/2006/relationships" ref="O1458" r:id="rId1624"/>
    <hyperlink xmlns:r="http://schemas.openxmlformats.org/officeDocument/2006/relationships" ref="O1459" r:id="rId1625"/>
    <hyperlink xmlns:r="http://schemas.openxmlformats.org/officeDocument/2006/relationships" ref="O1460" r:id="rId1626"/>
    <hyperlink xmlns:r="http://schemas.openxmlformats.org/officeDocument/2006/relationships" ref="O1461" r:id="rId1627"/>
    <hyperlink xmlns:r="http://schemas.openxmlformats.org/officeDocument/2006/relationships" ref="O1462" r:id="rId1628"/>
    <hyperlink xmlns:r="http://schemas.openxmlformats.org/officeDocument/2006/relationships" ref="O1463" r:id="rId1629"/>
    <hyperlink xmlns:r="http://schemas.openxmlformats.org/officeDocument/2006/relationships" ref="O1464" r:id="rId1630"/>
    <hyperlink xmlns:r="http://schemas.openxmlformats.org/officeDocument/2006/relationships" ref="O1465" r:id="rId1631"/>
    <hyperlink xmlns:r="http://schemas.openxmlformats.org/officeDocument/2006/relationships" ref="O1466" r:id="rId1632"/>
    <hyperlink xmlns:r="http://schemas.openxmlformats.org/officeDocument/2006/relationships" ref="O1467" r:id="rId1633"/>
    <hyperlink xmlns:r="http://schemas.openxmlformats.org/officeDocument/2006/relationships" ref="O1468" r:id="rId1634"/>
    <hyperlink xmlns:r="http://schemas.openxmlformats.org/officeDocument/2006/relationships" ref="O1469" r:id="rId1635"/>
    <hyperlink xmlns:r="http://schemas.openxmlformats.org/officeDocument/2006/relationships" ref="O1470" r:id="rId1636"/>
    <hyperlink xmlns:r="http://schemas.openxmlformats.org/officeDocument/2006/relationships" ref="O1471" r:id="rId1637"/>
    <hyperlink xmlns:r="http://schemas.openxmlformats.org/officeDocument/2006/relationships" ref="O1472" r:id="rId1638"/>
    <hyperlink xmlns:r="http://schemas.openxmlformats.org/officeDocument/2006/relationships" ref="O1473" r:id="rId1639"/>
    <hyperlink xmlns:r="http://schemas.openxmlformats.org/officeDocument/2006/relationships" ref="O1474" r:id="rId1640"/>
    <hyperlink xmlns:r="http://schemas.openxmlformats.org/officeDocument/2006/relationships" ref="O1475" r:id="rId1641"/>
    <hyperlink xmlns:r="http://schemas.openxmlformats.org/officeDocument/2006/relationships" ref="O1476" r:id="rId1642"/>
    <hyperlink xmlns:r="http://schemas.openxmlformats.org/officeDocument/2006/relationships" ref="O1477" r:id="rId1643"/>
    <hyperlink xmlns:r="http://schemas.openxmlformats.org/officeDocument/2006/relationships" ref="O1478" r:id="rId1644"/>
    <hyperlink xmlns:r="http://schemas.openxmlformats.org/officeDocument/2006/relationships" ref="O1479" r:id="rId1645"/>
    <hyperlink xmlns:r="http://schemas.openxmlformats.org/officeDocument/2006/relationships" ref="O1480" r:id="rId1646"/>
    <hyperlink xmlns:r="http://schemas.openxmlformats.org/officeDocument/2006/relationships" ref="O1481" r:id="rId1647"/>
    <hyperlink xmlns:r="http://schemas.openxmlformats.org/officeDocument/2006/relationships" ref="O1482" r:id="rId1648"/>
    <hyperlink xmlns:r="http://schemas.openxmlformats.org/officeDocument/2006/relationships" ref="O1483" r:id="rId1649"/>
    <hyperlink xmlns:r="http://schemas.openxmlformats.org/officeDocument/2006/relationships" ref="O1484" r:id="rId1650"/>
    <hyperlink xmlns:r="http://schemas.openxmlformats.org/officeDocument/2006/relationships" ref="O1485" r:id="rId1651"/>
    <hyperlink xmlns:r="http://schemas.openxmlformats.org/officeDocument/2006/relationships" ref="O1486" r:id="rId1652"/>
    <hyperlink xmlns:r="http://schemas.openxmlformats.org/officeDocument/2006/relationships" ref="O1487" r:id="rId1653"/>
    <hyperlink xmlns:r="http://schemas.openxmlformats.org/officeDocument/2006/relationships" ref="O1488" r:id="rId1654"/>
    <hyperlink xmlns:r="http://schemas.openxmlformats.org/officeDocument/2006/relationships" ref="O1489" r:id="rId1655"/>
    <hyperlink xmlns:r="http://schemas.openxmlformats.org/officeDocument/2006/relationships" ref="O1490" r:id="rId1656"/>
    <hyperlink xmlns:r="http://schemas.openxmlformats.org/officeDocument/2006/relationships" ref="O1491" r:id="rId1657"/>
    <hyperlink xmlns:r="http://schemas.openxmlformats.org/officeDocument/2006/relationships" ref="O1492" r:id="rId1658"/>
    <hyperlink xmlns:r="http://schemas.openxmlformats.org/officeDocument/2006/relationships" ref="O1493" r:id="rId1659"/>
    <hyperlink xmlns:r="http://schemas.openxmlformats.org/officeDocument/2006/relationships" ref="O1494" r:id="rId1660"/>
    <hyperlink xmlns:r="http://schemas.openxmlformats.org/officeDocument/2006/relationships" ref="O1495" r:id="rId1661"/>
    <hyperlink xmlns:r="http://schemas.openxmlformats.org/officeDocument/2006/relationships" ref="O1496" r:id="rId1662"/>
    <hyperlink xmlns:r="http://schemas.openxmlformats.org/officeDocument/2006/relationships" ref="O1497" r:id="rId1663"/>
    <hyperlink xmlns:r="http://schemas.openxmlformats.org/officeDocument/2006/relationships" ref="O1498" r:id="rId1664"/>
    <hyperlink xmlns:r="http://schemas.openxmlformats.org/officeDocument/2006/relationships" ref="O1499" r:id="rId1665"/>
    <hyperlink xmlns:r="http://schemas.openxmlformats.org/officeDocument/2006/relationships" ref="O1500" r:id="rId1666"/>
    <hyperlink xmlns:r="http://schemas.openxmlformats.org/officeDocument/2006/relationships" ref="O1501" r:id="rId1667"/>
    <hyperlink xmlns:r="http://schemas.openxmlformats.org/officeDocument/2006/relationships" ref="O1502" r:id="rId1668"/>
    <hyperlink xmlns:r="http://schemas.openxmlformats.org/officeDocument/2006/relationships" ref="O1503" r:id="rId1669"/>
    <hyperlink xmlns:r="http://schemas.openxmlformats.org/officeDocument/2006/relationships" ref="O1504" r:id="rId1670"/>
    <hyperlink xmlns:r="http://schemas.openxmlformats.org/officeDocument/2006/relationships" ref="O1505" r:id="rId1671"/>
    <hyperlink xmlns:r="http://schemas.openxmlformats.org/officeDocument/2006/relationships" ref="O1506" r:id="rId1672"/>
    <hyperlink xmlns:r="http://schemas.openxmlformats.org/officeDocument/2006/relationships" ref="O1507" r:id="rId1673"/>
    <hyperlink xmlns:r="http://schemas.openxmlformats.org/officeDocument/2006/relationships" ref="O1508" r:id="rId1674"/>
    <hyperlink xmlns:r="http://schemas.openxmlformats.org/officeDocument/2006/relationships" ref="O1509" r:id="rId1675"/>
    <hyperlink xmlns:r="http://schemas.openxmlformats.org/officeDocument/2006/relationships" ref="O1510" r:id="rId1676"/>
    <hyperlink xmlns:r="http://schemas.openxmlformats.org/officeDocument/2006/relationships" ref="O1511" r:id="rId1677"/>
    <hyperlink xmlns:r="http://schemas.openxmlformats.org/officeDocument/2006/relationships" ref="O1512" r:id="rId1678"/>
    <hyperlink xmlns:r="http://schemas.openxmlformats.org/officeDocument/2006/relationships" ref="O1513" r:id="rId1679"/>
    <hyperlink xmlns:r="http://schemas.openxmlformats.org/officeDocument/2006/relationships" ref="O1514" r:id="rId1680"/>
    <hyperlink xmlns:r="http://schemas.openxmlformats.org/officeDocument/2006/relationships" ref="O1515" r:id="rId1681"/>
    <hyperlink xmlns:r="http://schemas.openxmlformats.org/officeDocument/2006/relationships" ref="O1516" r:id="rId1682"/>
    <hyperlink xmlns:r="http://schemas.openxmlformats.org/officeDocument/2006/relationships" ref="O1517" r:id="rId1683"/>
    <hyperlink xmlns:r="http://schemas.openxmlformats.org/officeDocument/2006/relationships" ref="O1518" r:id="rId1684"/>
    <hyperlink xmlns:r="http://schemas.openxmlformats.org/officeDocument/2006/relationships" ref="O1519" r:id="rId1685"/>
    <hyperlink xmlns:r="http://schemas.openxmlformats.org/officeDocument/2006/relationships" ref="O1520" r:id="rId1686"/>
    <hyperlink xmlns:r="http://schemas.openxmlformats.org/officeDocument/2006/relationships" ref="O1521" r:id="rId1687"/>
    <hyperlink xmlns:r="http://schemas.openxmlformats.org/officeDocument/2006/relationships" ref="O1522" r:id="rId1688"/>
    <hyperlink xmlns:r="http://schemas.openxmlformats.org/officeDocument/2006/relationships" ref="O1523" r:id="rId1689"/>
    <hyperlink xmlns:r="http://schemas.openxmlformats.org/officeDocument/2006/relationships" ref="O1524" r:id="rId1690"/>
    <hyperlink xmlns:r="http://schemas.openxmlformats.org/officeDocument/2006/relationships" ref="O1525" r:id="rId1691"/>
    <hyperlink xmlns:r="http://schemas.openxmlformats.org/officeDocument/2006/relationships" ref="O1526" r:id="rId1692"/>
    <hyperlink xmlns:r="http://schemas.openxmlformats.org/officeDocument/2006/relationships" ref="O1527" r:id="rId1693"/>
    <hyperlink xmlns:r="http://schemas.openxmlformats.org/officeDocument/2006/relationships" ref="O1528" r:id="rId1694"/>
    <hyperlink xmlns:r="http://schemas.openxmlformats.org/officeDocument/2006/relationships" ref="O1529" r:id="rId1695"/>
    <hyperlink xmlns:r="http://schemas.openxmlformats.org/officeDocument/2006/relationships" ref="O1530" r:id="rId1696"/>
    <hyperlink xmlns:r="http://schemas.openxmlformats.org/officeDocument/2006/relationships" ref="O1531" r:id="rId1697"/>
    <hyperlink xmlns:r="http://schemas.openxmlformats.org/officeDocument/2006/relationships" ref="O1532" r:id="rId1698"/>
    <hyperlink xmlns:r="http://schemas.openxmlformats.org/officeDocument/2006/relationships" ref="O1533" r:id="rId1699"/>
    <hyperlink xmlns:r="http://schemas.openxmlformats.org/officeDocument/2006/relationships" ref="O1534" r:id="rId1700"/>
    <hyperlink xmlns:r="http://schemas.openxmlformats.org/officeDocument/2006/relationships" ref="O1535" r:id="rId1701"/>
    <hyperlink xmlns:r="http://schemas.openxmlformats.org/officeDocument/2006/relationships" ref="O1536" r:id="rId1702"/>
    <hyperlink xmlns:r="http://schemas.openxmlformats.org/officeDocument/2006/relationships" ref="O1537" r:id="rId1703"/>
    <hyperlink xmlns:r="http://schemas.openxmlformats.org/officeDocument/2006/relationships" ref="O1538" r:id="rId1704"/>
    <hyperlink xmlns:r="http://schemas.openxmlformats.org/officeDocument/2006/relationships" ref="O1539" r:id="rId1705"/>
    <hyperlink xmlns:r="http://schemas.openxmlformats.org/officeDocument/2006/relationships" ref="O1540" r:id="rId1706"/>
    <hyperlink xmlns:r="http://schemas.openxmlformats.org/officeDocument/2006/relationships" ref="O1541" r:id="rId1707"/>
    <hyperlink xmlns:r="http://schemas.openxmlformats.org/officeDocument/2006/relationships" ref="O1542" r:id="rId1708"/>
    <hyperlink xmlns:r="http://schemas.openxmlformats.org/officeDocument/2006/relationships" ref="O1543" r:id="rId1709"/>
    <hyperlink xmlns:r="http://schemas.openxmlformats.org/officeDocument/2006/relationships" ref="O1544" r:id="rId1710"/>
    <hyperlink xmlns:r="http://schemas.openxmlformats.org/officeDocument/2006/relationships" ref="O1545" r:id="rId1711"/>
    <hyperlink xmlns:r="http://schemas.openxmlformats.org/officeDocument/2006/relationships" ref="O1546" r:id="rId1712"/>
    <hyperlink xmlns:r="http://schemas.openxmlformats.org/officeDocument/2006/relationships" ref="O1547" r:id="rId1713"/>
    <hyperlink xmlns:r="http://schemas.openxmlformats.org/officeDocument/2006/relationships" ref="O1548" r:id="rId1714"/>
    <hyperlink xmlns:r="http://schemas.openxmlformats.org/officeDocument/2006/relationships" ref="O1549" r:id="rId1715"/>
    <hyperlink xmlns:r="http://schemas.openxmlformats.org/officeDocument/2006/relationships" ref="O1550" r:id="rId1716"/>
    <hyperlink xmlns:r="http://schemas.openxmlformats.org/officeDocument/2006/relationships" ref="O1551" r:id="rId1717"/>
    <hyperlink xmlns:r="http://schemas.openxmlformats.org/officeDocument/2006/relationships" ref="O1552" r:id="rId1718"/>
    <hyperlink xmlns:r="http://schemas.openxmlformats.org/officeDocument/2006/relationships" ref="O1553" r:id="rId1719"/>
    <hyperlink xmlns:r="http://schemas.openxmlformats.org/officeDocument/2006/relationships" ref="O1554" r:id="rId1720"/>
    <hyperlink xmlns:r="http://schemas.openxmlformats.org/officeDocument/2006/relationships" ref="O1555" r:id="rId1721"/>
    <hyperlink xmlns:r="http://schemas.openxmlformats.org/officeDocument/2006/relationships" ref="O1556" r:id="rId1722"/>
    <hyperlink xmlns:r="http://schemas.openxmlformats.org/officeDocument/2006/relationships" ref="O1557" r:id="rId1723"/>
    <hyperlink xmlns:r="http://schemas.openxmlformats.org/officeDocument/2006/relationships" ref="O1558" r:id="rId1724"/>
    <hyperlink xmlns:r="http://schemas.openxmlformats.org/officeDocument/2006/relationships" ref="O1559" r:id="rId1725"/>
    <hyperlink xmlns:r="http://schemas.openxmlformats.org/officeDocument/2006/relationships" ref="O1560" r:id="rId1726"/>
    <hyperlink xmlns:r="http://schemas.openxmlformats.org/officeDocument/2006/relationships" ref="O1561" r:id="rId1727"/>
    <hyperlink xmlns:r="http://schemas.openxmlformats.org/officeDocument/2006/relationships" ref="O1562" r:id="rId1728"/>
    <hyperlink xmlns:r="http://schemas.openxmlformats.org/officeDocument/2006/relationships" ref="O1563" r:id="rId1729"/>
    <hyperlink xmlns:r="http://schemas.openxmlformats.org/officeDocument/2006/relationships" ref="O1564" r:id="rId1730"/>
    <hyperlink xmlns:r="http://schemas.openxmlformats.org/officeDocument/2006/relationships" ref="O1565" r:id="rId1731"/>
    <hyperlink xmlns:r="http://schemas.openxmlformats.org/officeDocument/2006/relationships" ref="O1566" r:id="rId1732"/>
    <hyperlink xmlns:r="http://schemas.openxmlformats.org/officeDocument/2006/relationships" ref="O1567" r:id="rId1733"/>
    <hyperlink xmlns:r="http://schemas.openxmlformats.org/officeDocument/2006/relationships" ref="O1568" r:id="rId1734"/>
    <hyperlink xmlns:r="http://schemas.openxmlformats.org/officeDocument/2006/relationships" ref="O1569" r:id="rId1735"/>
    <hyperlink xmlns:r="http://schemas.openxmlformats.org/officeDocument/2006/relationships" ref="O1570" r:id="rId1736"/>
    <hyperlink xmlns:r="http://schemas.openxmlformats.org/officeDocument/2006/relationships" ref="O1571" r:id="rId1737"/>
    <hyperlink xmlns:r="http://schemas.openxmlformats.org/officeDocument/2006/relationships" ref="O1572" r:id="rId1738"/>
    <hyperlink xmlns:r="http://schemas.openxmlformats.org/officeDocument/2006/relationships" ref="O1573" r:id="rId1739"/>
    <hyperlink xmlns:r="http://schemas.openxmlformats.org/officeDocument/2006/relationships" ref="O1574" r:id="rId1740"/>
    <hyperlink xmlns:r="http://schemas.openxmlformats.org/officeDocument/2006/relationships" ref="O1575" r:id="rId1741"/>
    <hyperlink xmlns:r="http://schemas.openxmlformats.org/officeDocument/2006/relationships" ref="O1576" r:id="rId1742"/>
    <hyperlink xmlns:r="http://schemas.openxmlformats.org/officeDocument/2006/relationships" ref="O1577" r:id="rId1743"/>
    <hyperlink xmlns:r="http://schemas.openxmlformats.org/officeDocument/2006/relationships" ref="O1578" r:id="rId1744"/>
    <hyperlink xmlns:r="http://schemas.openxmlformats.org/officeDocument/2006/relationships" ref="O1579" r:id="rId1745"/>
    <hyperlink xmlns:r="http://schemas.openxmlformats.org/officeDocument/2006/relationships" ref="O1580" r:id="rId1746"/>
    <hyperlink xmlns:r="http://schemas.openxmlformats.org/officeDocument/2006/relationships" ref="O1581" r:id="rId1747"/>
    <hyperlink xmlns:r="http://schemas.openxmlformats.org/officeDocument/2006/relationships" ref="O1582" r:id="rId1748"/>
    <hyperlink xmlns:r="http://schemas.openxmlformats.org/officeDocument/2006/relationships" ref="O1583" r:id="rId1749"/>
    <hyperlink xmlns:r="http://schemas.openxmlformats.org/officeDocument/2006/relationships" ref="O1584" r:id="rId1750"/>
    <hyperlink xmlns:r="http://schemas.openxmlformats.org/officeDocument/2006/relationships" ref="O1585" r:id="rId1751"/>
    <hyperlink xmlns:r="http://schemas.openxmlformats.org/officeDocument/2006/relationships" ref="O1586" r:id="rId1752"/>
    <hyperlink xmlns:r="http://schemas.openxmlformats.org/officeDocument/2006/relationships" ref="O1587" r:id="rId1753"/>
    <hyperlink xmlns:r="http://schemas.openxmlformats.org/officeDocument/2006/relationships" ref="O1588" r:id="rId1754"/>
    <hyperlink xmlns:r="http://schemas.openxmlformats.org/officeDocument/2006/relationships" ref="O1589" r:id="rId1755"/>
    <hyperlink xmlns:r="http://schemas.openxmlformats.org/officeDocument/2006/relationships" ref="O1590" r:id="rId1756"/>
    <hyperlink xmlns:r="http://schemas.openxmlformats.org/officeDocument/2006/relationships" ref="O1591" r:id="rId1757"/>
    <hyperlink xmlns:r="http://schemas.openxmlformats.org/officeDocument/2006/relationships" ref="O1592" r:id="rId1758"/>
    <hyperlink xmlns:r="http://schemas.openxmlformats.org/officeDocument/2006/relationships" ref="O1593" r:id="rId1759"/>
    <hyperlink xmlns:r="http://schemas.openxmlformats.org/officeDocument/2006/relationships" ref="O1594" r:id="rId1760"/>
    <hyperlink xmlns:r="http://schemas.openxmlformats.org/officeDocument/2006/relationships" ref="O1595" r:id="rId1761"/>
    <hyperlink xmlns:r="http://schemas.openxmlformats.org/officeDocument/2006/relationships" ref="O1596" r:id="rId1762"/>
    <hyperlink xmlns:r="http://schemas.openxmlformats.org/officeDocument/2006/relationships" ref="O1597" r:id="rId1763"/>
    <hyperlink xmlns:r="http://schemas.openxmlformats.org/officeDocument/2006/relationships" ref="O1598" r:id="rId1764"/>
    <hyperlink xmlns:r="http://schemas.openxmlformats.org/officeDocument/2006/relationships" ref="O1599" r:id="rId1765"/>
    <hyperlink xmlns:r="http://schemas.openxmlformats.org/officeDocument/2006/relationships" ref="O1600" r:id="rId1766"/>
    <hyperlink xmlns:r="http://schemas.openxmlformats.org/officeDocument/2006/relationships" ref="O1601" r:id="rId1767"/>
    <hyperlink xmlns:r="http://schemas.openxmlformats.org/officeDocument/2006/relationships" ref="O1602" r:id="rId1768"/>
    <hyperlink xmlns:r="http://schemas.openxmlformats.org/officeDocument/2006/relationships" ref="O1603" r:id="rId1769"/>
    <hyperlink xmlns:r="http://schemas.openxmlformats.org/officeDocument/2006/relationships" ref="O1604" r:id="rId1770"/>
    <hyperlink xmlns:r="http://schemas.openxmlformats.org/officeDocument/2006/relationships" ref="O1605" r:id="rId1771"/>
    <hyperlink xmlns:r="http://schemas.openxmlformats.org/officeDocument/2006/relationships" ref="O1606" r:id="rId1772"/>
    <hyperlink xmlns:r="http://schemas.openxmlformats.org/officeDocument/2006/relationships" ref="O1607" r:id="rId1773"/>
    <hyperlink xmlns:r="http://schemas.openxmlformats.org/officeDocument/2006/relationships" ref="O1608" r:id="rId1774"/>
    <hyperlink xmlns:r="http://schemas.openxmlformats.org/officeDocument/2006/relationships" ref="O1609" r:id="rId1775"/>
    <hyperlink xmlns:r="http://schemas.openxmlformats.org/officeDocument/2006/relationships" ref="O1610" r:id="rId1776"/>
    <hyperlink xmlns:r="http://schemas.openxmlformats.org/officeDocument/2006/relationships" ref="O1611" r:id="rId1777"/>
    <hyperlink xmlns:r="http://schemas.openxmlformats.org/officeDocument/2006/relationships" ref="O1612" r:id="rId1778"/>
    <hyperlink xmlns:r="http://schemas.openxmlformats.org/officeDocument/2006/relationships" ref="O1613" r:id="rId1779"/>
    <hyperlink xmlns:r="http://schemas.openxmlformats.org/officeDocument/2006/relationships" ref="O1614" r:id="rId1780"/>
    <hyperlink xmlns:r="http://schemas.openxmlformats.org/officeDocument/2006/relationships" ref="O1615" r:id="rId1781"/>
    <hyperlink xmlns:r="http://schemas.openxmlformats.org/officeDocument/2006/relationships" ref="O1616" r:id="rId1782"/>
    <hyperlink xmlns:r="http://schemas.openxmlformats.org/officeDocument/2006/relationships" ref="O1617" r:id="rId1783"/>
    <hyperlink xmlns:r="http://schemas.openxmlformats.org/officeDocument/2006/relationships" ref="O1618" r:id="rId1784"/>
    <hyperlink xmlns:r="http://schemas.openxmlformats.org/officeDocument/2006/relationships" ref="O1619" r:id="rId1785"/>
    <hyperlink xmlns:r="http://schemas.openxmlformats.org/officeDocument/2006/relationships" ref="O1620" r:id="rId1786"/>
    <hyperlink xmlns:r="http://schemas.openxmlformats.org/officeDocument/2006/relationships" ref="O1621" r:id="rId1787"/>
    <hyperlink xmlns:r="http://schemas.openxmlformats.org/officeDocument/2006/relationships" ref="O1622" r:id="rId1788"/>
    <hyperlink xmlns:r="http://schemas.openxmlformats.org/officeDocument/2006/relationships" ref="O1623" r:id="rId1789"/>
    <hyperlink xmlns:r="http://schemas.openxmlformats.org/officeDocument/2006/relationships" ref="O1624" r:id="rId1790"/>
    <hyperlink xmlns:r="http://schemas.openxmlformats.org/officeDocument/2006/relationships" ref="O1625" r:id="rId1791"/>
    <hyperlink xmlns:r="http://schemas.openxmlformats.org/officeDocument/2006/relationships" ref="O1626" r:id="rId1792"/>
    <hyperlink xmlns:r="http://schemas.openxmlformats.org/officeDocument/2006/relationships" ref="O1627" r:id="rId1793"/>
    <hyperlink xmlns:r="http://schemas.openxmlformats.org/officeDocument/2006/relationships" ref="O1628" r:id="rId1794"/>
    <hyperlink xmlns:r="http://schemas.openxmlformats.org/officeDocument/2006/relationships" ref="O1629" r:id="rId1795"/>
    <hyperlink xmlns:r="http://schemas.openxmlformats.org/officeDocument/2006/relationships" ref="O1630" r:id="rId1796"/>
    <hyperlink xmlns:r="http://schemas.openxmlformats.org/officeDocument/2006/relationships" ref="O1631" r:id="rId1797"/>
    <hyperlink xmlns:r="http://schemas.openxmlformats.org/officeDocument/2006/relationships" ref="O1632" r:id="rId1798"/>
    <hyperlink xmlns:r="http://schemas.openxmlformats.org/officeDocument/2006/relationships" ref="O1633" r:id="rId1799"/>
    <hyperlink xmlns:r="http://schemas.openxmlformats.org/officeDocument/2006/relationships" ref="O1634" r:id="rId1800"/>
    <hyperlink xmlns:r="http://schemas.openxmlformats.org/officeDocument/2006/relationships" ref="O1635" r:id="rId1801"/>
    <hyperlink xmlns:r="http://schemas.openxmlformats.org/officeDocument/2006/relationships" ref="O1636" r:id="rId1802"/>
    <hyperlink xmlns:r="http://schemas.openxmlformats.org/officeDocument/2006/relationships" ref="O1637" r:id="rId1803"/>
    <hyperlink xmlns:r="http://schemas.openxmlformats.org/officeDocument/2006/relationships" ref="O1638" r:id="rId1804"/>
    <hyperlink xmlns:r="http://schemas.openxmlformats.org/officeDocument/2006/relationships" ref="O1639" r:id="rId1805"/>
    <hyperlink xmlns:r="http://schemas.openxmlformats.org/officeDocument/2006/relationships" ref="O1640" r:id="rId1806"/>
    <hyperlink xmlns:r="http://schemas.openxmlformats.org/officeDocument/2006/relationships" ref="O1641" r:id="rId1807"/>
    <hyperlink xmlns:r="http://schemas.openxmlformats.org/officeDocument/2006/relationships" ref="O1642" r:id="rId1808"/>
    <hyperlink xmlns:r="http://schemas.openxmlformats.org/officeDocument/2006/relationships" ref="O1643" r:id="rId1809"/>
    <hyperlink xmlns:r="http://schemas.openxmlformats.org/officeDocument/2006/relationships" ref="O1644" r:id="rId1810"/>
    <hyperlink xmlns:r="http://schemas.openxmlformats.org/officeDocument/2006/relationships" ref="O1645" r:id="rId1811"/>
    <hyperlink xmlns:r="http://schemas.openxmlformats.org/officeDocument/2006/relationships" ref="O1646" r:id="rId1812"/>
    <hyperlink xmlns:r="http://schemas.openxmlformats.org/officeDocument/2006/relationships" ref="O1647" r:id="rId1813"/>
    <hyperlink xmlns:r="http://schemas.openxmlformats.org/officeDocument/2006/relationships" ref="O1648" r:id="rId1814"/>
    <hyperlink xmlns:r="http://schemas.openxmlformats.org/officeDocument/2006/relationships" ref="O1649" r:id="rId1815"/>
    <hyperlink xmlns:r="http://schemas.openxmlformats.org/officeDocument/2006/relationships" ref="O1650" r:id="rId1816"/>
    <hyperlink xmlns:r="http://schemas.openxmlformats.org/officeDocument/2006/relationships" ref="O1651" r:id="rId1817"/>
    <hyperlink xmlns:r="http://schemas.openxmlformats.org/officeDocument/2006/relationships" ref="O1652" r:id="rId1818"/>
    <hyperlink xmlns:r="http://schemas.openxmlformats.org/officeDocument/2006/relationships" ref="O1653" r:id="rId1819"/>
    <hyperlink xmlns:r="http://schemas.openxmlformats.org/officeDocument/2006/relationships" ref="O1654" r:id="rId1820"/>
    <hyperlink xmlns:r="http://schemas.openxmlformats.org/officeDocument/2006/relationships" ref="O1655" r:id="rId1821"/>
    <hyperlink xmlns:r="http://schemas.openxmlformats.org/officeDocument/2006/relationships" ref="O1656" r:id="rId1822"/>
    <hyperlink xmlns:r="http://schemas.openxmlformats.org/officeDocument/2006/relationships" ref="O1657" r:id="rId1823"/>
    <hyperlink xmlns:r="http://schemas.openxmlformats.org/officeDocument/2006/relationships" ref="O1658" r:id="rId1824"/>
    <hyperlink xmlns:r="http://schemas.openxmlformats.org/officeDocument/2006/relationships" ref="O1659" r:id="rId1825"/>
    <hyperlink xmlns:r="http://schemas.openxmlformats.org/officeDocument/2006/relationships" ref="O1660" r:id="rId1826"/>
    <hyperlink xmlns:r="http://schemas.openxmlformats.org/officeDocument/2006/relationships" ref="O1661" r:id="rId1827"/>
    <hyperlink xmlns:r="http://schemas.openxmlformats.org/officeDocument/2006/relationships" ref="O1662" r:id="rId1828"/>
    <hyperlink xmlns:r="http://schemas.openxmlformats.org/officeDocument/2006/relationships" ref="O1663" r:id="rId1829"/>
    <hyperlink xmlns:r="http://schemas.openxmlformats.org/officeDocument/2006/relationships" ref="O1664" r:id="rId1830"/>
    <hyperlink xmlns:r="http://schemas.openxmlformats.org/officeDocument/2006/relationships" ref="O1665" r:id="rId1831"/>
    <hyperlink xmlns:r="http://schemas.openxmlformats.org/officeDocument/2006/relationships" ref="N1666" r:id="rId1832"/>
    <hyperlink xmlns:r="http://schemas.openxmlformats.org/officeDocument/2006/relationships" ref="N1667" r:id="rId1833"/>
    <hyperlink xmlns:r="http://schemas.openxmlformats.org/officeDocument/2006/relationships" ref="N1668" r:id="rId1834"/>
    <hyperlink xmlns:r="http://schemas.openxmlformats.org/officeDocument/2006/relationships" ref="O1669" r:id="rId1835"/>
    <hyperlink xmlns:r="http://schemas.openxmlformats.org/officeDocument/2006/relationships" ref="O1670" r:id="rId1836"/>
    <hyperlink xmlns:r="http://schemas.openxmlformats.org/officeDocument/2006/relationships" ref="N1671" r:id="rId1837"/>
    <hyperlink xmlns:r="http://schemas.openxmlformats.org/officeDocument/2006/relationships" ref="O1672" r:id="rId1838"/>
    <hyperlink xmlns:r="http://schemas.openxmlformats.org/officeDocument/2006/relationships" ref="N1673" r:id="rId1839"/>
    <hyperlink xmlns:r="http://schemas.openxmlformats.org/officeDocument/2006/relationships" ref="N1674" r:id="rId1840"/>
    <hyperlink xmlns:r="http://schemas.openxmlformats.org/officeDocument/2006/relationships" ref="N1675" r:id="rId1841"/>
    <hyperlink xmlns:r="http://schemas.openxmlformats.org/officeDocument/2006/relationships" ref="N1676" r:id="rId1842"/>
    <hyperlink xmlns:r="http://schemas.openxmlformats.org/officeDocument/2006/relationships" ref="N1677" r:id="rId1843"/>
    <hyperlink xmlns:r="http://schemas.openxmlformats.org/officeDocument/2006/relationships" ref="N1678" r:id="rId1844"/>
    <hyperlink xmlns:r="http://schemas.openxmlformats.org/officeDocument/2006/relationships" ref="N1679" r:id="rId1845"/>
    <hyperlink xmlns:r="http://schemas.openxmlformats.org/officeDocument/2006/relationships" ref="N1680" r:id="rId1846"/>
    <hyperlink xmlns:r="http://schemas.openxmlformats.org/officeDocument/2006/relationships" ref="N1681" r:id="rId1847"/>
    <hyperlink xmlns:r="http://schemas.openxmlformats.org/officeDocument/2006/relationships" ref="N1682" r:id="rId1848"/>
    <hyperlink xmlns:r="http://schemas.openxmlformats.org/officeDocument/2006/relationships" ref="N1683" r:id="rId1849"/>
    <hyperlink xmlns:r="http://schemas.openxmlformats.org/officeDocument/2006/relationships" ref="N1684" r:id="rId1850"/>
    <hyperlink xmlns:r="http://schemas.openxmlformats.org/officeDocument/2006/relationships" ref="N1685" r:id="rId1851"/>
    <hyperlink xmlns:r="http://schemas.openxmlformats.org/officeDocument/2006/relationships" ref="N1686" r:id="rId1852"/>
    <hyperlink xmlns:r="http://schemas.openxmlformats.org/officeDocument/2006/relationships" ref="N1687" r:id="rId1853"/>
    <hyperlink xmlns:r="http://schemas.openxmlformats.org/officeDocument/2006/relationships" ref="N1688" r:id="rId1854"/>
    <hyperlink xmlns:r="http://schemas.openxmlformats.org/officeDocument/2006/relationships" ref="N1689" r:id="rId1855"/>
    <hyperlink xmlns:r="http://schemas.openxmlformats.org/officeDocument/2006/relationships" ref="N1690" r:id="rId1856"/>
    <hyperlink xmlns:r="http://schemas.openxmlformats.org/officeDocument/2006/relationships" ref="N1691" r:id="rId1857"/>
    <hyperlink xmlns:r="http://schemas.openxmlformats.org/officeDocument/2006/relationships" ref="N1692" r:id="rId1858"/>
    <hyperlink xmlns:r="http://schemas.openxmlformats.org/officeDocument/2006/relationships" ref="N1693" r:id="rId1859"/>
    <hyperlink xmlns:r="http://schemas.openxmlformats.org/officeDocument/2006/relationships" ref="N1694" r:id="rId1860"/>
    <hyperlink xmlns:r="http://schemas.openxmlformats.org/officeDocument/2006/relationships" ref="N1695" r:id="rId1861"/>
    <hyperlink xmlns:r="http://schemas.openxmlformats.org/officeDocument/2006/relationships" ref="N1696" r:id="rId1862"/>
    <hyperlink xmlns:r="http://schemas.openxmlformats.org/officeDocument/2006/relationships" ref="N1697" r:id="rId1863"/>
    <hyperlink xmlns:r="http://schemas.openxmlformats.org/officeDocument/2006/relationships" ref="N1698" r:id="rId1864"/>
    <hyperlink xmlns:r="http://schemas.openxmlformats.org/officeDocument/2006/relationships" ref="N1699" r:id="rId1865"/>
    <hyperlink xmlns:r="http://schemas.openxmlformats.org/officeDocument/2006/relationships" ref="N1700" r:id="rId1866"/>
    <hyperlink xmlns:r="http://schemas.openxmlformats.org/officeDocument/2006/relationships" ref="N1701" r:id="rId1867"/>
    <hyperlink xmlns:r="http://schemas.openxmlformats.org/officeDocument/2006/relationships" ref="N1702" r:id="rId1868"/>
    <hyperlink xmlns:r="http://schemas.openxmlformats.org/officeDocument/2006/relationships" ref="N1703" r:id="rId1869"/>
    <hyperlink xmlns:r="http://schemas.openxmlformats.org/officeDocument/2006/relationships" ref="N1704" r:id="rId1870"/>
    <hyperlink xmlns:r="http://schemas.openxmlformats.org/officeDocument/2006/relationships" ref="N1705" r:id="rId1871"/>
    <hyperlink xmlns:r="http://schemas.openxmlformats.org/officeDocument/2006/relationships" ref="N1706" r:id="rId1872"/>
    <hyperlink xmlns:r="http://schemas.openxmlformats.org/officeDocument/2006/relationships" ref="N1707" r:id="rId1873"/>
    <hyperlink xmlns:r="http://schemas.openxmlformats.org/officeDocument/2006/relationships" ref="N1708" r:id="rId1874"/>
    <hyperlink xmlns:r="http://schemas.openxmlformats.org/officeDocument/2006/relationships" ref="N1709" r:id="rId1875"/>
    <hyperlink xmlns:r="http://schemas.openxmlformats.org/officeDocument/2006/relationships" ref="O1710" r:id="rId1876"/>
    <hyperlink xmlns:r="http://schemas.openxmlformats.org/officeDocument/2006/relationships" ref="N1711" r:id="rId1877"/>
    <hyperlink xmlns:r="http://schemas.openxmlformats.org/officeDocument/2006/relationships" ref="N1712" r:id="rId1878"/>
    <hyperlink xmlns:r="http://schemas.openxmlformats.org/officeDocument/2006/relationships" ref="N1713" r:id="rId1879"/>
    <hyperlink xmlns:r="http://schemas.openxmlformats.org/officeDocument/2006/relationships" ref="N1714" r:id="rId1880"/>
    <hyperlink xmlns:r="http://schemas.openxmlformats.org/officeDocument/2006/relationships" ref="N1715" r:id="rId1881"/>
    <hyperlink xmlns:r="http://schemas.openxmlformats.org/officeDocument/2006/relationships" ref="N1716" r:id="rId1882"/>
    <hyperlink xmlns:r="http://schemas.openxmlformats.org/officeDocument/2006/relationships" ref="O1717" r:id="rId1883"/>
    <hyperlink xmlns:r="http://schemas.openxmlformats.org/officeDocument/2006/relationships" ref="N1718" r:id="rId1884"/>
    <hyperlink xmlns:r="http://schemas.openxmlformats.org/officeDocument/2006/relationships" ref="N1719" r:id="rId1885"/>
    <hyperlink xmlns:r="http://schemas.openxmlformats.org/officeDocument/2006/relationships" ref="N1720" r:id="rId1886"/>
    <hyperlink xmlns:r="http://schemas.openxmlformats.org/officeDocument/2006/relationships" ref="N1721" r:id="rId1887"/>
    <hyperlink xmlns:r="http://schemas.openxmlformats.org/officeDocument/2006/relationships" ref="O1722" r:id="rId1888"/>
    <hyperlink xmlns:r="http://schemas.openxmlformats.org/officeDocument/2006/relationships" ref="O1723" r:id="rId1889"/>
    <hyperlink xmlns:r="http://schemas.openxmlformats.org/officeDocument/2006/relationships" ref="O1724" r:id="rId1890"/>
    <hyperlink xmlns:r="http://schemas.openxmlformats.org/officeDocument/2006/relationships" ref="O1725" r:id="rId1891"/>
    <hyperlink xmlns:r="http://schemas.openxmlformats.org/officeDocument/2006/relationships" ref="O1726" r:id="rId1892"/>
    <hyperlink xmlns:r="http://schemas.openxmlformats.org/officeDocument/2006/relationships" ref="O1727" r:id="rId1893"/>
    <hyperlink xmlns:r="http://schemas.openxmlformats.org/officeDocument/2006/relationships" ref="O1728" r:id="rId1894"/>
    <hyperlink xmlns:r="http://schemas.openxmlformats.org/officeDocument/2006/relationships" ref="O1729" r:id="rId1895"/>
    <hyperlink xmlns:r="http://schemas.openxmlformats.org/officeDocument/2006/relationships" ref="O1730" r:id="rId1896"/>
    <hyperlink xmlns:r="http://schemas.openxmlformats.org/officeDocument/2006/relationships" ref="O1731" r:id="rId1897"/>
    <hyperlink xmlns:r="http://schemas.openxmlformats.org/officeDocument/2006/relationships" ref="O1732" r:id="rId1898"/>
    <hyperlink xmlns:r="http://schemas.openxmlformats.org/officeDocument/2006/relationships" ref="O1733" r:id="rId1899"/>
    <hyperlink xmlns:r="http://schemas.openxmlformats.org/officeDocument/2006/relationships" ref="O1734" r:id="rId1900"/>
    <hyperlink xmlns:r="http://schemas.openxmlformats.org/officeDocument/2006/relationships" ref="O1735" r:id="rId1901"/>
    <hyperlink xmlns:r="http://schemas.openxmlformats.org/officeDocument/2006/relationships" ref="O1736" r:id="rId1902"/>
    <hyperlink xmlns:r="http://schemas.openxmlformats.org/officeDocument/2006/relationships" ref="O1737" r:id="rId1903"/>
    <hyperlink xmlns:r="http://schemas.openxmlformats.org/officeDocument/2006/relationships" ref="O1738" r:id="rId1904"/>
    <hyperlink xmlns:r="http://schemas.openxmlformats.org/officeDocument/2006/relationships" ref="O1739" r:id="rId1905"/>
    <hyperlink xmlns:r="http://schemas.openxmlformats.org/officeDocument/2006/relationships" ref="O1740" r:id="rId1906"/>
    <hyperlink xmlns:r="http://schemas.openxmlformats.org/officeDocument/2006/relationships" ref="O1741" r:id="rId1907"/>
    <hyperlink xmlns:r="http://schemas.openxmlformats.org/officeDocument/2006/relationships" ref="O1742" r:id="rId1908"/>
    <hyperlink xmlns:r="http://schemas.openxmlformats.org/officeDocument/2006/relationships" ref="O1743" r:id="rId1909"/>
    <hyperlink xmlns:r="http://schemas.openxmlformats.org/officeDocument/2006/relationships" ref="O1744" r:id="rId1910"/>
    <hyperlink xmlns:r="http://schemas.openxmlformats.org/officeDocument/2006/relationships" ref="O1745" r:id="rId1911"/>
    <hyperlink xmlns:r="http://schemas.openxmlformats.org/officeDocument/2006/relationships" ref="O1746" r:id="rId1912"/>
    <hyperlink xmlns:r="http://schemas.openxmlformats.org/officeDocument/2006/relationships" ref="O1747" r:id="rId1913"/>
    <hyperlink xmlns:r="http://schemas.openxmlformats.org/officeDocument/2006/relationships" ref="O1748" r:id="rId1914"/>
    <hyperlink xmlns:r="http://schemas.openxmlformats.org/officeDocument/2006/relationships" ref="N1749" r:id="rId1915"/>
    <hyperlink xmlns:r="http://schemas.openxmlformats.org/officeDocument/2006/relationships" ref="N1750" r:id="rId1916"/>
    <hyperlink xmlns:r="http://schemas.openxmlformats.org/officeDocument/2006/relationships" ref="N1751" r:id="rId1917"/>
    <hyperlink xmlns:r="http://schemas.openxmlformats.org/officeDocument/2006/relationships" ref="N1752" r:id="rId1918"/>
    <hyperlink xmlns:r="http://schemas.openxmlformats.org/officeDocument/2006/relationships" ref="N1753" r:id="rId1919"/>
    <hyperlink xmlns:r="http://schemas.openxmlformats.org/officeDocument/2006/relationships" ref="N1754" r:id="rId1920"/>
    <hyperlink xmlns:r="http://schemas.openxmlformats.org/officeDocument/2006/relationships" ref="N1755" r:id="rId1921"/>
    <hyperlink xmlns:r="http://schemas.openxmlformats.org/officeDocument/2006/relationships" ref="N1756" r:id="rId1922"/>
    <hyperlink xmlns:r="http://schemas.openxmlformats.org/officeDocument/2006/relationships" ref="N1757" r:id="rId1923"/>
    <hyperlink xmlns:r="http://schemas.openxmlformats.org/officeDocument/2006/relationships" ref="N1758" r:id="rId1924"/>
    <hyperlink xmlns:r="http://schemas.openxmlformats.org/officeDocument/2006/relationships" ref="N1759" r:id="rId1925"/>
    <hyperlink xmlns:r="http://schemas.openxmlformats.org/officeDocument/2006/relationships" ref="N1760" r:id="rId1926"/>
    <hyperlink xmlns:r="http://schemas.openxmlformats.org/officeDocument/2006/relationships" ref="N1761" r:id="rId1927"/>
    <hyperlink xmlns:r="http://schemas.openxmlformats.org/officeDocument/2006/relationships" ref="N1762" r:id="rId1928"/>
    <hyperlink xmlns:r="http://schemas.openxmlformats.org/officeDocument/2006/relationships" ref="N1763" r:id="rId1929"/>
    <hyperlink xmlns:r="http://schemas.openxmlformats.org/officeDocument/2006/relationships" ref="N1764" r:id="rId1930"/>
    <hyperlink xmlns:r="http://schemas.openxmlformats.org/officeDocument/2006/relationships" ref="N1765" r:id="rId1931"/>
    <hyperlink xmlns:r="http://schemas.openxmlformats.org/officeDocument/2006/relationships" ref="N1766" r:id="rId1932"/>
    <hyperlink xmlns:r="http://schemas.openxmlformats.org/officeDocument/2006/relationships" ref="N1767" r:id="rId1933"/>
    <hyperlink xmlns:r="http://schemas.openxmlformats.org/officeDocument/2006/relationships" ref="N1768" r:id="rId1934"/>
    <hyperlink xmlns:r="http://schemas.openxmlformats.org/officeDocument/2006/relationships" ref="N1769" r:id="rId1935"/>
    <hyperlink xmlns:r="http://schemas.openxmlformats.org/officeDocument/2006/relationships" ref="N1770" r:id="rId1936"/>
    <hyperlink xmlns:r="http://schemas.openxmlformats.org/officeDocument/2006/relationships" ref="N1771" r:id="rId1937"/>
    <hyperlink xmlns:r="http://schemas.openxmlformats.org/officeDocument/2006/relationships" ref="N1772" r:id="rId1938"/>
    <hyperlink xmlns:r="http://schemas.openxmlformats.org/officeDocument/2006/relationships" ref="N1773" r:id="rId1939"/>
    <hyperlink xmlns:r="http://schemas.openxmlformats.org/officeDocument/2006/relationships" ref="N1774" r:id="rId1940"/>
    <hyperlink xmlns:r="http://schemas.openxmlformats.org/officeDocument/2006/relationships" ref="N1775" r:id="rId1941"/>
    <hyperlink xmlns:r="http://schemas.openxmlformats.org/officeDocument/2006/relationships" ref="N1776" r:id="rId1942"/>
    <hyperlink xmlns:r="http://schemas.openxmlformats.org/officeDocument/2006/relationships" ref="N1777" r:id="rId1943"/>
    <hyperlink xmlns:r="http://schemas.openxmlformats.org/officeDocument/2006/relationships" ref="N1778" r:id="rId1944"/>
    <hyperlink xmlns:r="http://schemas.openxmlformats.org/officeDocument/2006/relationships" ref="N1779" r:id="rId1945"/>
    <hyperlink xmlns:r="http://schemas.openxmlformats.org/officeDocument/2006/relationships" ref="N1780" r:id="rId1946"/>
    <hyperlink xmlns:r="http://schemas.openxmlformats.org/officeDocument/2006/relationships" ref="N1781" r:id="rId1947"/>
    <hyperlink xmlns:r="http://schemas.openxmlformats.org/officeDocument/2006/relationships" ref="N1782" r:id="rId1948"/>
    <hyperlink xmlns:r="http://schemas.openxmlformats.org/officeDocument/2006/relationships" ref="N1783" r:id="rId1949"/>
    <hyperlink xmlns:r="http://schemas.openxmlformats.org/officeDocument/2006/relationships" ref="N1784" r:id="rId1950"/>
    <hyperlink xmlns:r="http://schemas.openxmlformats.org/officeDocument/2006/relationships" ref="N1785" r:id="rId1951"/>
    <hyperlink xmlns:r="http://schemas.openxmlformats.org/officeDocument/2006/relationships" ref="N1786" r:id="rId1952"/>
    <hyperlink xmlns:r="http://schemas.openxmlformats.org/officeDocument/2006/relationships" ref="N1787" r:id="rId1953"/>
    <hyperlink xmlns:r="http://schemas.openxmlformats.org/officeDocument/2006/relationships" ref="N1788" r:id="rId1954"/>
    <hyperlink xmlns:r="http://schemas.openxmlformats.org/officeDocument/2006/relationships" ref="N1789" r:id="rId1955"/>
    <hyperlink xmlns:r="http://schemas.openxmlformats.org/officeDocument/2006/relationships" ref="N1790" r:id="rId1956"/>
    <hyperlink xmlns:r="http://schemas.openxmlformats.org/officeDocument/2006/relationships" ref="N1791" r:id="rId1957"/>
    <hyperlink xmlns:r="http://schemas.openxmlformats.org/officeDocument/2006/relationships" ref="N1792" r:id="rId1958"/>
    <hyperlink xmlns:r="http://schemas.openxmlformats.org/officeDocument/2006/relationships" ref="N1793" r:id="rId1959"/>
    <hyperlink xmlns:r="http://schemas.openxmlformats.org/officeDocument/2006/relationships" ref="N1794" r:id="rId1960"/>
    <hyperlink xmlns:r="http://schemas.openxmlformats.org/officeDocument/2006/relationships" ref="N1795" r:id="rId1961"/>
    <hyperlink xmlns:r="http://schemas.openxmlformats.org/officeDocument/2006/relationships" ref="N1796" r:id="rId1962"/>
    <hyperlink xmlns:r="http://schemas.openxmlformats.org/officeDocument/2006/relationships" ref="N1797" r:id="rId1963"/>
    <hyperlink xmlns:r="http://schemas.openxmlformats.org/officeDocument/2006/relationships" ref="N1798" r:id="rId1964"/>
    <hyperlink xmlns:r="http://schemas.openxmlformats.org/officeDocument/2006/relationships" ref="N1799" r:id="rId1965"/>
    <hyperlink xmlns:r="http://schemas.openxmlformats.org/officeDocument/2006/relationships" ref="N1800" r:id="rId1966"/>
    <hyperlink xmlns:r="http://schemas.openxmlformats.org/officeDocument/2006/relationships" ref="N1801" r:id="rId1967"/>
    <hyperlink xmlns:r="http://schemas.openxmlformats.org/officeDocument/2006/relationships" ref="N1802" r:id="rId1968"/>
    <hyperlink xmlns:r="http://schemas.openxmlformats.org/officeDocument/2006/relationships" ref="N1803" r:id="rId1969"/>
    <hyperlink xmlns:r="http://schemas.openxmlformats.org/officeDocument/2006/relationships" ref="N1804" r:id="rId1970"/>
    <hyperlink xmlns:r="http://schemas.openxmlformats.org/officeDocument/2006/relationships" ref="N1805" r:id="rId1971"/>
    <hyperlink xmlns:r="http://schemas.openxmlformats.org/officeDocument/2006/relationships" ref="N1806" r:id="rId1972"/>
    <hyperlink xmlns:r="http://schemas.openxmlformats.org/officeDocument/2006/relationships" ref="N1807" r:id="rId1973"/>
    <hyperlink xmlns:r="http://schemas.openxmlformats.org/officeDocument/2006/relationships" ref="N1808" r:id="rId1974"/>
    <hyperlink xmlns:r="http://schemas.openxmlformats.org/officeDocument/2006/relationships" ref="N1809" r:id="rId1975"/>
    <hyperlink xmlns:r="http://schemas.openxmlformats.org/officeDocument/2006/relationships" ref="N1810" r:id="rId1976"/>
    <hyperlink xmlns:r="http://schemas.openxmlformats.org/officeDocument/2006/relationships" ref="N1811" r:id="rId1977"/>
    <hyperlink xmlns:r="http://schemas.openxmlformats.org/officeDocument/2006/relationships" ref="N1812" r:id="rId1978"/>
    <hyperlink xmlns:r="http://schemas.openxmlformats.org/officeDocument/2006/relationships" ref="N1813" r:id="rId1979"/>
    <hyperlink xmlns:r="http://schemas.openxmlformats.org/officeDocument/2006/relationships" ref="N1814" r:id="rId1980"/>
    <hyperlink xmlns:r="http://schemas.openxmlformats.org/officeDocument/2006/relationships" ref="N1815" r:id="rId1981"/>
    <hyperlink xmlns:r="http://schemas.openxmlformats.org/officeDocument/2006/relationships" ref="N1816" r:id="rId1982"/>
    <hyperlink xmlns:r="http://schemas.openxmlformats.org/officeDocument/2006/relationships" ref="N1817" r:id="rId1983"/>
    <hyperlink xmlns:r="http://schemas.openxmlformats.org/officeDocument/2006/relationships" ref="N1818" r:id="rId1984"/>
    <hyperlink xmlns:r="http://schemas.openxmlformats.org/officeDocument/2006/relationships" ref="N1819" r:id="rId1985"/>
    <hyperlink xmlns:r="http://schemas.openxmlformats.org/officeDocument/2006/relationships" ref="N1820" r:id="rId1986"/>
    <hyperlink xmlns:r="http://schemas.openxmlformats.org/officeDocument/2006/relationships" ref="N1821" r:id="rId1987"/>
    <hyperlink xmlns:r="http://schemas.openxmlformats.org/officeDocument/2006/relationships" ref="N1822" r:id="rId1988"/>
    <hyperlink xmlns:r="http://schemas.openxmlformats.org/officeDocument/2006/relationships" ref="N1823" r:id="rId1989"/>
    <hyperlink xmlns:r="http://schemas.openxmlformats.org/officeDocument/2006/relationships" ref="N1824" r:id="rId1990"/>
    <hyperlink xmlns:r="http://schemas.openxmlformats.org/officeDocument/2006/relationships" ref="N1825" r:id="rId1991"/>
    <hyperlink xmlns:r="http://schemas.openxmlformats.org/officeDocument/2006/relationships" ref="N1826" r:id="rId1992"/>
    <hyperlink xmlns:r="http://schemas.openxmlformats.org/officeDocument/2006/relationships" ref="N1827" r:id="rId1993"/>
    <hyperlink xmlns:r="http://schemas.openxmlformats.org/officeDocument/2006/relationships" ref="N1828" r:id="rId1994"/>
    <hyperlink xmlns:r="http://schemas.openxmlformats.org/officeDocument/2006/relationships" ref="N1829" r:id="rId1995"/>
    <hyperlink xmlns:r="http://schemas.openxmlformats.org/officeDocument/2006/relationships" ref="N1830" r:id="rId1996"/>
    <hyperlink xmlns:r="http://schemas.openxmlformats.org/officeDocument/2006/relationships" ref="N1831" r:id="rId1997"/>
    <hyperlink xmlns:r="http://schemas.openxmlformats.org/officeDocument/2006/relationships" ref="N1832" r:id="rId1998"/>
    <hyperlink xmlns:r="http://schemas.openxmlformats.org/officeDocument/2006/relationships" ref="N1833" r:id="rId1999"/>
    <hyperlink xmlns:r="http://schemas.openxmlformats.org/officeDocument/2006/relationships" ref="N1834" r:id="rId2000"/>
    <hyperlink xmlns:r="http://schemas.openxmlformats.org/officeDocument/2006/relationships" ref="N1835" r:id="rId2001"/>
    <hyperlink xmlns:r="http://schemas.openxmlformats.org/officeDocument/2006/relationships" ref="N1836" r:id="rId2002"/>
    <hyperlink xmlns:r="http://schemas.openxmlformats.org/officeDocument/2006/relationships" ref="N1837" r:id="rId2003"/>
    <hyperlink xmlns:r="http://schemas.openxmlformats.org/officeDocument/2006/relationships" ref="N1838" r:id="rId2004"/>
    <hyperlink xmlns:r="http://schemas.openxmlformats.org/officeDocument/2006/relationships" ref="N1839" r:id="rId2005"/>
    <hyperlink xmlns:r="http://schemas.openxmlformats.org/officeDocument/2006/relationships" ref="N1840" r:id="rId2006"/>
    <hyperlink xmlns:r="http://schemas.openxmlformats.org/officeDocument/2006/relationships" ref="N1841" r:id="rId2007"/>
    <hyperlink xmlns:r="http://schemas.openxmlformats.org/officeDocument/2006/relationships" ref="N1842" r:id="rId2008"/>
    <hyperlink xmlns:r="http://schemas.openxmlformats.org/officeDocument/2006/relationships" ref="N1843" r:id="rId2009"/>
    <hyperlink xmlns:r="http://schemas.openxmlformats.org/officeDocument/2006/relationships" ref="N1844" r:id="rId2010"/>
    <hyperlink xmlns:r="http://schemas.openxmlformats.org/officeDocument/2006/relationships" ref="N1845" r:id="rId2011"/>
    <hyperlink xmlns:r="http://schemas.openxmlformats.org/officeDocument/2006/relationships" ref="N1846" r:id="rId2012"/>
    <hyperlink xmlns:r="http://schemas.openxmlformats.org/officeDocument/2006/relationships" ref="N1847" r:id="rId2013"/>
    <hyperlink xmlns:r="http://schemas.openxmlformats.org/officeDocument/2006/relationships" ref="N1848" r:id="rId2014"/>
    <hyperlink xmlns:r="http://schemas.openxmlformats.org/officeDocument/2006/relationships" ref="N1849" r:id="rId2015"/>
    <hyperlink xmlns:r="http://schemas.openxmlformats.org/officeDocument/2006/relationships" ref="N1850" r:id="rId2016"/>
    <hyperlink xmlns:r="http://schemas.openxmlformats.org/officeDocument/2006/relationships" ref="N1851" r:id="rId2017"/>
    <hyperlink xmlns:r="http://schemas.openxmlformats.org/officeDocument/2006/relationships" ref="N1852" r:id="rId2018"/>
    <hyperlink xmlns:r="http://schemas.openxmlformats.org/officeDocument/2006/relationships" ref="N1853" r:id="rId2019"/>
    <hyperlink xmlns:r="http://schemas.openxmlformats.org/officeDocument/2006/relationships" ref="N1854" r:id="rId2020"/>
    <hyperlink xmlns:r="http://schemas.openxmlformats.org/officeDocument/2006/relationships" ref="N1855" r:id="rId2021"/>
    <hyperlink xmlns:r="http://schemas.openxmlformats.org/officeDocument/2006/relationships" ref="N1856" r:id="rId2022"/>
    <hyperlink xmlns:r="http://schemas.openxmlformats.org/officeDocument/2006/relationships" ref="N1857" r:id="rId2023"/>
    <hyperlink xmlns:r="http://schemas.openxmlformats.org/officeDocument/2006/relationships" ref="N1858" r:id="rId2024"/>
    <hyperlink xmlns:r="http://schemas.openxmlformats.org/officeDocument/2006/relationships" ref="N1859" r:id="rId2025"/>
    <hyperlink xmlns:r="http://schemas.openxmlformats.org/officeDocument/2006/relationships" ref="N1860" r:id="rId2026"/>
    <hyperlink xmlns:r="http://schemas.openxmlformats.org/officeDocument/2006/relationships" ref="N1861" r:id="rId2027"/>
    <hyperlink xmlns:r="http://schemas.openxmlformats.org/officeDocument/2006/relationships" ref="N1862" r:id="rId2028"/>
    <hyperlink xmlns:r="http://schemas.openxmlformats.org/officeDocument/2006/relationships" ref="N1863" r:id="rId2029"/>
    <hyperlink xmlns:r="http://schemas.openxmlformats.org/officeDocument/2006/relationships" ref="N1864" r:id="rId2030"/>
    <hyperlink xmlns:r="http://schemas.openxmlformats.org/officeDocument/2006/relationships" ref="N1865" r:id="rId2031"/>
    <hyperlink xmlns:r="http://schemas.openxmlformats.org/officeDocument/2006/relationships" ref="N1866" r:id="rId2032"/>
    <hyperlink xmlns:r="http://schemas.openxmlformats.org/officeDocument/2006/relationships" ref="N1867" r:id="rId2033"/>
    <hyperlink xmlns:r="http://schemas.openxmlformats.org/officeDocument/2006/relationships" ref="N1868" r:id="rId2034"/>
    <hyperlink xmlns:r="http://schemas.openxmlformats.org/officeDocument/2006/relationships" ref="N1869" r:id="rId2035"/>
    <hyperlink xmlns:r="http://schemas.openxmlformats.org/officeDocument/2006/relationships" ref="N1870" r:id="rId2036"/>
    <hyperlink xmlns:r="http://schemas.openxmlformats.org/officeDocument/2006/relationships" ref="N1871" r:id="rId2037"/>
    <hyperlink xmlns:r="http://schemas.openxmlformats.org/officeDocument/2006/relationships" ref="N1872" r:id="rId2038"/>
    <hyperlink xmlns:r="http://schemas.openxmlformats.org/officeDocument/2006/relationships" ref="N1873" r:id="rId2039"/>
    <hyperlink xmlns:r="http://schemas.openxmlformats.org/officeDocument/2006/relationships" ref="N1874" r:id="rId2040"/>
    <hyperlink xmlns:r="http://schemas.openxmlformats.org/officeDocument/2006/relationships" ref="N1875" r:id="rId2041"/>
    <hyperlink xmlns:r="http://schemas.openxmlformats.org/officeDocument/2006/relationships" ref="N1876" r:id="rId2042"/>
    <hyperlink xmlns:r="http://schemas.openxmlformats.org/officeDocument/2006/relationships" ref="N1877" r:id="rId2043"/>
    <hyperlink xmlns:r="http://schemas.openxmlformats.org/officeDocument/2006/relationships" ref="N1878" r:id="rId2044"/>
    <hyperlink xmlns:r="http://schemas.openxmlformats.org/officeDocument/2006/relationships" ref="N1879" r:id="rId2045"/>
    <hyperlink xmlns:r="http://schemas.openxmlformats.org/officeDocument/2006/relationships" ref="N1880" r:id="rId2046"/>
    <hyperlink xmlns:r="http://schemas.openxmlformats.org/officeDocument/2006/relationships" ref="N1881" r:id="rId2047"/>
    <hyperlink xmlns:r="http://schemas.openxmlformats.org/officeDocument/2006/relationships" ref="N1882" r:id="rId2048"/>
    <hyperlink xmlns:r="http://schemas.openxmlformats.org/officeDocument/2006/relationships" ref="N1883" r:id="rId2049"/>
    <hyperlink xmlns:r="http://schemas.openxmlformats.org/officeDocument/2006/relationships" ref="N1884" r:id="rId2050"/>
    <hyperlink xmlns:r="http://schemas.openxmlformats.org/officeDocument/2006/relationships" ref="N1885" r:id="rId2051"/>
    <hyperlink xmlns:r="http://schemas.openxmlformats.org/officeDocument/2006/relationships" ref="N1886" r:id="rId2052"/>
    <hyperlink xmlns:r="http://schemas.openxmlformats.org/officeDocument/2006/relationships" ref="N1887" r:id="rId2053"/>
    <hyperlink xmlns:r="http://schemas.openxmlformats.org/officeDocument/2006/relationships" ref="N1888" r:id="rId2054"/>
    <hyperlink xmlns:r="http://schemas.openxmlformats.org/officeDocument/2006/relationships" ref="N1889" r:id="rId2055"/>
    <hyperlink xmlns:r="http://schemas.openxmlformats.org/officeDocument/2006/relationships" ref="N1890" r:id="rId2056"/>
    <hyperlink xmlns:r="http://schemas.openxmlformats.org/officeDocument/2006/relationships" ref="N1891" r:id="rId2057"/>
    <hyperlink xmlns:r="http://schemas.openxmlformats.org/officeDocument/2006/relationships" ref="N1892" r:id="rId2058"/>
    <hyperlink xmlns:r="http://schemas.openxmlformats.org/officeDocument/2006/relationships" ref="N1893" r:id="rId2059"/>
    <hyperlink xmlns:r="http://schemas.openxmlformats.org/officeDocument/2006/relationships" ref="N1894" r:id="rId2060"/>
    <hyperlink xmlns:r="http://schemas.openxmlformats.org/officeDocument/2006/relationships" ref="N1895" r:id="rId2061"/>
    <hyperlink xmlns:r="http://schemas.openxmlformats.org/officeDocument/2006/relationships" ref="N1896" r:id="rId2062"/>
    <hyperlink xmlns:r="http://schemas.openxmlformats.org/officeDocument/2006/relationships" ref="N1897" r:id="rId2063"/>
    <hyperlink xmlns:r="http://schemas.openxmlformats.org/officeDocument/2006/relationships" ref="N1898" r:id="rId2064"/>
    <hyperlink xmlns:r="http://schemas.openxmlformats.org/officeDocument/2006/relationships" ref="N1899" r:id="rId2065"/>
    <hyperlink xmlns:r="http://schemas.openxmlformats.org/officeDocument/2006/relationships" ref="N1900" r:id="rId2066"/>
    <hyperlink xmlns:r="http://schemas.openxmlformats.org/officeDocument/2006/relationships" ref="N1901" r:id="rId2067"/>
    <hyperlink xmlns:r="http://schemas.openxmlformats.org/officeDocument/2006/relationships" ref="N1902" r:id="rId2068"/>
    <hyperlink xmlns:r="http://schemas.openxmlformats.org/officeDocument/2006/relationships" ref="N1903" r:id="rId2069"/>
    <hyperlink xmlns:r="http://schemas.openxmlformats.org/officeDocument/2006/relationships" ref="N1904" r:id="rId2070"/>
    <hyperlink xmlns:r="http://schemas.openxmlformats.org/officeDocument/2006/relationships" ref="N1905" r:id="rId2071"/>
    <hyperlink xmlns:r="http://schemas.openxmlformats.org/officeDocument/2006/relationships" ref="N1906" r:id="rId2072"/>
    <hyperlink xmlns:r="http://schemas.openxmlformats.org/officeDocument/2006/relationships" ref="N1907" r:id="rId2073"/>
    <hyperlink xmlns:r="http://schemas.openxmlformats.org/officeDocument/2006/relationships" ref="N1908" r:id="rId2074"/>
    <hyperlink xmlns:r="http://schemas.openxmlformats.org/officeDocument/2006/relationships" ref="N1909" r:id="rId2075"/>
    <hyperlink xmlns:r="http://schemas.openxmlformats.org/officeDocument/2006/relationships" ref="N1910" r:id="rId2076"/>
    <hyperlink xmlns:r="http://schemas.openxmlformats.org/officeDocument/2006/relationships" ref="N1911" r:id="rId2077"/>
    <hyperlink xmlns:r="http://schemas.openxmlformats.org/officeDocument/2006/relationships" ref="N1912" r:id="rId2078"/>
    <hyperlink xmlns:r="http://schemas.openxmlformats.org/officeDocument/2006/relationships" ref="N1913" r:id="rId2079"/>
    <hyperlink xmlns:r="http://schemas.openxmlformats.org/officeDocument/2006/relationships" ref="N1914" r:id="rId2080"/>
    <hyperlink xmlns:r="http://schemas.openxmlformats.org/officeDocument/2006/relationships" ref="N1915" r:id="rId2081"/>
    <hyperlink xmlns:r="http://schemas.openxmlformats.org/officeDocument/2006/relationships" ref="N1916" r:id="rId2082"/>
    <hyperlink xmlns:r="http://schemas.openxmlformats.org/officeDocument/2006/relationships" ref="N1917" r:id="rId2083"/>
    <hyperlink xmlns:r="http://schemas.openxmlformats.org/officeDocument/2006/relationships" ref="N1918" r:id="rId2084"/>
    <hyperlink xmlns:r="http://schemas.openxmlformats.org/officeDocument/2006/relationships" ref="N1919" r:id="rId2085"/>
    <hyperlink xmlns:r="http://schemas.openxmlformats.org/officeDocument/2006/relationships" ref="N1920" r:id="rId2086"/>
    <hyperlink xmlns:r="http://schemas.openxmlformats.org/officeDocument/2006/relationships" ref="N1921" r:id="rId2087"/>
    <hyperlink xmlns:r="http://schemas.openxmlformats.org/officeDocument/2006/relationships" ref="N1922" r:id="rId2088"/>
    <hyperlink xmlns:r="http://schemas.openxmlformats.org/officeDocument/2006/relationships" ref="N1923" r:id="rId2089"/>
    <hyperlink xmlns:r="http://schemas.openxmlformats.org/officeDocument/2006/relationships" ref="N1924" r:id="rId2090"/>
    <hyperlink xmlns:r="http://schemas.openxmlformats.org/officeDocument/2006/relationships" ref="N1925" r:id="rId2091"/>
    <hyperlink xmlns:r="http://schemas.openxmlformats.org/officeDocument/2006/relationships" ref="N1926" r:id="rId2092"/>
    <hyperlink xmlns:r="http://schemas.openxmlformats.org/officeDocument/2006/relationships" ref="N1927" r:id="rId2093"/>
    <hyperlink xmlns:r="http://schemas.openxmlformats.org/officeDocument/2006/relationships" ref="N1928" r:id="rId2094"/>
    <hyperlink xmlns:r="http://schemas.openxmlformats.org/officeDocument/2006/relationships" ref="N1929" r:id="rId2095"/>
    <hyperlink xmlns:r="http://schemas.openxmlformats.org/officeDocument/2006/relationships" ref="N1930" r:id="rId2096"/>
    <hyperlink xmlns:r="http://schemas.openxmlformats.org/officeDocument/2006/relationships" ref="N1931" r:id="rId2097"/>
    <hyperlink xmlns:r="http://schemas.openxmlformats.org/officeDocument/2006/relationships" ref="N1932" r:id="rId2098"/>
    <hyperlink xmlns:r="http://schemas.openxmlformats.org/officeDocument/2006/relationships" ref="N1933" r:id="rId2099"/>
    <hyperlink xmlns:r="http://schemas.openxmlformats.org/officeDocument/2006/relationships" ref="N1934" r:id="rId2100"/>
    <hyperlink xmlns:r="http://schemas.openxmlformats.org/officeDocument/2006/relationships" ref="N1935" r:id="rId2101"/>
    <hyperlink xmlns:r="http://schemas.openxmlformats.org/officeDocument/2006/relationships" ref="N1936" r:id="rId2102"/>
    <hyperlink xmlns:r="http://schemas.openxmlformats.org/officeDocument/2006/relationships" ref="N1937" r:id="rId2103"/>
    <hyperlink xmlns:r="http://schemas.openxmlformats.org/officeDocument/2006/relationships" ref="N1938" r:id="rId2104"/>
    <hyperlink xmlns:r="http://schemas.openxmlformats.org/officeDocument/2006/relationships" ref="N1939" r:id="rId2105"/>
    <hyperlink xmlns:r="http://schemas.openxmlformats.org/officeDocument/2006/relationships" ref="N1940" r:id="rId2106"/>
    <hyperlink xmlns:r="http://schemas.openxmlformats.org/officeDocument/2006/relationships" ref="N1941" r:id="rId2107"/>
    <hyperlink xmlns:r="http://schemas.openxmlformats.org/officeDocument/2006/relationships" ref="N1942" r:id="rId2108"/>
    <hyperlink xmlns:r="http://schemas.openxmlformats.org/officeDocument/2006/relationships" ref="N1943" r:id="rId2109"/>
    <hyperlink xmlns:r="http://schemas.openxmlformats.org/officeDocument/2006/relationships" ref="N1944" r:id="rId2110"/>
    <hyperlink xmlns:r="http://schemas.openxmlformats.org/officeDocument/2006/relationships" ref="N1945" r:id="rId2111"/>
    <hyperlink xmlns:r="http://schemas.openxmlformats.org/officeDocument/2006/relationships" ref="N1946" r:id="rId2112"/>
    <hyperlink xmlns:r="http://schemas.openxmlformats.org/officeDocument/2006/relationships" ref="N1947" r:id="rId2113"/>
    <hyperlink xmlns:r="http://schemas.openxmlformats.org/officeDocument/2006/relationships" ref="N1948" r:id="rId2114"/>
    <hyperlink xmlns:r="http://schemas.openxmlformats.org/officeDocument/2006/relationships" ref="N1949" r:id="rId2115"/>
    <hyperlink xmlns:r="http://schemas.openxmlformats.org/officeDocument/2006/relationships" ref="N1950" r:id="rId2116"/>
    <hyperlink xmlns:r="http://schemas.openxmlformats.org/officeDocument/2006/relationships" ref="N1951" r:id="rId2117"/>
    <hyperlink xmlns:r="http://schemas.openxmlformats.org/officeDocument/2006/relationships" ref="N1952" r:id="rId2118"/>
    <hyperlink xmlns:r="http://schemas.openxmlformats.org/officeDocument/2006/relationships" ref="N1953" r:id="rId2119"/>
    <hyperlink xmlns:r="http://schemas.openxmlformats.org/officeDocument/2006/relationships" ref="N1954" r:id="rId2120"/>
    <hyperlink xmlns:r="http://schemas.openxmlformats.org/officeDocument/2006/relationships" ref="N1955" r:id="rId2121"/>
    <hyperlink xmlns:r="http://schemas.openxmlformats.org/officeDocument/2006/relationships" ref="N1956" r:id="rId2122"/>
    <hyperlink xmlns:r="http://schemas.openxmlformats.org/officeDocument/2006/relationships" ref="N1957" r:id="rId2123"/>
    <hyperlink xmlns:r="http://schemas.openxmlformats.org/officeDocument/2006/relationships" ref="N1958" r:id="rId2124"/>
    <hyperlink xmlns:r="http://schemas.openxmlformats.org/officeDocument/2006/relationships" ref="N1959" r:id="rId2125"/>
    <hyperlink xmlns:r="http://schemas.openxmlformats.org/officeDocument/2006/relationships" ref="N1960" r:id="rId2126"/>
    <hyperlink xmlns:r="http://schemas.openxmlformats.org/officeDocument/2006/relationships" ref="N1961" r:id="rId2127"/>
    <hyperlink xmlns:r="http://schemas.openxmlformats.org/officeDocument/2006/relationships" ref="N1962" r:id="rId2128"/>
    <hyperlink xmlns:r="http://schemas.openxmlformats.org/officeDocument/2006/relationships" ref="N1963" r:id="rId2129"/>
    <hyperlink xmlns:r="http://schemas.openxmlformats.org/officeDocument/2006/relationships" ref="O1964" r:id="rId2130"/>
    <hyperlink xmlns:r="http://schemas.openxmlformats.org/officeDocument/2006/relationships" ref="O1965" r:id="rId2131"/>
    <hyperlink xmlns:r="http://schemas.openxmlformats.org/officeDocument/2006/relationships" ref="O1966" r:id="rId2132"/>
    <hyperlink xmlns:r="http://schemas.openxmlformats.org/officeDocument/2006/relationships" ref="O1967" r:id="rId2133"/>
    <hyperlink xmlns:r="http://schemas.openxmlformats.org/officeDocument/2006/relationships" ref="O1968" r:id="rId2134"/>
    <hyperlink xmlns:r="http://schemas.openxmlformats.org/officeDocument/2006/relationships" ref="O1969" r:id="rId2135"/>
    <hyperlink xmlns:r="http://schemas.openxmlformats.org/officeDocument/2006/relationships" ref="O1970" r:id="rId2136"/>
    <hyperlink xmlns:r="http://schemas.openxmlformats.org/officeDocument/2006/relationships" ref="O1971" r:id="rId2137"/>
    <hyperlink xmlns:r="http://schemas.openxmlformats.org/officeDocument/2006/relationships" ref="O1972" r:id="rId2138"/>
    <hyperlink xmlns:r="http://schemas.openxmlformats.org/officeDocument/2006/relationships" ref="O1973" r:id="rId2139"/>
    <hyperlink xmlns:r="http://schemas.openxmlformats.org/officeDocument/2006/relationships" ref="O1974" r:id="rId2140"/>
    <hyperlink xmlns:r="http://schemas.openxmlformats.org/officeDocument/2006/relationships" ref="N1975" r:id="rId2141"/>
    <hyperlink xmlns:r="http://schemas.openxmlformats.org/officeDocument/2006/relationships" ref="O1976" r:id="rId2142"/>
    <hyperlink xmlns:r="http://schemas.openxmlformats.org/officeDocument/2006/relationships" ref="O1977" r:id="rId2143"/>
    <hyperlink xmlns:r="http://schemas.openxmlformats.org/officeDocument/2006/relationships" ref="O1978" r:id="rId2144"/>
    <hyperlink xmlns:r="http://schemas.openxmlformats.org/officeDocument/2006/relationships" ref="O1979" r:id="rId2145"/>
    <hyperlink xmlns:r="http://schemas.openxmlformats.org/officeDocument/2006/relationships" ref="O1980" r:id="rId2146"/>
    <hyperlink xmlns:r="http://schemas.openxmlformats.org/officeDocument/2006/relationships" ref="N1981" r:id="rId2147"/>
    <hyperlink xmlns:r="http://schemas.openxmlformats.org/officeDocument/2006/relationships" ref="N1982" r:id="rId2148"/>
    <hyperlink xmlns:r="http://schemas.openxmlformats.org/officeDocument/2006/relationships" ref="N1983" r:id="rId2149"/>
    <hyperlink xmlns:r="http://schemas.openxmlformats.org/officeDocument/2006/relationships" ref="O1983" r:id="rId2150"/>
    <hyperlink xmlns:r="http://schemas.openxmlformats.org/officeDocument/2006/relationships" ref="O1984" r:id="rId2151"/>
    <hyperlink xmlns:r="http://schemas.openxmlformats.org/officeDocument/2006/relationships" ref="O1985" r:id="rId2152"/>
    <hyperlink xmlns:r="http://schemas.openxmlformats.org/officeDocument/2006/relationships" ref="O1986" r:id="rId2153"/>
    <hyperlink xmlns:r="http://schemas.openxmlformats.org/officeDocument/2006/relationships" ref="O1987" r:id="rId2154"/>
    <hyperlink xmlns:r="http://schemas.openxmlformats.org/officeDocument/2006/relationships" ref="N1988" r:id="rId2155"/>
    <hyperlink xmlns:r="http://schemas.openxmlformats.org/officeDocument/2006/relationships" ref="O1989" r:id="rId2156"/>
    <hyperlink xmlns:r="http://schemas.openxmlformats.org/officeDocument/2006/relationships" ref="O1990" r:id="rId2157"/>
    <hyperlink xmlns:r="http://schemas.openxmlformats.org/officeDocument/2006/relationships" ref="N1991" r:id="rId2158"/>
    <hyperlink xmlns:r="http://schemas.openxmlformats.org/officeDocument/2006/relationships" ref="N1992" r:id="rId2159"/>
    <hyperlink xmlns:r="http://schemas.openxmlformats.org/officeDocument/2006/relationships" ref="O1993" r:id="rId2160"/>
    <hyperlink xmlns:r="http://schemas.openxmlformats.org/officeDocument/2006/relationships" ref="O1994" r:id="rId2161"/>
    <hyperlink xmlns:r="http://schemas.openxmlformats.org/officeDocument/2006/relationships" ref="O1995" r:id="rId2162"/>
    <hyperlink xmlns:r="http://schemas.openxmlformats.org/officeDocument/2006/relationships" ref="N1996" r:id="rId2163"/>
    <hyperlink xmlns:r="http://schemas.openxmlformats.org/officeDocument/2006/relationships" ref="N1997" r:id="rId2164"/>
    <hyperlink xmlns:r="http://schemas.openxmlformats.org/officeDocument/2006/relationships" ref="N1998" r:id="rId2165"/>
    <hyperlink xmlns:r="http://schemas.openxmlformats.org/officeDocument/2006/relationships" ref="N1999" r:id="rId2166"/>
    <hyperlink xmlns:r="http://schemas.openxmlformats.org/officeDocument/2006/relationships" ref="N2000" r:id="rId2167"/>
    <hyperlink xmlns:r="http://schemas.openxmlformats.org/officeDocument/2006/relationships" ref="O2001" r:id="rId2168"/>
    <hyperlink xmlns:r="http://schemas.openxmlformats.org/officeDocument/2006/relationships" ref="O2002" r:id="rId2169"/>
    <hyperlink xmlns:r="http://schemas.openxmlformats.org/officeDocument/2006/relationships" ref="O2003" r:id="rId2170"/>
    <hyperlink xmlns:r="http://schemas.openxmlformats.org/officeDocument/2006/relationships" ref="N2004" r:id="rId2171"/>
    <hyperlink xmlns:r="http://schemas.openxmlformats.org/officeDocument/2006/relationships" ref="O2004" r:id="rId2172"/>
    <hyperlink xmlns:r="http://schemas.openxmlformats.org/officeDocument/2006/relationships" ref="O2005" r:id="rId2173"/>
    <hyperlink xmlns:r="http://schemas.openxmlformats.org/officeDocument/2006/relationships" ref="N2006" r:id="rId2174"/>
    <hyperlink xmlns:r="http://schemas.openxmlformats.org/officeDocument/2006/relationships" ref="N2007" r:id="rId2175"/>
    <hyperlink xmlns:r="http://schemas.openxmlformats.org/officeDocument/2006/relationships" ref="O2007" r:id="rId2176"/>
    <hyperlink xmlns:r="http://schemas.openxmlformats.org/officeDocument/2006/relationships" ref="N2008" r:id="rId2177"/>
    <hyperlink xmlns:r="http://schemas.openxmlformats.org/officeDocument/2006/relationships" ref="O2009" r:id="rId2178"/>
    <hyperlink xmlns:r="http://schemas.openxmlformats.org/officeDocument/2006/relationships" ref="O2010" r:id="rId2179"/>
    <hyperlink xmlns:r="http://schemas.openxmlformats.org/officeDocument/2006/relationships" ref="O2011" r:id="rId2180"/>
    <hyperlink xmlns:r="http://schemas.openxmlformats.org/officeDocument/2006/relationships" ref="O2012" r:id="rId2181"/>
    <hyperlink xmlns:r="http://schemas.openxmlformats.org/officeDocument/2006/relationships" ref="N2013" r:id="rId2182"/>
    <hyperlink xmlns:r="http://schemas.openxmlformats.org/officeDocument/2006/relationships" ref="N2014" r:id="rId2183"/>
    <hyperlink xmlns:r="http://schemas.openxmlformats.org/officeDocument/2006/relationships" ref="N2015" r:id="rId2184"/>
    <hyperlink xmlns:r="http://schemas.openxmlformats.org/officeDocument/2006/relationships" ref="O2016" r:id="rId2185"/>
    <hyperlink xmlns:r="http://schemas.openxmlformats.org/officeDocument/2006/relationships" ref="O2017" r:id="rId2186"/>
    <hyperlink xmlns:r="http://schemas.openxmlformats.org/officeDocument/2006/relationships" ref="N2018" r:id="rId2187"/>
    <hyperlink xmlns:r="http://schemas.openxmlformats.org/officeDocument/2006/relationships" ref="O2019" r:id="rId2188"/>
    <hyperlink xmlns:r="http://schemas.openxmlformats.org/officeDocument/2006/relationships" ref="N2020" r:id="rId2189"/>
    <hyperlink xmlns:r="http://schemas.openxmlformats.org/officeDocument/2006/relationships" ref="O2021" r:id="rId2190"/>
    <hyperlink xmlns:r="http://schemas.openxmlformats.org/officeDocument/2006/relationships" ref="N2022" r:id="rId2191"/>
    <hyperlink xmlns:r="http://schemas.openxmlformats.org/officeDocument/2006/relationships" ref="N2023" r:id="rId2192"/>
    <hyperlink xmlns:r="http://schemas.openxmlformats.org/officeDocument/2006/relationships" ref="N2024" r:id="rId2193"/>
    <hyperlink xmlns:r="http://schemas.openxmlformats.org/officeDocument/2006/relationships" ref="N2025" r:id="rId2194"/>
    <hyperlink xmlns:r="http://schemas.openxmlformats.org/officeDocument/2006/relationships" ref="O2026" r:id="rId2195"/>
    <hyperlink xmlns:r="http://schemas.openxmlformats.org/officeDocument/2006/relationships" ref="O2027" r:id="rId2196"/>
    <hyperlink xmlns:r="http://schemas.openxmlformats.org/officeDocument/2006/relationships" ref="N2028" r:id="rId2197"/>
    <hyperlink xmlns:r="http://schemas.openxmlformats.org/officeDocument/2006/relationships" ref="O2028" r:id="rId2198"/>
    <hyperlink xmlns:r="http://schemas.openxmlformats.org/officeDocument/2006/relationships" ref="O2029" r:id="rId2199"/>
    <hyperlink xmlns:r="http://schemas.openxmlformats.org/officeDocument/2006/relationships" ref="O2030" r:id="rId2200"/>
    <hyperlink xmlns:r="http://schemas.openxmlformats.org/officeDocument/2006/relationships" ref="O2031" r:id="rId2201"/>
    <hyperlink xmlns:r="http://schemas.openxmlformats.org/officeDocument/2006/relationships" ref="N2032" r:id="rId2202"/>
    <hyperlink xmlns:r="http://schemas.openxmlformats.org/officeDocument/2006/relationships" ref="O2032" r:id="rId2203"/>
    <hyperlink xmlns:r="http://schemas.openxmlformats.org/officeDocument/2006/relationships" ref="O2033" r:id="rId2204"/>
    <hyperlink xmlns:r="http://schemas.openxmlformats.org/officeDocument/2006/relationships" ref="O2034" r:id="rId2205"/>
    <hyperlink xmlns:r="http://schemas.openxmlformats.org/officeDocument/2006/relationships" ref="O2035" r:id="rId2206"/>
    <hyperlink xmlns:r="http://schemas.openxmlformats.org/officeDocument/2006/relationships" ref="O2036" r:id="rId2207"/>
    <hyperlink xmlns:r="http://schemas.openxmlformats.org/officeDocument/2006/relationships" ref="O2037" r:id="rId2208"/>
    <hyperlink xmlns:r="http://schemas.openxmlformats.org/officeDocument/2006/relationships" ref="N2038" r:id="rId2209"/>
    <hyperlink xmlns:r="http://schemas.openxmlformats.org/officeDocument/2006/relationships" ref="O2038" r:id="rId2210"/>
    <hyperlink xmlns:r="http://schemas.openxmlformats.org/officeDocument/2006/relationships" ref="N2039" r:id="rId2211"/>
    <hyperlink xmlns:r="http://schemas.openxmlformats.org/officeDocument/2006/relationships" ref="O2039" r:id="rId2212"/>
    <hyperlink xmlns:r="http://schemas.openxmlformats.org/officeDocument/2006/relationships" ref="O2040" r:id="rId2213"/>
    <hyperlink xmlns:r="http://schemas.openxmlformats.org/officeDocument/2006/relationships" ref="O2041" r:id="rId2214"/>
    <hyperlink xmlns:r="http://schemas.openxmlformats.org/officeDocument/2006/relationships" ref="N2042" r:id="rId2215"/>
    <hyperlink xmlns:r="http://schemas.openxmlformats.org/officeDocument/2006/relationships" ref="O2042" r:id="rId2216"/>
    <hyperlink xmlns:r="http://schemas.openxmlformats.org/officeDocument/2006/relationships" ref="O2043" r:id="rId2217"/>
    <hyperlink xmlns:r="http://schemas.openxmlformats.org/officeDocument/2006/relationships" ref="N2044" r:id="rId2218"/>
    <hyperlink xmlns:r="http://schemas.openxmlformats.org/officeDocument/2006/relationships" ref="O2044" r:id="rId2219"/>
    <hyperlink xmlns:r="http://schemas.openxmlformats.org/officeDocument/2006/relationships" ref="N2045" r:id="rId2220"/>
    <hyperlink xmlns:r="http://schemas.openxmlformats.org/officeDocument/2006/relationships" ref="O2045" r:id="rId2221"/>
    <hyperlink xmlns:r="http://schemas.openxmlformats.org/officeDocument/2006/relationships" ref="O2046" r:id="rId2222"/>
    <hyperlink xmlns:r="http://schemas.openxmlformats.org/officeDocument/2006/relationships" ref="N2047" r:id="rId2223"/>
    <hyperlink xmlns:r="http://schemas.openxmlformats.org/officeDocument/2006/relationships" ref="O2047" r:id="rId2224"/>
    <hyperlink xmlns:r="http://schemas.openxmlformats.org/officeDocument/2006/relationships" ref="O2048" r:id="rId2225"/>
    <hyperlink xmlns:r="http://schemas.openxmlformats.org/officeDocument/2006/relationships" ref="N2049" r:id="rId2226"/>
    <hyperlink xmlns:r="http://schemas.openxmlformats.org/officeDocument/2006/relationships" ref="O2049" r:id="rId2227"/>
    <hyperlink xmlns:r="http://schemas.openxmlformats.org/officeDocument/2006/relationships" ref="O2050" r:id="rId2228"/>
    <hyperlink xmlns:r="http://schemas.openxmlformats.org/officeDocument/2006/relationships" ref="O2051" r:id="rId2229"/>
    <hyperlink xmlns:r="http://schemas.openxmlformats.org/officeDocument/2006/relationships" ref="O2052" r:id="rId2230"/>
    <hyperlink xmlns:r="http://schemas.openxmlformats.org/officeDocument/2006/relationships" ref="O2053" r:id="rId2231"/>
    <hyperlink xmlns:r="http://schemas.openxmlformats.org/officeDocument/2006/relationships" ref="N2054" r:id="rId2232"/>
    <hyperlink xmlns:r="http://schemas.openxmlformats.org/officeDocument/2006/relationships" ref="O2054" r:id="rId2233"/>
    <hyperlink xmlns:r="http://schemas.openxmlformats.org/officeDocument/2006/relationships" ref="O2055" r:id="rId2234"/>
    <hyperlink xmlns:r="http://schemas.openxmlformats.org/officeDocument/2006/relationships" ref="O2056" r:id="rId2235"/>
    <hyperlink xmlns:r="http://schemas.openxmlformats.org/officeDocument/2006/relationships" ref="O2057" r:id="rId2236"/>
    <hyperlink xmlns:r="http://schemas.openxmlformats.org/officeDocument/2006/relationships" ref="N2058" r:id="rId2237"/>
    <hyperlink xmlns:r="http://schemas.openxmlformats.org/officeDocument/2006/relationships" ref="O2058" r:id="rId2238"/>
    <hyperlink xmlns:r="http://schemas.openxmlformats.org/officeDocument/2006/relationships" ref="N2059" r:id="rId2239"/>
    <hyperlink xmlns:r="http://schemas.openxmlformats.org/officeDocument/2006/relationships" ref="O2059" r:id="rId2240"/>
    <hyperlink xmlns:r="http://schemas.openxmlformats.org/officeDocument/2006/relationships" ref="N2060" r:id="rId2241"/>
    <hyperlink xmlns:r="http://schemas.openxmlformats.org/officeDocument/2006/relationships" ref="O2060" r:id="rId2242"/>
    <hyperlink xmlns:r="http://schemas.openxmlformats.org/officeDocument/2006/relationships" ref="N2061" r:id="rId2243"/>
    <hyperlink xmlns:r="http://schemas.openxmlformats.org/officeDocument/2006/relationships" ref="O2061" r:id="rId2244"/>
    <hyperlink xmlns:r="http://schemas.openxmlformats.org/officeDocument/2006/relationships" ref="O2062" r:id="rId2245"/>
    <hyperlink xmlns:r="http://schemas.openxmlformats.org/officeDocument/2006/relationships" ref="N2063" r:id="rId2246"/>
    <hyperlink xmlns:r="http://schemas.openxmlformats.org/officeDocument/2006/relationships" ref="O2063" r:id="rId2247"/>
    <hyperlink xmlns:r="http://schemas.openxmlformats.org/officeDocument/2006/relationships" ref="O2064" r:id="rId2248"/>
    <hyperlink xmlns:r="http://schemas.openxmlformats.org/officeDocument/2006/relationships" ref="O2065" r:id="rId2249"/>
    <hyperlink xmlns:r="http://schemas.openxmlformats.org/officeDocument/2006/relationships" ref="N2066" r:id="rId2250"/>
    <hyperlink xmlns:r="http://schemas.openxmlformats.org/officeDocument/2006/relationships" ref="O2066" r:id="rId2251"/>
    <hyperlink xmlns:r="http://schemas.openxmlformats.org/officeDocument/2006/relationships" ref="O2067" r:id="rId2252"/>
    <hyperlink xmlns:r="http://schemas.openxmlformats.org/officeDocument/2006/relationships" ref="N2068" r:id="rId2253"/>
    <hyperlink xmlns:r="http://schemas.openxmlformats.org/officeDocument/2006/relationships" ref="O2068" r:id="rId2254"/>
    <hyperlink xmlns:r="http://schemas.openxmlformats.org/officeDocument/2006/relationships" ref="O2069" r:id="rId2255"/>
    <hyperlink xmlns:r="http://schemas.openxmlformats.org/officeDocument/2006/relationships" ref="N2070" r:id="rId2256"/>
    <hyperlink xmlns:r="http://schemas.openxmlformats.org/officeDocument/2006/relationships" ref="O2070" r:id="rId2257"/>
    <hyperlink xmlns:r="http://schemas.openxmlformats.org/officeDocument/2006/relationships" ref="O2071" r:id="rId2258"/>
    <hyperlink xmlns:r="http://schemas.openxmlformats.org/officeDocument/2006/relationships" ref="O2072" r:id="rId2259"/>
    <hyperlink xmlns:r="http://schemas.openxmlformats.org/officeDocument/2006/relationships" ref="O2073" r:id="rId2260"/>
    <hyperlink xmlns:r="http://schemas.openxmlformats.org/officeDocument/2006/relationships" ref="O2074" r:id="rId2261"/>
    <hyperlink xmlns:r="http://schemas.openxmlformats.org/officeDocument/2006/relationships" ref="O2075" r:id="rId2262"/>
    <hyperlink xmlns:r="http://schemas.openxmlformats.org/officeDocument/2006/relationships" ref="O2076" r:id="rId2263"/>
    <hyperlink xmlns:r="http://schemas.openxmlformats.org/officeDocument/2006/relationships" ref="O2077" r:id="rId2264"/>
    <hyperlink xmlns:r="http://schemas.openxmlformats.org/officeDocument/2006/relationships" ref="O2078" r:id="rId2265"/>
    <hyperlink xmlns:r="http://schemas.openxmlformats.org/officeDocument/2006/relationships" ref="O2079" r:id="rId2266"/>
    <hyperlink xmlns:r="http://schemas.openxmlformats.org/officeDocument/2006/relationships" ref="O2080" r:id="rId2267"/>
    <hyperlink xmlns:r="http://schemas.openxmlformats.org/officeDocument/2006/relationships" ref="N2081" r:id="rId2268"/>
    <hyperlink xmlns:r="http://schemas.openxmlformats.org/officeDocument/2006/relationships" ref="O2081" r:id="rId2269"/>
    <hyperlink xmlns:r="http://schemas.openxmlformats.org/officeDocument/2006/relationships" ref="O2082" r:id="rId2270"/>
    <hyperlink xmlns:r="http://schemas.openxmlformats.org/officeDocument/2006/relationships" ref="N2083" r:id="rId2271"/>
    <hyperlink xmlns:r="http://schemas.openxmlformats.org/officeDocument/2006/relationships" ref="O2083" r:id="rId2272"/>
    <hyperlink xmlns:r="http://schemas.openxmlformats.org/officeDocument/2006/relationships" ref="O2084" r:id="rId2273"/>
    <hyperlink xmlns:r="http://schemas.openxmlformats.org/officeDocument/2006/relationships" ref="O2085" r:id="rId2274"/>
    <hyperlink xmlns:r="http://schemas.openxmlformats.org/officeDocument/2006/relationships" ref="N2086" r:id="rId2275"/>
    <hyperlink xmlns:r="http://schemas.openxmlformats.org/officeDocument/2006/relationships" ref="O2086" r:id="rId2276"/>
    <hyperlink xmlns:r="http://schemas.openxmlformats.org/officeDocument/2006/relationships" ref="O2087" r:id="rId2277"/>
    <hyperlink xmlns:r="http://schemas.openxmlformats.org/officeDocument/2006/relationships" ref="O2088" r:id="rId2278"/>
    <hyperlink xmlns:r="http://schemas.openxmlformats.org/officeDocument/2006/relationships" ref="O2089" r:id="rId2279"/>
    <hyperlink xmlns:r="http://schemas.openxmlformats.org/officeDocument/2006/relationships" ref="O2090" r:id="rId2280"/>
    <hyperlink xmlns:r="http://schemas.openxmlformats.org/officeDocument/2006/relationships" ref="O2091" r:id="rId2281"/>
    <hyperlink xmlns:r="http://schemas.openxmlformats.org/officeDocument/2006/relationships" ref="O2092" r:id="rId2282"/>
    <hyperlink xmlns:r="http://schemas.openxmlformats.org/officeDocument/2006/relationships" ref="N2093" r:id="rId2283"/>
    <hyperlink xmlns:r="http://schemas.openxmlformats.org/officeDocument/2006/relationships" ref="O2093" r:id="rId2284"/>
    <hyperlink xmlns:r="http://schemas.openxmlformats.org/officeDocument/2006/relationships" ref="N2094" r:id="rId2285"/>
    <hyperlink xmlns:r="http://schemas.openxmlformats.org/officeDocument/2006/relationships" ref="O2094" r:id="rId2286"/>
    <hyperlink xmlns:r="http://schemas.openxmlformats.org/officeDocument/2006/relationships" ref="O2095" r:id="rId2287"/>
    <hyperlink xmlns:r="http://schemas.openxmlformats.org/officeDocument/2006/relationships" ref="O2096" r:id="rId2288"/>
    <hyperlink xmlns:r="http://schemas.openxmlformats.org/officeDocument/2006/relationships" ref="O2097" r:id="rId2289"/>
    <hyperlink xmlns:r="http://schemas.openxmlformats.org/officeDocument/2006/relationships" ref="O2098" r:id="rId2290"/>
    <hyperlink xmlns:r="http://schemas.openxmlformats.org/officeDocument/2006/relationships" ref="O2099" r:id="rId2291"/>
    <hyperlink xmlns:r="http://schemas.openxmlformats.org/officeDocument/2006/relationships" ref="O2100" r:id="rId2292"/>
    <hyperlink xmlns:r="http://schemas.openxmlformats.org/officeDocument/2006/relationships" ref="N2101" r:id="rId2293"/>
    <hyperlink xmlns:r="http://schemas.openxmlformats.org/officeDocument/2006/relationships" ref="O2101" r:id="rId2294"/>
    <hyperlink xmlns:r="http://schemas.openxmlformats.org/officeDocument/2006/relationships" ref="O2102" r:id="rId2295"/>
    <hyperlink xmlns:r="http://schemas.openxmlformats.org/officeDocument/2006/relationships" ref="O2103" r:id="rId2296"/>
    <hyperlink xmlns:r="http://schemas.openxmlformats.org/officeDocument/2006/relationships" ref="N2104" r:id="rId2297"/>
    <hyperlink xmlns:r="http://schemas.openxmlformats.org/officeDocument/2006/relationships" ref="O2104" r:id="rId2298"/>
    <hyperlink xmlns:r="http://schemas.openxmlformats.org/officeDocument/2006/relationships" ref="N2105" r:id="rId2299"/>
    <hyperlink xmlns:r="http://schemas.openxmlformats.org/officeDocument/2006/relationships" ref="O2105" r:id="rId2300"/>
    <hyperlink xmlns:r="http://schemas.openxmlformats.org/officeDocument/2006/relationships" ref="O2106" r:id="rId2301"/>
    <hyperlink xmlns:r="http://schemas.openxmlformats.org/officeDocument/2006/relationships" ref="O2107" r:id="rId2302"/>
    <hyperlink xmlns:r="http://schemas.openxmlformats.org/officeDocument/2006/relationships" ref="O2108" r:id="rId2303"/>
    <hyperlink xmlns:r="http://schemas.openxmlformats.org/officeDocument/2006/relationships" ref="O2109" r:id="rId2304"/>
    <hyperlink xmlns:r="http://schemas.openxmlformats.org/officeDocument/2006/relationships" ref="N2110" r:id="rId2305"/>
    <hyperlink xmlns:r="http://schemas.openxmlformats.org/officeDocument/2006/relationships" ref="O2110" r:id="rId2306"/>
    <hyperlink xmlns:r="http://schemas.openxmlformats.org/officeDocument/2006/relationships" ref="O2111" r:id="rId2307"/>
    <hyperlink xmlns:r="http://schemas.openxmlformats.org/officeDocument/2006/relationships" ref="N2112" r:id="rId2308"/>
    <hyperlink xmlns:r="http://schemas.openxmlformats.org/officeDocument/2006/relationships" ref="O2112" r:id="rId2309"/>
    <hyperlink xmlns:r="http://schemas.openxmlformats.org/officeDocument/2006/relationships" ref="N2113" r:id="rId2310"/>
    <hyperlink xmlns:r="http://schemas.openxmlformats.org/officeDocument/2006/relationships" ref="O2113" r:id="rId2311"/>
    <hyperlink xmlns:r="http://schemas.openxmlformats.org/officeDocument/2006/relationships" ref="O2114" r:id="rId2312"/>
    <hyperlink xmlns:r="http://schemas.openxmlformats.org/officeDocument/2006/relationships" ref="O2115" r:id="rId2313"/>
    <hyperlink xmlns:r="http://schemas.openxmlformats.org/officeDocument/2006/relationships" ref="O2116" r:id="rId2314"/>
    <hyperlink xmlns:r="http://schemas.openxmlformats.org/officeDocument/2006/relationships" ref="O2117" r:id="rId2315"/>
    <hyperlink xmlns:r="http://schemas.openxmlformats.org/officeDocument/2006/relationships" ref="N2118" r:id="rId2316"/>
    <hyperlink xmlns:r="http://schemas.openxmlformats.org/officeDocument/2006/relationships" ref="O2118" r:id="rId2317"/>
    <hyperlink xmlns:r="http://schemas.openxmlformats.org/officeDocument/2006/relationships" ref="O2119" r:id="rId2318"/>
    <hyperlink xmlns:r="http://schemas.openxmlformats.org/officeDocument/2006/relationships" ref="N2120" r:id="rId2319"/>
    <hyperlink xmlns:r="http://schemas.openxmlformats.org/officeDocument/2006/relationships" ref="O2120" r:id="rId2320"/>
    <hyperlink xmlns:r="http://schemas.openxmlformats.org/officeDocument/2006/relationships" ref="O2121" r:id="rId2321"/>
    <hyperlink xmlns:r="http://schemas.openxmlformats.org/officeDocument/2006/relationships" ref="O2122" r:id="rId2322"/>
    <hyperlink xmlns:r="http://schemas.openxmlformats.org/officeDocument/2006/relationships" ref="O2123" r:id="rId2323"/>
    <hyperlink xmlns:r="http://schemas.openxmlformats.org/officeDocument/2006/relationships" ref="O2124" r:id="rId2324"/>
    <hyperlink xmlns:r="http://schemas.openxmlformats.org/officeDocument/2006/relationships" ref="O2125" r:id="rId2325"/>
    <hyperlink xmlns:r="http://schemas.openxmlformats.org/officeDocument/2006/relationships" ref="O2126" r:id="rId2326"/>
    <hyperlink xmlns:r="http://schemas.openxmlformats.org/officeDocument/2006/relationships" ref="O2127" r:id="rId2327"/>
    <hyperlink xmlns:r="http://schemas.openxmlformats.org/officeDocument/2006/relationships" ref="O2128" r:id="rId2328"/>
    <hyperlink xmlns:r="http://schemas.openxmlformats.org/officeDocument/2006/relationships" ref="O2129" r:id="rId2329"/>
    <hyperlink xmlns:r="http://schemas.openxmlformats.org/officeDocument/2006/relationships" ref="N2130" r:id="rId2330"/>
    <hyperlink xmlns:r="http://schemas.openxmlformats.org/officeDocument/2006/relationships" ref="O2130" r:id="rId2331"/>
    <hyperlink xmlns:r="http://schemas.openxmlformats.org/officeDocument/2006/relationships" ref="O2131" r:id="rId2332"/>
    <hyperlink xmlns:r="http://schemas.openxmlformats.org/officeDocument/2006/relationships" ref="O2132" r:id="rId2333"/>
    <hyperlink xmlns:r="http://schemas.openxmlformats.org/officeDocument/2006/relationships" ref="O2133" r:id="rId2334"/>
    <hyperlink xmlns:r="http://schemas.openxmlformats.org/officeDocument/2006/relationships" ref="O2134" r:id="rId2335"/>
    <hyperlink xmlns:r="http://schemas.openxmlformats.org/officeDocument/2006/relationships" ref="O2135" r:id="rId2336"/>
    <hyperlink xmlns:r="http://schemas.openxmlformats.org/officeDocument/2006/relationships" ref="O2136" r:id="rId2337"/>
    <hyperlink xmlns:r="http://schemas.openxmlformats.org/officeDocument/2006/relationships" ref="O2137" r:id="rId2338"/>
    <hyperlink xmlns:r="http://schemas.openxmlformats.org/officeDocument/2006/relationships" ref="O2138" r:id="rId2339"/>
    <hyperlink xmlns:r="http://schemas.openxmlformats.org/officeDocument/2006/relationships" ref="O2139" r:id="rId2340"/>
    <hyperlink xmlns:r="http://schemas.openxmlformats.org/officeDocument/2006/relationships" ref="O2140" r:id="rId2341"/>
    <hyperlink xmlns:r="http://schemas.openxmlformats.org/officeDocument/2006/relationships" ref="O2141" r:id="rId2342"/>
    <hyperlink xmlns:r="http://schemas.openxmlformats.org/officeDocument/2006/relationships" ref="O2142" r:id="rId2343"/>
    <hyperlink xmlns:r="http://schemas.openxmlformats.org/officeDocument/2006/relationships" ref="O2143" r:id="rId2344"/>
    <hyperlink xmlns:r="http://schemas.openxmlformats.org/officeDocument/2006/relationships" ref="O2144" r:id="rId2345"/>
    <hyperlink xmlns:r="http://schemas.openxmlformats.org/officeDocument/2006/relationships" ref="O2145" r:id="rId2346"/>
    <hyperlink xmlns:r="http://schemas.openxmlformats.org/officeDocument/2006/relationships" ref="O2146" r:id="rId2347"/>
    <hyperlink xmlns:r="http://schemas.openxmlformats.org/officeDocument/2006/relationships" ref="O2147" r:id="rId2348"/>
    <hyperlink xmlns:r="http://schemas.openxmlformats.org/officeDocument/2006/relationships" ref="O2148" r:id="rId2349"/>
    <hyperlink xmlns:r="http://schemas.openxmlformats.org/officeDocument/2006/relationships" ref="O2149" r:id="rId2350"/>
    <hyperlink xmlns:r="http://schemas.openxmlformats.org/officeDocument/2006/relationships" ref="O2150" r:id="rId2351"/>
    <hyperlink xmlns:r="http://schemas.openxmlformats.org/officeDocument/2006/relationships" ref="O2151" r:id="rId2352"/>
    <hyperlink xmlns:r="http://schemas.openxmlformats.org/officeDocument/2006/relationships" ref="O2152" r:id="rId2353"/>
    <hyperlink xmlns:r="http://schemas.openxmlformats.org/officeDocument/2006/relationships" ref="O2153" r:id="rId2354"/>
    <hyperlink xmlns:r="http://schemas.openxmlformats.org/officeDocument/2006/relationships" ref="O2154" r:id="rId2355"/>
    <hyperlink xmlns:r="http://schemas.openxmlformats.org/officeDocument/2006/relationships" ref="N2155" r:id="rId2356"/>
    <hyperlink xmlns:r="http://schemas.openxmlformats.org/officeDocument/2006/relationships" ref="O2156" r:id="rId2357"/>
    <hyperlink xmlns:r="http://schemas.openxmlformats.org/officeDocument/2006/relationships" ref="O2157" r:id="rId2358"/>
    <hyperlink xmlns:r="http://schemas.openxmlformats.org/officeDocument/2006/relationships" ref="O2158" r:id="rId2359"/>
    <hyperlink xmlns:r="http://schemas.openxmlformats.org/officeDocument/2006/relationships" ref="O2159" r:id="rId2360"/>
    <hyperlink xmlns:r="http://schemas.openxmlformats.org/officeDocument/2006/relationships" ref="O2160" r:id="rId2361"/>
    <hyperlink xmlns:r="http://schemas.openxmlformats.org/officeDocument/2006/relationships" ref="N2161" r:id="rId2362"/>
    <hyperlink xmlns:r="http://schemas.openxmlformats.org/officeDocument/2006/relationships" ref="N2162" r:id="rId2363"/>
    <hyperlink xmlns:r="http://schemas.openxmlformats.org/officeDocument/2006/relationships" ref="N2163" r:id="rId2364"/>
    <hyperlink xmlns:r="http://schemas.openxmlformats.org/officeDocument/2006/relationships" ref="N2164" r:id="rId2365"/>
    <hyperlink xmlns:r="http://schemas.openxmlformats.org/officeDocument/2006/relationships" ref="N2165" r:id="rId2366"/>
    <hyperlink xmlns:r="http://schemas.openxmlformats.org/officeDocument/2006/relationships" ref="N2166" r:id="rId2367"/>
    <hyperlink xmlns:r="http://schemas.openxmlformats.org/officeDocument/2006/relationships" ref="N2167" r:id="rId2368"/>
    <hyperlink xmlns:r="http://schemas.openxmlformats.org/officeDocument/2006/relationships" ref="N2168" r:id="rId2369"/>
    <hyperlink xmlns:r="http://schemas.openxmlformats.org/officeDocument/2006/relationships" ref="N2169" r:id="rId2370"/>
    <hyperlink xmlns:r="http://schemas.openxmlformats.org/officeDocument/2006/relationships" ref="N2170" r:id="rId2371"/>
    <hyperlink xmlns:r="http://schemas.openxmlformats.org/officeDocument/2006/relationships" ref="N2171" r:id="rId2372"/>
    <hyperlink xmlns:r="http://schemas.openxmlformats.org/officeDocument/2006/relationships" ref="N2172" r:id="rId2373"/>
    <hyperlink xmlns:r="http://schemas.openxmlformats.org/officeDocument/2006/relationships" ref="N2173" r:id="rId2374"/>
    <hyperlink xmlns:r="http://schemas.openxmlformats.org/officeDocument/2006/relationships" ref="N2174" r:id="rId2375"/>
    <hyperlink xmlns:r="http://schemas.openxmlformats.org/officeDocument/2006/relationships" ref="N2175" r:id="rId2376"/>
    <hyperlink xmlns:r="http://schemas.openxmlformats.org/officeDocument/2006/relationships" ref="O2176" r:id="rId2377"/>
    <hyperlink xmlns:r="http://schemas.openxmlformats.org/officeDocument/2006/relationships" ref="O2177" r:id="rId2378"/>
    <hyperlink xmlns:r="http://schemas.openxmlformats.org/officeDocument/2006/relationships" ref="O2178" r:id="rId2379"/>
    <hyperlink xmlns:r="http://schemas.openxmlformats.org/officeDocument/2006/relationships" ref="O2179" r:id="rId2380"/>
    <hyperlink xmlns:r="http://schemas.openxmlformats.org/officeDocument/2006/relationships" ref="O2180" r:id="rId2381"/>
    <hyperlink xmlns:r="http://schemas.openxmlformats.org/officeDocument/2006/relationships" ref="O2181" r:id="rId2382"/>
    <hyperlink xmlns:r="http://schemas.openxmlformats.org/officeDocument/2006/relationships" ref="O2182" r:id="rId2383"/>
    <hyperlink xmlns:r="http://schemas.openxmlformats.org/officeDocument/2006/relationships" ref="O2183" r:id="rId2384"/>
    <hyperlink xmlns:r="http://schemas.openxmlformats.org/officeDocument/2006/relationships" ref="O2184" r:id="rId2385"/>
    <hyperlink xmlns:r="http://schemas.openxmlformats.org/officeDocument/2006/relationships" ref="O2185" r:id="rId2386"/>
    <hyperlink xmlns:r="http://schemas.openxmlformats.org/officeDocument/2006/relationships" ref="N2186" r:id="rId2387"/>
    <hyperlink xmlns:r="http://schemas.openxmlformats.org/officeDocument/2006/relationships" ref="O2186" r:id="rId2388"/>
    <hyperlink xmlns:r="http://schemas.openxmlformats.org/officeDocument/2006/relationships" ref="N2187" r:id="rId2389"/>
    <hyperlink xmlns:r="http://schemas.openxmlformats.org/officeDocument/2006/relationships" ref="O2187" r:id="rId2390"/>
    <hyperlink xmlns:r="http://schemas.openxmlformats.org/officeDocument/2006/relationships" ref="N2188" r:id="rId2391"/>
    <hyperlink xmlns:r="http://schemas.openxmlformats.org/officeDocument/2006/relationships" ref="O2188" r:id="rId2392"/>
    <hyperlink xmlns:r="http://schemas.openxmlformats.org/officeDocument/2006/relationships" ref="N2189" r:id="rId2393"/>
    <hyperlink xmlns:r="http://schemas.openxmlformats.org/officeDocument/2006/relationships" ref="O2189" r:id="rId2394"/>
    <hyperlink xmlns:r="http://schemas.openxmlformats.org/officeDocument/2006/relationships" ref="O2190" r:id="rId2395"/>
    <hyperlink xmlns:r="http://schemas.openxmlformats.org/officeDocument/2006/relationships" ref="O2191" r:id="rId2396"/>
    <hyperlink xmlns:r="http://schemas.openxmlformats.org/officeDocument/2006/relationships" ref="N2192" r:id="rId2397"/>
    <hyperlink xmlns:r="http://schemas.openxmlformats.org/officeDocument/2006/relationships" ref="O2192" r:id="rId2398"/>
    <hyperlink xmlns:r="http://schemas.openxmlformats.org/officeDocument/2006/relationships" ref="O2193" r:id="rId2399"/>
    <hyperlink xmlns:r="http://schemas.openxmlformats.org/officeDocument/2006/relationships" ref="N2194" r:id="rId2400"/>
    <hyperlink xmlns:r="http://schemas.openxmlformats.org/officeDocument/2006/relationships" ref="O2194" r:id="rId2401"/>
    <hyperlink xmlns:r="http://schemas.openxmlformats.org/officeDocument/2006/relationships" ref="N2195" r:id="rId2402"/>
    <hyperlink xmlns:r="http://schemas.openxmlformats.org/officeDocument/2006/relationships" ref="O2195" r:id="rId2403"/>
    <hyperlink xmlns:r="http://schemas.openxmlformats.org/officeDocument/2006/relationships" ref="O2196" r:id="rId2404"/>
    <hyperlink xmlns:r="http://schemas.openxmlformats.org/officeDocument/2006/relationships" ref="O2197" r:id="rId2405"/>
    <hyperlink xmlns:r="http://schemas.openxmlformats.org/officeDocument/2006/relationships" ref="N2198" r:id="rId2406"/>
    <hyperlink xmlns:r="http://schemas.openxmlformats.org/officeDocument/2006/relationships" ref="O2198" r:id="rId2407"/>
    <hyperlink xmlns:r="http://schemas.openxmlformats.org/officeDocument/2006/relationships" ref="O2199" r:id="rId2408"/>
    <hyperlink xmlns:r="http://schemas.openxmlformats.org/officeDocument/2006/relationships" ref="N2200" r:id="rId2409"/>
    <hyperlink xmlns:r="http://schemas.openxmlformats.org/officeDocument/2006/relationships" ref="O2200" r:id="rId2410"/>
    <hyperlink xmlns:r="http://schemas.openxmlformats.org/officeDocument/2006/relationships" ref="N2201" r:id="rId2411"/>
    <hyperlink xmlns:r="http://schemas.openxmlformats.org/officeDocument/2006/relationships" ref="O2201" r:id="rId2412"/>
    <hyperlink xmlns:r="http://schemas.openxmlformats.org/officeDocument/2006/relationships" ref="N2202" r:id="rId2413"/>
    <hyperlink xmlns:r="http://schemas.openxmlformats.org/officeDocument/2006/relationships" ref="O2202" r:id="rId2414"/>
    <hyperlink xmlns:r="http://schemas.openxmlformats.org/officeDocument/2006/relationships" ref="N2203" r:id="rId2415"/>
    <hyperlink xmlns:r="http://schemas.openxmlformats.org/officeDocument/2006/relationships" ref="O2203" r:id="rId2416"/>
    <hyperlink xmlns:r="http://schemas.openxmlformats.org/officeDocument/2006/relationships" ref="O2204" r:id="rId2417"/>
    <hyperlink xmlns:r="http://schemas.openxmlformats.org/officeDocument/2006/relationships" ref="O2205" r:id="rId2418"/>
    <hyperlink xmlns:r="http://schemas.openxmlformats.org/officeDocument/2006/relationships" ref="O2206" r:id="rId2419"/>
    <hyperlink xmlns:r="http://schemas.openxmlformats.org/officeDocument/2006/relationships" ref="O2207" r:id="rId2420"/>
    <hyperlink xmlns:r="http://schemas.openxmlformats.org/officeDocument/2006/relationships" ref="N2208" r:id="rId2421"/>
    <hyperlink xmlns:r="http://schemas.openxmlformats.org/officeDocument/2006/relationships" ref="O2208" r:id="rId2422"/>
    <hyperlink xmlns:r="http://schemas.openxmlformats.org/officeDocument/2006/relationships" ref="O2209" r:id="rId2423"/>
    <hyperlink xmlns:r="http://schemas.openxmlformats.org/officeDocument/2006/relationships" ref="N2210" r:id="rId2424"/>
    <hyperlink xmlns:r="http://schemas.openxmlformats.org/officeDocument/2006/relationships" ref="O2210" r:id="rId2425"/>
    <hyperlink xmlns:r="http://schemas.openxmlformats.org/officeDocument/2006/relationships" ref="O2211" r:id="rId2426"/>
    <hyperlink xmlns:r="http://schemas.openxmlformats.org/officeDocument/2006/relationships" ref="O2212" r:id="rId2427"/>
    <hyperlink xmlns:r="http://schemas.openxmlformats.org/officeDocument/2006/relationships" ref="N2213" r:id="rId2428"/>
    <hyperlink xmlns:r="http://schemas.openxmlformats.org/officeDocument/2006/relationships" ref="O2213" r:id="rId2429"/>
    <hyperlink xmlns:r="http://schemas.openxmlformats.org/officeDocument/2006/relationships" ref="O2214" r:id="rId2430"/>
    <hyperlink xmlns:r="http://schemas.openxmlformats.org/officeDocument/2006/relationships" ref="O2215" r:id="rId2431"/>
    <hyperlink xmlns:r="http://schemas.openxmlformats.org/officeDocument/2006/relationships" ref="O2216" r:id="rId2432"/>
    <hyperlink xmlns:r="http://schemas.openxmlformats.org/officeDocument/2006/relationships" ref="O2217" r:id="rId2433"/>
    <hyperlink xmlns:r="http://schemas.openxmlformats.org/officeDocument/2006/relationships" ref="N2218" r:id="rId2434"/>
    <hyperlink xmlns:r="http://schemas.openxmlformats.org/officeDocument/2006/relationships" ref="O2218" r:id="rId2435"/>
    <hyperlink xmlns:r="http://schemas.openxmlformats.org/officeDocument/2006/relationships" ref="O2219" r:id="rId2436"/>
    <hyperlink xmlns:r="http://schemas.openxmlformats.org/officeDocument/2006/relationships" ref="N2220" r:id="rId2437"/>
    <hyperlink xmlns:r="http://schemas.openxmlformats.org/officeDocument/2006/relationships" ref="O2220" r:id="rId2438"/>
    <hyperlink xmlns:r="http://schemas.openxmlformats.org/officeDocument/2006/relationships" ref="N2221" r:id="rId2439"/>
    <hyperlink xmlns:r="http://schemas.openxmlformats.org/officeDocument/2006/relationships" ref="O2221" r:id="rId2440"/>
    <hyperlink xmlns:r="http://schemas.openxmlformats.org/officeDocument/2006/relationships" ref="O2222" r:id="rId2441"/>
    <hyperlink xmlns:r="http://schemas.openxmlformats.org/officeDocument/2006/relationships" ref="O2223" r:id="rId2442"/>
    <hyperlink xmlns:r="http://schemas.openxmlformats.org/officeDocument/2006/relationships" ref="O2224" r:id="rId2443"/>
    <hyperlink xmlns:r="http://schemas.openxmlformats.org/officeDocument/2006/relationships" ref="O2225" r:id="rId2444"/>
    <hyperlink xmlns:r="http://schemas.openxmlformats.org/officeDocument/2006/relationships" ref="O2226" r:id="rId2445"/>
    <hyperlink xmlns:r="http://schemas.openxmlformats.org/officeDocument/2006/relationships" ref="O2227" r:id="rId2446"/>
    <hyperlink xmlns:r="http://schemas.openxmlformats.org/officeDocument/2006/relationships" ref="O2228" r:id="rId2447"/>
    <hyperlink xmlns:r="http://schemas.openxmlformats.org/officeDocument/2006/relationships" ref="O2229" r:id="rId2448"/>
    <hyperlink xmlns:r="http://schemas.openxmlformats.org/officeDocument/2006/relationships" ref="O2230" r:id="rId2449"/>
    <hyperlink xmlns:r="http://schemas.openxmlformats.org/officeDocument/2006/relationships" ref="O2231" r:id="rId2450"/>
    <hyperlink xmlns:r="http://schemas.openxmlformats.org/officeDocument/2006/relationships" ref="O2232" r:id="rId2451"/>
    <hyperlink xmlns:r="http://schemas.openxmlformats.org/officeDocument/2006/relationships" ref="N2233" r:id="rId2452"/>
    <hyperlink xmlns:r="http://schemas.openxmlformats.org/officeDocument/2006/relationships" ref="O2233" r:id="rId2453"/>
    <hyperlink xmlns:r="http://schemas.openxmlformats.org/officeDocument/2006/relationships" ref="N2234" r:id="rId2454"/>
    <hyperlink xmlns:r="http://schemas.openxmlformats.org/officeDocument/2006/relationships" ref="O2234" r:id="rId2455"/>
    <hyperlink xmlns:r="http://schemas.openxmlformats.org/officeDocument/2006/relationships" ref="O2235" r:id="rId2456"/>
    <hyperlink xmlns:r="http://schemas.openxmlformats.org/officeDocument/2006/relationships" ref="O2236" r:id="rId2457"/>
    <hyperlink xmlns:r="http://schemas.openxmlformats.org/officeDocument/2006/relationships" ref="N2237" r:id="rId2458"/>
    <hyperlink xmlns:r="http://schemas.openxmlformats.org/officeDocument/2006/relationships" ref="O2237" r:id="rId2459"/>
    <hyperlink xmlns:r="http://schemas.openxmlformats.org/officeDocument/2006/relationships" ref="O2238" r:id="rId2460"/>
    <hyperlink xmlns:r="http://schemas.openxmlformats.org/officeDocument/2006/relationships" ref="N2239" r:id="rId2461"/>
    <hyperlink xmlns:r="http://schemas.openxmlformats.org/officeDocument/2006/relationships" ref="O2239" r:id="rId2462"/>
    <hyperlink xmlns:r="http://schemas.openxmlformats.org/officeDocument/2006/relationships" ref="N2240" r:id="rId2463"/>
    <hyperlink xmlns:r="http://schemas.openxmlformats.org/officeDocument/2006/relationships" ref="O2240" r:id="rId2464"/>
    <hyperlink xmlns:r="http://schemas.openxmlformats.org/officeDocument/2006/relationships" ref="O2241" r:id="rId2465"/>
    <hyperlink xmlns:r="http://schemas.openxmlformats.org/officeDocument/2006/relationships" ref="O2242" r:id="rId2466"/>
    <hyperlink xmlns:r="http://schemas.openxmlformats.org/officeDocument/2006/relationships" ref="N2243" r:id="rId2467"/>
    <hyperlink xmlns:r="http://schemas.openxmlformats.org/officeDocument/2006/relationships" ref="O2243" r:id="rId2468"/>
    <hyperlink xmlns:r="http://schemas.openxmlformats.org/officeDocument/2006/relationships" ref="O2244" r:id="rId2469"/>
    <hyperlink xmlns:r="http://schemas.openxmlformats.org/officeDocument/2006/relationships" ref="N2245" r:id="rId2470"/>
    <hyperlink xmlns:r="http://schemas.openxmlformats.org/officeDocument/2006/relationships" ref="O2245" r:id="rId2471"/>
    <hyperlink xmlns:r="http://schemas.openxmlformats.org/officeDocument/2006/relationships" ref="N2246" r:id="rId2472"/>
    <hyperlink xmlns:r="http://schemas.openxmlformats.org/officeDocument/2006/relationships" ref="O2246" r:id="rId2473"/>
    <hyperlink xmlns:r="http://schemas.openxmlformats.org/officeDocument/2006/relationships" ref="O2247" r:id="rId2474"/>
    <hyperlink xmlns:r="http://schemas.openxmlformats.org/officeDocument/2006/relationships" ref="O2248" r:id="rId2475"/>
    <hyperlink xmlns:r="http://schemas.openxmlformats.org/officeDocument/2006/relationships" ref="O2249" r:id="rId2476"/>
    <hyperlink xmlns:r="http://schemas.openxmlformats.org/officeDocument/2006/relationships" ref="O2250" r:id="rId2477"/>
    <hyperlink xmlns:r="http://schemas.openxmlformats.org/officeDocument/2006/relationships" ref="O2251" r:id="rId2478"/>
    <hyperlink xmlns:r="http://schemas.openxmlformats.org/officeDocument/2006/relationships" ref="O2252" r:id="rId2479"/>
    <hyperlink xmlns:r="http://schemas.openxmlformats.org/officeDocument/2006/relationships" ref="O2253" r:id="rId2480"/>
    <hyperlink xmlns:r="http://schemas.openxmlformats.org/officeDocument/2006/relationships" ref="O2254" r:id="rId2481"/>
    <hyperlink xmlns:r="http://schemas.openxmlformats.org/officeDocument/2006/relationships" ref="O2255" r:id="rId2482"/>
    <hyperlink xmlns:r="http://schemas.openxmlformats.org/officeDocument/2006/relationships" ref="O2256" r:id="rId2483"/>
    <hyperlink xmlns:r="http://schemas.openxmlformats.org/officeDocument/2006/relationships" ref="N2257" r:id="rId2484"/>
    <hyperlink xmlns:r="http://schemas.openxmlformats.org/officeDocument/2006/relationships" ref="O2257" r:id="rId2485"/>
    <hyperlink xmlns:r="http://schemas.openxmlformats.org/officeDocument/2006/relationships" ref="N2258" r:id="rId2486"/>
    <hyperlink xmlns:r="http://schemas.openxmlformats.org/officeDocument/2006/relationships" ref="O2258" r:id="rId2487"/>
    <hyperlink xmlns:r="http://schemas.openxmlformats.org/officeDocument/2006/relationships" ref="N2259" r:id="rId2488"/>
    <hyperlink xmlns:r="http://schemas.openxmlformats.org/officeDocument/2006/relationships" ref="O2259" r:id="rId2489"/>
    <hyperlink xmlns:r="http://schemas.openxmlformats.org/officeDocument/2006/relationships" ref="O2260" r:id="rId2490"/>
    <hyperlink xmlns:r="http://schemas.openxmlformats.org/officeDocument/2006/relationships" ref="N2261" r:id="rId2491"/>
    <hyperlink xmlns:r="http://schemas.openxmlformats.org/officeDocument/2006/relationships" ref="O2261" r:id="rId2492"/>
    <hyperlink xmlns:r="http://schemas.openxmlformats.org/officeDocument/2006/relationships" ref="O2262" r:id="rId2493"/>
    <hyperlink xmlns:r="http://schemas.openxmlformats.org/officeDocument/2006/relationships" ref="N2263" r:id="rId2494"/>
    <hyperlink xmlns:r="http://schemas.openxmlformats.org/officeDocument/2006/relationships" ref="O2263" r:id="rId2495"/>
    <hyperlink xmlns:r="http://schemas.openxmlformats.org/officeDocument/2006/relationships" ref="N2264" r:id="rId2496"/>
    <hyperlink xmlns:r="http://schemas.openxmlformats.org/officeDocument/2006/relationships" ref="O2264" r:id="rId2497"/>
    <hyperlink xmlns:r="http://schemas.openxmlformats.org/officeDocument/2006/relationships" ref="N2265" r:id="rId2498"/>
    <hyperlink xmlns:r="http://schemas.openxmlformats.org/officeDocument/2006/relationships" ref="O2265" r:id="rId2499"/>
    <hyperlink xmlns:r="http://schemas.openxmlformats.org/officeDocument/2006/relationships" ref="N2266" r:id="rId2500"/>
    <hyperlink xmlns:r="http://schemas.openxmlformats.org/officeDocument/2006/relationships" ref="O2266" r:id="rId2501"/>
    <hyperlink xmlns:r="http://schemas.openxmlformats.org/officeDocument/2006/relationships" ref="N2267" r:id="rId2502"/>
    <hyperlink xmlns:r="http://schemas.openxmlformats.org/officeDocument/2006/relationships" ref="O2267" r:id="rId2503"/>
    <hyperlink xmlns:r="http://schemas.openxmlformats.org/officeDocument/2006/relationships" ref="N2268" r:id="rId2504"/>
    <hyperlink xmlns:r="http://schemas.openxmlformats.org/officeDocument/2006/relationships" ref="O2268" r:id="rId2505"/>
    <hyperlink xmlns:r="http://schemas.openxmlformats.org/officeDocument/2006/relationships" ref="N2269" r:id="rId2506"/>
    <hyperlink xmlns:r="http://schemas.openxmlformats.org/officeDocument/2006/relationships" ref="O2269" r:id="rId2507"/>
    <hyperlink xmlns:r="http://schemas.openxmlformats.org/officeDocument/2006/relationships" ref="N2270" r:id="rId2508"/>
    <hyperlink xmlns:r="http://schemas.openxmlformats.org/officeDocument/2006/relationships" ref="O2270" r:id="rId2509"/>
    <hyperlink xmlns:r="http://schemas.openxmlformats.org/officeDocument/2006/relationships" ref="N2271" r:id="rId2510"/>
    <hyperlink xmlns:r="http://schemas.openxmlformats.org/officeDocument/2006/relationships" ref="O2271" r:id="rId2511"/>
    <hyperlink xmlns:r="http://schemas.openxmlformats.org/officeDocument/2006/relationships" ref="N2272" r:id="rId2512"/>
    <hyperlink xmlns:r="http://schemas.openxmlformats.org/officeDocument/2006/relationships" ref="O2272" r:id="rId2513"/>
    <hyperlink xmlns:r="http://schemas.openxmlformats.org/officeDocument/2006/relationships" ref="O2273" r:id="rId2514"/>
    <hyperlink xmlns:r="http://schemas.openxmlformats.org/officeDocument/2006/relationships" ref="N2274" r:id="rId2515"/>
    <hyperlink xmlns:r="http://schemas.openxmlformats.org/officeDocument/2006/relationships" ref="O2274" r:id="rId2516"/>
    <hyperlink xmlns:r="http://schemas.openxmlformats.org/officeDocument/2006/relationships" ref="O2275" r:id="rId2517"/>
    <hyperlink xmlns:r="http://schemas.openxmlformats.org/officeDocument/2006/relationships" ref="N2276" r:id="rId2518"/>
    <hyperlink xmlns:r="http://schemas.openxmlformats.org/officeDocument/2006/relationships" ref="O2276" r:id="rId2519"/>
    <hyperlink xmlns:r="http://schemas.openxmlformats.org/officeDocument/2006/relationships" ref="N2277" r:id="rId2520"/>
    <hyperlink xmlns:r="http://schemas.openxmlformats.org/officeDocument/2006/relationships" ref="O2277" r:id="rId2521"/>
    <hyperlink xmlns:r="http://schemas.openxmlformats.org/officeDocument/2006/relationships" ref="N2278" r:id="rId2522"/>
    <hyperlink xmlns:r="http://schemas.openxmlformats.org/officeDocument/2006/relationships" ref="O2278" r:id="rId2523"/>
    <hyperlink xmlns:r="http://schemas.openxmlformats.org/officeDocument/2006/relationships" ref="N2279" r:id="rId2524"/>
    <hyperlink xmlns:r="http://schemas.openxmlformats.org/officeDocument/2006/relationships" ref="O2279" r:id="rId2525"/>
    <hyperlink xmlns:r="http://schemas.openxmlformats.org/officeDocument/2006/relationships" ref="N2280" r:id="rId2526"/>
    <hyperlink xmlns:r="http://schemas.openxmlformats.org/officeDocument/2006/relationships" ref="O2280" r:id="rId2527"/>
    <hyperlink xmlns:r="http://schemas.openxmlformats.org/officeDocument/2006/relationships" ref="O2281" r:id="rId2528"/>
    <hyperlink xmlns:r="http://schemas.openxmlformats.org/officeDocument/2006/relationships" ref="N2282" r:id="rId2529"/>
    <hyperlink xmlns:r="http://schemas.openxmlformats.org/officeDocument/2006/relationships" ref="O2282" r:id="rId2530"/>
    <hyperlink xmlns:r="http://schemas.openxmlformats.org/officeDocument/2006/relationships" ref="N2283" r:id="rId2531"/>
    <hyperlink xmlns:r="http://schemas.openxmlformats.org/officeDocument/2006/relationships" ref="O2283" r:id="rId2532"/>
    <hyperlink xmlns:r="http://schemas.openxmlformats.org/officeDocument/2006/relationships" ref="N2284" r:id="rId2533"/>
    <hyperlink xmlns:r="http://schemas.openxmlformats.org/officeDocument/2006/relationships" ref="O2284" r:id="rId2534"/>
    <hyperlink xmlns:r="http://schemas.openxmlformats.org/officeDocument/2006/relationships" ref="N2285" r:id="rId2535"/>
    <hyperlink xmlns:r="http://schemas.openxmlformats.org/officeDocument/2006/relationships" ref="O2285" r:id="rId2536"/>
    <hyperlink xmlns:r="http://schemas.openxmlformats.org/officeDocument/2006/relationships" ref="N2286" r:id="rId2537"/>
    <hyperlink xmlns:r="http://schemas.openxmlformats.org/officeDocument/2006/relationships" ref="O2286" r:id="rId2538"/>
    <hyperlink xmlns:r="http://schemas.openxmlformats.org/officeDocument/2006/relationships" ref="O2287" r:id="rId2539"/>
    <hyperlink xmlns:r="http://schemas.openxmlformats.org/officeDocument/2006/relationships" ref="O2288" r:id="rId2540"/>
    <hyperlink xmlns:r="http://schemas.openxmlformats.org/officeDocument/2006/relationships" ref="O2289" r:id="rId2541"/>
    <hyperlink xmlns:r="http://schemas.openxmlformats.org/officeDocument/2006/relationships" ref="O2290" r:id="rId2542"/>
    <hyperlink xmlns:r="http://schemas.openxmlformats.org/officeDocument/2006/relationships" ref="O2291" r:id="rId2543"/>
    <hyperlink xmlns:r="http://schemas.openxmlformats.org/officeDocument/2006/relationships" ref="N2292" r:id="rId2544"/>
    <hyperlink xmlns:r="http://schemas.openxmlformats.org/officeDocument/2006/relationships" ref="O2292" r:id="rId2545"/>
    <hyperlink xmlns:r="http://schemas.openxmlformats.org/officeDocument/2006/relationships" ref="N2293" r:id="rId2546"/>
    <hyperlink xmlns:r="http://schemas.openxmlformats.org/officeDocument/2006/relationships" ref="O2293" r:id="rId2547"/>
    <hyperlink xmlns:r="http://schemas.openxmlformats.org/officeDocument/2006/relationships" ref="N2294" r:id="rId2548"/>
    <hyperlink xmlns:r="http://schemas.openxmlformats.org/officeDocument/2006/relationships" ref="O2294" r:id="rId2549"/>
    <hyperlink xmlns:r="http://schemas.openxmlformats.org/officeDocument/2006/relationships" ref="O2295" r:id="rId2550"/>
    <hyperlink xmlns:r="http://schemas.openxmlformats.org/officeDocument/2006/relationships" ref="O2296" r:id="rId2551"/>
    <hyperlink xmlns:r="http://schemas.openxmlformats.org/officeDocument/2006/relationships" ref="O2297" r:id="rId2552"/>
    <hyperlink xmlns:r="http://schemas.openxmlformats.org/officeDocument/2006/relationships" ref="O2298" r:id="rId2553"/>
    <hyperlink xmlns:r="http://schemas.openxmlformats.org/officeDocument/2006/relationships" ref="O2299" r:id="rId2554"/>
    <hyperlink xmlns:r="http://schemas.openxmlformats.org/officeDocument/2006/relationships" ref="N2300" r:id="rId2555"/>
    <hyperlink xmlns:r="http://schemas.openxmlformats.org/officeDocument/2006/relationships" ref="O2300" r:id="rId2556"/>
    <hyperlink xmlns:r="http://schemas.openxmlformats.org/officeDocument/2006/relationships" ref="N2301" r:id="rId2557"/>
    <hyperlink xmlns:r="http://schemas.openxmlformats.org/officeDocument/2006/relationships" ref="O2301" r:id="rId2558"/>
    <hyperlink xmlns:r="http://schemas.openxmlformats.org/officeDocument/2006/relationships" ref="N2302" r:id="rId2559"/>
    <hyperlink xmlns:r="http://schemas.openxmlformats.org/officeDocument/2006/relationships" ref="O2302" r:id="rId2560"/>
    <hyperlink xmlns:r="http://schemas.openxmlformats.org/officeDocument/2006/relationships" ref="O2303" r:id="rId2561"/>
    <hyperlink xmlns:r="http://schemas.openxmlformats.org/officeDocument/2006/relationships" ref="O2304" r:id="rId2562"/>
    <hyperlink xmlns:r="http://schemas.openxmlformats.org/officeDocument/2006/relationships" ref="N2305" r:id="rId2563"/>
    <hyperlink xmlns:r="http://schemas.openxmlformats.org/officeDocument/2006/relationships" ref="O2305" r:id="rId2564"/>
    <hyperlink xmlns:r="http://schemas.openxmlformats.org/officeDocument/2006/relationships" ref="O2306" r:id="rId2565"/>
    <hyperlink xmlns:r="http://schemas.openxmlformats.org/officeDocument/2006/relationships" ref="N2307" r:id="rId2566"/>
    <hyperlink xmlns:r="http://schemas.openxmlformats.org/officeDocument/2006/relationships" ref="O2307" r:id="rId2567"/>
    <hyperlink xmlns:r="http://schemas.openxmlformats.org/officeDocument/2006/relationships" ref="N2308" r:id="rId2568"/>
    <hyperlink xmlns:r="http://schemas.openxmlformats.org/officeDocument/2006/relationships" ref="O2308" r:id="rId2569"/>
    <hyperlink xmlns:r="http://schemas.openxmlformats.org/officeDocument/2006/relationships" ref="N2309" r:id="rId2570"/>
    <hyperlink xmlns:r="http://schemas.openxmlformats.org/officeDocument/2006/relationships" ref="O2309" r:id="rId2571"/>
    <hyperlink xmlns:r="http://schemas.openxmlformats.org/officeDocument/2006/relationships" ref="N2310" r:id="rId2572"/>
    <hyperlink xmlns:r="http://schemas.openxmlformats.org/officeDocument/2006/relationships" ref="O2310" r:id="rId2573"/>
    <hyperlink xmlns:r="http://schemas.openxmlformats.org/officeDocument/2006/relationships" ref="N2311" r:id="rId2574"/>
    <hyperlink xmlns:r="http://schemas.openxmlformats.org/officeDocument/2006/relationships" ref="O2311" r:id="rId2575"/>
    <hyperlink xmlns:r="http://schemas.openxmlformats.org/officeDocument/2006/relationships" ref="N2312" r:id="rId2576"/>
    <hyperlink xmlns:r="http://schemas.openxmlformats.org/officeDocument/2006/relationships" ref="O2312" r:id="rId2577"/>
    <hyperlink xmlns:r="http://schemas.openxmlformats.org/officeDocument/2006/relationships" ref="N2313" r:id="rId2578"/>
    <hyperlink xmlns:r="http://schemas.openxmlformats.org/officeDocument/2006/relationships" ref="O2313" r:id="rId2579"/>
    <hyperlink xmlns:r="http://schemas.openxmlformats.org/officeDocument/2006/relationships" ref="N2314" r:id="rId2580"/>
    <hyperlink xmlns:r="http://schemas.openxmlformats.org/officeDocument/2006/relationships" ref="O2314" r:id="rId2581"/>
    <hyperlink xmlns:r="http://schemas.openxmlformats.org/officeDocument/2006/relationships" ref="O2315" r:id="rId2582"/>
    <hyperlink xmlns:r="http://schemas.openxmlformats.org/officeDocument/2006/relationships" ref="O2316" r:id="rId2583"/>
    <hyperlink xmlns:r="http://schemas.openxmlformats.org/officeDocument/2006/relationships" ref="N2317" r:id="rId2584"/>
    <hyperlink xmlns:r="http://schemas.openxmlformats.org/officeDocument/2006/relationships" ref="O2317" r:id="rId2585"/>
    <hyperlink xmlns:r="http://schemas.openxmlformats.org/officeDocument/2006/relationships" ref="O2318" r:id="rId2586"/>
    <hyperlink xmlns:r="http://schemas.openxmlformats.org/officeDocument/2006/relationships" ref="O2319" r:id="rId2587"/>
    <hyperlink xmlns:r="http://schemas.openxmlformats.org/officeDocument/2006/relationships" ref="N2320" r:id="rId2588"/>
    <hyperlink xmlns:r="http://schemas.openxmlformats.org/officeDocument/2006/relationships" ref="O2320" r:id="rId2589"/>
    <hyperlink xmlns:r="http://schemas.openxmlformats.org/officeDocument/2006/relationships" ref="N2321" r:id="rId2590"/>
    <hyperlink xmlns:r="http://schemas.openxmlformats.org/officeDocument/2006/relationships" ref="O2321" r:id="rId2591"/>
    <hyperlink xmlns:r="http://schemas.openxmlformats.org/officeDocument/2006/relationships" ref="N2322" r:id="rId2592"/>
    <hyperlink xmlns:r="http://schemas.openxmlformats.org/officeDocument/2006/relationships" ref="O2322" r:id="rId2593"/>
    <hyperlink xmlns:r="http://schemas.openxmlformats.org/officeDocument/2006/relationships" ref="O2323" r:id="rId2594"/>
    <hyperlink xmlns:r="http://schemas.openxmlformats.org/officeDocument/2006/relationships" ref="N2324" r:id="rId2595"/>
    <hyperlink xmlns:r="http://schemas.openxmlformats.org/officeDocument/2006/relationships" ref="O2324" r:id="rId2596"/>
    <hyperlink xmlns:r="http://schemas.openxmlformats.org/officeDocument/2006/relationships" ref="O2325" r:id="rId2597"/>
    <hyperlink xmlns:r="http://schemas.openxmlformats.org/officeDocument/2006/relationships" ref="O2326" r:id="rId2598"/>
    <hyperlink xmlns:r="http://schemas.openxmlformats.org/officeDocument/2006/relationships" ref="O2327" r:id="rId2599"/>
    <hyperlink xmlns:r="http://schemas.openxmlformats.org/officeDocument/2006/relationships" ref="O2328" r:id="rId2600"/>
    <hyperlink xmlns:r="http://schemas.openxmlformats.org/officeDocument/2006/relationships" ref="O2329" r:id="rId2601"/>
    <hyperlink xmlns:r="http://schemas.openxmlformats.org/officeDocument/2006/relationships" ref="O2330" r:id="rId2602"/>
    <hyperlink xmlns:r="http://schemas.openxmlformats.org/officeDocument/2006/relationships" ref="O2331" r:id="rId2603"/>
    <hyperlink xmlns:r="http://schemas.openxmlformats.org/officeDocument/2006/relationships" ref="O2332" r:id="rId2604"/>
    <hyperlink xmlns:r="http://schemas.openxmlformats.org/officeDocument/2006/relationships" ref="O2333" r:id="rId2605"/>
    <hyperlink xmlns:r="http://schemas.openxmlformats.org/officeDocument/2006/relationships" ref="O2334" r:id="rId2606"/>
    <hyperlink xmlns:r="http://schemas.openxmlformats.org/officeDocument/2006/relationships" ref="O2335" r:id="rId2607"/>
    <hyperlink xmlns:r="http://schemas.openxmlformats.org/officeDocument/2006/relationships" ref="O2336" r:id="rId2608"/>
    <hyperlink xmlns:r="http://schemas.openxmlformats.org/officeDocument/2006/relationships" ref="O2337" r:id="rId2609"/>
    <hyperlink xmlns:r="http://schemas.openxmlformats.org/officeDocument/2006/relationships" ref="O2338" r:id="rId2610"/>
    <hyperlink xmlns:r="http://schemas.openxmlformats.org/officeDocument/2006/relationships" ref="O2339" r:id="rId2611"/>
    <hyperlink xmlns:r="http://schemas.openxmlformats.org/officeDocument/2006/relationships" ref="O2340" r:id="rId2612"/>
    <hyperlink xmlns:r="http://schemas.openxmlformats.org/officeDocument/2006/relationships" ref="O2341" r:id="rId2613"/>
    <hyperlink xmlns:r="http://schemas.openxmlformats.org/officeDocument/2006/relationships" ref="O2342" r:id="rId2614"/>
    <hyperlink xmlns:r="http://schemas.openxmlformats.org/officeDocument/2006/relationships" ref="O2343" r:id="rId2615"/>
    <hyperlink xmlns:r="http://schemas.openxmlformats.org/officeDocument/2006/relationships" ref="O2344" r:id="rId2616"/>
    <hyperlink xmlns:r="http://schemas.openxmlformats.org/officeDocument/2006/relationships" ref="N2345" r:id="rId2617"/>
    <hyperlink xmlns:r="http://schemas.openxmlformats.org/officeDocument/2006/relationships" ref="O2345" r:id="rId2618"/>
    <hyperlink xmlns:r="http://schemas.openxmlformats.org/officeDocument/2006/relationships" ref="N2346" r:id="rId2619"/>
    <hyperlink xmlns:r="http://schemas.openxmlformats.org/officeDocument/2006/relationships" ref="O2346" r:id="rId2620"/>
    <hyperlink xmlns:r="http://schemas.openxmlformats.org/officeDocument/2006/relationships" ref="N2347" r:id="rId2621"/>
    <hyperlink xmlns:r="http://schemas.openxmlformats.org/officeDocument/2006/relationships" ref="O2347" r:id="rId2622"/>
    <hyperlink xmlns:r="http://schemas.openxmlformats.org/officeDocument/2006/relationships" ref="N2348" r:id="rId2623"/>
    <hyperlink xmlns:r="http://schemas.openxmlformats.org/officeDocument/2006/relationships" ref="O2348" r:id="rId2624"/>
    <hyperlink xmlns:r="http://schemas.openxmlformats.org/officeDocument/2006/relationships" ref="N2349" r:id="rId2625"/>
    <hyperlink xmlns:r="http://schemas.openxmlformats.org/officeDocument/2006/relationships" ref="O2349" r:id="rId2626"/>
    <hyperlink xmlns:r="http://schemas.openxmlformats.org/officeDocument/2006/relationships" ref="N2350" r:id="rId2627"/>
    <hyperlink xmlns:r="http://schemas.openxmlformats.org/officeDocument/2006/relationships" ref="O2350" r:id="rId2628"/>
    <hyperlink xmlns:r="http://schemas.openxmlformats.org/officeDocument/2006/relationships" ref="N2351" r:id="rId2629"/>
    <hyperlink xmlns:r="http://schemas.openxmlformats.org/officeDocument/2006/relationships" ref="O2351" r:id="rId2630"/>
    <hyperlink xmlns:r="http://schemas.openxmlformats.org/officeDocument/2006/relationships" ref="N2352" r:id="rId2631"/>
    <hyperlink xmlns:r="http://schemas.openxmlformats.org/officeDocument/2006/relationships" ref="O2352" r:id="rId2632"/>
    <hyperlink xmlns:r="http://schemas.openxmlformats.org/officeDocument/2006/relationships" ref="N2353" r:id="rId2633"/>
    <hyperlink xmlns:r="http://schemas.openxmlformats.org/officeDocument/2006/relationships" ref="O2353" r:id="rId2634"/>
    <hyperlink xmlns:r="http://schemas.openxmlformats.org/officeDocument/2006/relationships" ref="O2354" r:id="rId2635"/>
    <hyperlink xmlns:r="http://schemas.openxmlformats.org/officeDocument/2006/relationships" ref="O2355" r:id="rId2636"/>
    <hyperlink xmlns:r="http://schemas.openxmlformats.org/officeDocument/2006/relationships" ref="N2356" r:id="rId2637"/>
    <hyperlink xmlns:r="http://schemas.openxmlformats.org/officeDocument/2006/relationships" ref="O2356" r:id="rId2638"/>
    <hyperlink xmlns:r="http://schemas.openxmlformats.org/officeDocument/2006/relationships" ref="N2357" r:id="rId2639"/>
    <hyperlink xmlns:r="http://schemas.openxmlformats.org/officeDocument/2006/relationships" ref="O2357" r:id="rId2640"/>
    <hyperlink xmlns:r="http://schemas.openxmlformats.org/officeDocument/2006/relationships" ref="N2358" r:id="rId2641"/>
    <hyperlink xmlns:r="http://schemas.openxmlformats.org/officeDocument/2006/relationships" ref="O2358" r:id="rId2642"/>
    <hyperlink xmlns:r="http://schemas.openxmlformats.org/officeDocument/2006/relationships" ref="O2359" r:id="rId2643"/>
    <hyperlink xmlns:r="http://schemas.openxmlformats.org/officeDocument/2006/relationships" ref="N2360" r:id="rId2644"/>
    <hyperlink xmlns:r="http://schemas.openxmlformats.org/officeDocument/2006/relationships" ref="O2360" r:id="rId2645"/>
    <hyperlink xmlns:r="http://schemas.openxmlformats.org/officeDocument/2006/relationships" ref="O2361" r:id="rId2646"/>
    <hyperlink xmlns:r="http://schemas.openxmlformats.org/officeDocument/2006/relationships" ref="O2362" r:id="rId2647"/>
    <hyperlink xmlns:r="http://schemas.openxmlformats.org/officeDocument/2006/relationships" ref="O2363" r:id="rId2648"/>
    <hyperlink xmlns:r="http://schemas.openxmlformats.org/officeDocument/2006/relationships" ref="O2364" r:id="rId2649"/>
    <hyperlink xmlns:r="http://schemas.openxmlformats.org/officeDocument/2006/relationships" ref="O2365" r:id="rId2650"/>
    <hyperlink xmlns:r="http://schemas.openxmlformats.org/officeDocument/2006/relationships" ref="O2366" r:id="rId2651"/>
    <hyperlink xmlns:r="http://schemas.openxmlformats.org/officeDocument/2006/relationships" ref="O2367" r:id="rId2652"/>
    <hyperlink xmlns:r="http://schemas.openxmlformats.org/officeDocument/2006/relationships" ref="O2368" r:id="rId2653"/>
    <hyperlink xmlns:r="http://schemas.openxmlformats.org/officeDocument/2006/relationships" ref="O2369" r:id="rId2654"/>
    <hyperlink xmlns:r="http://schemas.openxmlformats.org/officeDocument/2006/relationships" ref="O2370" r:id="rId2655"/>
    <hyperlink xmlns:r="http://schemas.openxmlformats.org/officeDocument/2006/relationships" ref="O2371" r:id="rId2656"/>
    <hyperlink xmlns:r="http://schemas.openxmlformats.org/officeDocument/2006/relationships" ref="O2372" r:id="rId2657"/>
    <hyperlink xmlns:r="http://schemas.openxmlformats.org/officeDocument/2006/relationships" ref="O2373" r:id="rId2658"/>
    <hyperlink xmlns:r="http://schemas.openxmlformats.org/officeDocument/2006/relationships" ref="O2374" r:id="rId2659"/>
    <hyperlink xmlns:r="http://schemas.openxmlformats.org/officeDocument/2006/relationships" ref="O2375" r:id="rId2660"/>
    <hyperlink xmlns:r="http://schemas.openxmlformats.org/officeDocument/2006/relationships" ref="O2376" r:id="rId2661"/>
    <hyperlink xmlns:r="http://schemas.openxmlformats.org/officeDocument/2006/relationships" ref="O2377" r:id="rId2662"/>
    <hyperlink xmlns:r="http://schemas.openxmlformats.org/officeDocument/2006/relationships" ref="O2378" r:id="rId2663"/>
    <hyperlink xmlns:r="http://schemas.openxmlformats.org/officeDocument/2006/relationships" ref="O2379" r:id="rId2664"/>
    <hyperlink xmlns:r="http://schemas.openxmlformats.org/officeDocument/2006/relationships" ref="O2380" r:id="rId2665"/>
    <hyperlink xmlns:r="http://schemas.openxmlformats.org/officeDocument/2006/relationships" ref="O2381" r:id="rId2666"/>
    <hyperlink xmlns:r="http://schemas.openxmlformats.org/officeDocument/2006/relationships" ref="O2382" r:id="rId2667"/>
    <hyperlink xmlns:r="http://schemas.openxmlformats.org/officeDocument/2006/relationships" ref="O2383" r:id="rId2668"/>
    <hyperlink xmlns:r="http://schemas.openxmlformats.org/officeDocument/2006/relationships" ref="O2384" r:id="rId2669"/>
    <hyperlink xmlns:r="http://schemas.openxmlformats.org/officeDocument/2006/relationships" ref="O2385" r:id="rId2670"/>
    <hyperlink xmlns:r="http://schemas.openxmlformats.org/officeDocument/2006/relationships" ref="O2386" r:id="rId2671"/>
    <hyperlink xmlns:r="http://schemas.openxmlformats.org/officeDocument/2006/relationships" ref="O2387" r:id="rId2672"/>
    <hyperlink xmlns:r="http://schemas.openxmlformats.org/officeDocument/2006/relationships" ref="N2388" r:id="rId2673"/>
    <hyperlink xmlns:r="http://schemas.openxmlformats.org/officeDocument/2006/relationships" ref="O2388" r:id="rId2674"/>
    <hyperlink xmlns:r="http://schemas.openxmlformats.org/officeDocument/2006/relationships" ref="O2389" r:id="rId2675"/>
    <hyperlink xmlns:r="http://schemas.openxmlformats.org/officeDocument/2006/relationships" ref="O2390" r:id="rId2676"/>
    <hyperlink xmlns:r="http://schemas.openxmlformats.org/officeDocument/2006/relationships" ref="O2391" r:id="rId2677"/>
    <hyperlink xmlns:r="http://schemas.openxmlformats.org/officeDocument/2006/relationships" ref="O2392" r:id="rId2678"/>
    <hyperlink xmlns:r="http://schemas.openxmlformats.org/officeDocument/2006/relationships" ref="O2393" r:id="rId2679"/>
    <hyperlink xmlns:r="http://schemas.openxmlformats.org/officeDocument/2006/relationships" ref="N2394" r:id="rId2680"/>
    <hyperlink xmlns:r="http://schemas.openxmlformats.org/officeDocument/2006/relationships" ref="O2394" r:id="rId2681"/>
    <hyperlink xmlns:r="http://schemas.openxmlformats.org/officeDocument/2006/relationships" ref="N2395" r:id="rId2682"/>
    <hyperlink xmlns:r="http://schemas.openxmlformats.org/officeDocument/2006/relationships" ref="O2395" r:id="rId2683"/>
    <hyperlink xmlns:r="http://schemas.openxmlformats.org/officeDocument/2006/relationships" ref="O2396" r:id="rId2684"/>
    <hyperlink xmlns:r="http://schemas.openxmlformats.org/officeDocument/2006/relationships" ref="N2397" r:id="rId2685"/>
    <hyperlink xmlns:r="http://schemas.openxmlformats.org/officeDocument/2006/relationships" ref="O2397" r:id="rId2686"/>
    <hyperlink xmlns:r="http://schemas.openxmlformats.org/officeDocument/2006/relationships" ref="N2398" r:id="rId2687"/>
    <hyperlink xmlns:r="http://schemas.openxmlformats.org/officeDocument/2006/relationships" ref="O2398" r:id="rId2688"/>
    <hyperlink xmlns:r="http://schemas.openxmlformats.org/officeDocument/2006/relationships" ref="O2399" r:id="rId2689"/>
    <hyperlink xmlns:r="http://schemas.openxmlformats.org/officeDocument/2006/relationships" ref="O2400" r:id="rId2690"/>
    <hyperlink xmlns:r="http://schemas.openxmlformats.org/officeDocument/2006/relationships" ref="O2401" r:id="rId2691"/>
    <hyperlink xmlns:r="http://schemas.openxmlformats.org/officeDocument/2006/relationships" ref="O2402" r:id="rId2692"/>
    <hyperlink xmlns:r="http://schemas.openxmlformats.org/officeDocument/2006/relationships" ref="O2403" r:id="rId2693"/>
    <hyperlink xmlns:r="http://schemas.openxmlformats.org/officeDocument/2006/relationships" ref="N2404" r:id="rId2694"/>
    <hyperlink xmlns:r="http://schemas.openxmlformats.org/officeDocument/2006/relationships" ref="O2404" r:id="rId2695"/>
    <hyperlink xmlns:r="http://schemas.openxmlformats.org/officeDocument/2006/relationships" ref="O2405" r:id="rId2696"/>
    <hyperlink xmlns:r="http://schemas.openxmlformats.org/officeDocument/2006/relationships" ref="N2406" r:id="rId2697"/>
    <hyperlink xmlns:r="http://schemas.openxmlformats.org/officeDocument/2006/relationships" ref="O2406" r:id="rId2698"/>
    <hyperlink xmlns:r="http://schemas.openxmlformats.org/officeDocument/2006/relationships" ref="O2407" r:id="rId2699"/>
    <hyperlink xmlns:r="http://schemas.openxmlformats.org/officeDocument/2006/relationships" ref="O2408" r:id="rId2700"/>
    <hyperlink xmlns:r="http://schemas.openxmlformats.org/officeDocument/2006/relationships" ref="O2409" r:id="rId2701"/>
    <hyperlink xmlns:r="http://schemas.openxmlformats.org/officeDocument/2006/relationships" ref="O2410" r:id="rId2702"/>
    <hyperlink xmlns:r="http://schemas.openxmlformats.org/officeDocument/2006/relationships" ref="N2411" r:id="rId2703"/>
    <hyperlink xmlns:r="http://schemas.openxmlformats.org/officeDocument/2006/relationships" ref="O2411" r:id="rId2704"/>
    <hyperlink xmlns:r="http://schemas.openxmlformats.org/officeDocument/2006/relationships" ref="N2412" r:id="rId2705"/>
    <hyperlink xmlns:r="http://schemas.openxmlformats.org/officeDocument/2006/relationships" ref="O2412" r:id="rId2706"/>
    <hyperlink xmlns:r="http://schemas.openxmlformats.org/officeDocument/2006/relationships" ref="O2413" r:id="rId2707"/>
    <hyperlink xmlns:r="http://schemas.openxmlformats.org/officeDocument/2006/relationships" ref="O2414" r:id="rId2708"/>
    <hyperlink xmlns:r="http://schemas.openxmlformats.org/officeDocument/2006/relationships" ref="N2415" r:id="rId2709"/>
    <hyperlink xmlns:r="http://schemas.openxmlformats.org/officeDocument/2006/relationships" ref="O2415" r:id="rId2710"/>
    <hyperlink xmlns:r="http://schemas.openxmlformats.org/officeDocument/2006/relationships" ref="O2416" r:id="rId2711"/>
    <hyperlink xmlns:r="http://schemas.openxmlformats.org/officeDocument/2006/relationships" ref="O2417" r:id="rId2712"/>
    <hyperlink xmlns:r="http://schemas.openxmlformats.org/officeDocument/2006/relationships" ref="O2418" r:id="rId2713"/>
    <hyperlink xmlns:r="http://schemas.openxmlformats.org/officeDocument/2006/relationships" ref="O2419" r:id="rId2714"/>
    <hyperlink xmlns:r="http://schemas.openxmlformats.org/officeDocument/2006/relationships" ref="O2420" r:id="rId2715"/>
    <hyperlink xmlns:r="http://schemas.openxmlformats.org/officeDocument/2006/relationships" ref="O2421" r:id="rId2716"/>
    <hyperlink xmlns:r="http://schemas.openxmlformats.org/officeDocument/2006/relationships" ref="O2422" r:id="rId2717"/>
    <hyperlink xmlns:r="http://schemas.openxmlformats.org/officeDocument/2006/relationships" ref="O2423" r:id="rId2718"/>
    <hyperlink xmlns:r="http://schemas.openxmlformats.org/officeDocument/2006/relationships" ref="O2424" r:id="rId2719"/>
    <hyperlink xmlns:r="http://schemas.openxmlformats.org/officeDocument/2006/relationships" ref="O2425" r:id="rId2720"/>
    <hyperlink xmlns:r="http://schemas.openxmlformats.org/officeDocument/2006/relationships" ref="N2426" r:id="rId2721"/>
    <hyperlink xmlns:r="http://schemas.openxmlformats.org/officeDocument/2006/relationships" ref="O2426" r:id="rId2722"/>
    <hyperlink xmlns:r="http://schemas.openxmlformats.org/officeDocument/2006/relationships" ref="O2427" r:id="rId2723"/>
    <hyperlink xmlns:r="http://schemas.openxmlformats.org/officeDocument/2006/relationships" ref="O2428" r:id="rId2724"/>
    <hyperlink xmlns:r="http://schemas.openxmlformats.org/officeDocument/2006/relationships" ref="O2429" r:id="rId2725"/>
    <hyperlink xmlns:r="http://schemas.openxmlformats.org/officeDocument/2006/relationships" ref="O2430" r:id="rId2726"/>
    <hyperlink xmlns:r="http://schemas.openxmlformats.org/officeDocument/2006/relationships" ref="O2431" r:id="rId2727"/>
    <hyperlink xmlns:r="http://schemas.openxmlformats.org/officeDocument/2006/relationships" ref="O2432" r:id="rId2728"/>
    <hyperlink xmlns:r="http://schemas.openxmlformats.org/officeDocument/2006/relationships" ref="O2433" r:id="rId2729"/>
    <hyperlink xmlns:r="http://schemas.openxmlformats.org/officeDocument/2006/relationships" ref="O2434" r:id="rId2730"/>
    <hyperlink xmlns:r="http://schemas.openxmlformats.org/officeDocument/2006/relationships" ref="O2435" r:id="rId2731"/>
    <hyperlink xmlns:r="http://schemas.openxmlformats.org/officeDocument/2006/relationships" ref="O2436" r:id="rId2732"/>
    <hyperlink xmlns:r="http://schemas.openxmlformats.org/officeDocument/2006/relationships" ref="O2437" r:id="rId2733"/>
    <hyperlink xmlns:r="http://schemas.openxmlformats.org/officeDocument/2006/relationships" ref="N2438" r:id="rId2734"/>
    <hyperlink xmlns:r="http://schemas.openxmlformats.org/officeDocument/2006/relationships" ref="O2438" r:id="rId2735"/>
    <hyperlink xmlns:r="http://schemas.openxmlformats.org/officeDocument/2006/relationships" ref="N2439" r:id="rId2736"/>
    <hyperlink xmlns:r="http://schemas.openxmlformats.org/officeDocument/2006/relationships" ref="O2439" r:id="rId2737"/>
    <hyperlink xmlns:r="http://schemas.openxmlformats.org/officeDocument/2006/relationships" ref="O2440" r:id="rId2738"/>
    <hyperlink xmlns:r="http://schemas.openxmlformats.org/officeDocument/2006/relationships" ref="O2441" r:id="rId2739"/>
    <hyperlink xmlns:r="http://schemas.openxmlformats.org/officeDocument/2006/relationships" ref="O2442" r:id="rId2740"/>
    <hyperlink xmlns:r="http://schemas.openxmlformats.org/officeDocument/2006/relationships" ref="O2443" r:id="rId2741"/>
    <hyperlink xmlns:r="http://schemas.openxmlformats.org/officeDocument/2006/relationships" ref="O2444" r:id="rId2742"/>
    <hyperlink xmlns:r="http://schemas.openxmlformats.org/officeDocument/2006/relationships" ref="O2445" r:id="rId2743"/>
    <hyperlink xmlns:r="http://schemas.openxmlformats.org/officeDocument/2006/relationships" ref="O2446" r:id="rId2744"/>
    <hyperlink xmlns:r="http://schemas.openxmlformats.org/officeDocument/2006/relationships" ref="O2447" r:id="rId2745"/>
    <hyperlink xmlns:r="http://schemas.openxmlformats.org/officeDocument/2006/relationships" ref="O2448" r:id="rId2746"/>
    <hyperlink xmlns:r="http://schemas.openxmlformats.org/officeDocument/2006/relationships" ref="O2449" r:id="rId2747"/>
    <hyperlink xmlns:r="http://schemas.openxmlformats.org/officeDocument/2006/relationships" ref="O2450" r:id="rId2748"/>
    <hyperlink xmlns:r="http://schemas.openxmlformats.org/officeDocument/2006/relationships" ref="O2451" r:id="rId2749"/>
    <hyperlink xmlns:r="http://schemas.openxmlformats.org/officeDocument/2006/relationships" ref="O2452" r:id="rId2750"/>
    <hyperlink xmlns:r="http://schemas.openxmlformats.org/officeDocument/2006/relationships" ref="O2453" r:id="rId2751"/>
    <hyperlink xmlns:r="http://schemas.openxmlformats.org/officeDocument/2006/relationships" ref="O2454" r:id="rId2752"/>
    <hyperlink xmlns:r="http://schemas.openxmlformats.org/officeDocument/2006/relationships" ref="N2455" r:id="rId2753"/>
    <hyperlink xmlns:r="http://schemas.openxmlformats.org/officeDocument/2006/relationships" ref="O2455" r:id="rId2754"/>
    <hyperlink xmlns:r="http://schemas.openxmlformats.org/officeDocument/2006/relationships" ref="N2456" r:id="rId2755"/>
    <hyperlink xmlns:r="http://schemas.openxmlformats.org/officeDocument/2006/relationships" ref="O2456" r:id="rId2756"/>
    <hyperlink xmlns:r="http://schemas.openxmlformats.org/officeDocument/2006/relationships" ref="N2457" r:id="rId2757"/>
    <hyperlink xmlns:r="http://schemas.openxmlformats.org/officeDocument/2006/relationships" ref="O2457" r:id="rId2758"/>
    <hyperlink xmlns:r="http://schemas.openxmlformats.org/officeDocument/2006/relationships" ref="O2458" r:id="rId2759"/>
    <hyperlink xmlns:r="http://schemas.openxmlformats.org/officeDocument/2006/relationships" ref="O2459" r:id="rId2760"/>
    <hyperlink xmlns:r="http://schemas.openxmlformats.org/officeDocument/2006/relationships" ref="O2460" r:id="rId2761"/>
    <hyperlink xmlns:r="http://schemas.openxmlformats.org/officeDocument/2006/relationships" ref="O2461" r:id="rId2762"/>
    <hyperlink xmlns:r="http://schemas.openxmlformats.org/officeDocument/2006/relationships" ref="N2462" r:id="rId2763"/>
    <hyperlink xmlns:r="http://schemas.openxmlformats.org/officeDocument/2006/relationships" ref="O2462" r:id="rId2764"/>
    <hyperlink xmlns:r="http://schemas.openxmlformats.org/officeDocument/2006/relationships" ref="N2463" r:id="rId2765"/>
    <hyperlink xmlns:r="http://schemas.openxmlformats.org/officeDocument/2006/relationships" ref="O2463" r:id="rId2766"/>
    <hyperlink xmlns:r="http://schemas.openxmlformats.org/officeDocument/2006/relationships" ref="O2464" r:id="rId2767"/>
    <hyperlink xmlns:r="http://schemas.openxmlformats.org/officeDocument/2006/relationships" ref="O2465" r:id="rId2768"/>
    <hyperlink xmlns:r="http://schemas.openxmlformats.org/officeDocument/2006/relationships" ref="N2466" r:id="rId2769"/>
    <hyperlink xmlns:r="http://schemas.openxmlformats.org/officeDocument/2006/relationships" ref="O2466" r:id="rId2770"/>
    <hyperlink xmlns:r="http://schemas.openxmlformats.org/officeDocument/2006/relationships" ref="O2467" r:id="rId2771"/>
    <hyperlink xmlns:r="http://schemas.openxmlformats.org/officeDocument/2006/relationships" ref="N2468" r:id="rId2772"/>
    <hyperlink xmlns:r="http://schemas.openxmlformats.org/officeDocument/2006/relationships" ref="O2468" r:id="rId2773"/>
    <hyperlink xmlns:r="http://schemas.openxmlformats.org/officeDocument/2006/relationships" ref="N2469" r:id="rId2774"/>
    <hyperlink xmlns:r="http://schemas.openxmlformats.org/officeDocument/2006/relationships" ref="O2469" r:id="rId2775"/>
    <hyperlink xmlns:r="http://schemas.openxmlformats.org/officeDocument/2006/relationships" ref="N2470" r:id="rId2776"/>
    <hyperlink xmlns:r="http://schemas.openxmlformats.org/officeDocument/2006/relationships" ref="O2470" r:id="rId2777"/>
    <hyperlink xmlns:r="http://schemas.openxmlformats.org/officeDocument/2006/relationships" ref="O2471" r:id="rId2778"/>
    <hyperlink xmlns:r="http://schemas.openxmlformats.org/officeDocument/2006/relationships" ref="O2472" r:id="rId2779"/>
    <hyperlink xmlns:r="http://schemas.openxmlformats.org/officeDocument/2006/relationships" ref="O2473" r:id="rId2780"/>
    <hyperlink xmlns:r="http://schemas.openxmlformats.org/officeDocument/2006/relationships" ref="O2474" r:id="rId2781"/>
    <hyperlink xmlns:r="http://schemas.openxmlformats.org/officeDocument/2006/relationships" ref="N2475" r:id="rId2782"/>
    <hyperlink xmlns:r="http://schemas.openxmlformats.org/officeDocument/2006/relationships" ref="O2475" r:id="rId2783"/>
    <hyperlink xmlns:r="http://schemas.openxmlformats.org/officeDocument/2006/relationships" ref="N2476" r:id="rId2784"/>
    <hyperlink xmlns:r="http://schemas.openxmlformats.org/officeDocument/2006/relationships" ref="O2476" r:id="rId2785"/>
    <hyperlink xmlns:r="http://schemas.openxmlformats.org/officeDocument/2006/relationships" ref="O2477" r:id="rId2786"/>
    <hyperlink xmlns:r="http://schemas.openxmlformats.org/officeDocument/2006/relationships" ref="O2478" r:id="rId2787"/>
    <hyperlink xmlns:r="http://schemas.openxmlformats.org/officeDocument/2006/relationships" ref="N2479" r:id="rId2788"/>
    <hyperlink xmlns:r="http://schemas.openxmlformats.org/officeDocument/2006/relationships" ref="O2479" r:id="rId2789"/>
    <hyperlink xmlns:r="http://schemas.openxmlformats.org/officeDocument/2006/relationships" ref="N2480" r:id="rId2790"/>
    <hyperlink xmlns:r="http://schemas.openxmlformats.org/officeDocument/2006/relationships" ref="O2480" r:id="rId2791"/>
    <hyperlink xmlns:r="http://schemas.openxmlformats.org/officeDocument/2006/relationships" ref="N2481" r:id="rId2792"/>
    <hyperlink xmlns:r="http://schemas.openxmlformats.org/officeDocument/2006/relationships" ref="O2481" r:id="rId2793"/>
    <hyperlink xmlns:r="http://schemas.openxmlformats.org/officeDocument/2006/relationships" ref="O2482" r:id="rId2794"/>
    <hyperlink xmlns:r="http://schemas.openxmlformats.org/officeDocument/2006/relationships" ref="O2483" r:id="rId2795"/>
    <hyperlink xmlns:r="http://schemas.openxmlformats.org/officeDocument/2006/relationships" ref="O2484" r:id="rId2796"/>
    <hyperlink xmlns:r="http://schemas.openxmlformats.org/officeDocument/2006/relationships" ref="O2485" r:id="rId2797"/>
    <hyperlink xmlns:r="http://schemas.openxmlformats.org/officeDocument/2006/relationships" ref="O2486" r:id="rId2798"/>
    <hyperlink xmlns:r="http://schemas.openxmlformats.org/officeDocument/2006/relationships" ref="O2487" r:id="rId2799"/>
    <hyperlink xmlns:r="http://schemas.openxmlformats.org/officeDocument/2006/relationships" ref="O2488" r:id="rId2800"/>
    <hyperlink xmlns:r="http://schemas.openxmlformats.org/officeDocument/2006/relationships" ref="N2489" r:id="rId2801"/>
    <hyperlink xmlns:r="http://schemas.openxmlformats.org/officeDocument/2006/relationships" ref="O2489" r:id="rId2802"/>
    <hyperlink xmlns:r="http://schemas.openxmlformats.org/officeDocument/2006/relationships" ref="O2490" r:id="rId2803"/>
    <hyperlink xmlns:r="http://schemas.openxmlformats.org/officeDocument/2006/relationships" ref="N2491" r:id="rId2804"/>
    <hyperlink xmlns:r="http://schemas.openxmlformats.org/officeDocument/2006/relationships" ref="O2491" r:id="rId2805"/>
    <hyperlink xmlns:r="http://schemas.openxmlformats.org/officeDocument/2006/relationships" ref="N2492" r:id="rId2806"/>
    <hyperlink xmlns:r="http://schemas.openxmlformats.org/officeDocument/2006/relationships" ref="O2492" r:id="rId2807"/>
    <hyperlink xmlns:r="http://schemas.openxmlformats.org/officeDocument/2006/relationships" ref="N2493" r:id="rId2808"/>
    <hyperlink xmlns:r="http://schemas.openxmlformats.org/officeDocument/2006/relationships" ref="O2493" r:id="rId2809"/>
    <hyperlink xmlns:r="http://schemas.openxmlformats.org/officeDocument/2006/relationships" ref="O2494" r:id="rId2810"/>
    <hyperlink xmlns:r="http://schemas.openxmlformats.org/officeDocument/2006/relationships" ref="O2495" r:id="rId2811"/>
    <hyperlink xmlns:r="http://schemas.openxmlformats.org/officeDocument/2006/relationships" ref="O2496" r:id="rId2812"/>
    <hyperlink xmlns:r="http://schemas.openxmlformats.org/officeDocument/2006/relationships" ref="O2497" r:id="rId2813"/>
    <hyperlink xmlns:r="http://schemas.openxmlformats.org/officeDocument/2006/relationships" ref="O2498" r:id="rId2814"/>
    <hyperlink xmlns:r="http://schemas.openxmlformats.org/officeDocument/2006/relationships" ref="O2499" r:id="rId2815"/>
    <hyperlink xmlns:r="http://schemas.openxmlformats.org/officeDocument/2006/relationships" ref="O2500" r:id="rId2816"/>
    <hyperlink xmlns:r="http://schemas.openxmlformats.org/officeDocument/2006/relationships" ref="O2501" r:id="rId2817"/>
    <hyperlink xmlns:r="http://schemas.openxmlformats.org/officeDocument/2006/relationships" ref="O2502" r:id="rId2818"/>
    <hyperlink xmlns:r="http://schemas.openxmlformats.org/officeDocument/2006/relationships" ref="O2503" r:id="rId2819"/>
    <hyperlink xmlns:r="http://schemas.openxmlformats.org/officeDocument/2006/relationships" ref="N2504" r:id="rId2820"/>
    <hyperlink xmlns:r="http://schemas.openxmlformats.org/officeDocument/2006/relationships" ref="O2504" r:id="rId2821"/>
    <hyperlink xmlns:r="http://schemas.openxmlformats.org/officeDocument/2006/relationships" ref="O2505" r:id="rId2822"/>
    <hyperlink xmlns:r="http://schemas.openxmlformats.org/officeDocument/2006/relationships" ref="N2506" r:id="rId2823"/>
    <hyperlink xmlns:r="http://schemas.openxmlformats.org/officeDocument/2006/relationships" ref="O2506" r:id="rId2824"/>
    <hyperlink xmlns:r="http://schemas.openxmlformats.org/officeDocument/2006/relationships" ref="N2507" r:id="rId2825"/>
    <hyperlink xmlns:r="http://schemas.openxmlformats.org/officeDocument/2006/relationships" ref="O2507" r:id="rId2826"/>
    <hyperlink xmlns:r="http://schemas.openxmlformats.org/officeDocument/2006/relationships" ref="N2508" r:id="rId2827"/>
    <hyperlink xmlns:r="http://schemas.openxmlformats.org/officeDocument/2006/relationships" ref="O2508" r:id="rId2828"/>
    <hyperlink xmlns:r="http://schemas.openxmlformats.org/officeDocument/2006/relationships" ref="O2509" r:id="rId2829"/>
    <hyperlink xmlns:r="http://schemas.openxmlformats.org/officeDocument/2006/relationships" ref="O2510" r:id="rId2830"/>
    <hyperlink xmlns:r="http://schemas.openxmlformats.org/officeDocument/2006/relationships" ref="N2511" r:id="rId2831"/>
    <hyperlink xmlns:r="http://schemas.openxmlformats.org/officeDocument/2006/relationships" ref="O2511" r:id="rId2832"/>
    <hyperlink xmlns:r="http://schemas.openxmlformats.org/officeDocument/2006/relationships" ref="O2512" r:id="rId2833"/>
    <hyperlink xmlns:r="http://schemas.openxmlformats.org/officeDocument/2006/relationships" ref="O2513" r:id="rId2834"/>
    <hyperlink xmlns:r="http://schemas.openxmlformats.org/officeDocument/2006/relationships" ref="O2514" r:id="rId2835"/>
    <hyperlink xmlns:r="http://schemas.openxmlformats.org/officeDocument/2006/relationships" ref="N2515" r:id="rId2836"/>
    <hyperlink xmlns:r="http://schemas.openxmlformats.org/officeDocument/2006/relationships" ref="O2515" r:id="rId2837"/>
    <hyperlink xmlns:r="http://schemas.openxmlformats.org/officeDocument/2006/relationships" ref="O2516" r:id="rId2838"/>
    <hyperlink xmlns:r="http://schemas.openxmlformats.org/officeDocument/2006/relationships" ref="O2517" r:id="rId2839"/>
    <hyperlink xmlns:r="http://schemas.openxmlformats.org/officeDocument/2006/relationships" ref="O2518" r:id="rId2840"/>
    <hyperlink xmlns:r="http://schemas.openxmlformats.org/officeDocument/2006/relationships" ref="O2519" r:id="rId2841"/>
    <hyperlink xmlns:r="http://schemas.openxmlformats.org/officeDocument/2006/relationships" ref="O2520" r:id="rId2842"/>
    <hyperlink xmlns:r="http://schemas.openxmlformats.org/officeDocument/2006/relationships" ref="N2521" r:id="rId2843"/>
    <hyperlink xmlns:r="http://schemas.openxmlformats.org/officeDocument/2006/relationships" ref="O2521" r:id="rId2844"/>
    <hyperlink xmlns:r="http://schemas.openxmlformats.org/officeDocument/2006/relationships" ref="N2522" r:id="rId2845"/>
    <hyperlink xmlns:r="http://schemas.openxmlformats.org/officeDocument/2006/relationships" ref="O2522" r:id="rId2846"/>
    <hyperlink xmlns:r="http://schemas.openxmlformats.org/officeDocument/2006/relationships" ref="N2523" r:id="rId2847"/>
    <hyperlink xmlns:r="http://schemas.openxmlformats.org/officeDocument/2006/relationships" ref="O2523" r:id="rId2848"/>
    <hyperlink xmlns:r="http://schemas.openxmlformats.org/officeDocument/2006/relationships" ref="O2524" r:id="rId2849"/>
    <hyperlink xmlns:r="http://schemas.openxmlformats.org/officeDocument/2006/relationships" ref="O2525" r:id="rId2850"/>
    <hyperlink xmlns:r="http://schemas.openxmlformats.org/officeDocument/2006/relationships" ref="O2526" r:id="rId2851"/>
    <hyperlink xmlns:r="http://schemas.openxmlformats.org/officeDocument/2006/relationships" ref="O2527" r:id="rId2852"/>
    <hyperlink xmlns:r="http://schemas.openxmlformats.org/officeDocument/2006/relationships" ref="O2528" r:id="rId2853"/>
    <hyperlink xmlns:r="http://schemas.openxmlformats.org/officeDocument/2006/relationships" ref="O2529" r:id="rId2854"/>
    <hyperlink xmlns:r="http://schemas.openxmlformats.org/officeDocument/2006/relationships" ref="O2530" r:id="rId2855"/>
    <hyperlink xmlns:r="http://schemas.openxmlformats.org/officeDocument/2006/relationships" ref="O2531" r:id="rId2856"/>
    <hyperlink xmlns:r="http://schemas.openxmlformats.org/officeDocument/2006/relationships" ref="N2532" r:id="rId2857"/>
    <hyperlink xmlns:r="http://schemas.openxmlformats.org/officeDocument/2006/relationships" ref="O2532" r:id="rId2858"/>
    <hyperlink xmlns:r="http://schemas.openxmlformats.org/officeDocument/2006/relationships" ref="O2533" r:id="rId2859"/>
    <hyperlink xmlns:r="http://schemas.openxmlformats.org/officeDocument/2006/relationships" ref="N2534" r:id="rId2860"/>
    <hyperlink xmlns:r="http://schemas.openxmlformats.org/officeDocument/2006/relationships" ref="O2534" r:id="rId2861"/>
    <hyperlink xmlns:r="http://schemas.openxmlformats.org/officeDocument/2006/relationships" ref="O2535" r:id="rId2862"/>
    <hyperlink xmlns:r="http://schemas.openxmlformats.org/officeDocument/2006/relationships" ref="O2536" r:id="rId2863"/>
    <hyperlink xmlns:r="http://schemas.openxmlformats.org/officeDocument/2006/relationships" ref="O2537" r:id="rId2864"/>
    <hyperlink xmlns:r="http://schemas.openxmlformats.org/officeDocument/2006/relationships" ref="O2538" r:id="rId2865"/>
    <hyperlink xmlns:r="http://schemas.openxmlformats.org/officeDocument/2006/relationships" ref="N2539" r:id="rId2866"/>
    <hyperlink xmlns:r="http://schemas.openxmlformats.org/officeDocument/2006/relationships" ref="O2539" r:id="rId2867"/>
    <hyperlink xmlns:r="http://schemas.openxmlformats.org/officeDocument/2006/relationships" ref="N2540" r:id="rId2868"/>
    <hyperlink xmlns:r="http://schemas.openxmlformats.org/officeDocument/2006/relationships" ref="O2540" r:id="rId2869"/>
    <hyperlink xmlns:r="http://schemas.openxmlformats.org/officeDocument/2006/relationships" ref="N2541" r:id="rId2870"/>
    <hyperlink xmlns:r="http://schemas.openxmlformats.org/officeDocument/2006/relationships" ref="O2541" r:id="rId2871"/>
    <hyperlink xmlns:r="http://schemas.openxmlformats.org/officeDocument/2006/relationships" ref="O2542" r:id="rId2872"/>
    <hyperlink xmlns:r="http://schemas.openxmlformats.org/officeDocument/2006/relationships" ref="N2543" r:id="rId2873"/>
    <hyperlink xmlns:r="http://schemas.openxmlformats.org/officeDocument/2006/relationships" ref="N2544" r:id="rId2874"/>
    <hyperlink xmlns:r="http://schemas.openxmlformats.org/officeDocument/2006/relationships" ref="N2545" r:id="rId2875"/>
    <hyperlink xmlns:r="http://schemas.openxmlformats.org/officeDocument/2006/relationships" ref="N2546" r:id="rId2876"/>
    <hyperlink xmlns:r="http://schemas.openxmlformats.org/officeDocument/2006/relationships" ref="N2547" r:id="rId2877"/>
    <hyperlink xmlns:r="http://schemas.openxmlformats.org/officeDocument/2006/relationships" ref="N2548" r:id="rId2878"/>
    <hyperlink xmlns:r="http://schemas.openxmlformats.org/officeDocument/2006/relationships" ref="N2549" r:id="rId2879"/>
    <hyperlink xmlns:r="http://schemas.openxmlformats.org/officeDocument/2006/relationships" ref="N2550" r:id="rId2880"/>
    <hyperlink xmlns:r="http://schemas.openxmlformats.org/officeDocument/2006/relationships" ref="N2551" r:id="rId2881"/>
    <hyperlink xmlns:r="http://schemas.openxmlformats.org/officeDocument/2006/relationships" ref="N2552" r:id="rId2882"/>
    <hyperlink xmlns:r="http://schemas.openxmlformats.org/officeDocument/2006/relationships" ref="N2553" r:id="rId2883"/>
    <hyperlink xmlns:r="http://schemas.openxmlformats.org/officeDocument/2006/relationships" ref="N2554" r:id="rId2884"/>
    <hyperlink xmlns:r="http://schemas.openxmlformats.org/officeDocument/2006/relationships" ref="O2555" r:id="rId2885"/>
    <hyperlink xmlns:r="http://schemas.openxmlformats.org/officeDocument/2006/relationships" ref="O2556" r:id="rId2886"/>
    <hyperlink xmlns:r="http://schemas.openxmlformats.org/officeDocument/2006/relationships" ref="O2557" r:id="rId2887"/>
    <hyperlink xmlns:r="http://schemas.openxmlformats.org/officeDocument/2006/relationships" ref="O2558" r:id="rId2888"/>
    <hyperlink xmlns:r="http://schemas.openxmlformats.org/officeDocument/2006/relationships" ref="O2559" r:id="rId2889"/>
    <hyperlink xmlns:r="http://schemas.openxmlformats.org/officeDocument/2006/relationships" ref="O2560" r:id="rId2890"/>
    <hyperlink xmlns:r="http://schemas.openxmlformats.org/officeDocument/2006/relationships" ref="O2561" r:id="rId2891"/>
    <hyperlink xmlns:r="http://schemas.openxmlformats.org/officeDocument/2006/relationships" ref="O2562" r:id="rId2892"/>
    <hyperlink xmlns:r="http://schemas.openxmlformats.org/officeDocument/2006/relationships" ref="O2563" r:id="rId2893"/>
    <hyperlink xmlns:r="http://schemas.openxmlformats.org/officeDocument/2006/relationships" ref="N2564" r:id="rId2894"/>
    <hyperlink xmlns:r="http://schemas.openxmlformats.org/officeDocument/2006/relationships" ref="N2565" r:id="rId2895"/>
    <hyperlink xmlns:r="http://schemas.openxmlformats.org/officeDocument/2006/relationships" ref="N2566" r:id="rId2896"/>
    <hyperlink xmlns:r="http://schemas.openxmlformats.org/officeDocument/2006/relationships" ref="N2567" r:id="rId2897"/>
    <hyperlink xmlns:r="http://schemas.openxmlformats.org/officeDocument/2006/relationships" ref="N2568" r:id="rId2898"/>
    <hyperlink xmlns:r="http://schemas.openxmlformats.org/officeDocument/2006/relationships" ref="N2569" r:id="rId2899"/>
    <hyperlink xmlns:r="http://schemas.openxmlformats.org/officeDocument/2006/relationships" ref="N2570" r:id="rId2900"/>
    <hyperlink xmlns:r="http://schemas.openxmlformats.org/officeDocument/2006/relationships" ref="N2571" r:id="rId2901"/>
    <hyperlink xmlns:r="http://schemas.openxmlformats.org/officeDocument/2006/relationships" ref="N2572" r:id="rId2902"/>
    <hyperlink xmlns:r="http://schemas.openxmlformats.org/officeDocument/2006/relationships" ref="N2573" r:id="rId2903"/>
    <hyperlink xmlns:r="http://schemas.openxmlformats.org/officeDocument/2006/relationships" ref="N2574" r:id="rId2904"/>
    <hyperlink xmlns:r="http://schemas.openxmlformats.org/officeDocument/2006/relationships" ref="N2575" r:id="rId2905"/>
    <hyperlink xmlns:r="http://schemas.openxmlformats.org/officeDocument/2006/relationships" ref="N2576" r:id="rId2906"/>
    <hyperlink xmlns:r="http://schemas.openxmlformats.org/officeDocument/2006/relationships" ref="N2577" r:id="rId2907"/>
    <hyperlink xmlns:r="http://schemas.openxmlformats.org/officeDocument/2006/relationships" ref="N2578" r:id="rId2908"/>
    <hyperlink xmlns:r="http://schemas.openxmlformats.org/officeDocument/2006/relationships" ref="N2579" r:id="rId2909"/>
    <hyperlink xmlns:r="http://schemas.openxmlformats.org/officeDocument/2006/relationships" ref="N2580" r:id="rId2910"/>
    <hyperlink xmlns:r="http://schemas.openxmlformats.org/officeDocument/2006/relationships" ref="N2581" r:id="rId2911"/>
    <hyperlink xmlns:r="http://schemas.openxmlformats.org/officeDocument/2006/relationships" ref="N2582" r:id="rId2912"/>
    <hyperlink xmlns:r="http://schemas.openxmlformats.org/officeDocument/2006/relationships" ref="N2583" r:id="rId2913"/>
    <hyperlink xmlns:r="http://schemas.openxmlformats.org/officeDocument/2006/relationships" ref="N2584" r:id="rId2914"/>
    <hyperlink xmlns:r="http://schemas.openxmlformats.org/officeDocument/2006/relationships" ref="N2585" r:id="rId2915"/>
    <hyperlink xmlns:r="http://schemas.openxmlformats.org/officeDocument/2006/relationships" ref="N2586" r:id="rId2916"/>
    <hyperlink xmlns:r="http://schemas.openxmlformats.org/officeDocument/2006/relationships" ref="N2587" r:id="rId2917"/>
    <hyperlink xmlns:r="http://schemas.openxmlformats.org/officeDocument/2006/relationships" ref="N2588" r:id="rId2918"/>
    <hyperlink xmlns:r="http://schemas.openxmlformats.org/officeDocument/2006/relationships" ref="N2589" r:id="rId2919"/>
    <hyperlink xmlns:r="http://schemas.openxmlformats.org/officeDocument/2006/relationships" ref="O2589" r:id="rId2920"/>
    <hyperlink xmlns:r="http://schemas.openxmlformats.org/officeDocument/2006/relationships" ref="O2590" r:id="rId2921"/>
    <hyperlink xmlns:r="http://schemas.openxmlformats.org/officeDocument/2006/relationships" ref="O2591" r:id="rId2922"/>
    <hyperlink xmlns:r="http://schemas.openxmlformats.org/officeDocument/2006/relationships" ref="O2592" r:id="rId2923"/>
    <hyperlink xmlns:r="http://schemas.openxmlformats.org/officeDocument/2006/relationships" ref="O2593" r:id="rId2924"/>
    <hyperlink xmlns:r="http://schemas.openxmlformats.org/officeDocument/2006/relationships" ref="O2594" r:id="rId2925"/>
    <hyperlink xmlns:r="http://schemas.openxmlformats.org/officeDocument/2006/relationships" ref="O2595" r:id="rId2926"/>
    <hyperlink xmlns:r="http://schemas.openxmlformats.org/officeDocument/2006/relationships" ref="O2596" r:id="rId2927"/>
    <hyperlink xmlns:r="http://schemas.openxmlformats.org/officeDocument/2006/relationships" ref="O2597" r:id="rId2928"/>
    <hyperlink xmlns:r="http://schemas.openxmlformats.org/officeDocument/2006/relationships" ref="O2598" r:id="rId2929"/>
    <hyperlink xmlns:r="http://schemas.openxmlformats.org/officeDocument/2006/relationships" ref="O2599" r:id="rId2930"/>
    <hyperlink xmlns:r="http://schemas.openxmlformats.org/officeDocument/2006/relationships" ref="N2600" r:id="rId2931"/>
    <hyperlink xmlns:r="http://schemas.openxmlformats.org/officeDocument/2006/relationships" ref="O2600" r:id="rId2932"/>
    <hyperlink xmlns:r="http://schemas.openxmlformats.org/officeDocument/2006/relationships" ref="N2601" r:id="rId2933"/>
    <hyperlink xmlns:r="http://schemas.openxmlformats.org/officeDocument/2006/relationships" ref="O2601" r:id="rId2934"/>
    <hyperlink xmlns:r="http://schemas.openxmlformats.org/officeDocument/2006/relationships" ref="O2602" r:id="rId2935"/>
    <hyperlink xmlns:r="http://schemas.openxmlformats.org/officeDocument/2006/relationships" ref="O2603" r:id="rId2936"/>
    <hyperlink xmlns:r="http://schemas.openxmlformats.org/officeDocument/2006/relationships" ref="O2604" r:id="rId2937"/>
    <hyperlink xmlns:r="http://schemas.openxmlformats.org/officeDocument/2006/relationships" ref="O2605" r:id="rId2938"/>
    <hyperlink xmlns:r="http://schemas.openxmlformats.org/officeDocument/2006/relationships" ref="O2606" r:id="rId2939"/>
    <hyperlink xmlns:r="http://schemas.openxmlformats.org/officeDocument/2006/relationships" ref="O2607" r:id="rId2940"/>
    <hyperlink xmlns:r="http://schemas.openxmlformats.org/officeDocument/2006/relationships" ref="O2608" r:id="rId2941"/>
    <hyperlink xmlns:r="http://schemas.openxmlformats.org/officeDocument/2006/relationships" ref="O2609" r:id="rId2942"/>
    <hyperlink xmlns:r="http://schemas.openxmlformats.org/officeDocument/2006/relationships" ref="O2610" r:id="rId2943"/>
    <hyperlink xmlns:r="http://schemas.openxmlformats.org/officeDocument/2006/relationships" ref="O2611" r:id="rId2944"/>
    <hyperlink xmlns:r="http://schemas.openxmlformats.org/officeDocument/2006/relationships" ref="O2612" r:id="rId2945"/>
    <hyperlink xmlns:r="http://schemas.openxmlformats.org/officeDocument/2006/relationships" ref="O2613" r:id="rId2946"/>
    <hyperlink xmlns:r="http://schemas.openxmlformats.org/officeDocument/2006/relationships" ref="O2614" r:id="rId2947"/>
    <hyperlink xmlns:r="http://schemas.openxmlformats.org/officeDocument/2006/relationships" ref="N2615" r:id="rId2948"/>
    <hyperlink xmlns:r="http://schemas.openxmlformats.org/officeDocument/2006/relationships" ref="O2615" r:id="rId2949"/>
    <hyperlink xmlns:r="http://schemas.openxmlformats.org/officeDocument/2006/relationships" ref="O2616" r:id="rId2950"/>
    <hyperlink xmlns:r="http://schemas.openxmlformats.org/officeDocument/2006/relationships" ref="O2617" r:id="rId2951"/>
    <hyperlink xmlns:r="http://schemas.openxmlformats.org/officeDocument/2006/relationships" ref="O2618" r:id="rId2952"/>
    <hyperlink xmlns:r="http://schemas.openxmlformats.org/officeDocument/2006/relationships" ref="O2619" r:id="rId2953"/>
    <hyperlink xmlns:r="http://schemas.openxmlformats.org/officeDocument/2006/relationships" ref="O2620" r:id="rId2954"/>
    <hyperlink xmlns:r="http://schemas.openxmlformats.org/officeDocument/2006/relationships" ref="N2621" r:id="rId2955"/>
    <hyperlink xmlns:r="http://schemas.openxmlformats.org/officeDocument/2006/relationships" ref="O2621" r:id="rId2956"/>
    <hyperlink xmlns:r="http://schemas.openxmlformats.org/officeDocument/2006/relationships" ref="O2622" r:id="rId2957"/>
    <hyperlink xmlns:r="http://schemas.openxmlformats.org/officeDocument/2006/relationships" ref="O2623" r:id="rId2958"/>
    <hyperlink xmlns:r="http://schemas.openxmlformats.org/officeDocument/2006/relationships" ref="O2624" r:id="rId2959"/>
    <hyperlink xmlns:r="http://schemas.openxmlformats.org/officeDocument/2006/relationships" ref="O2625" r:id="rId2960"/>
    <hyperlink xmlns:r="http://schemas.openxmlformats.org/officeDocument/2006/relationships" ref="O2626" r:id="rId2961"/>
    <hyperlink xmlns:r="http://schemas.openxmlformats.org/officeDocument/2006/relationships" ref="N2627" r:id="rId2962"/>
    <hyperlink xmlns:r="http://schemas.openxmlformats.org/officeDocument/2006/relationships" ref="O2627" r:id="rId2963"/>
    <hyperlink xmlns:r="http://schemas.openxmlformats.org/officeDocument/2006/relationships" ref="O2628" r:id="rId2964"/>
    <hyperlink xmlns:r="http://schemas.openxmlformats.org/officeDocument/2006/relationships" ref="O2629" r:id="rId2965"/>
    <hyperlink xmlns:r="http://schemas.openxmlformats.org/officeDocument/2006/relationships" ref="O2630" r:id="rId2966"/>
    <hyperlink xmlns:r="http://schemas.openxmlformats.org/officeDocument/2006/relationships" ref="O2631" r:id="rId2967"/>
    <hyperlink xmlns:r="http://schemas.openxmlformats.org/officeDocument/2006/relationships" ref="O2632" r:id="rId2968"/>
    <hyperlink xmlns:r="http://schemas.openxmlformats.org/officeDocument/2006/relationships" ref="O2633" r:id="rId2969"/>
    <hyperlink xmlns:r="http://schemas.openxmlformats.org/officeDocument/2006/relationships" ref="O2634" r:id="rId2970"/>
    <hyperlink xmlns:r="http://schemas.openxmlformats.org/officeDocument/2006/relationships" ref="O2635" r:id="rId2971"/>
    <hyperlink xmlns:r="http://schemas.openxmlformats.org/officeDocument/2006/relationships" ref="N2636" r:id="rId2972"/>
    <hyperlink xmlns:r="http://schemas.openxmlformats.org/officeDocument/2006/relationships" ref="O2636" r:id="rId2973"/>
    <hyperlink xmlns:r="http://schemas.openxmlformats.org/officeDocument/2006/relationships" ref="N2637" r:id="rId2974"/>
    <hyperlink xmlns:r="http://schemas.openxmlformats.org/officeDocument/2006/relationships" ref="O2637" r:id="rId2975"/>
    <hyperlink xmlns:r="http://schemas.openxmlformats.org/officeDocument/2006/relationships" ref="N2638" r:id="rId2976"/>
    <hyperlink xmlns:r="http://schemas.openxmlformats.org/officeDocument/2006/relationships" ref="O2638" r:id="rId2977"/>
    <hyperlink xmlns:r="http://schemas.openxmlformats.org/officeDocument/2006/relationships" ref="O2639" r:id="rId2978"/>
    <hyperlink xmlns:r="http://schemas.openxmlformats.org/officeDocument/2006/relationships" ref="N2640" r:id="rId2979"/>
    <hyperlink xmlns:r="http://schemas.openxmlformats.org/officeDocument/2006/relationships" ref="O2640" r:id="rId2980"/>
    <hyperlink xmlns:r="http://schemas.openxmlformats.org/officeDocument/2006/relationships" ref="O2641" r:id="rId2981"/>
    <hyperlink xmlns:r="http://schemas.openxmlformats.org/officeDocument/2006/relationships" ref="N2642" r:id="rId2982"/>
    <hyperlink xmlns:r="http://schemas.openxmlformats.org/officeDocument/2006/relationships" ref="O2642" r:id="rId2983"/>
    <hyperlink xmlns:r="http://schemas.openxmlformats.org/officeDocument/2006/relationships" ref="O2643" r:id="rId2984"/>
    <hyperlink xmlns:r="http://schemas.openxmlformats.org/officeDocument/2006/relationships" ref="O2644" r:id="rId2985"/>
    <hyperlink xmlns:r="http://schemas.openxmlformats.org/officeDocument/2006/relationships" ref="O2645" r:id="rId2986"/>
    <hyperlink xmlns:r="http://schemas.openxmlformats.org/officeDocument/2006/relationships" ref="O2646" r:id="rId2987"/>
    <hyperlink xmlns:r="http://schemas.openxmlformats.org/officeDocument/2006/relationships" ref="O2647" r:id="rId2988"/>
    <hyperlink xmlns:r="http://schemas.openxmlformats.org/officeDocument/2006/relationships" ref="N2648" r:id="rId2989"/>
    <hyperlink xmlns:r="http://schemas.openxmlformats.org/officeDocument/2006/relationships" ref="O2648" r:id="rId2990"/>
    <hyperlink xmlns:r="http://schemas.openxmlformats.org/officeDocument/2006/relationships" ref="N2649" r:id="rId2991"/>
    <hyperlink xmlns:r="http://schemas.openxmlformats.org/officeDocument/2006/relationships" ref="O2649" r:id="rId2992"/>
    <hyperlink xmlns:r="http://schemas.openxmlformats.org/officeDocument/2006/relationships" ref="O2650" r:id="rId2993"/>
    <hyperlink xmlns:r="http://schemas.openxmlformats.org/officeDocument/2006/relationships" ref="O2651" r:id="rId2994"/>
    <hyperlink xmlns:r="http://schemas.openxmlformats.org/officeDocument/2006/relationships" ref="O2652" r:id="rId2995"/>
    <hyperlink xmlns:r="http://schemas.openxmlformats.org/officeDocument/2006/relationships" ref="O2653" r:id="rId2996"/>
    <hyperlink xmlns:r="http://schemas.openxmlformats.org/officeDocument/2006/relationships" ref="O2654" r:id="rId2997"/>
    <hyperlink xmlns:r="http://schemas.openxmlformats.org/officeDocument/2006/relationships" ref="O2655" r:id="rId2998"/>
    <hyperlink xmlns:r="http://schemas.openxmlformats.org/officeDocument/2006/relationships" ref="O2656" r:id="rId2999"/>
    <hyperlink xmlns:r="http://schemas.openxmlformats.org/officeDocument/2006/relationships" ref="O2657" r:id="rId3000"/>
    <hyperlink xmlns:r="http://schemas.openxmlformats.org/officeDocument/2006/relationships" ref="O2658" r:id="rId3001"/>
    <hyperlink xmlns:r="http://schemas.openxmlformats.org/officeDocument/2006/relationships" ref="O2659" r:id="rId3002"/>
    <hyperlink xmlns:r="http://schemas.openxmlformats.org/officeDocument/2006/relationships" ref="O2660" r:id="rId3003"/>
    <hyperlink xmlns:r="http://schemas.openxmlformats.org/officeDocument/2006/relationships" ref="O2661" r:id="rId3004"/>
    <hyperlink xmlns:r="http://schemas.openxmlformats.org/officeDocument/2006/relationships" ref="O2662" r:id="rId3005"/>
    <hyperlink xmlns:r="http://schemas.openxmlformats.org/officeDocument/2006/relationships" ref="O2663" r:id="rId3006"/>
    <hyperlink xmlns:r="http://schemas.openxmlformats.org/officeDocument/2006/relationships" ref="O2664" r:id="rId3007"/>
    <hyperlink xmlns:r="http://schemas.openxmlformats.org/officeDocument/2006/relationships" ref="O2665" r:id="rId3008"/>
    <hyperlink xmlns:r="http://schemas.openxmlformats.org/officeDocument/2006/relationships" ref="O2666" r:id="rId3009"/>
    <hyperlink xmlns:r="http://schemas.openxmlformats.org/officeDocument/2006/relationships" ref="O2667" r:id="rId3010"/>
    <hyperlink xmlns:r="http://schemas.openxmlformats.org/officeDocument/2006/relationships" ref="O2668" r:id="rId3011"/>
    <hyperlink xmlns:r="http://schemas.openxmlformats.org/officeDocument/2006/relationships" ref="O2669" r:id="rId3012"/>
    <hyperlink xmlns:r="http://schemas.openxmlformats.org/officeDocument/2006/relationships" ref="N2670" r:id="rId3013"/>
    <hyperlink xmlns:r="http://schemas.openxmlformats.org/officeDocument/2006/relationships" ref="N2671" r:id="rId3014"/>
    <hyperlink xmlns:r="http://schemas.openxmlformats.org/officeDocument/2006/relationships" ref="N2672" r:id="rId3015"/>
    <hyperlink xmlns:r="http://schemas.openxmlformats.org/officeDocument/2006/relationships" ref="N2673" r:id="rId3016"/>
    <hyperlink xmlns:r="http://schemas.openxmlformats.org/officeDocument/2006/relationships" ref="N2674" r:id="rId3017"/>
    <hyperlink xmlns:r="http://schemas.openxmlformats.org/officeDocument/2006/relationships" ref="N2675" r:id="rId3018"/>
    <hyperlink xmlns:r="http://schemas.openxmlformats.org/officeDocument/2006/relationships" ref="N2676" r:id="rId3019"/>
    <hyperlink xmlns:r="http://schemas.openxmlformats.org/officeDocument/2006/relationships" ref="N2677" r:id="rId3020"/>
    <hyperlink xmlns:r="http://schemas.openxmlformats.org/officeDocument/2006/relationships" ref="N2678" r:id="rId3021"/>
    <hyperlink xmlns:r="http://schemas.openxmlformats.org/officeDocument/2006/relationships" ref="N2679" r:id="rId3022"/>
    <hyperlink xmlns:r="http://schemas.openxmlformats.org/officeDocument/2006/relationships" ref="O2679" r:id="rId3023"/>
    <hyperlink xmlns:r="http://schemas.openxmlformats.org/officeDocument/2006/relationships" ref="N2680" r:id="rId3024"/>
    <hyperlink xmlns:r="http://schemas.openxmlformats.org/officeDocument/2006/relationships" ref="O2680" r:id="rId3025"/>
    <hyperlink xmlns:r="http://schemas.openxmlformats.org/officeDocument/2006/relationships" ref="N2681" r:id="rId3026"/>
    <hyperlink xmlns:r="http://schemas.openxmlformats.org/officeDocument/2006/relationships" ref="O2681" r:id="rId3027"/>
    <hyperlink xmlns:r="http://schemas.openxmlformats.org/officeDocument/2006/relationships" ref="N2682" r:id="rId3028"/>
    <hyperlink xmlns:r="http://schemas.openxmlformats.org/officeDocument/2006/relationships" ref="N2683" r:id="rId3029"/>
    <hyperlink xmlns:r="http://schemas.openxmlformats.org/officeDocument/2006/relationships" ref="N2684" r:id="rId3030"/>
    <hyperlink xmlns:r="http://schemas.openxmlformats.org/officeDocument/2006/relationships" ref="N2685" r:id="rId3031"/>
    <hyperlink xmlns:r="http://schemas.openxmlformats.org/officeDocument/2006/relationships" ref="N2686" r:id="rId3032"/>
    <hyperlink xmlns:r="http://schemas.openxmlformats.org/officeDocument/2006/relationships" ref="N2687" r:id="rId3033"/>
    <hyperlink xmlns:r="http://schemas.openxmlformats.org/officeDocument/2006/relationships" ref="N2688" r:id="rId3034"/>
    <hyperlink xmlns:r="http://schemas.openxmlformats.org/officeDocument/2006/relationships" ref="O2689" r:id="rId3035"/>
    <hyperlink xmlns:r="http://schemas.openxmlformats.org/officeDocument/2006/relationships" ref="N2690" r:id="rId3036"/>
    <hyperlink xmlns:r="http://schemas.openxmlformats.org/officeDocument/2006/relationships" ref="N2691" r:id="rId3037"/>
    <hyperlink xmlns:r="http://schemas.openxmlformats.org/officeDocument/2006/relationships" ref="N2692" r:id="rId3038"/>
    <hyperlink xmlns:r="http://schemas.openxmlformats.org/officeDocument/2006/relationships" ref="O2693" r:id="rId3039"/>
    <hyperlink xmlns:r="http://schemas.openxmlformats.org/officeDocument/2006/relationships" ref="O2694" r:id="rId3040"/>
    <hyperlink xmlns:r="http://schemas.openxmlformats.org/officeDocument/2006/relationships" ref="N2695" r:id="rId3041"/>
    <hyperlink xmlns:r="http://schemas.openxmlformats.org/officeDocument/2006/relationships" ref="O2695" r:id="rId3042"/>
    <hyperlink xmlns:r="http://schemas.openxmlformats.org/officeDocument/2006/relationships" ref="N2696" r:id="rId3043"/>
    <hyperlink xmlns:r="http://schemas.openxmlformats.org/officeDocument/2006/relationships" ref="O2697" r:id="rId3044"/>
    <hyperlink xmlns:r="http://schemas.openxmlformats.org/officeDocument/2006/relationships" ref="O2698" r:id="rId3045"/>
    <hyperlink xmlns:r="http://schemas.openxmlformats.org/officeDocument/2006/relationships" ref="N2699" r:id="rId3046"/>
    <hyperlink xmlns:r="http://schemas.openxmlformats.org/officeDocument/2006/relationships" ref="N2700" r:id="rId3047"/>
    <hyperlink xmlns:r="http://schemas.openxmlformats.org/officeDocument/2006/relationships" ref="N2701" r:id="rId3048"/>
    <hyperlink xmlns:r="http://schemas.openxmlformats.org/officeDocument/2006/relationships" ref="N2702" r:id="rId3049"/>
    <hyperlink xmlns:r="http://schemas.openxmlformats.org/officeDocument/2006/relationships" ref="N2703" r:id="rId3050"/>
    <hyperlink xmlns:r="http://schemas.openxmlformats.org/officeDocument/2006/relationships" ref="N2704" r:id="rId3051"/>
    <hyperlink xmlns:r="http://schemas.openxmlformats.org/officeDocument/2006/relationships" ref="N2705" r:id="rId3052"/>
    <hyperlink xmlns:r="http://schemas.openxmlformats.org/officeDocument/2006/relationships" ref="N2706" r:id="rId3053"/>
    <hyperlink xmlns:r="http://schemas.openxmlformats.org/officeDocument/2006/relationships" ref="N2707" r:id="rId3054"/>
    <hyperlink xmlns:r="http://schemas.openxmlformats.org/officeDocument/2006/relationships" ref="N2708" r:id="rId3055"/>
    <hyperlink xmlns:r="http://schemas.openxmlformats.org/officeDocument/2006/relationships" ref="N2709" r:id="rId3056"/>
    <hyperlink xmlns:r="http://schemas.openxmlformats.org/officeDocument/2006/relationships" ref="O2709" r:id="rId3057"/>
    <hyperlink xmlns:r="http://schemas.openxmlformats.org/officeDocument/2006/relationships" ref="N2710" r:id="rId3058"/>
    <hyperlink xmlns:r="http://schemas.openxmlformats.org/officeDocument/2006/relationships" ref="O2710" r:id="rId3059"/>
    <hyperlink xmlns:r="http://schemas.openxmlformats.org/officeDocument/2006/relationships" ref="N2711" r:id="rId3060"/>
    <hyperlink xmlns:r="http://schemas.openxmlformats.org/officeDocument/2006/relationships" ref="N2712" r:id="rId3061"/>
    <hyperlink xmlns:r="http://schemas.openxmlformats.org/officeDocument/2006/relationships" ref="N2713" r:id="rId3062"/>
    <hyperlink xmlns:r="http://schemas.openxmlformats.org/officeDocument/2006/relationships" ref="N2714" r:id="rId3063"/>
    <hyperlink xmlns:r="http://schemas.openxmlformats.org/officeDocument/2006/relationships" ref="N2715" r:id="rId3064"/>
    <hyperlink xmlns:r="http://schemas.openxmlformats.org/officeDocument/2006/relationships" ref="N2716" r:id="rId3065"/>
    <hyperlink xmlns:r="http://schemas.openxmlformats.org/officeDocument/2006/relationships" ref="N2717" r:id="rId3066"/>
    <hyperlink xmlns:r="http://schemas.openxmlformats.org/officeDocument/2006/relationships" ref="N2718" r:id="rId3067"/>
    <hyperlink xmlns:r="http://schemas.openxmlformats.org/officeDocument/2006/relationships" ref="N2719" r:id="rId3068"/>
    <hyperlink xmlns:r="http://schemas.openxmlformats.org/officeDocument/2006/relationships" ref="N2720" r:id="rId3069"/>
    <hyperlink xmlns:r="http://schemas.openxmlformats.org/officeDocument/2006/relationships" ref="O2721" r:id="rId3070"/>
    <hyperlink xmlns:r="http://schemas.openxmlformats.org/officeDocument/2006/relationships" ref="N2722" r:id="rId3071"/>
    <hyperlink xmlns:r="http://schemas.openxmlformats.org/officeDocument/2006/relationships" ref="N2723" r:id="rId3072"/>
    <hyperlink xmlns:r="http://schemas.openxmlformats.org/officeDocument/2006/relationships" ref="N2724" r:id="rId3073"/>
    <hyperlink xmlns:r="http://schemas.openxmlformats.org/officeDocument/2006/relationships" ref="N2725" r:id="rId3074"/>
    <hyperlink xmlns:r="http://schemas.openxmlformats.org/officeDocument/2006/relationships" ref="N2726" r:id="rId3075"/>
    <hyperlink xmlns:r="http://schemas.openxmlformats.org/officeDocument/2006/relationships" ref="N2727" r:id="rId3076"/>
    <hyperlink xmlns:r="http://schemas.openxmlformats.org/officeDocument/2006/relationships" ref="N2728" r:id="rId3077"/>
    <hyperlink xmlns:r="http://schemas.openxmlformats.org/officeDocument/2006/relationships" ref="N2729" r:id="rId3078"/>
    <hyperlink xmlns:r="http://schemas.openxmlformats.org/officeDocument/2006/relationships" ref="N2730" r:id="rId3079"/>
    <hyperlink xmlns:r="http://schemas.openxmlformats.org/officeDocument/2006/relationships" ref="N2731" r:id="rId3080"/>
    <hyperlink xmlns:r="http://schemas.openxmlformats.org/officeDocument/2006/relationships" ref="N2732" r:id="rId3081"/>
    <hyperlink xmlns:r="http://schemas.openxmlformats.org/officeDocument/2006/relationships" ref="N2733" r:id="rId3082"/>
    <hyperlink xmlns:r="http://schemas.openxmlformats.org/officeDocument/2006/relationships" ref="N2734" r:id="rId3083"/>
    <hyperlink xmlns:r="http://schemas.openxmlformats.org/officeDocument/2006/relationships" ref="N2735" r:id="rId3084"/>
    <hyperlink xmlns:r="http://schemas.openxmlformats.org/officeDocument/2006/relationships" ref="N2736" r:id="rId3085"/>
    <hyperlink xmlns:r="http://schemas.openxmlformats.org/officeDocument/2006/relationships" ref="N2737" r:id="rId3086"/>
    <hyperlink xmlns:r="http://schemas.openxmlformats.org/officeDocument/2006/relationships" ref="N2738" r:id="rId3087"/>
    <hyperlink xmlns:r="http://schemas.openxmlformats.org/officeDocument/2006/relationships" ref="N2739" r:id="rId3088"/>
    <hyperlink xmlns:r="http://schemas.openxmlformats.org/officeDocument/2006/relationships" ref="N2740" r:id="rId3089"/>
    <hyperlink xmlns:r="http://schemas.openxmlformats.org/officeDocument/2006/relationships" ref="N2741" r:id="rId3090"/>
    <hyperlink xmlns:r="http://schemas.openxmlformats.org/officeDocument/2006/relationships" ref="N2742" r:id="rId3091"/>
    <hyperlink xmlns:r="http://schemas.openxmlformats.org/officeDocument/2006/relationships" ref="N2743" r:id="rId3092"/>
    <hyperlink xmlns:r="http://schemas.openxmlformats.org/officeDocument/2006/relationships" ref="N2744" r:id="rId3093"/>
    <hyperlink xmlns:r="http://schemas.openxmlformats.org/officeDocument/2006/relationships" ref="N2745" r:id="rId3094"/>
    <hyperlink xmlns:r="http://schemas.openxmlformats.org/officeDocument/2006/relationships" ref="N2746" r:id="rId3095"/>
    <hyperlink xmlns:r="http://schemas.openxmlformats.org/officeDocument/2006/relationships" ref="N2747" r:id="rId3096"/>
    <hyperlink xmlns:r="http://schemas.openxmlformats.org/officeDocument/2006/relationships" ref="N2748" r:id="rId3097"/>
    <hyperlink xmlns:r="http://schemas.openxmlformats.org/officeDocument/2006/relationships" ref="N2749" r:id="rId3098"/>
    <hyperlink xmlns:r="http://schemas.openxmlformats.org/officeDocument/2006/relationships" ref="N2750" r:id="rId3099"/>
    <hyperlink xmlns:r="http://schemas.openxmlformats.org/officeDocument/2006/relationships" ref="N2751" r:id="rId3100"/>
    <hyperlink xmlns:r="http://schemas.openxmlformats.org/officeDocument/2006/relationships" ref="N2752" r:id="rId3101"/>
    <hyperlink xmlns:r="http://schemas.openxmlformats.org/officeDocument/2006/relationships" ref="N2753" r:id="rId3102"/>
    <hyperlink xmlns:r="http://schemas.openxmlformats.org/officeDocument/2006/relationships" ref="N2754" r:id="rId3103"/>
    <hyperlink xmlns:r="http://schemas.openxmlformats.org/officeDocument/2006/relationships" ref="O2754" r:id="rId3104"/>
    <hyperlink xmlns:r="http://schemas.openxmlformats.org/officeDocument/2006/relationships" ref="N2755" r:id="rId3105"/>
    <hyperlink xmlns:r="http://schemas.openxmlformats.org/officeDocument/2006/relationships" ref="O2755" r:id="rId3106"/>
    <hyperlink xmlns:r="http://schemas.openxmlformats.org/officeDocument/2006/relationships" ref="N2756" r:id="rId3107"/>
    <hyperlink xmlns:r="http://schemas.openxmlformats.org/officeDocument/2006/relationships" ref="N2757" r:id="rId3108"/>
    <hyperlink xmlns:r="http://schemas.openxmlformats.org/officeDocument/2006/relationships" ref="N2758" r:id="rId3109"/>
    <hyperlink xmlns:r="http://schemas.openxmlformats.org/officeDocument/2006/relationships" ref="N2759" r:id="rId3110"/>
    <hyperlink xmlns:r="http://schemas.openxmlformats.org/officeDocument/2006/relationships" ref="N2760" r:id="rId3111"/>
    <hyperlink xmlns:r="http://schemas.openxmlformats.org/officeDocument/2006/relationships" ref="N2761" r:id="rId3112"/>
    <hyperlink xmlns:r="http://schemas.openxmlformats.org/officeDocument/2006/relationships" ref="N2762" r:id="rId3113"/>
    <hyperlink xmlns:r="http://schemas.openxmlformats.org/officeDocument/2006/relationships" ref="O2762" r:id="rId3114"/>
    <hyperlink xmlns:r="http://schemas.openxmlformats.org/officeDocument/2006/relationships" ref="N2763" r:id="rId3115"/>
    <hyperlink xmlns:r="http://schemas.openxmlformats.org/officeDocument/2006/relationships" ref="O2764" r:id="rId3116"/>
    <hyperlink xmlns:r="http://schemas.openxmlformats.org/officeDocument/2006/relationships" ref="O2765" r:id="rId3117"/>
    <hyperlink xmlns:r="http://schemas.openxmlformats.org/officeDocument/2006/relationships" ref="O2766" r:id="rId3118"/>
    <hyperlink xmlns:r="http://schemas.openxmlformats.org/officeDocument/2006/relationships" ref="N2767" r:id="rId3119"/>
    <hyperlink xmlns:r="http://schemas.openxmlformats.org/officeDocument/2006/relationships" ref="O2767" r:id="rId3120"/>
    <hyperlink xmlns:r="http://schemas.openxmlformats.org/officeDocument/2006/relationships" ref="O2768" r:id="rId3121"/>
    <hyperlink xmlns:r="http://schemas.openxmlformats.org/officeDocument/2006/relationships" ref="O2769" r:id="rId3122"/>
    <hyperlink xmlns:r="http://schemas.openxmlformats.org/officeDocument/2006/relationships" ref="N2770" r:id="rId3123"/>
    <hyperlink xmlns:r="http://schemas.openxmlformats.org/officeDocument/2006/relationships" ref="N2771" r:id="rId3124"/>
    <hyperlink xmlns:r="http://schemas.openxmlformats.org/officeDocument/2006/relationships" ref="N2772" r:id="rId3125"/>
    <hyperlink xmlns:r="http://schemas.openxmlformats.org/officeDocument/2006/relationships" ref="N2773" r:id="rId3126"/>
    <hyperlink xmlns:r="http://schemas.openxmlformats.org/officeDocument/2006/relationships" ref="N2774" r:id="rId3127"/>
    <hyperlink xmlns:r="http://schemas.openxmlformats.org/officeDocument/2006/relationships" ref="N2775" r:id="rId3128"/>
    <hyperlink xmlns:r="http://schemas.openxmlformats.org/officeDocument/2006/relationships" ref="O2775" r:id="rId3129"/>
    <hyperlink xmlns:r="http://schemas.openxmlformats.org/officeDocument/2006/relationships" ref="N2776" r:id="rId3130"/>
    <hyperlink xmlns:r="http://schemas.openxmlformats.org/officeDocument/2006/relationships" ref="O2776" r:id="rId3131"/>
    <hyperlink xmlns:r="http://schemas.openxmlformats.org/officeDocument/2006/relationships" ref="N2777" r:id="rId3132"/>
    <hyperlink xmlns:r="http://schemas.openxmlformats.org/officeDocument/2006/relationships" ref="O2778" r:id="rId3133"/>
    <hyperlink xmlns:r="http://schemas.openxmlformats.org/officeDocument/2006/relationships" ref="N2779" r:id="rId3134"/>
    <hyperlink xmlns:r="http://schemas.openxmlformats.org/officeDocument/2006/relationships" ref="N2780" r:id="rId3135"/>
    <hyperlink xmlns:r="http://schemas.openxmlformats.org/officeDocument/2006/relationships" ref="N2781" r:id="rId3136"/>
    <hyperlink xmlns:r="http://schemas.openxmlformats.org/officeDocument/2006/relationships" ref="N2782" r:id="rId3137"/>
    <hyperlink xmlns:r="http://schemas.openxmlformats.org/officeDocument/2006/relationships" ref="N2783" r:id="rId3138"/>
    <hyperlink xmlns:r="http://schemas.openxmlformats.org/officeDocument/2006/relationships" ref="N2784" r:id="rId3139"/>
    <hyperlink xmlns:r="http://schemas.openxmlformats.org/officeDocument/2006/relationships" ref="N2785" r:id="rId3140"/>
    <hyperlink xmlns:r="http://schemas.openxmlformats.org/officeDocument/2006/relationships" ref="N2786" r:id="rId3141"/>
    <hyperlink xmlns:r="http://schemas.openxmlformats.org/officeDocument/2006/relationships" ref="N2787" r:id="rId3142"/>
    <hyperlink xmlns:r="http://schemas.openxmlformats.org/officeDocument/2006/relationships" ref="N2788" r:id="rId3143"/>
    <hyperlink xmlns:r="http://schemas.openxmlformats.org/officeDocument/2006/relationships" ref="N2789" r:id="rId3144"/>
    <hyperlink xmlns:r="http://schemas.openxmlformats.org/officeDocument/2006/relationships" ref="O2789" r:id="rId3145"/>
    <hyperlink xmlns:r="http://schemas.openxmlformats.org/officeDocument/2006/relationships" ref="N2790" r:id="rId3146"/>
    <hyperlink xmlns:r="http://schemas.openxmlformats.org/officeDocument/2006/relationships" ref="O2790" r:id="rId3147"/>
    <hyperlink xmlns:r="http://schemas.openxmlformats.org/officeDocument/2006/relationships" ref="N2791" r:id="rId3148"/>
    <hyperlink xmlns:r="http://schemas.openxmlformats.org/officeDocument/2006/relationships" ref="O2791" r:id="rId3149"/>
    <hyperlink xmlns:r="http://schemas.openxmlformats.org/officeDocument/2006/relationships" ref="N2792" r:id="rId3150"/>
    <hyperlink xmlns:r="http://schemas.openxmlformats.org/officeDocument/2006/relationships" ref="O2792" r:id="rId3151"/>
    <hyperlink xmlns:r="http://schemas.openxmlformats.org/officeDocument/2006/relationships" ref="N2793" r:id="rId3152"/>
    <hyperlink xmlns:r="http://schemas.openxmlformats.org/officeDocument/2006/relationships" ref="O2793" r:id="rId3153"/>
    <hyperlink xmlns:r="http://schemas.openxmlformats.org/officeDocument/2006/relationships" ref="N2794" r:id="rId3154"/>
    <hyperlink xmlns:r="http://schemas.openxmlformats.org/officeDocument/2006/relationships" ref="O2794" r:id="rId3155"/>
    <hyperlink xmlns:r="http://schemas.openxmlformats.org/officeDocument/2006/relationships" ref="O2795" r:id="rId3156"/>
    <hyperlink xmlns:r="http://schemas.openxmlformats.org/officeDocument/2006/relationships" ref="N2796" r:id="rId3157"/>
    <hyperlink xmlns:r="http://schemas.openxmlformats.org/officeDocument/2006/relationships" ref="O2796" r:id="rId3158"/>
    <hyperlink xmlns:r="http://schemas.openxmlformats.org/officeDocument/2006/relationships" ref="O2797" r:id="rId3159"/>
    <hyperlink xmlns:r="http://schemas.openxmlformats.org/officeDocument/2006/relationships" ref="N2798" r:id="rId3160"/>
    <hyperlink xmlns:r="http://schemas.openxmlformats.org/officeDocument/2006/relationships" ref="O2798" r:id="rId3161"/>
    <hyperlink xmlns:r="http://schemas.openxmlformats.org/officeDocument/2006/relationships" ref="N2799" r:id="rId3162"/>
    <hyperlink xmlns:r="http://schemas.openxmlformats.org/officeDocument/2006/relationships" ref="O2799" r:id="rId3163"/>
    <hyperlink xmlns:r="http://schemas.openxmlformats.org/officeDocument/2006/relationships" ref="N2800" r:id="rId3164"/>
    <hyperlink xmlns:r="http://schemas.openxmlformats.org/officeDocument/2006/relationships" ref="N2801" r:id="rId3165"/>
    <hyperlink xmlns:r="http://schemas.openxmlformats.org/officeDocument/2006/relationships" ref="O2802" r:id="rId3166"/>
    <hyperlink xmlns:r="http://schemas.openxmlformats.org/officeDocument/2006/relationships" ref="N2803" r:id="rId3167"/>
    <hyperlink xmlns:r="http://schemas.openxmlformats.org/officeDocument/2006/relationships" ref="N2804" r:id="rId3168"/>
    <hyperlink xmlns:r="http://schemas.openxmlformats.org/officeDocument/2006/relationships" ref="N2805" r:id="rId3169"/>
    <hyperlink xmlns:r="http://schemas.openxmlformats.org/officeDocument/2006/relationships" ref="N2806" r:id="rId3170"/>
    <hyperlink xmlns:r="http://schemas.openxmlformats.org/officeDocument/2006/relationships" ref="O2807" r:id="rId3171"/>
    <hyperlink xmlns:r="http://schemas.openxmlformats.org/officeDocument/2006/relationships" ref="O2808" r:id="rId3172"/>
    <hyperlink xmlns:r="http://schemas.openxmlformats.org/officeDocument/2006/relationships" ref="O2809" r:id="rId3173"/>
    <hyperlink xmlns:r="http://schemas.openxmlformats.org/officeDocument/2006/relationships" ref="O2810" r:id="rId3174"/>
    <hyperlink xmlns:r="http://schemas.openxmlformats.org/officeDocument/2006/relationships" ref="O2811" r:id="rId3175"/>
    <hyperlink xmlns:r="http://schemas.openxmlformats.org/officeDocument/2006/relationships" ref="O2812" r:id="rId3176"/>
    <hyperlink xmlns:r="http://schemas.openxmlformats.org/officeDocument/2006/relationships" ref="O2813" r:id="rId3177"/>
    <hyperlink xmlns:r="http://schemas.openxmlformats.org/officeDocument/2006/relationships" ref="O2814" r:id="rId3178"/>
    <hyperlink xmlns:r="http://schemas.openxmlformats.org/officeDocument/2006/relationships" ref="N2815" r:id="rId3179"/>
    <hyperlink xmlns:r="http://schemas.openxmlformats.org/officeDocument/2006/relationships" ref="N2816" r:id="rId3180"/>
    <hyperlink xmlns:r="http://schemas.openxmlformats.org/officeDocument/2006/relationships" ref="N2817" r:id="rId3181"/>
    <hyperlink xmlns:r="http://schemas.openxmlformats.org/officeDocument/2006/relationships" ref="N2818" r:id="rId3182"/>
    <hyperlink xmlns:r="http://schemas.openxmlformats.org/officeDocument/2006/relationships" ref="N2819" r:id="rId3183"/>
    <hyperlink xmlns:r="http://schemas.openxmlformats.org/officeDocument/2006/relationships" ref="N2820" r:id="rId3184"/>
    <hyperlink xmlns:r="http://schemas.openxmlformats.org/officeDocument/2006/relationships" ref="N2821" r:id="rId3185"/>
    <hyperlink xmlns:r="http://schemas.openxmlformats.org/officeDocument/2006/relationships" ref="O2821" r:id="rId3186"/>
    <hyperlink xmlns:r="http://schemas.openxmlformats.org/officeDocument/2006/relationships" ref="N2822" r:id="rId3187"/>
    <hyperlink xmlns:r="http://schemas.openxmlformats.org/officeDocument/2006/relationships" ref="N2823" r:id="rId3188"/>
    <hyperlink xmlns:r="http://schemas.openxmlformats.org/officeDocument/2006/relationships" ref="O2823" r:id="rId3189"/>
    <hyperlink xmlns:r="http://schemas.openxmlformats.org/officeDocument/2006/relationships" ref="O2824" r:id="rId3190"/>
    <hyperlink xmlns:r="http://schemas.openxmlformats.org/officeDocument/2006/relationships" ref="N2825" r:id="rId3191"/>
    <hyperlink xmlns:r="http://schemas.openxmlformats.org/officeDocument/2006/relationships" ref="N2826" r:id="rId3192"/>
    <hyperlink xmlns:r="http://schemas.openxmlformats.org/officeDocument/2006/relationships" ref="N2827" r:id="rId3193"/>
    <hyperlink xmlns:r="http://schemas.openxmlformats.org/officeDocument/2006/relationships" ref="N2828" r:id="rId3194"/>
    <hyperlink xmlns:r="http://schemas.openxmlformats.org/officeDocument/2006/relationships" ref="O2828" r:id="rId3195"/>
    <hyperlink xmlns:r="http://schemas.openxmlformats.org/officeDocument/2006/relationships" ref="N2829" r:id="rId3196"/>
    <hyperlink xmlns:r="http://schemas.openxmlformats.org/officeDocument/2006/relationships" ref="N2830" r:id="rId3197"/>
    <hyperlink xmlns:r="http://schemas.openxmlformats.org/officeDocument/2006/relationships" ref="N2831" r:id="rId3198"/>
    <hyperlink xmlns:r="http://schemas.openxmlformats.org/officeDocument/2006/relationships" ref="O2831" r:id="rId3199"/>
    <hyperlink xmlns:r="http://schemas.openxmlformats.org/officeDocument/2006/relationships" ref="N2832" r:id="rId3200"/>
    <hyperlink xmlns:r="http://schemas.openxmlformats.org/officeDocument/2006/relationships" ref="N2833" r:id="rId3201"/>
    <hyperlink xmlns:r="http://schemas.openxmlformats.org/officeDocument/2006/relationships" ref="N2834" r:id="rId3202"/>
    <hyperlink xmlns:r="http://schemas.openxmlformats.org/officeDocument/2006/relationships" ref="N2835" r:id="rId3203"/>
    <hyperlink xmlns:r="http://schemas.openxmlformats.org/officeDocument/2006/relationships" ref="O2835" r:id="rId3204"/>
    <hyperlink xmlns:r="http://schemas.openxmlformats.org/officeDocument/2006/relationships" ref="O2836" r:id="rId3205"/>
    <hyperlink xmlns:r="http://schemas.openxmlformats.org/officeDocument/2006/relationships" ref="N2837" r:id="rId3206"/>
    <hyperlink xmlns:r="http://schemas.openxmlformats.org/officeDocument/2006/relationships" ref="N2838" r:id="rId3207"/>
    <hyperlink xmlns:r="http://schemas.openxmlformats.org/officeDocument/2006/relationships" ref="O2839" r:id="rId3208"/>
    <hyperlink xmlns:r="http://schemas.openxmlformats.org/officeDocument/2006/relationships" ref="O2840" r:id="rId3209"/>
    <hyperlink xmlns:r="http://schemas.openxmlformats.org/officeDocument/2006/relationships" ref="N2841" r:id="rId3210"/>
    <hyperlink xmlns:r="http://schemas.openxmlformats.org/officeDocument/2006/relationships" ref="O2841" r:id="rId3211"/>
    <hyperlink xmlns:r="http://schemas.openxmlformats.org/officeDocument/2006/relationships" ref="N2842" r:id="rId3212"/>
    <hyperlink xmlns:r="http://schemas.openxmlformats.org/officeDocument/2006/relationships" ref="N2843" r:id="rId3213"/>
    <hyperlink xmlns:r="http://schemas.openxmlformats.org/officeDocument/2006/relationships" ref="N2844" r:id="rId3214"/>
    <hyperlink xmlns:r="http://schemas.openxmlformats.org/officeDocument/2006/relationships" ref="N2845" r:id="rId3215"/>
    <hyperlink xmlns:r="http://schemas.openxmlformats.org/officeDocument/2006/relationships" ref="N2846" r:id="rId3216"/>
    <hyperlink xmlns:r="http://schemas.openxmlformats.org/officeDocument/2006/relationships" ref="N2847" r:id="rId3217"/>
    <hyperlink xmlns:r="http://schemas.openxmlformats.org/officeDocument/2006/relationships" ref="N2848" r:id="rId3218"/>
    <hyperlink xmlns:r="http://schemas.openxmlformats.org/officeDocument/2006/relationships" ref="N2849" r:id="rId3219"/>
    <hyperlink xmlns:r="http://schemas.openxmlformats.org/officeDocument/2006/relationships" ref="N2850" r:id="rId3220"/>
    <hyperlink xmlns:r="http://schemas.openxmlformats.org/officeDocument/2006/relationships" ref="N2851" r:id="rId3221"/>
    <hyperlink xmlns:r="http://schemas.openxmlformats.org/officeDocument/2006/relationships" ref="N2852" r:id="rId3222"/>
    <hyperlink xmlns:r="http://schemas.openxmlformats.org/officeDocument/2006/relationships" ref="N2853" r:id="rId3223"/>
    <hyperlink xmlns:r="http://schemas.openxmlformats.org/officeDocument/2006/relationships" ref="N2854" r:id="rId3224"/>
    <hyperlink xmlns:r="http://schemas.openxmlformats.org/officeDocument/2006/relationships" ref="N2855" r:id="rId3225"/>
    <hyperlink xmlns:r="http://schemas.openxmlformats.org/officeDocument/2006/relationships" ref="N2856" r:id="rId3226"/>
    <hyperlink xmlns:r="http://schemas.openxmlformats.org/officeDocument/2006/relationships" ref="N2857" r:id="rId3227"/>
    <hyperlink xmlns:r="http://schemas.openxmlformats.org/officeDocument/2006/relationships" ref="N2858" r:id="rId3228"/>
    <hyperlink xmlns:r="http://schemas.openxmlformats.org/officeDocument/2006/relationships" ref="N2859" r:id="rId3229"/>
    <hyperlink xmlns:r="http://schemas.openxmlformats.org/officeDocument/2006/relationships" ref="N2860" r:id="rId3230"/>
    <hyperlink xmlns:r="http://schemas.openxmlformats.org/officeDocument/2006/relationships" ref="N2861" r:id="rId3231"/>
    <hyperlink xmlns:r="http://schemas.openxmlformats.org/officeDocument/2006/relationships" ref="N2862" r:id="rId3232"/>
    <hyperlink xmlns:r="http://schemas.openxmlformats.org/officeDocument/2006/relationships" ref="N2863" r:id="rId3233"/>
    <hyperlink xmlns:r="http://schemas.openxmlformats.org/officeDocument/2006/relationships" ref="N2864" r:id="rId3234"/>
    <hyperlink xmlns:r="http://schemas.openxmlformats.org/officeDocument/2006/relationships" ref="N2865" r:id="rId3235"/>
    <hyperlink xmlns:r="http://schemas.openxmlformats.org/officeDocument/2006/relationships" ref="N2866" r:id="rId3236"/>
    <hyperlink xmlns:r="http://schemas.openxmlformats.org/officeDocument/2006/relationships" ref="N2867" r:id="rId3237"/>
    <hyperlink xmlns:r="http://schemas.openxmlformats.org/officeDocument/2006/relationships" ref="N2868" r:id="rId3238"/>
    <hyperlink xmlns:r="http://schemas.openxmlformats.org/officeDocument/2006/relationships" ref="N2869" r:id="rId3239"/>
    <hyperlink xmlns:r="http://schemas.openxmlformats.org/officeDocument/2006/relationships" ref="N2870" r:id="rId3240"/>
    <hyperlink xmlns:r="http://schemas.openxmlformats.org/officeDocument/2006/relationships" ref="N2871" r:id="rId3241"/>
    <hyperlink xmlns:r="http://schemas.openxmlformats.org/officeDocument/2006/relationships" ref="N2872" r:id="rId3242"/>
    <hyperlink xmlns:r="http://schemas.openxmlformats.org/officeDocument/2006/relationships" ref="N2873" r:id="rId3243"/>
    <hyperlink xmlns:r="http://schemas.openxmlformats.org/officeDocument/2006/relationships" ref="N2874" r:id="rId3244"/>
    <hyperlink xmlns:r="http://schemas.openxmlformats.org/officeDocument/2006/relationships" ref="N2875" r:id="rId3245"/>
    <hyperlink xmlns:r="http://schemas.openxmlformats.org/officeDocument/2006/relationships" ref="N2876" r:id="rId3246"/>
    <hyperlink xmlns:r="http://schemas.openxmlformats.org/officeDocument/2006/relationships" ref="N2877" r:id="rId3247"/>
    <hyperlink xmlns:r="http://schemas.openxmlformats.org/officeDocument/2006/relationships" ref="N2878" r:id="rId3248"/>
    <hyperlink xmlns:r="http://schemas.openxmlformats.org/officeDocument/2006/relationships" ref="N2879" r:id="rId3249"/>
    <hyperlink xmlns:r="http://schemas.openxmlformats.org/officeDocument/2006/relationships" ref="N2880" r:id="rId3250"/>
    <hyperlink xmlns:r="http://schemas.openxmlformats.org/officeDocument/2006/relationships" ref="N2881" r:id="rId3251"/>
    <hyperlink xmlns:r="http://schemas.openxmlformats.org/officeDocument/2006/relationships" ref="N2882" r:id="rId3252"/>
    <hyperlink xmlns:r="http://schemas.openxmlformats.org/officeDocument/2006/relationships" ref="N2883" r:id="rId3253"/>
    <hyperlink xmlns:r="http://schemas.openxmlformats.org/officeDocument/2006/relationships" ref="N2884" r:id="rId3254"/>
    <hyperlink xmlns:r="http://schemas.openxmlformats.org/officeDocument/2006/relationships" ref="N2885" r:id="rId3255"/>
    <hyperlink xmlns:r="http://schemas.openxmlformats.org/officeDocument/2006/relationships" ref="N2886" r:id="rId3256"/>
    <hyperlink xmlns:r="http://schemas.openxmlformats.org/officeDocument/2006/relationships" ref="N2887" r:id="rId3257"/>
    <hyperlink xmlns:r="http://schemas.openxmlformats.org/officeDocument/2006/relationships" ref="N2888" r:id="rId3258"/>
    <hyperlink xmlns:r="http://schemas.openxmlformats.org/officeDocument/2006/relationships" ref="N2889" r:id="rId3259"/>
    <hyperlink xmlns:r="http://schemas.openxmlformats.org/officeDocument/2006/relationships" ref="N2890" r:id="rId3260"/>
    <hyperlink xmlns:r="http://schemas.openxmlformats.org/officeDocument/2006/relationships" ref="N2891" r:id="rId3261"/>
    <hyperlink xmlns:r="http://schemas.openxmlformats.org/officeDocument/2006/relationships" ref="N2892" r:id="rId3262"/>
    <hyperlink xmlns:r="http://schemas.openxmlformats.org/officeDocument/2006/relationships" ref="N2893" r:id="rId3263"/>
    <hyperlink xmlns:r="http://schemas.openxmlformats.org/officeDocument/2006/relationships" ref="N2894" r:id="rId3264"/>
    <hyperlink xmlns:r="http://schemas.openxmlformats.org/officeDocument/2006/relationships" ref="N2895" r:id="rId3265"/>
    <hyperlink xmlns:r="http://schemas.openxmlformats.org/officeDocument/2006/relationships" ref="N2896" r:id="rId3266"/>
    <hyperlink xmlns:r="http://schemas.openxmlformats.org/officeDocument/2006/relationships" ref="N2897" r:id="rId3267"/>
    <hyperlink xmlns:r="http://schemas.openxmlformats.org/officeDocument/2006/relationships" ref="N2898" r:id="rId3268"/>
    <hyperlink xmlns:r="http://schemas.openxmlformats.org/officeDocument/2006/relationships" ref="N2899" r:id="rId3269"/>
    <hyperlink xmlns:r="http://schemas.openxmlformats.org/officeDocument/2006/relationships" ref="N2900" r:id="rId3270"/>
    <hyperlink xmlns:r="http://schemas.openxmlformats.org/officeDocument/2006/relationships" ref="N2901" r:id="rId3271"/>
    <hyperlink xmlns:r="http://schemas.openxmlformats.org/officeDocument/2006/relationships" ref="N2902" r:id="rId3272"/>
    <hyperlink xmlns:r="http://schemas.openxmlformats.org/officeDocument/2006/relationships" ref="N2903" r:id="rId3273"/>
    <hyperlink xmlns:r="http://schemas.openxmlformats.org/officeDocument/2006/relationships" ref="N2904" r:id="rId3274"/>
    <hyperlink xmlns:r="http://schemas.openxmlformats.org/officeDocument/2006/relationships" ref="N2905" r:id="rId3275"/>
    <hyperlink xmlns:r="http://schemas.openxmlformats.org/officeDocument/2006/relationships" ref="N2906" r:id="rId3276"/>
    <hyperlink xmlns:r="http://schemas.openxmlformats.org/officeDocument/2006/relationships" ref="N2907" r:id="rId3277"/>
    <hyperlink xmlns:r="http://schemas.openxmlformats.org/officeDocument/2006/relationships" ref="N2908" r:id="rId3278"/>
    <hyperlink xmlns:r="http://schemas.openxmlformats.org/officeDocument/2006/relationships" ref="N2909" r:id="rId3279"/>
    <hyperlink xmlns:r="http://schemas.openxmlformats.org/officeDocument/2006/relationships" ref="N2910" r:id="rId3280"/>
    <hyperlink xmlns:r="http://schemas.openxmlformats.org/officeDocument/2006/relationships" ref="N2911" r:id="rId3281"/>
    <hyperlink xmlns:r="http://schemas.openxmlformats.org/officeDocument/2006/relationships" ref="N2912" r:id="rId3282"/>
    <hyperlink xmlns:r="http://schemas.openxmlformats.org/officeDocument/2006/relationships" ref="N2913" r:id="rId3283"/>
    <hyperlink xmlns:r="http://schemas.openxmlformats.org/officeDocument/2006/relationships" ref="N2914" r:id="rId3284"/>
    <hyperlink xmlns:r="http://schemas.openxmlformats.org/officeDocument/2006/relationships" ref="N2915" r:id="rId3285"/>
    <hyperlink xmlns:r="http://schemas.openxmlformats.org/officeDocument/2006/relationships" ref="N2916" r:id="rId3286"/>
    <hyperlink xmlns:r="http://schemas.openxmlformats.org/officeDocument/2006/relationships" ref="N2917" r:id="rId3287"/>
    <hyperlink xmlns:r="http://schemas.openxmlformats.org/officeDocument/2006/relationships" ref="N2918" r:id="rId3288"/>
    <hyperlink xmlns:r="http://schemas.openxmlformats.org/officeDocument/2006/relationships" ref="N2919" r:id="rId3289"/>
    <hyperlink xmlns:r="http://schemas.openxmlformats.org/officeDocument/2006/relationships" ref="N2920" r:id="rId3290"/>
    <hyperlink xmlns:r="http://schemas.openxmlformats.org/officeDocument/2006/relationships" ref="N2921" r:id="rId3291"/>
    <hyperlink xmlns:r="http://schemas.openxmlformats.org/officeDocument/2006/relationships" ref="N2922" r:id="rId3292"/>
    <hyperlink xmlns:r="http://schemas.openxmlformats.org/officeDocument/2006/relationships" ref="N2923" r:id="rId3293"/>
    <hyperlink xmlns:r="http://schemas.openxmlformats.org/officeDocument/2006/relationships" ref="N2924" r:id="rId3294"/>
    <hyperlink xmlns:r="http://schemas.openxmlformats.org/officeDocument/2006/relationships" ref="N2925" r:id="rId3295"/>
    <hyperlink xmlns:r="http://schemas.openxmlformats.org/officeDocument/2006/relationships" ref="N2926" r:id="rId3296"/>
    <hyperlink xmlns:r="http://schemas.openxmlformats.org/officeDocument/2006/relationships" ref="N2927" r:id="rId3297"/>
    <hyperlink xmlns:r="http://schemas.openxmlformats.org/officeDocument/2006/relationships" ref="N2928" r:id="rId3298"/>
    <hyperlink xmlns:r="http://schemas.openxmlformats.org/officeDocument/2006/relationships" ref="N2929" r:id="rId3299"/>
    <hyperlink xmlns:r="http://schemas.openxmlformats.org/officeDocument/2006/relationships" ref="N2930" r:id="rId3300"/>
    <hyperlink xmlns:r="http://schemas.openxmlformats.org/officeDocument/2006/relationships" ref="N2931" r:id="rId3301"/>
    <hyperlink xmlns:r="http://schemas.openxmlformats.org/officeDocument/2006/relationships" ref="N2932" r:id="rId3302"/>
    <hyperlink xmlns:r="http://schemas.openxmlformats.org/officeDocument/2006/relationships" ref="N2933" r:id="rId3303"/>
    <hyperlink xmlns:r="http://schemas.openxmlformats.org/officeDocument/2006/relationships" ref="N2934" r:id="rId3304"/>
    <hyperlink xmlns:r="http://schemas.openxmlformats.org/officeDocument/2006/relationships" ref="N2935" r:id="rId3305"/>
    <hyperlink xmlns:r="http://schemas.openxmlformats.org/officeDocument/2006/relationships" ref="N2936" r:id="rId3306"/>
    <hyperlink xmlns:r="http://schemas.openxmlformats.org/officeDocument/2006/relationships" ref="N2937" r:id="rId3307"/>
    <hyperlink xmlns:r="http://schemas.openxmlformats.org/officeDocument/2006/relationships" ref="N2938" r:id="rId3308"/>
    <hyperlink xmlns:r="http://schemas.openxmlformats.org/officeDocument/2006/relationships" ref="N2939" r:id="rId3309"/>
    <hyperlink xmlns:r="http://schemas.openxmlformats.org/officeDocument/2006/relationships" ref="N2940" r:id="rId3310"/>
    <hyperlink xmlns:r="http://schemas.openxmlformats.org/officeDocument/2006/relationships" ref="N2941" r:id="rId3311"/>
    <hyperlink xmlns:r="http://schemas.openxmlformats.org/officeDocument/2006/relationships" ref="N2942" r:id="rId3312"/>
    <hyperlink xmlns:r="http://schemas.openxmlformats.org/officeDocument/2006/relationships" ref="N2943" r:id="rId3313"/>
    <hyperlink xmlns:r="http://schemas.openxmlformats.org/officeDocument/2006/relationships" ref="N2944" r:id="rId3314"/>
    <hyperlink xmlns:r="http://schemas.openxmlformats.org/officeDocument/2006/relationships" ref="N2945" r:id="rId3315"/>
    <hyperlink xmlns:r="http://schemas.openxmlformats.org/officeDocument/2006/relationships" ref="N2946" r:id="rId3316"/>
    <hyperlink xmlns:r="http://schemas.openxmlformats.org/officeDocument/2006/relationships" ref="N2947" r:id="rId3317"/>
    <hyperlink xmlns:r="http://schemas.openxmlformats.org/officeDocument/2006/relationships" ref="N2948" r:id="rId3318"/>
    <hyperlink xmlns:r="http://schemas.openxmlformats.org/officeDocument/2006/relationships" ref="N2949" r:id="rId3319"/>
    <hyperlink xmlns:r="http://schemas.openxmlformats.org/officeDocument/2006/relationships" ref="N2950" r:id="rId3320"/>
    <hyperlink xmlns:r="http://schemas.openxmlformats.org/officeDocument/2006/relationships" ref="N2951" r:id="rId3321"/>
    <hyperlink xmlns:r="http://schemas.openxmlformats.org/officeDocument/2006/relationships" ref="N2952" r:id="rId3322"/>
    <hyperlink xmlns:r="http://schemas.openxmlformats.org/officeDocument/2006/relationships" ref="N2953" r:id="rId3323"/>
    <hyperlink xmlns:r="http://schemas.openxmlformats.org/officeDocument/2006/relationships" ref="N2954" r:id="rId3324"/>
    <hyperlink xmlns:r="http://schemas.openxmlformats.org/officeDocument/2006/relationships" ref="N2955" r:id="rId3325"/>
    <hyperlink xmlns:r="http://schemas.openxmlformats.org/officeDocument/2006/relationships" ref="N2956" r:id="rId3326"/>
    <hyperlink xmlns:r="http://schemas.openxmlformats.org/officeDocument/2006/relationships" ref="N2957" r:id="rId3327"/>
    <hyperlink xmlns:r="http://schemas.openxmlformats.org/officeDocument/2006/relationships" ref="N2958" r:id="rId3328"/>
    <hyperlink xmlns:r="http://schemas.openxmlformats.org/officeDocument/2006/relationships" ref="N2959" r:id="rId3329"/>
    <hyperlink xmlns:r="http://schemas.openxmlformats.org/officeDocument/2006/relationships" ref="N2960" r:id="rId3330"/>
    <hyperlink xmlns:r="http://schemas.openxmlformats.org/officeDocument/2006/relationships" ref="N2961" r:id="rId3331"/>
    <hyperlink xmlns:r="http://schemas.openxmlformats.org/officeDocument/2006/relationships" ref="N2962" r:id="rId3332"/>
    <hyperlink xmlns:r="http://schemas.openxmlformats.org/officeDocument/2006/relationships" ref="N2963" r:id="rId3333"/>
    <hyperlink xmlns:r="http://schemas.openxmlformats.org/officeDocument/2006/relationships" ref="N2964" r:id="rId3334"/>
    <hyperlink xmlns:r="http://schemas.openxmlformats.org/officeDocument/2006/relationships" ref="N2965" r:id="rId3335"/>
    <hyperlink xmlns:r="http://schemas.openxmlformats.org/officeDocument/2006/relationships" ref="N2966" r:id="rId3336"/>
    <hyperlink xmlns:r="http://schemas.openxmlformats.org/officeDocument/2006/relationships" ref="N2967" r:id="rId3337"/>
    <hyperlink xmlns:r="http://schemas.openxmlformats.org/officeDocument/2006/relationships" ref="N2968" r:id="rId3338"/>
    <hyperlink xmlns:r="http://schemas.openxmlformats.org/officeDocument/2006/relationships" ref="O2968" r:id="rId3339"/>
    <hyperlink xmlns:r="http://schemas.openxmlformats.org/officeDocument/2006/relationships" ref="O2969" r:id="rId3340"/>
    <hyperlink xmlns:r="http://schemas.openxmlformats.org/officeDocument/2006/relationships" ref="N2970" r:id="rId3341"/>
    <hyperlink xmlns:r="http://schemas.openxmlformats.org/officeDocument/2006/relationships" ref="N2971" r:id="rId3342"/>
    <hyperlink xmlns:r="http://schemas.openxmlformats.org/officeDocument/2006/relationships" ref="N2972" r:id="rId3343"/>
    <hyperlink xmlns:r="http://schemas.openxmlformats.org/officeDocument/2006/relationships" ref="O2972" r:id="rId3344"/>
    <hyperlink xmlns:r="http://schemas.openxmlformats.org/officeDocument/2006/relationships" ref="N2973" r:id="rId3345"/>
    <hyperlink xmlns:r="http://schemas.openxmlformats.org/officeDocument/2006/relationships" ref="O2973" r:id="rId3346"/>
    <hyperlink xmlns:r="http://schemas.openxmlformats.org/officeDocument/2006/relationships" ref="N2974" r:id="rId3347"/>
    <hyperlink xmlns:r="http://schemas.openxmlformats.org/officeDocument/2006/relationships" ref="O2974" r:id="rId3348"/>
    <hyperlink xmlns:r="http://schemas.openxmlformats.org/officeDocument/2006/relationships" ref="N2975" r:id="rId3349"/>
    <hyperlink xmlns:r="http://schemas.openxmlformats.org/officeDocument/2006/relationships" ref="N2976" r:id="rId3350"/>
    <hyperlink xmlns:r="http://schemas.openxmlformats.org/officeDocument/2006/relationships" ref="N2977" r:id="rId3351"/>
    <hyperlink xmlns:r="http://schemas.openxmlformats.org/officeDocument/2006/relationships" ref="N2978" r:id="rId3352"/>
    <hyperlink xmlns:r="http://schemas.openxmlformats.org/officeDocument/2006/relationships" ref="N2979" r:id="rId3353"/>
    <hyperlink xmlns:r="http://schemas.openxmlformats.org/officeDocument/2006/relationships" ref="N2980" r:id="rId3354"/>
    <hyperlink xmlns:r="http://schemas.openxmlformats.org/officeDocument/2006/relationships" ref="N2981" r:id="rId3355"/>
    <hyperlink xmlns:r="http://schemas.openxmlformats.org/officeDocument/2006/relationships" ref="N2982" r:id="rId3356"/>
    <hyperlink xmlns:r="http://schemas.openxmlformats.org/officeDocument/2006/relationships" ref="O2983" r:id="rId3357"/>
    <hyperlink xmlns:r="http://schemas.openxmlformats.org/officeDocument/2006/relationships" ref="O2984" r:id="rId3358"/>
    <hyperlink xmlns:r="http://schemas.openxmlformats.org/officeDocument/2006/relationships" ref="O2985" r:id="rId3359"/>
    <hyperlink xmlns:r="http://schemas.openxmlformats.org/officeDocument/2006/relationships" ref="O2986" r:id="rId3360"/>
    <hyperlink xmlns:r="http://schemas.openxmlformats.org/officeDocument/2006/relationships" ref="O2987" r:id="rId3361"/>
    <hyperlink xmlns:r="http://schemas.openxmlformats.org/officeDocument/2006/relationships" ref="O2988" r:id="rId3362"/>
    <hyperlink xmlns:r="http://schemas.openxmlformats.org/officeDocument/2006/relationships" ref="O2989" r:id="rId3363"/>
    <hyperlink xmlns:r="http://schemas.openxmlformats.org/officeDocument/2006/relationships" ref="O2990" r:id="rId3364"/>
    <hyperlink xmlns:r="http://schemas.openxmlformats.org/officeDocument/2006/relationships" ref="O2991" r:id="rId3365"/>
    <hyperlink xmlns:r="http://schemas.openxmlformats.org/officeDocument/2006/relationships" ref="N2992" r:id="rId3366"/>
    <hyperlink xmlns:r="http://schemas.openxmlformats.org/officeDocument/2006/relationships" ref="N2993" r:id="rId3367"/>
    <hyperlink xmlns:r="http://schemas.openxmlformats.org/officeDocument/2006/relationships" ref="O2993" r:id="rId3368"/>
    <hyperlink xmlns:r="http://schemas.openxmlformats.org/officeDocument/2006/relationships" ref="O2994" r:id="rId3369"/>
    <hyperlink xmlns:r="http://schemas.openxmlformats.org/officeDocument/2006/relationships" ref="O2995" r:id="rId3370"/>
    <hyperlink xmlns:r="http://schemas.openxmlformats.org/officeDocument/2006/relationships" ref="O2996" r:id="rId3371"/>
    <hyperlink xmlns:r="http://schemas.openxmlformats.org/officeDocument/2006/relationships" ref="O2997" r:id="rId3372"/>
    <hyperlink xmlns:r="http://schemas.openxmlformats.org/officeDocument/2006/relationships" ref="N2998" r:id="rId3373"/>
    <hyperlink xmlns:r="http://schemas.openxmlformats.org/officeDocument/2006/relationships" ref="N2999" r:id="rId3374"/>
    <hyperlink xmlns:r="http://schemas.openxmlformats.org/officeDocument/2006/relationships" ref="N3000" r:id="rId3375"/>
    <hyperlink xmlns:r="http://schemas.openxmlformats.org/officeDocument/2006/relationships" ref="N3001" r:id="rId3376"/>
    <hyperlink xmlns:r="http://schemas.openxmlformats.org/officeDocument/2006/relationships" ref="N3002" r:id="rId3377"/>
    <hyperlink xmlns:r="http://schemas.openxmlformats.org/officeDocument/2006/relationships" ref="O3003" r:id="rId3378"/>
    <hyperlink xmlns:r="http://schemas.openxmlformats.org/officeDocument/2006/relationships" ref="O3004" r:id="rId3379"/>
    <hyperlink xmlns:r="http://schemas.openxmlformats.org/officeDocument/2006/relationships" ref="O3005" r:id="rId3380"/>
    <hyperlink xmlns:r="http://schemas.openxmlformats.org/officeDocument/2006/relationships" ref="O3006" r:id="rId3381"/>
    <hyperlink xmlns:r="http://schemas.openxmlformats.org/officeDocument/2006/relationships" ref="O3007" r:id="rId3382"/>
    <hyperlink xmlns:r="http://schemas.openxmlformats.org/officeDocument/2006/relationships" ref="O3008" r:id="rId3383"/>
    <hyperlink xmlns:r="http://schemas.openxmlformats.org/officeDocument/2006/relationships" ref="O3009" r:id="rId3384"/>
    <hyperlink xmlns:r="http://schemas.openxmlformats.org/officeDocument/2006/relationships" ref="O3010" r:id="rId3385"/>
    <hyperlink xmlns:r="http://schemas.openxmlformats.org/officeDocument/2006/relationships" ref="O3011" r:id="rId3386"/>
    <hyperlink xmlns:r="http://schemas.openxmlformats.org/officeDocument/2006/relationships" ref="O3012" r:id="rId3387"/>
    <hyperlink xmlns:r="http://schemas.openxmlformats.org/officeDocument/2006/relationships" ref="O3013" r:id="rId3388"/>
    <hyperlink xmlns:r="http://schemas.openxmlformats.org/officeDocument/2006/relationships" ref="O3014" r:id="rId3389"/>
    <hyperlink xmlns:r="http://schemas.openxmlformats.org/officeDocument/2006/relationships" ref="O3015" r:id="rId3390"/>
    <hyperlink xmlns:r="http://schemas.openxmlformats.org/officeDocument/2006/relationships" ref="O3016" r:id="rId3391"/>
    <hyperlink xmlns:r="http://schemas.openxmlformats.org/officeDocument/2006/relationships" ref="O3017" r:id="rId3392"/>
    <hyperlink xmlns:r="http://schemas.openxmlformats.org/officeDocument/2006/relationships" ref="O3018" r:id="rId3393"/>
    <hyperlink xmlns:r="http://schemas.openxmlformats.org/officeDocument/2006/relationships" ref="O3019" r:id="rId3394"/>
    <hyperlink xmlns:r="http://schemas.openxmlformats.org/officeDocument/2006/relationships" ref="O3020" r:id="rId3395"/>
    <hyperlink xmlns:r="http://schemas.openxmlformats.org/officeDocument/2006/relationships" ref="O3021" r:id="rId3396"/>
    <hyperlink xmlns:r="http://schemas.openxmlformats.org/officeDocument/2006/relationships" ref="O3022" r:id="rId3397"/>
    <hyperlink xmlns:r="http://schemas.openxmlformats.org/officeDocument/2006/relationships" ref="O3023" r:id="rId3398"/>
    <hyperlink xmlns:r="http://schemas.openxmlformats.org/officeDocument/2006/relationships" ref="O3024" r:id="rId3399"/>
    <hyperlink xmlns:r="http://schemas.openxmlformats.org/officeDocument/2006/relationships" ref="O3025" r:id="rId3400"/>
    <hyperlink xmlns:r="http://schemas.openxmlformats.org/officeDocument/2006/relationships" ref="O3026" r:id="rId3401"/>
    <hyperlink xmlns:r="http://schemas.openxmlformats.org/officeDocument/2006/relationships" ref="O3027" r:id="rId3402"/>
    <hyperlink xmlns:r="http://schemas.openxmlformats.org/officeDocument/2006/relationships" ref="O3028" r:id="rId3403"/>
    <hyperlink xmlns:r="http://schemas.openxmlformats.org/officeDocument/2006/relationships" ref="O3029" r:id="rId3404"/>
    <hyperlink xmlns:r="http://schemas.openxmlformats.org/officeDocument/2006/relationships" ref="O3030" r:id="rId3405"/>
    <hyperlink xmlns:r="http://schemas.openxmlformats.org/officeDocument/2006/relationships" ref="O3031" r:id="rId3406"/>
    <hyperlink xmlns:r="http://schemas.openxmlformats.org/officeDocument/2006/relationships" ref="O3032" r:id="rId3407"/>
    <hyperlink xmlns:r="http://schemas.openxmlformats.org/officeDocument/2006/relationships" ref="O3033" r:id="rId3408"/>
    <hyperlink xmlns:r="http://schemas.openxmlformats.org/officeDocument/2006/relationships" ref="O3034" r:id="rId3409"/>
    <hyperlink xmlns:r="http://schemas.openxmlformats.org/officeDocument/2006/relationships" ref="O3035" r:id="rId3410"/>
    <hyperlink xmlns:r="http://schemas.openxmlformats.org/officeDocument/2006/relationships" ref="O3036" r:id="rId3411"/>
    <hyperlink xmlns:r="http://schemas.openxmlformats.org/officeDocument/2006/relationships" ref="O3037" r:id="rId3412"/>
    <hyperlink xmlns:r="http://schemas.openxmlformats.org/officeDocument/2006/relationships" ref="O3038" r:id="rId3413"/>
    <hyperlink xmlns:r="http://schemas.openxmlformats.org/officeDocument/2006/relationships" ref="O3039" r:id="rId3414"/>
    <hyperlink xmlns:r="http://schemas.openxmlformats.org/officeDocument/2006/relationships" ref="O3040" r:id="rId3415"/>
    <hyperlink xmlns:r="http://schemas.openxmlformats.org/officeDocument/2006/relationships" ref="O3041" r:id="rId3416"/>
    <hyperlink xmlns:r="http://schemas.openxmlformats.org/officeDocument/2006/relationships" ref="O3042" r:id="rId3417"/>
    <hyperlink xmlns:r="http://schemas.openxmlformats.org/officeDocument/2006/relationships" ref="O3043" r:id="rId3418"/>
    <hyperlink xmlns:r="http://schemas.openxmlformats.org/officeDocument/2006/relationships" ref="O3044" r:id="rId3419"/>
    <hyperlink xmlns:r="http://schemas.openxmlformats.org/officeDocument/2006/relationships" ref="O3045" r:id="rId3420"/>
    <hyperlink xmlns:r="http://schemas.openxmlformats.org/officeDocument/2006/relationships" ref="O3046" r:id="rId3421"/>
    <hyperlink xmlns:r="http://schemas.openxmlformats.org/officeDocument/2006/relationships" ref="N3047" r:id="rId3422"/>
    <hyperlink xmlns:r="http://schemas.openxmlformats.org/officeDocument/2006/relationships" ref="O3047" r:id="rId3423"/>
    <hyperlink xmlns:r="http://schemas.openxmlformats.org/officeDocument/2006/relationships" ref="N3048" r:id="rId3424"/>
    <hyperlink xmlns:r="http://schemas.openxmlformats.org/officeDocument/2006/relationships" ref="O3048" r:id="rId3425"/>
    <hyperlink xmlns:r="http://schemas.openxmlformats.org/officeDocument/2006/relationships" ref="N3049" r:id="rId3426"/>
    <hyperlink xmlns:r="http://schemas.openxmlformats.org/officeDocument/2006/relationships" ref="N3050" r:id="rId3427"/>
    <hyperlink xmlns:r="http://schemas.openxmlformats.org/officeDocument/2006/relationships" ref="N3051" r:id="rId3428"/>
    <hyperlink xmlns:r="http://schemas.openxmlformats.org/officeDocument/2006/relationships" ref="N3052" r:id="rId3429"/>
    <hyperlink xmlns:r="http://schemas.openxmlformats.org/officeDocument/2006/relationships" ref="N3053" r:id="rId3430"/>
    <hyperlink xmlns:r="http://schemas.openxmlformats.org/officeDocument/2006/relationships" ref="N3054" r:id="rId3431"/>
    <hyperlink xmlns:r="http://schemas.openxmlformats.org/officeDocument/2006/relationships" ref="N3055" r:id="rId3432"/>
    <hyperlink xmlns:r="http://schemas.openxmlformats.org/officeDocument/2006/relationships" ref="N3056" r:id="rId3433"/>
    <hyperlink xmlns:r="http://schemas.openxmlformats.org/officeDocument/2006/relationships" ref="N3057" r:id="rId3434"/>
    <hyperlink xmlns:r="http://schemas.openxmlformats.org/officeDocument/2006/relationships" ref="N3058" r:id="rId3435"/>
    <hyperlink xmlns:r="http://schemas.openxmlformats.org/officeDocument/2006/relationships" ref="O3059" r:id="rId3436"/>
    <hyperlink xmlns:r="http://schemas.openxmlformats.org/officeDocument/2006/relationships" ref="O3060" r:id="rId3437"/>
    <hyperlink xmlns:r="http://schemas.openxmlformats.org/officeDocument/2006/relationships" ref="O3061" r:id="rId3438"/>
    <hyperlink xmlns:r="http://schemas.openxmlformats.org/officeDocument/2006/relationships" ref="O3062" r:id="rId3439"/>
    <hyperlink xmlns:r="http://schemas.openxmlformats.org/officeDocument/2006/relationships" ref="O3063" r:id="rId3440"/>
    <hyperlink xmlns:r="http://schemas.openxmlformats.org/officeDocument/2006/relationships" ref="O3064" r:id="rId3441"/>
    <hyperlink xmlns:r="http://schemas.openxmlformats.org/officeDocument/2006/relationships" ref="O3065" r:id="rId3442"/>
    <hyperlink xmlns:r="http://schemas.openxmlformats.org/officeDocument/2006/relationships" ref="O3066" r:id="rId3443"/>
    <hyperlink xmlns:r="http://schemas.openxmlformats.org/officeDocument/2006/relationships" ref="O3067" r:id="rId3444"/>
    <hyperlink xmlns:r="http://schemas.openxmlformats.org/officeDocument/2006/relationships" ref="O3068" r:id="rId3445"/>
    <hyperlink xmlns:r="http://schemas.openxmlformats.org/officeDocument/2006/relationships" ref="O3069" r:id="rId3446"/>
    <hyperlink xmlns:r="http://schemas.openxmlformats.org/officeDocument/2006/relationships" ref="O3070" r:id="rId3447"/>
    <hyperlink xmlns:r="http://schemas.openxmlformats.org/officeDocument/2006/relationships" ref="O3071" r:id="rId3448"/>
    <hyperlink xmlns:r="http://schemas.openxmlformats.org/officeDocument/2006/relationships" ref="O3072" r:id="rId3449"/>
    <hyperlink xmlns:r="http://schemas.openxmlformats.org/officeDocument/2006/relationships" ref="O3073" r:id="rId3450"/>
    <hyperlink xmlns:r="http://schemas.openxmlformats.org/officeDocument/2006/relationships" ref="O3074" r:id="rId3451"/>
    <hyperlink xmlns:r="http://schemas.openxmlformats.org/officeDocument/2006/relationships" ref="O3075" r:id="rId3452"/>
    <hyperlink xmlns:r="http://schemas.openxmlformats.org/officeDocument/2006/relationships" ref="O3076" r:id="rId3453"/>
    <hyperlink xmlns:r="http://schemas.openxmlformats.org/officeDocument/2006/relationships" ref="O3077" r:id="rId3454"/>
    <hyperlink xmlns:r="http://schemas.openxmlformats.org/officeDocument/2006/relationships" ref="O3078" r:id="rId3455"/>
    <hyperlink xmlns:r="http://schemas.openxmlformats.org/officeDocument/2006/relationships" ref="O3079" r:id="rId3456"/>
    <hyperlink xmlns:r="http://schemas.openxmlformats.org/officeDocument/2006/relationships" ref="N3080" r:id="rId3457"/>
    <hyperlink xmlns:r="http://schemas.openxmlformats.org/officeDocument/2006/relationships" ref="N3081" r:id="rId3458"/>
    <hyperlink xmlns:r="http://schemas.openxmlformats.org/officeDocument/2006/relationships" ref="O3081" r:id="rId3459"/>
    <hyperlink xmlns:r="http://schemas.openxmlformats.org/officeDocument/2006/relationships" ref="N3082" r:id="rId3460"/>
    <hyperlink xmlns:r="http://schemas.openxmlformats.org/officeDocument/2006/relationships" ref="N3083" r:id="rId3461"/>
    <hyperlink xmlns:r="http://schemas.openxmlformats.org/officeDocument/2006/relationships" ref="N3084" r:id="rId3462"/>
    <hyperlink xmlns:r="http://schemas.openxmlformats.org/officeDocument/2006/relationships" ref="O3084" r:id="rId3463"/>
    <hyperlink xmlns:r="http://schemas.openxmlformats.org/officeDocument/2006/relationships" ref="N3085" r:id="rId3464"/>
    <hyperlink xmlns:r="http://schemas.openxmlformats.org/officeDocument/2006/relationships" ref="N3086" r:id="rId3465"/>
    <hyperlink xmlns:r="http://schemas.openxmlformats.org/officeDocument/2006/relationships" ref="N3087" r:id="rId3466"/>
    <hyperlink xmlns:r="http://schemas.openxmlformats.org/officeDocument/2006/relationships" ref="O3087" r:id="rId3467"/>
    <hyperlink xmlns:r="http://schemas.openxmlformats.org/officeDocument/2006/relationships" ref="O3088" r:id="rId3468"/>
    <hyperlink xmlns:r="http://schemas.openxmlformats.org/officeDocument/2006/relationships" ref="N3089" r:id="rId3469"/>
    <hyperlink xmlns:r="http://schemas.openxmlformats.org/officeDocument/2006/relationships" ref="N3090" r:id="rId3470"/>
    <hyperlink xmlns:r="http://schemas.openxmlformats.org/officeDocument/2006/relationships" ref="O3090" r:id="rId3471"/>
    <hyperlink xmlns:r="http://schemas.openxmlformats.org/officeDocument/2006/relationships" ref="O3091" r:id="rId3472"/>
    <hyperlink xmlns:r="http://schemas.openxmlformats.org/officeDocument/2006/relationships" ref="N3092" r:id="rId3473"/>
    <hyperlink xmlns:r="http://schemas.openxmlformats.org/officeDocument/2006/relationships" ref="N3093" r:id="rId3474"/>
    <hyperlink xmlns:r="http://schemas.openxmlformats.org/officeDocument/2006/relationships" ref="N3094" r:id="rId3475"/>
    <hyperlink xmlns:r="http://schemas.openxmlformats.org/officeDocument/2006/relationships" ref="O3094" r:id="rId3476"/>
    <hyperlink xmlns:r="http://schemas.openxmlformats.org/officeDocument/2006/relationships" ref="O3095" r:id="rId3477"/>
    <hyperlink xmlns:r="http://schemas.openxmlformats.org/officeDocument/2006/relationships" ref="N3096" r:id="rId3478"/>
    <hyperlink xmlns:r="http://schemas.openxmlformats.org/officeDocument/2006/relationships" ref="N3097" r:id="rId3479"/>
    <hyperlink xmlns:r="http://schemas.openxmlformats.org/officeDocument/2006/relationships" ref="O3097" r:id="rId3480"/>
    <hyperlink xmlns:r="http://schemas.openxmlformats.org/officeDocument/2006/relationships" ref="N3098" r:id="rId3481"/>
    <hyperlink xmlns:r="http://schemas.openxmlformats.org/officeDocument/2006/relationships" ref="N3099" r:id="rId3482"/>
    <hyperlink xmlns:r="http://schemas.openxmlformats.org/officeDocument/2006/relationships" ref="O3099" r:id="rId3483"/>
    <hyperlink xmlns:r="http://schemas.openxmlformats.org/officeDocument/2006/relationships" ref="N3100" r:id="rId3484"/>
    <hyperlink xmlns:r="http://schemas.openxmlformats.org/officeDocument/2006/relationships" ref="N3101" r:id="rId3485"/>
    <hyperlink xmlns:r="http://schemas.openxmlformats.org/officeDocument/2006/relationships" ref="N3102" r:id="rId3486"/>
    <hyperlink xmlns:r="http://schemas.openxmlformats.org/officeDocument/2006/relationships" ref="N3103" r:id="rId3487"/>
    <hyperlink xmlns:r="http://schemas.openxmlformats.org/officeDocument/2006/relationships" ref="N3104" r:id="rId3488"/>
    <hyperlink xmlns:r="http://schemas.openxmlformats.org/officeDocument/2006/relationships" ref="N3105" r:id="rId3489"/>
    <hyperlink xmlns:r="http://schemas.openxmlformats.org/officeDocument/2006/relationships" ref="N3106" r:id="rId3490"/>
    <hyperlink xmlns:r="http://schemas.openxmlformats.org/officeDocument/2006/relationships" ref="N3107" r:id="rId3491"/>
    <hyperlink xmlns:r="http://schemas.openxmlformats.org/officeDocument/2006/relationships" ref="N3108" r:id="rId3492"/>
    <hyperlink xmlns:r="http://schemas.openxmlformats.org/officeDocument/2006/relationships" ref="N3109" r:id="rId3493"/>
    <hyperlink xmlns:r="http://schemas.openxmlformats.org/officeDocument/2006/relationships" ref="N3110" r:id="rId3494"/>
    <hyperlink xmlns:r="http://schemas.openxmlformats.org/officeDocument/2006/relationships" ref="N3111" r:id="rId3495"/>
    <hyperlink xmlns:r="http://schemas.openxmlformats.org/officeDocument/2006/relationships" ref="N3112" r:id="rId3496"/>
    <hyperlink xmlns:r="http://schemas.openxmlformats.org/officeDocument/2006/relationships" ref="N3113" r:id="rId3497"/>
    <hyperlink xmlns:r="http://schemas.openxmlformats.org/officeDocument/2006/relationships" ref="N3114" r:id="rId3498"/>
    <hyperlink xmlns:r="http://schemas.openxmlformats.org/officeDocument/2006/relationships" ref="N3115" r:id="rId3499"/>
    <hyperlink xmlns:r="http://schemas.openxmlformats.org/officeDocument/2006/relationships" ref="N3116" r:id="rId3500"/>
    <hyperlink xmlns:r="http://schemas.openxmlformats.org/officeDocument/2006/relationships" ref="N3117" r:id="rId3501"/>
    <hyperlink xmlns:r="http://schemas.openxmlformats.org/officeDocument/2006/relationships" ref="N3118" r:id="rId3502"/>
    <hyperlink xmlns:r="http://schemas.openxmlformats.org/officeDocument/2006/relationships" ref="N3119" r:id="rId3503"/>
    <hyperlink xmlns:r="http://schemas.openxmlformats.org/officeDocument/2006/relationships" ref="N3120" r:id="rId3504"/>
    <hyperlink xmlns:r="http://schemas.openxmlformats.org/officeDocument/2006/relationships" ref="N3121" r:id="rId3505"/>
    <hyperlink xmlns:r="http://schemas.openxmlformats.org/officeDocument/2006/relationships" ref="N3122" r:id="rId3506"/>
    <hyperlink xmlns:r="http://schemas.openxmlformats.org/officeDocument/2006/relationships" ref="N3123" r:id="rId3507"/>
    <hyperlink xmlns:r="http://schemas.openxmlformats.org/officeDocument/2006/relationships" ref="N3124" r:id="rId3508"/>
    <hyperlink xmlns:r="http://schemas.openxmlformats.org/officeDocument/2006/relationships" ref="N3125" r:id="rId3509"/>
    <hyperlink xmlns:r="http://schemas.openxmlformats.org/officeDocument/2006/relationships" ref="N3126" r:id="rId3510"/>
    <hyperlink xmlns:r="http://schemas.openxmlformats.org/officeDocument/2006/relationships" ref="N3127" r:id="rId3511"/>
    <hyperlink xmlns:r="http://schemas.openxmlformats.org/officeDocument/2006/relationships" ref="N3128" r:id="rId3512"/>
    <hyperlink xmlns:r="http://schemas.openxmlformats.org/officeDocument/2006/relationships" ref="N3129" r:id="rId3513"/>
    <hyperlink xmlns:r="http://schemas.openxmlformats.org/officeDocument/2006/relationships" ref="N3130" r:id="rId3514"/>
    <hyperlink xmlns:r="http://schemas.openxmlformats.org/officeDocument/2006/relationships" ref="N3131" r:id="rId3515"/>
    <hyperlink xmlns:r="http://schemas.openxmlformats.org/officeDocument/2006/relationships" ref="N3132" r:id="rId3516"/>
    <hyperlink xmlns:r="http://schemas.openxmlformats.org/officeDocument/2006/relationships" ref="N3133" r:id="rId3517"/>
    <hyperlink xmlns:r="http://schemas.openxmlformats.org/officeDocument/2006/relationships" ref="N3134" r:id="rId3518"/>
    <hyperlink xmlns:r="http://schemas.openxmlformats.org/officeDocument/2006/relationships" ref="N3135" r:id="rId3519"/>
    <hyperlink xmlns:r="http://schemas.openxmlformats.org/officeDocument/2006/relationships" ref="N3136" r:id="rId3520"/>
    <hyperlink xmlns:r="http://schemas.openxmlformats.org/officeDocument/2006/relationships" ref="N3137" r:id="rId3521"/>
    <hyperlink xmlns:r="http://schemas.openxmlformats.org/officeDocument/2006/relationships" ref="N3138" r:id="rId3522"/>
    <hyperlink xmlns:r="http://schemas.openxmlformats.org/officeDocument/2006/relationships" ref="O3138" r:id="rId3523"/>
    <hyperlink xmlns:r="http://schemas.openxmlformats.org/officeDocument/2006/relationships" ref="N3139" r:id="rId3524"/>
    <hyperlink xmlns:r="http://schemas.openxmlformats.org/officeDocument/2006/relationships" ref="O3139" r:id="rId3525"/>
    <hyperlink xmlns:r="http://schemas.openxmlformats.org/officeDocument/2006/relationships" ref="N3140" r:id="rId3526"/>
    <hyperlink xmlns:r="http://schemas.openxmlformats.org/officeDocument/2006/relationships" ref="O3140" r:id="rId3527"/>
    <hyperlink xmlns:r="http://schemas.openxmlformats.org/officeDocument/2006/relationships" ref="N3141" r:id="rId3528"/>
    <hyperlink xmlns:r="http://schemas.openxmlformats.org/officeDocument/2006/relationships" ref="N3142" r:id="rId3529"/>
    <hyperlink xmlns:r="http://schemas.openxmlformats.org/officeDocument/2006/relationships" ref="O3142" r:id="rId3530"/>
    <hyperlink xmlns:r="http://schemas.openxmlformats.org/officeDocument/2006/relationships" ref="N3143" r:id="rId3531"/>
    <hyperlink xmlns:r="http://schemas.openxmlformats.org/officeDocument/2006/relationships" ref="O3144" r:id="rId3532"/>
    <hyperlink xmlns:r="http://schemas.openxmlformats.org/officeDocument/2006/relationships" ref="O3145" r:id="rId3533"/>
    <hyperlink xmlns:r="http://schemas.openxmlformats.org/officeDocument/2006/relationships" ref="N3146" r:id="rId3534"/>
    <hyperlink xmlns:r="http://schemas.openxmlformats.org/officeDocument/2006/relationships" ref="O3147" r:id="rId3535"/>
    <hyperlink xmlns:r="http://schemas.openxmlformats.org/officeDocument/2006/relationships" ref="N3148" r:id="rId3536"/>
    <hyperlink xmlns:r="http://schemas.openxmlformats.org/officeDocument/2006/relationships" ref="O3149" r:id="rId3537"/>
    <hyperlink xmlns:r="http://schemas.openxmlformats.org/officeDocument/2006/relationships" ref="N3150" r:id="rId3538"/>
    <hyperlink xmlns:r="http://schemas.openxmlformats.org/officeDocument/2006/relationships" ref="O3151" r:id="rId3539"/>
    <hyperlink xmlns:r="http://schemas.openxmlformats.org/officeDocument/2006/relationships" ref="N3152" r:id="rId3540"/>
    <hyperlink xmlns:r="http://schemas.openxmlformats.org/officeDocument/2006/relationships" ref="O3153" r:id="rId3541"/>
    <hyperlink xmlns:r="http://schemas.openxmlformats.org/officeDocument/2006/relationships" ref="N3154" r:id="rId3542"/>
    <hyperlink xmlns:r="http://schemas.openxmlformats.org/officeDocument/2006/relationships" ref="O3155" r:id="rId3543"/>
    <hyperlink xmlns:r="http://schemas.openxmlformats.org/officeDocument/2006/relationships" ref="O3156" r:id="rId3544"/>
    <hyperlink xmlns:r="http://schemas.openxmlformats.org/officeDocument/2006/relationships" ref="O3157" r:id="rId3545"/>
    <hyperlink xmlns:r="http://schemas.openxmlformats.org/officeDocument/2006/relationships" ref="O3158" r:id="rId3546"/>
    <hyperlink xmlns:r="http://schemas.openxmlformats.org/officeDocument/2006/relationships" ref="O3159" r:id="rId3547"/>
    <hyperlink xmlns:r="http://schemas.openxmlformats.org/officeDocument/2006/relationships" ref="N3160" r:id="rId3548"/>
    <hyperlink xmlns:r="http://schemas.openxmlformats.org/officeDocument/2006/relationships" ref="N3161" r:id="rId3549"/>
    <hyperlink xmlns:r="http://schemas.openxmlformats.org/officeDocument/2006/relationships" ref="N3162" r:id="rId3550"/>
    <hyperlink xmlns:r="http://schemas.openxmlformats.org/officeDocument/2006/relationships" ref="N3163" r:id="rId3551"/>
    <hyperlink xmlns:r="http://schemas.openxmlformats.org/officeDocument/2006/relationships" ref="N3164" r:id="rId3552"/>
    <hyperlink xmlns:r="http://schemas.openxmlformats.org/officeDocument/2006/relationships" ref="O3165" r:id="rId3553"/>
    <hyperlink xmlns:r="http://schemas.openxmlformats.org/officeDocument/2006/relationships" ref="O3166" r:id="rId3554"/>
    <hyperlink xmlns:r="http://schemas.openxmlformats.org/officeDocument/2006/relationships" ref="O3167" r:id="rId3555"/>
    <hyperlink xmlns:r="http://schemas.openxmlformats.org/officeDocument/2006/relationships" ref="O3168" r:id="rId3556"/>
    <hyperlink xmlns:r="http://schemas.openxmlformats.org/officeDocument/2006/relationships" ref="O3169" r:id="rId3557"/>
    <hyperlink xmlns:r="http://schemas.openxmlformats.org/officeDocument/2006/relationships" ref="O3170" r:id="rId3558"/>
    <hyperlink xmlns:r="http://schemas.openxmlformats.org/officeDocument/2006/relationships" ref="O3171" r:id="rId3559"/>
    <hyperlink xmlns:r="http://schemas.openxmlformats.org/officeDocument/2006/relationships" ref="O3172" r:id="rId3560"/>
    <hyperlink xmlns:r="http://schemas.openxmlformats.org/officeDocument/2006/relationships" ref="O3173" r:id="rId3561"/>
    <hyperlink xmlns:r="http://schemas.openxmlformats.org/officeDocument/2006/relationships" ref="N3174" r:id="rId3562"/>
    <hyperlink xmlns:r="http://schemas.openxmlformats.org/officeDocument/2006/relationships" ref="N3175" r:id="rId3563"/>
    <hyperlink xmlns:r="http://schemas.openxmlformats.org/officeDocument/2006/relationships" ref="N3176" r:id="rId3564"/>
    <hyperlink xmlns:r="http://schemas.openxmlformats.org/officeDocument/2006/relationships" ref="N3177" r:id="rId3565"/>
    <hyperlink xmlns:r="http://schemas.openxmlformats.org/officeDocument/2006/relationships" ref="N3178" r:id="rId3566"/>
    <hyperlink xmlns:r="http://schemas.openxmlformats.org/officeDocument/2006/relationships" ref="N3179" r:id="rId3567"/>
    <hyperlink xmlns:r="http://schemas.openxmlformats.org/officeDocument/2006/relationships" ref="N3180" r:id="rId3568"/>
    <hyperlink xmlns:r="http://schemas.openxmlformats.org/officeDocument/2006/relationships" ref="N3181" r:id="rId3569"/>
    <hyperlink xmlns:r="http://schemas.openxmlformats.org/officeDocument/2006/relationships" ref="N3182" r:id="rId3570"/>
    <hyperlink xmlns:r="http://schemas.openxmlformats.org/officeDocument/2006/relationships" ref="N3183" r:id="rId3571"/>
    <hyperlink xmlns:r="http://schemas.openxmlformats.org/officeDocument/2006/relationships" ref="N3184" r:id="rId3572"/>
    <hyperlink xmlns:r="http://schemas.openxmlformats.org/officeDocument/2006/relationships" ref="N3185" r:id="rId3573"/>
    <hyperlink xmlns:r="http://schemas.openxmlformats.org/officeDocument/2006/relationships" ref="N3186" r:id="rId3574"/>
    <hyperlink xmlns:r="http://schemas.openxmlformats.org/officeDocument/2006/relationships" ref="N3187" r:id="rId3575"/>
    <hyperlink xmlns:r="http://schemas.openxmlformats.org/officeDocument/2006/relationships" ref="N3188" r:id="rId3576"/>
    <hyperlink xmlns:r="http://schemas.openxmlformats.org/officeDocument/2006/relationships" ref="N3189" r:id="rId3577"/>
    <hyperlink xmlns:r="http://schemas.openxmlformats.org/officeDocument/2006/relationships" ref="N3190" r:id="rId3578"/>
    <hyperlink xmlns:r="http://schemas.openxmlformats.org/officeDocument/2006/relationships" ref="N3191" r:id="rId3579"/>
    <hyperlink xmlns:r="http://schemas.openxmlformats.org/officeDocument/2006/relationships" ref="O3191" r:id="rId3580"/>
    <hyperlink xmlns:r="http://schemas.openxmlformats.org/officeDocument/2006/relationships" ref="N3192" r:id="rId3581"/>
    <hyperlink xmlns:r="http://schemas.openxmlformats.org/officeDocument/2006/relationships" ref="O3193" r:id="rId3582"/>
    <hyperlink xmlns:r="http://schemas.openxmlformats.org/officeDocument/2006/relationships" ref="O3194" r:id="rId3583"/>
    <hyperlink xmlns:r="http://schemas.openxmlformats.org/officeDocument/2006/relationships" ref="O3195" r:id="rId3584"/>
    <hyperlink xmlns:r="http://schemas.openxmlformats.org/officeDocument/2006/relationships" ref="O3196" r:id="rId3585"/>
    <hyperlink xmlns:r="http://schemas.openxmlformats.org/officeDocument/2006/relationships" ref="O3197" r:id="rId3586"/>
    <hyperlink xmlns:r="http://schemas.openxmlformats.org/officeDocument/2006/relationships" ref="O3198" r:id="rId3587"/>
    <hyperlink xmlns:r="http://schemas.openxmlformats.org/officeDocument/2006/relationships" ref="O3199" r:id="rId3588"/>
    <hyperlink xmlns:r="http://schemas.openxmlformats.org/officeDocument/2006/relationships" ref="O3200" r:id="rId3589"/>
    <hyperlink xmlns:r="http://schemas.openxmlformats.org/officeDocument/2006/relationships" ref="O3201" r:id="rId3590"/>
    <hyperlink xmlns:r="http://schemas.openxmlformats.org/officeDocument/2006/relationships" ref="O3202" r:id="rId3591"/>
    <hyperlink xmlns:r="http://schemas.openxmlformats.org/officeDocument/2006/relationships" ref="O3203" r:id="rId3592"/>
    <hyperlink xmlns:r="http://schemas.openxmlformats.org/officeDocument/2006/relationships" ref="O3204" r:id="rId3593"/>
    <hyperlink xmlns:r="http://schemas.openxmlformats.org/officeDocument/2006/relationships" ref="O3205" r:id="rId3594"/>
    <hyperlink xmlns:r="http://schemas.openxmlformats.org/officeDocument/2006/relationships" ref="O3206" r:id="rId3595"/>
    <hyperlink xmlns:r="http://schemas.openxmlformats.org/officeDocument/2006/relationships" ref="O3207" r:id="rId3596"/>
    <hyperlink xmlns:r="http://schemas.openxmlformats.org/officeDocument/2006/relationships" ref="O3208" r:id="rId3597"/>
    <hyperlink xmlns:r="http://schemas.openxmlformats.org/officeDocument/2006/relationships" ref="O3209" r:id="rId3598"/>
    <hyperlink xmlns:r="http://schemas.openxmlformats.org/officeDocument/2006/relationships" ref="O3210" r:id="rId3599"/>
    <hyperlink xmlns:r="http://schemas.openxmlformats.org/officeDocument/2006/relationships" ref="O3211" r:id="rId3600"/>
    <hyperlink xmlns:r="http://schemas.openxmlformats.org/officeDocument/2006/relationships" ref="O3212" r:id="rId3601"/>
    <hyperlink xmlns:r="http://schemas.openxmlformats.org/officeDocument/2006/relationships" ref="O3213" r:id="rId3602"/>
    <hyperlink xmlns:r="http://schemas.openxmlformats.org/officeDocument/2006/relationships" ref="O3214" r:id="rId3603"/>
    <hyperlink xmlns:r="http://schemas.openxmlformats.org/officeDocument/2006/relationships" ref="O3215" r:id="rId3604"/>
    <hyperlink xmlns:r="http://schemas.openxmlformats.org/officeDocument/2006/relationships" ref="O3216" r:id="rId3605"/>
    <hyperlink xmlns:r="http://schemas.openxmlformats.org/officeDocument/2006/relationships" ref="O3217" r:id="rId3606"/>
    <hyperlink xmlns:r="http://schemas.openxmlformats.org/officeDocument/2006/relationships" ref="O3218" r:id="rId3607"/>
    <hyperlink xmlns:r="http://schemas.openxmlformats.org/officeDocument/2006/relationships" ref="O3219" r:id="rId3608"/>
    <hyperlink xmlns:r="http://schemas.openxmlformats.org/officeDocument/2006/relationships" ref="O3220" r:id="rId3609"/>
    <hyperlink xmlns:r="http://schemas.openxmlformats.org/officeDocument/2006/relationships" ref="O3221" r:id="rId3610"/>
    <hyperlink xmlns:r="http://schemas.openxmlformats.org/officeDocument/2006/relationships" ref="N3222" r:id="rId3611"/>
    <hyperlink xmlns:r="http://schemas.openxmlformats.org/officeDocument/2006/relationships" ref="N3223" r:id="rId3612"/>
    <hyperlink xmlns:r="http://schemas.openxmlformats.org/officeDocument/2006/relationships" ref="N3224" r:id="rId3613"/>
    <hyperlink xmlns:r="http://schemas.openxmlformats.org/officeDocument/2006/relationships" ref="O3224" r:id="rId3614"/>
    <hyperlink xmlns:r="http://schemas.openxmlformats.org/officeDocument/2006/relationships" ref="N3225" r:id="rId3615"/>
    <hyperlink xmlns:r="http://schemas.openxmlformats.org/officeDocument/2006/relationships" ref="O3225" r:id="rId3616"/>
    <hyperlink xmlns:r="http://schemas.openxmlformats.org/officeDocument/2006/relationships" ref="N3226" r:id="rId3617"/>
    <hyperlink xmlns:r="http://schemas.openxmlformats.org/officeDocument/2006/relationships" ref="O3226" r:id="rId3618"/>
    <hyperlink xmlns:r="http://schemas.openxmlformats.org/officeDocument/2006/relationships" ref="N3227" r:id="rId3619"/>
    <hyperlink xmlns:r="http://schemas.openxmlformats.org/officeDocument/2006/relationships" ref="N3228" r:id="rId3620"/>
    <hyperlink xmlns:r="http://schemas.openxmlformats.org/officeDocument/2006/relationships" ref="N3229" r:id="rId3621"/>
    <hyperlink xmlns:r="http://schemas.openxmlformats.org/officeDocument/2006/relationships" ref="N3230" r:id="rId3622"/>
    <hyperlink xmlns:r="http://schemas.openxmlformats.org/officeDocument/2006/relationships" ref="N3231" r:id="rId3623"/>
    <hyperlink xmlns:r="http://schemas.openxmlformats.org/officeDocument/2006/relationships" ref="O3231" r:id="rId3624"/>
    <hyperlink xmlns:r="http://schemas.openxmlformats.org/officeDocument/2006/relationships" ref="O3232" r:id="rId3625"/>
    <hyperlink xmlns:r="http://schemas.openxmlformats.org/officeDocument/2006/relationships" ref="N3233" r:id="rId3626"/>
    <hyperlink xmlns:r="http://schemas.openxmlformats.org/officeDocument/2006/relationships" ref="O3233" r:id="rId3627"/>
    <hyperlink xmlns:r="http://schemas.openxmlformats.org/officeDocument/2006/relationships" ref="O3234" r:id="rId3628"/>
    <hyperlink xmlns:r="http://schemas.openxmlformats.org/officeDocument/2006/relationships" ref="O3235" r:id="rId3629"/>
    <hyperlink xmlns:r="http://schemas.openxmlformats.org/officeDocument/2006/relationships" ref="N3236" r:id="rId3630"/>
    <hyperlink xmlns:r="http://schemas.openxmlformats.org/officeDocument/2006/relationships" ref="O3236" r:id="rId3631"/>
    <hyperlink xmlns:r="http://schemas.openxmlformats.org/officeDocument/2006/relationships" ref="O3237" r:id="rId3632"/>
    <hyperlink xmlns:r="http://schemas.openxmlformats.org/officeDocument/2006/relationships" ref="N3238" r:id="rId3633"/>
    <hyperlink xmlns:r="http://schemas.openxmlformats.org/officeDocument/2006/relationships" ref="O3238" r:id="rId3634"/>
    <hyperlink xmlns:r="http://schemas.openxmlformats.org/officeDocument/2006/relationships" ref="O3239" r:id="rId3635"/>
    <hyperlink xmlns:r="http://schemas.openxmlformats.org/officeDocument/2006/relationships" ref="O3240" r:id="rId3636"/>
    <hyperlink xmlns:r="http://schemas.openxmlformats.org/officeDocument/2006/relationships" ref="N3241" r:id="rId3637"/>
    <hyperlink xmlns:r="http://schemas.openxmlformats.org/officeDocument/2006/relationships" ref="O3241" r:id="rId3638"/>
    <hyperlink xmlns:r="http://schemas.openxmlformats.org/officeDocument/2006/relationships" ref="O3242" r:id="rId3639"/>
    <hyperlink xmlns:r="http://schemas.openxmlformats.org/officeDocument/2006/relationships" ref="O3243" r:id="rId3640"/>
    <hyperlink xmlns:r="http://schemas.openxmlformats.org/officeDocument/2006/relationships" ref="O3244" r:id="rId3641"/>
    <hyperlink xmlns:r="http://schemas.openxmlformats.org/officeDocument/2006/relationships" ref="O3245" r:id="rId3642"/>
    <hyperlink xmlns:r="http://schemas.openxmlformats.org/officeDocument/2006/relationships" ref="O3246" r:id="rId3643"/>
    <hyperlink xmlns:r="http://schemas.openxmlformats.org/officeDocument/2006/relationships" ref="N3247" r:id="rId3644"/>
    <hyperlink xmlns:r="http://schemas.openxmlformats.org/officeDocument/2006/relationships" ref="O3247" r:id="rId3645"/>
    <hyperlink xmlns:r="http://schemas.openxmlformats.org/officeDocument/2006/relationships" ref="O3248" r:id="rId3646"/>
    <hyperlink xmlns:r="http://schemas.openxmlformats.org/officeDocument/2006/relationships" ref="O3249" r:id="rId3647"/>
    <hyperlink xmlns:r="http://schemas.openxmlformats.org/officeDocument/2006/relationships" ref="N3250" r:id="rId3648"/>
    <hyperlink xmlns:r="http://schemas.openxmlformats.org/officeDocument/2006/relationships" ref="O3250" r:id="rId3649"/>
    <hyperlink xmlns:r="http://schemas.openxmlformats.org/officeDocument/2006/relationships" ref="O3251" r:id="rId3650"/>
    <hyperlink xmlns:r="http://schemas.openxmlformats.org/officeDocument/2006/relationships" ref="O3252" r:id="rId3651"/>
    <hyperlink xmlns:r="http://schemas.openxmlformats.org/officeDocument/2006/relationships" ref="N3253" r:id="rId3652"/>
    <hyperlink xmlns:r="http://schemas.openxmlformats.org/officeDocument/2006/relationships" ref="O3253" r:id="rId3653"/>
    <hyperlink xmlns:r="http://schemas.openxmlformats.org/officeDocument/2006/relationships" ref="O3254" r:id="rId3654"/>
    <hyperlink xmlns:r="http://schemas.openxmlformats.org/officeDocument/2006/relationships" ref="O3255" r:id="rId3655"/>
    <hyperlink xmlns:r="http://schemas.openxmlformats.org/officeDocument/2006/relationships" ref="N3256" r:id="rId3656"/>
    <hyperlink xmlns:r="http://schemas.openxmlformats.org/officeDocument/2006/relationships" ref="O3256" r:id="rId3657"/>
    <hyperlink xmlns:r="http://schemas.openxmlformats.org/officeDocument/2006/relationships" ref="O3257" r:id="rId3658"/>
    <hyperlink xmlns:r="http://schemas.openxmlformats.org/officeDocument/2006/relationships" ref="N3258" r:id="rId3659"/>
    <hyperlink xmlns:r="http://schemas.openxmlformats.org/officeDocument/2006/relationships" ref="O3258" r:id="rId3660"/>
    <hyperlink xmlns:r="http://schemas.openxmlformats.org/officeDocument/2006/relationships" ref="O3259" r:id="rId3661"/>
    <hyperlink xmlns:r="http://schemas.openxmlformats.org/officeDocument/2006/relationships" ref="O3260" r:id="rId3662"/>
    <hyperlink xmlns:r="http://schemas.openxmlformats.org/officeDocument/2006/relationships" ref="N3261" r:id="rId3663"/>
    <hyperlink xmlns:r="http://schemas.openxmlformats.org/officeDocument/2006/relationships" ref="O3261" r:id="rId3664"/>
    <hyperlink xmlns:r="http://schemas.openxmlformats.org/officeDocument/2006/relationships" ref="N3262" r:id="rId3665"/>
    <hyperlink xmlns:r="http://schemas.openxmlformats.org/officeDocument/2006/relationships" ref="O3262" r:id="rId3666"/>
    <hyperlink xmlns:r="http://schemas.openxmlformats.org/officeDocument/2006/relationships" ref="O3263" r:id="rId3667"/>
    <hyperlink xmlns:r="http://schemas.openxmlformats.org/officeDocument/2006/relationships" ref="O3264" r:id="rId3668"/>
    <hyperlink xmlns:r="http://schemas.openxmlformats.org/officeDocument/2006/relationships" ref="O3265" r:id="rId3669"/>
    <hyperlink xmlns:r="http://schemas.openxmlformats.org/officeDocument/2006/relationships" ref="N3266" r:id="rId3670"/>
    <hyperlink xmlns:r="http://schemas.openxmlformats.org/officeDocument/2006/relationships" ref="O3266" r:id="rId3671"/>
    <hyperlink xmlns:r="http://schemas.openxmlformats.org/officeDocument/2006/relationships" ref="O3267" r:id="rId3672"/>
    <hyperlink xmlns:r="http://schemas.openxmlformats.org/officeDocument/2006/relationships" ref="O3268" r:id="rId3673"/>
    <hyperlink xmlns:r="http://schemas.openxmlformats.org/officeDocument/2006/relationships" ref="N3269" r:id="rId3674"/>
    <hyperlink xmlns:r="http://schemas.openxmlformats.org/officeDocument/2006/relationships" ref="O3269" r:id="rId3675"/>
    <hyperlink xmlns:r="http://schemas.openxmlformats.org/officeDocument/2006/relationships" ref="O3270" r:id="rId3676"/>
    <hyperlink xmlns:r="http://schemas.openxmlformats.org/officeDocument/2006/relationships" ref="O3271" r:id="rId3677"/>
    <hyperlink xmlns:r="http://schemas.openxmlformats.org/officeDocument/2006/relationships" ref="O3272" r:id="rId3678"/>
    <hyperlink xmlns:r="http://schemas.openxmlformats.org/officeDocument/2006/relationships" ref="N3273" r:id="rId3679"/>
    <hyperlink xmlns:r="http://schemas.openxmlformats.org/officeDocument/2006/relationships" ref="O3273" r:id="rId3680"/>
    <hyperlink xmlns:r="http://schemas.openxmlformats.org/officeDocument/2006/relationships" ref="O3274" r:id="rId3681"/>
    <hyperlink xmlns:r="http://schemas.openxmlformats.org/officeDocument/2006/relationships" ref="O3275" r:id="rId3682"/>
    <hyperlink xmlns:r="http://schemas.openxmlformats.org/officeDocument/2006/relationships" ref="O3276" r:id="rId3683"/>
    <hyperlink xmlns:r="http://schemas.openxmlformats.org/officeDocument/2006/relationships" ref="O3277" r:id="rId3684"/>
    <hyperlink xmlns:r="http://schemas.openxmlformats.org/officeDocument/2006/relationships" ref="N3278" r:id="rId3685"/>
    <hyperlink xmlns:r="http://schemas.openxmlformats.org/officeDocument/2006/relationships" ref="O3278" r:id="rId3686"/>
    <hyperlink xmlns:r="http://schemas.openxmlformats.org/officeDocument/2006/relationships" ref="O3279" r:id="rId3687"/>
    <hyperlink xmlns:r="http://schemas.openxmlformats.org/officeDocument/2006/relationships" ref="O3280" r:id="rId3688"/>
    <hyperlink xmlns:r="http://schemas.openxmlformats.org/officeDocument/2006/relationships" ref="N3281" r:id="rId3689"/>
    <hyperlink xmlns:r="http://schemas.openxmlformats.org/officeDocument/2006/relationships" ref="O3281" r:id="rId3690"/>
    <hyperlink xmlns:r="http://schemas.openxmlformats.org/officeDocument/2006/relationships" ref="O3282" r:id="rId3691"/>
    <hyperlink xmlns:r="http://schemas.openxmlformats.org/officeDocument/2006/relationships" ref="O3283" r:id="rId3692"/>
    <hyperlink xmlns:r="http://schemas.openxmlformats.org/officeDocument/2006/relationships" ref="O3284" r:id="rId3693"/>
    <hyperlink xmlns:r="http://schemas.openxmlformats.org/officeDocument/2006/relationships" ref="O3285" r:id="rId3694"/>
    <hyperlink xmlns:r="http://schemas.openxmlformats.org/officeDocument/2006/relationships" ref="O3286" r:id="rId3695"/>
    <hyperlink xmlns:r="http://schemas.openxmlformats.org/officeDocument/2006/relationships" ref="O3287" r:id="rId3696"/>
    <hyperlink xmlns:r="http://schemas.openxmlformats.org/officeDocument/2006/relationships" ref="O3288" r:id="rId3697"/>
    <hyperlink xmlns:r="http://schemas.openxmlformats.org/officeDocument/2006/relationships" ref="O3289" r:id="rId3698"/>
    <hyperlink xmlns:r="http://schemas.openxmlformats.org/officeDocument/2006/relationships" ref="O3290" r:id="rId3699"/>
    <hyperlink xmlns:r="http://schemas.openxmlformats.org/officeDocument/2006/relationships" ref="O3291" r:id="rId3700"/>
    <hyperlink xmlns:r="http://schemas.openxmlformats.org/officeDocument/2006/relationships" ref="O3292" r:id="rId3701"/>
    <hyperlink xmlns:r="http://schemas.openxmlformats.org/officeDocument/2006/relationships" ref="O3293" r:id="rId3702"/>
    <hyperlink xmlns:r="http://schemas.openxmlformats.org/officeDocument/2006/relationships" ref="O3294" r:id="rId3703"/>
    <hyperlink xmlns:r="http://schemas.openxmlformats.org/officeDocument/2006/relationships" ref="O3295" r:id="rId3704"/>
    <hyperlink xmlns:r="http://schemas.openxmlformats.org/officeDocument/2006/relationships" ref="O3296" r:id="rId3705"/>
    <hyperlink xmlns:r="http://schemas.openxmlformats.org/officeDocument/2006/relationships" ref="O3297" r:id="rId3706"/>
    <hyperlink xmlns:r="http://schemas.openxmlformats.org/officeDocument/2006/relationships" ref="O3298" r:id="rId3707"/>
    <hyperlink xmlns:r="http://schemas.openxmlformats.org/officeDocument/2006/relationships" ref="O3299" r:id="rId3708"/>
    <hyperlink xmlns:r="http://schemas.openxmlformats.org/officeDocument/2006/relationships" ref="O3300" r:id="rId3709"/>
    <hyperlink xmlns:r="http://schemas.openxmlformats.org/officeDocument/2006/relationships" ref="O3301" r:id="rId3710"/>
    <hyperlink xmlns:r="http://schemas.openxmlformats.org/officeDocument/2006/relationships" ref="O3302" r:id="rId3711"/>
    <hyperlink xmlns:r="http://schemas.openxmlformats.org/officeDocument/2006/relationships" ref="O3303" r:id="rId3712"/>
    <hyperlink xmlns:r="http://schemas.openxmlformats.org/officeDocument/2006/relationships" ref="O3304" r:id="rId3713"/>
    <hyperlink xmlns:r="http://schemas.openxmlformats.org/officeDocument/2006/relationships" ref="O3305" r:id="rId3714"/>
    <hyperlink xmlns:r="http://schemas.openxmlformats.org/officeDocument/2006/relationships" ref="O3306" r:id="rId3715"/>
    <hyperlink xmlns:r="http://schemas.openxmlformats.org/officeDocument/2006/relationships" ref="O3307" r:id="rId3716"/>
    <hyperlink xmlns:r="http://schemas.openxmlformats.org/officeDocument/2006/relationships" ref="O3308" r:id="rId3717"/>
    <hyperlink xmlns:r="http://schemas.openxmlformats.org/officeDocument/2006/relationships" ref="O3309" r:id="rId3718"/>
    <hyperlink xmlns:r="http://schemas.openxmlformats.org/officeDocument/2006/relationships" ref="O3310" r:id="rId3719"/>
    <hyperlink xmlns:r="http://schemas.openxmlformats.org/officeDocument/2006/relationships" ref="O3311" r:id="rId3720"/>
    <hyperlink xmlns:r="http://schemas.openxmlformats.org/officeDocument/2006/relationships" ref="O3312" r:id="rId3721"/>
    <hyperlink xmlns:r="http://schemas.openxmlformats.org/officeDocument/2006/relationships" ref="O3313" r:id="rId3722"/>
    <hyperlink xmlns:r="http://schemas.openxmlformats.org/officeDocument/2006/relationships" ref="N3314" r:id="rId3723"/>
    <hyperlink xmlns:r="http://schemas.openxmlformats.org/officeDocument/2006/relationships" ref="N3315" r:id="rId3724"/>
    <hyperlink xmlns:r="http://schemas.openxmlformats.org/officeDocument/2006/relationships" ref="N3316" r:id="rId3725"/>
    <hyperlink xmlns:r="http://schemas.openxmlformats.org/officeDocument/2006/relationships" ref="N3317" r:id="rId3726"/>
    <hyperlink xmlns:r="http://schemas.openxmlformats.org/officeDocument/2006/relationships" ref="N3318" r:id="rId3727"/>
    <hyperlink xmlns:r="http://schemas.openxmlformats.org/officeDocument/2006/relationships" ref="N3319" r:id="rId3728"/>
    <hyperlink xmlns:r="http://schemas.openxmlformats.org/officeDocument/2006/relationships" ref="N3320" r:id="rId3729"/>
    <hyperlink xmlns:r="http://schemas.openxmlformats.org/officeDocument/2006/relationships" ref="N3321" r:id="rId3730"/>
    <hyperlink xmlns:r="http://schemas.openxmlformats.org/officeDocument/2006/relationships" ref="N3322" r:id="rId3731"/>
    <hyperlink xmlns:r="http://schemas.openxmlformats.org/officeDocument/2006/relationships" ref="N3323" r:id="rId3732"/>
    <hyperlink xmlns:r="http://schemas.openxmlformats.org/officeDocument/2006/relationships" ref="N3324" r:id="rId3733"/>
    <hyperlink xmlns:r="http://schemas.openxmlformats.org/officeDocument/2006/relationships" ref="N3325" r:id="rId3734"/>
    <hyperlink xmlns:r="http://schemas.openxmlformats.org/officeDocument/2006/relationships" ref="N3326" r:id="rId3735"/>
    <hyperlink xmlns:r="http://schemas.openxmlformats.org/officeDocument/2006/relationships" ref="O3327" r:id="rId3736"/>
    <hyperlink xmlns:r="http://schemas.openxmlformats.org/officeDocument/2006/relationships" ref="N3328" r:id="rId3737"/>
    <hyperlink xmlns:r="http://schemas.openxmlformats.org/officeDocument/2006/relationships" ref="N3329" r:id="rId3738"/>
    <hyperlink xmlns:r="http://schemas.openxmlformats.org/officeDocument/2006/relationships" ref="O3329" r:id="rId3739"/>
    <hyperlink xmlns:r="http://schemas.openxmlformats.org/officeDocument/2006/relationships" ref="N3330" r:id="rId3740"/>
    <hyperlink xmlns:r="http://schemas.openxmlformats.org/officeDocument/2006/relationships" ref="N3331" r:id="rId3741"/>
    <hyperlink xmlns:r="http://schemas.openxmlformats.org/officeDocument/2006/relationships" ref="N3332" r:id="rId3742"/>
    <hyperlink xmlns:r="http://schemas.openxmlformats.org/officeDocument/2006/relationships" ref="N3333" r:id="rId3743"/>
    <hyperlink xmlns:r="http://schemas.openxmlformats.org/officeDocument/2006/relationships" ref="N3334" r:id="rId3744"/>
    <hyperlink xmlns:r="http://schemas.openxmlformats.org/officeDocument/2006/relationships" ref="N3335" r:id="rId3745"/>
    <hyperlink xmlns:r="http://schemas.openxmlformats.org/officeDocument/2006/relationships" ref="N3336" r:id="rId3746"/>
    <hyperlink xmlns:r="http://schemas.openxmlformats.org/officeDocument/2006/relationships" ref="N3337" r:id="rId3747"/>
    <hyperlink xmlns:r="http://schemas.openxmlformats.org/officeDocument/2006/relationships" ref="N3338" r:id="rId3748"/>
    <hyperlink xmlns:r="http://schemas.openxmlformats.org/officeDocument/2006/relationships" ref="O3339" r:id="rId3749"/>
    <hyperlink xmlns:r="http://schemas.openxmlformats.org/officeDocument/2006/relationships" ref="O3340" r:id="rId3750"/>
    <hyperlink xmlns:r="http://schemas.openxmlformats.org/officeDocument/2006/relationships" ref="O3341" r:id="rId3751"/>
    <hyperlink xmlns:r="http://schemas.openxmlformats.org/officeDocument/2006/relationships" ref="O3342" r:id="rId3752"/>
    <hyperlink xmlns:r="http://schemas.openxmlformats.org/officeDocument/2006/relationships" ref="O3343" r:id="rId3753"/>
    <hyperlink xmlns:r="http://schemas.openxmlformats.org/officeDocument/2006/relationships" ref="O3344" r:id="rId3754"/>
    <hyperlink xmlns:r="http://schemas.openxmlformats.org/officeDocument/2006/relationships" ref="O3345" r:id="rId3755"/>
    <hyperlink xmlns:r="http://schemas.openxmlformats.org/officeDocument/2006/relationships" ref="O3346" r:id="rId3756"/>
    <hyperlink xmlns:r="http://schemas.openxmlformats.org/officeDocument/2006/relationships" ref="O3347" r:id="rId3757"/>
    <hyperlink xmlns:r="http://schemas.openxmlformats.org/officeDocument/2006/relationships" ref="O3348" r:id="rId3758"/>
    <hyperlink xmlns:r="http://schemas.openxmlformats.org/officeDocument/2006/relationships" ref="O3349" r:id="rId3759"/>
    <hyperlink xmlns:r="http://schemas.openxmlformats.org/officeDocument/2006/relationships" ref="O3350" r:id="rId3760"/>
    <hyperlink xmlns:r="http://schemas.openxmlformats.org/officeDocument/2006/relationships" ref="O3351" r:id="rId3761"/>
    <hyperlink xmlns:r="http://schemas.openxmlformats.org/officeDocument/2006/relationships" ref="O3352" r:id="rId3762"/>
    <hyperlink xmlns:r="http://schemas.openxmlformats.org/officeDocument/2006/relationships" ref="O3353" r:id="rId3763"/>
    <hyperlink xmlns:r="http://schemas.openxmlformats.org/officeDocument/2006/relationships" ref="N3354" r:id="rId3764"/>
    <hyperlink xmlns:r="http://schemas.openxmlformats.org/officeDocument/2006/relationships" ref="O3354" r:id="rId3765"/>
    <hyperlink xmlns:r="http://schemas.openxmlformats.org/officeDocument/2006/relationships" ref="O3355" r:id="rId3766"/>
    <hyperlink xmlns:r="http://schemas.openxmlformats.org/officeDocument/2006/relationships" ref="O3356" r:id="rId3767"/>
    <hyperlink xmlns:r="http://schemas.openxmlformats.org/officeDocument/2006/relationships" ref="O3357" r:id="rId3768"/>
    <hyperlink xmlns:r="http://schemas.openxmlformats.org/officeDocument/2006/relationships" ref="O3358" r:id="rId3769"/>
    <hyperlink xmlns:r="http://schemas.openxmlformats.org/officeDocument/2006/relationships" ref="O3359" r:id="rId3770"/>
    <hyperlink xmlns:r="http://schemas.openxmlformats.org/officeDocument/2006/relationships" ref="O3360" r:id="rId3771"/>
    <hyperlink xmlns:r="http://schemas.openxmlformats.org/officeDocument/2006/relationships" ref="N3361" r:id="rId3772"/>
    <hyperlink xmlns:r="http://schemas.openxmlformats.org/officeDocument/2006/relationships" ref="O3361" r:id="rId3773"/>
    <hyperlink xmlns:r="http://schemas.openxmlformats.org/officeDocument/2006/relationships" ref="O3362" r:id="rId3774"/>
    <hyperlink xmlns:r="http://schemas.openxmlformats.org/officeDocument/2006/relationships" ref="O3363" r:id="rId3775"/>
    <hyperlink xmlns:r="http://schemas.openxmlformats.org/officeDocument/2006/relationships" ref="O3364" r:id="rId3776"/>
    <hyperlink xmlns:r="http://schemas.openxmlformats.org/officeDocument/2006/relationships" ref="N3365" r:id="rId3777"/>
    <hyperlink xmlns:r="http://schemas.openxmlformats.org/officeDocument/2006/relationships" ref="O3365" r:id="rId3778"/>
    <hyperlink xmlns:r="http://schemas.openxmlformats.org/officeDocument/2006/relationships" ref="O3366" r:id="rId3779"/>
    <hyperlink xmlns:r="http://schemas.openxmlformats.org/officeDocument/2006/relationships" ref="O3367" r:id="rId3780"/>
    <hyperlink xmlns:r="http://schemas.openxmlformats.org/officeDocument/2006/relationships" ref="O3368" r:id="rId3781"/>
    <hyperlink xmlns:r="http://schemas.openxmlformats.org/officeDocument/2006/relationships" ref="O3369" r:id="rId3782"/>
    <hyperlink xmlns:r="http://schemas.openxmlformats.org/officeDocument/2006/relationships" ref="O3370" r:id="rId3783"/>
    <hyperlink xmlns:r="http://schemas.openxmlformats.org/officeDocument/2006/relationships" ref="O3371" r:id="rId3784"/>
    <hyperlink xmlns:r="http://schemas.openxmlformats.org/officeDocument/2006/relationships" ref="N3372" r:id="rId3785"/>
    <hyperlink xmlns:r="http://schemas.openxmlformats.org/officeDocument/2006/relationships" ref="O3372" r:id="rId3786"/>
    <hyperlink xmlns:r="http://schemas.openxmlformats.org/officeDocument/2006/relationships" ref="O3373" r:id="rId3787"/>
    <hyperlink xmlns:r="http://schemas.openxmlformats.org/officeDocument/2006/relationships" ref="O3374" r:id="rId3788"/>
    <hyperlink xmlns:r="http://schemas.openxmlformats.org/officeDocument/2006/relationships" ref="N3375" r:id="rId3789"/>
    <hyperlink xmlns:r="http://schemas.openxmlformats.org/officeDocument/2006/relationships" ref="O3375" r:id="rId3790"/>
    <hyperlink xmlns:r="http://schemas.openxmlformats.org/officeDocument/2006/relationships" ref="O3376" r:id="rId3791"/>
    <hyperlink xmlns:r="http://schemas.openxmlformats.org/officeDocument/2006/relationships" ref="O3377" r:id="rId3792"/>
    <hyperlink xmlns:r="http://schemas.openxmlformats.org/officeDocument/2006/relationships" ref="O3378" r:id="rId3793"/>
    <hyperlink xmlns:r="http://schemas.openxmlformats.org/officeDocument/2006/relationships" ref="O3379" r:id="rId3794"/>
    <hyperlink xmlns:r="http://schemas.openxmlformats.org/officeDocument/2006/relationships" ref="O3380" r:id="rId3795"/>
    <hyperlink xmlns:r="http://schemas.openxmlformats.org/officeDocument/2006/relationships" ref="O3381" r:id="rId3796"/>
    <hyperlink xmlns:r="http://schemas.openxmlformats.org/officeDocument/2006/relationships" ref="O3382" r:id="rId3797"/>
    <hyperlink xmlns:r="http://schemas.openxmlformats.org/officeDocument/2006/relationships" ref="N3383" r:id="rId3798"/>
    <hyperlink xmlns:r="http://schemas.openxmlformats.org/officeDocument/2006/relationships" ref="O3383" r:id="rId3799"/>
    <hyperlink xmlns:r="http://schemas.openxmlformats.org/officeDocument/2006/relationships" ref="O3384" r:id="rId3800"/>
    <hyperlink xmlns:r="http://schemas.openxmlformats.org/officeDocument/2006/relationships" ref="N3385" r:id="rId3801"/>
    <hyperlink xmlns:r="http://schemas.openxmlformats.org/officeDocument/2006/relationships" ref="O3385" r:id="rId3802"/>
    <hyperlink xmlns:r="http://schemas.openxmlformats.org/officeDocument/2006/relationships" ref="N3386" r:id="rId3803"/>
    <hyperlink xmlns:r="http://schemas.openxmlformats.org/officeDocument/2006/relationships" ref="O3386" r:id="rId3804"/>
    <hyperlink xmlns:r="http://schemas.openxmlformats.org/officeDocument/2006/relationships" ref="O3387" r:id="rId3805"/>
    <hyperlink xmlns:r="http://schemas.openxmlformats.org/officeDocument/2006/relationships" ref="O3388" r:id="rId3806"/>
    <hyperlink xmlns:r="http://schemas.openxmlformats.org/officeDocument/2006/relationships" ref="O3389" r:id="rId3807"/>
    <hyperlink xmlns:r="http://schemas.openxmlformats.org/officeDocument/2006/relationships" ref="O3390" r:id="rId3808"/>
    <hyperlink xmlns:r="http://schemas.openxmlformats.org/officeDocument/2006/relationships" ref="O3391" r:id="rId3809"/>
    <hyperlink xmlns:r="http://schemas.openxmlformats.org/officeDocument/2006/relationships" ref="O3392" r:id="rId3810"/>
    <hyperlink xmlns:r="http://schemas.openxmlformats.org/officeDocument/2006/relationships" ref="N3393" r:id="rId3811"/>
    <hyperlink xmlns:r="http://schemas.openxmlformats.org/officeDocument/2006/relationships" ref="O3393" r:id="rId3812"/>
    <hyperlink xmlns:r="http://schemas.openxmlformats.org/officeDocument/2006/relationships" ref="N3394" r:id="rId3813"/>
    <hyperlink xmlns:r="http://schemas.openxmlformats.org/officeDocument/2006/relationships" ref="O3394" r:id="rId3814"/>
    <hyperlink xmlns:r="http://schemas.openxmlformats.org/officeDocument/2006/relationships" ref="N3395" r:id="rId3815"/>
    <hyperlink xmlns:r="http://schemas.openxmlformats.org/officeDocument/2006/relationships" ref="O3395" r:id="rId3816"/>
    <hyperlink xmlns:r="http://schemas.openxmlformats.org/officeDocument/2006/relationships" ref="N3396" r:id="rId3817"/>
    <hyperlink xmlns:r="http://schemas.openxmlformats.org/officeDocument/2006/relationships" ref="O3396" r:id="rId3818"/>
    <hyperlink xmlns:r="http://schemas.openxmlformats.org/officeDocument/2006/relationships" ref="O3397" r:id="rId3819"/>
    <hyperlink xmlns:r="http://schemas.openxmlformats.org/officeDocument/2006/relationships" ref="N3398" r:id="rId3820"/>
    <hyperlink xmlns:r="http://schemas.openxmlformats.org/officeDocument/2006/relationships" ref="O3398" r:id="rId3821"/>
    <hyperlink xmlns:r="http://schemas.openxmlformats.org/officeDocument/2006/relationships" ref="O3399" r:id="rId3822"/>
    <hyperlink xmlns:r="http://schemas.openxmlformats.org/officeDocument/2006/relationships" ref="N3400" r:id="rId3823"/>
    <hyperlink xmlns:r="http://schemas.openxmlformats.org/officeDocument/2006/relationships" ref="O3400" r:id="rId3824"/>
    <hyperlink xmlns:r="http://schemas.openxmlformats.org/officeDocument/2006/relationships" ref="O3401" r:id="rId3825"/>
    <hyperlink xmlns:r="http://schemas.openxmlformats.org/officeDocument/2006/relationships" ref="O3402" r:id="rId3826"/>
    <hyperlink xmlns:r="http://schemas.openxmlformats.org/officeDocument/2006/relationships" ref="N3403" r:id="rId3827"/>
    <hyperlink xmlns:r="http://schemas.openxmlformats.org/officeDocument/2006/relationships" ref="O3403" r:id="rId3828"/>
    <hyperlink xmlns:r="http://schemas.openxmlformats.org/officeDocument/2006/relationships" ref="O3404" r:id="rId3829"/>
    <hyperlink xmlns:r="http://schemas.openxmlformats.org/officeDocument/2006/relationships" ref="O3405" r:id="rId3830"/>
    <hyperlink xmlns:r="http://schemas.openxmlformats.org/officeDocument/2006/relationships" ref="O3406" r:id="rId3831"/>
    <hyperlink xmlns:r="http://schemas.openxmlformats.org/officeDocument/2006/relationships" ref="O3407" r:id="rId3832"/>
    <hyperlink xmlns:r="http://schemas.openxmlformats.org/officeDocument/2006/relationships" ref="O3408" r:id="rId3833"/>
    <hyperlink xmlns:r="http://schemas.openxmlformats.org/officeDocument/2006/relationships" ref="O3409" r:id="rId3834"/>
    <hyperlink xmlns:r="http://schemas.openxmlformats.org/officeDocument/2006/relationships" ref="O3410" r:id="rId3835"/>
    <hyperlink xmlns:r="http://schemas.openxmlformats.org/officeDocument/2006/relationships" ref="O3411" r:id="rId3836"/>
    <hyperlink xmlns:r="http://schemas.openxmlformats.org/officeDocument/2006/relationships" ref="O3412" r:id="rId3837"/>
    <hyperlink xmlns:r="http://schemas.openxmlformats.org/officeDocument/2006/relationships" ref="O3413" r:id="rId3838"/>
    <hyperlink xmlns:r="http://schemas.openxmlformats.org/officeDocument/2006/relationships" ref="O3414" r:id="rId3839"/>
    <hyperlink xmlns:r="http://schemas.openxmlformats.org/officeDocument/2006/relationships" ref="N3415" r:id="rId3840"/>
    <hyperlink xmlns:r="http://schemas.openxmlformats.org/officeDocument/2006/relationships" ref="O3415" r:id="rId3841"/>
    <hyperlink xmlns:r="http://schemas.openxmlformats.org/officeDocument/2006/relationships" ref="O3416" r:id="rId3842"/>
    <hyperlink xmlns:r="http://schemas.openxmlformats.org/officeDocument/2006/relationships" ref="O3417" r:id="rId3843"/>
    <hyperlink xmlns:r="http://schemas.openxmlformats.org/officeDocument/2006/relationships" ref="O3418" r:id="rId3844"/>
    <hyperlink xmlns:r="http://schemas.openxmlformats.org/officeDocument/2006/relationships" ref="O3419" r:id="rId3845"/>
    <hyperlink xmlns:r="http://schemas.openxmlformats.org/officeDocument/2006/relationships" ref="O3420" r:id="rId3846"/>
    <hyperlink xmlns:r="http://schemas.openxmlformats.org/officeDocument/2006/relationships" ref="O3421" r:id="rId3847"/>
    <hyperlink xmlns:r="http://schemas.openxmlformats.org/officeDocument/2006/relationships" ref="N3422" r:id="rId3848"/>
    <hyperlink xmlns:r="http://schemas.openxmlformats.org/officeDocument/2006/relationships" ref="O3422" r:id="rId3849"/>
    <hyperlink xmlns:r="http://schemas.openxmlformats.org/officeDocument/2006/relationships" ref="N3423" r:id="rId3850"/>
    <hyperlink xmlns:r="http://schemas.openxmlformats.org/officeDocument/2006/relationships" ref="O3423" r:id="rId3851"/>
    <hyperlink xmlns:r="http://schemas.openxmlformats.org/officeDocument/2006/relationships" ref="O3424" r:id="rId3852"/>
    <hyperlink xmlns:r="http://schemas.openxmlformats.org/officeDocument/2006/relationships" ref="N3425" r:id="rId3853"/>
    <hyperlink xmlns:r="http://schemas.openxmlformats.org/officeDocument/2006/relationships" ref="O3425" r:id="rId3854"/>
    <hyperlink xmlns:r="http://schemas.openxmlformats.org/officeDocument/2006/relationships" ref="N3426" r:id="rId3855"/>
    <hyperlink xmlns:r="http://schemas.openxmlformats.org/officeDocument/2006/relationships" ref="O3426" r:id="rId3856"/>
    <hyperlink xmlns:r="http://schemas.openxmlformats.org/officeDocument/2006/relationships" ref="O3427" r:id="rId3857"/>
    <hyperlink xmlns:r="http://schemas.openxmlformats.org/officeDocument/2006/relationships" ref="O3428" r:id="rId3858"/>
    <hyperlink xmlns:r="http://schemas.openxmlformats.org/officeDocument/2006/relationships" ref="O3429" r:id="rId3859"/>
    <hyperlink xmlns:r="http://schemas.openxmlformats.org/officeDocument/2006/relationships" ref="O3430" r:id="rId3860"/>
    <hyperlink xmlns:r="http://schemas.openxmlformats.org/officeDocument/2006/relationships" ref="O3431" r:id="rId3861"/>
    <hyperlink xmlns:r="http://schemas.openxmlformats.org/officeDocument/2006/relationships" ref="O3432" r:id="rId3862"/>
    <hyperlink xmlns:r="http://schemas.openxmlformats.org/officeDocument/2006/relationships" ref="O3433" r:id="rId3863"/>
    <hyperlink xmlns:r="http://schemas.openxmlformats.org/officeDocument/2006/relationships" ref="N3434" r:id="rId3864"/>
    <hyperlink xmlns:r="http://schemas.openxmlformats.org/officeDocument/2006/relationships" ref="O3434" r:id="rId3865"/>
    <hyperlink xmlns:r="http://schemas.openxmlformats.org/officeDocument/2006/relationships" ref="N3435" r:id="rId3866"/>
    <hyperlink xmlns:r="http://schemas.openxmlformats.org/officeDocument/2006/relationships" ref="O3435" r:id="rId3867"/>
    <hyperlink xmlns:r="http://schemas.openxmlformats.org/officeDocument/2006/relationships" ref="N3436" r:id="rId3868"/>
    <hyperlink xmlns:r="http://schemas.openxmlformats.org/officeDocument/2006/relationships" ref="O3436" r:id="rId3869"/>
    <hyperlink xmlns:r="http://schemas.openxmlformats.org/officeDocument/2006/relationships" ref="N3437" r:id="rId3870"/>
    <hyperlink xmlns:r="http://schemas.openxmlformats.org/officeDocument/2006/relationships" ref="O3437" r:id="rId3871"/>
    <hyperlink xmlns:r="http://schemas.openxmlformats.org/officeDocument/2006/relationships" ref="N3438" r:id="rId3872"/>
    <hyperlink xmlns:r="http://schemas.openxmlformats.org/officeDocument/2006/relationships" ref="O3438" r:id="rId3873"/>
    <hyperlink xmlns:r="http://schemas.openxmlformats.org/officeDocument/2006/relationships" ref="N3439" r:id="rId3874"/>
    <hyperlink xmlns:r="http://schemas.openxmlformats.org/officeDocument/2006/relationships" ref="O3439" r:id="rId3875"/>
    <hyperlink xmlns:r="http://schemas.openxmlformats.org/officeDocument/2006/relationships" ref="N3440" r:id="rId3876"/>
    <hyperlink xmlns:r="http://schemas.openxmlformats.org/officeDocument/2006/relationships" ref="O3440" r:id="rId3877"/>
    <hyperlink xmlns:r="http://schemas.openxmlformats.org/officeDocument/2006/relationships" ref="N3441" r:id="rId3878"/>
    <hyperlink xmlns:r="http://schemas.openxmlformats.org/officeDocument/2006/relationships" ref="O3441" r:id="rId3879"/>
    <hyperlink xmlns:r="http://schemas.openxmlformats.org/officeDocument/2006/relationships" ref="O3442" r:id="rId3880"/>
    <hyperlink xmlns:r="http://schemas.openxmlformats.org/officeDocument/2006/relationships" ref="O3443" r:id="rId3881"/>
    <hyperlink xmlns:r="http://schemas.openxmlformats.org/officeDocument/2006/relationships" ref="O3444" r:id="rId3882"/>
    <hyperlink xmlns:r="http://schemas.openxmlformats.org/officeDocument/2006/relationships" ref="O3445" r:id="rId3883"/>
    <hyperlink xmlns:r="http://schemas.openxmlformats.org/officeDocument/2006/relationships" ref="O3446" r:id="rId3884"/>
    <hyperlink xmlns:r="http://schemas.openxmlformats.org/officeDocument/2006/relationships" ref="O3447" r:id="rId3885"/>
    <hyperlink xmlns:r="http://schemas.openxmlformats.org/officeDocument/2006/relationships" ref="O3448" r:id="rId3886"/>
    <hyperlink xmlns:r="http://schemas.openxmlformats.org/officeDocument/2006/relationships" ref="O3449" r:id="rId3887"/>
    <hyperlink xmlns:r="http://schemas.openxmlformats.org/officeDocument/2006/relationships" ref="O3450" r:id="rId3888"/>
    <hyperlink xmlns:r="http://schemas.openxmlformats.org/officeDocument/2006/relationships" ref="O3451" r:id="rId3889"/>
    <hyperlink xmlns:r="http://schemas.openxmlformats.org/officeDocument/2006/relationships" ref="O3452" r:id="rId3890"/>
    <hyperlink xmlns:r="http://schemas.openxmlformats.org/officeDocument/2006/relationships" ref="O3453" r:id="rId3891"/>
    <hyperlink xmlns:r="http://schemas.openxmlformats.org/officeDocument/2006/relationships" ref="O3454" r:id="rId3892"/>
    <hyperlink xmlns:r="http://schemas.openxmlformats.org/officeDocument/2006/relationships" ref="O3455" r:id="rId3893"/>
    <hyperlink xmlns:r="http://schemas.openxmlformats.org/officeDocument/2006/relationships" ref="O3456" r:id="rId3894"/>
    <hyperlink xmlns:r="http://schemas.openxmlformats.org/officeDocument/2006/relationships" ref="O3457" r:id="rId3895"/>
    <hyperlink xmlns:r="http://schemas.openxmlformats.org/officeDocument/2006/relationships" ref="O3458" r:id="rId3896"/>
    <hyperlink xmlns:r="http://schemas.openxmlformats.org/officeDocument/2006/relationships" ref="O3459" r:id="rId3897"/>
    <hyperlink xmlns:r="http://schemas.openxmlformats.org/officeDocument/2006/relationships" ref="O3460" r:id="rId3898"/>
    <hyperlink xmlns:r="http://schemas.openxmlformats.org/officeDocument/2006/relationships" ref="O3461" r:id="rId3899"/>
    <hyperlink xmlns:r="http://schemas.openxmlformats.org/officeDocument/2006/relationships" ref="O3462" r:id="rId3900"/>
    <hyperlink xmlns:r="http://schemas.openxmlformats.org/officeDocument/2006/relationships" ref="O3463" r:id="rId3901"/>
    <hyperlink xmlns:r="http://schemas.openxmlformats.org/officeDocument/2006/relationships" ref="O3464" r:id="rId3902"/>
    <hyperlink xmlns:r="http://schemas.openxmlformats.org/officeDocument/2006/relationships" ref="O3465" r:id="rId3903"/>
    <hyperlink xmlns:r="http://schemas.openxmlformats.org/officeDocument/2006/relationships" ref="O3466" r:id="rId3904"/>
    <hyperlink xmlns:r="http://schemas.openxmlformats.org/officeDocument/2006/relationships" ref="O3467" r:id="rId3905"/>
    <hyperlink xmlns:r="http://schemas.openxmlformats.org/officeDocument/2006/relationships" ref="O3468" r:id="rId3906"/>
    <hyperlink xmlns:r="http://schemas.openxmlformats.org/officeDocument/2006/relationships" ref="N3469" r:id="rId3907"/>
    <hyperlink xmlns:r="http://schemas.openxmlformats.org/officeDocument/2006/relationships" ref="O3469" r:id="rId3908"/>
    <hyperlink xmlns:r="http://schemas.openxmlformats.org/officeDocument/2006/relationships" ref="N3470" r:id="rId3909"/>
    <hyperlink xmlns:r="http://schemas.openxmlformats.org/officeDocument/2006/relationships" ref="O3470" r:id="rId3910"/>
    <hyperlink xmlns:r="http://schemas.openxmlformats.org/officeDocument/2006/relationships" ref="N3471" r:id="rId3911"/>
    <hyperlink xmlns:r="http://schemas.openxmlformats.org/officeDocument/2006/relationships" ref="O3471" r:id="rId3912"/>
    <hyperlink xmlns:r="http://schemas.openxmlformats.org/officeDocument/2006/relationships" ref="O3472" r:id="rId3913"/>
    <hyperlink xmlns:r="http://schemas.openxmlformats.org/officeDocument/2006/relationships" ref="O3473" r:id="rId3914"/>
    <hyperlink xmlns:r="http://schemas.openxmlformats.org/officeDocument/2006/relationships" ref="N3474" r:id="rId3915"/>
    <hyperlink xmlns:r="http://schemas.openxmlformats.org/officeDocument/2006/relationships" ref="O3474" r:id="rId3916"/>
    <hyperlink xmlns:r="http://schemas.openxmlformats.org/officeDocument/2006/relationships" ref="N3475" r:id="rId3917"/>
    <hyperlink xmlns:r="http://schemas.openxmlformats.org/officeDocument/2006/relationships" ref="O3475" r:id="rId3918"/>
    <hyperlink xmlns:r="http://schemas.openxmlformats.org/officeDocument/2006/relationships" ref="O3476" r:id="rId3919"/>
    <hyperlink xmlns:r="http://schemas.openxmlformats.org/officeDocument/2006/relationships" ref="O3477" r:id="rId3920"/>
    <hyperlink xmlns:r="http://schemas.openxmlformats.org/officeDocument/2006/relationships" ref="O3478" r:id="rId3921"/>
    <hyperlink xmlns:r="http://schemas.openxmlformats.org/officeDocument/2006/relationships" ref="O3479" r:id="rId3922"/>
    <hyperlink xmlns:r="http://schemas.openxmlformats.org/officeDocument/2006/relationships" ref="O3480" r:id="rId3923"/>
    <hyperlink xmlns:r="http://schemas.openxmlformats.org/officeDocument/2006/relationships" ref="O3481" r:id="rId3924"/>
    <hyperlink xmlns:r="http://schemas.openxmlformats.org/officeDocument/2006/relationships" ref="N3482" r:id="rId3925"/>
    <hyperlink xmlns:r="http://schemas.openxmlformats.org/officeDocument/2006/relationships" ref="O3482" r:id="rId3926"/>
    <hyperlink xmlns:r="http://schemas.openxmlformats.org/officeDocument/2006/relationships" ref="N3483" r:id="rId3927"/>
    <hyperlink xmlns:r="http://schemas.openxmlformats.org/officeDocument/2006/relationships" ref="O3483" r:id="rId3928"/>
    <hyperlink xmlns:r="http://schemas.openxmlformats.org/officeDocument/2006/relationships" ref="N3484" r:id="rId3929"/>
    <hyperlink xmlns:r="http://schemas.openxmlformats.org/officeDocument/2006/relationships" ref="O3484" r:id="rId3930"/>
    <hyperlink xmlns:r="http://schemas.openxmlformats.org/officeDocument/2006/relationships" ref="O3485" r:id="rId3931"/>
    <hyperlink xmlns:r="http://schemas.openxmlformats.org/officeDocument/2006/relationships" ref="O3486" r:id="rId3932"/>
    <hyperlink xmlns:r="http://schemas.openxmlformats.org/officeDocument/2006/relationships" ref="O3487" r:id="rId3933"/>
    <hyperlink xmlns:r="http://schemas.openxmlformats.org/officeDocument/2006/relationships" ref="N3488" r:id="rId3934"/>
    <hyperlink xmlns:r="http://schemas.openxmlformats.org/officeDocument/2006/relationships" ref="O3488" r:id="rId3935"/>
    <hyperlink xmlns:r="http://schemas.openxmlformats.org/officeDocument/2006/relationships" ref="O3489" r:id="rId3936"/>
    <hyperlink xmlns:r="http://schemas.openxmlformats.org/officeDocument/2006/relationships" ref="N3490" r:id="rId3937"/>
    <hyperlink xmlns:r="http://schemas.openxmlformats.org/officeDocument/2006/relationships" ref="O3490" r:id="rId3938"/>
    <hyperlink xmlns:r="http://schemas.openxmlformats.org/officeDocument/2006/relationships" ref="N3491" r:id="rId3939"/>
    <hyperlink xmlns:r="http://schemas.openxmlformats.org/officeDocument/2006/relationships" ref="O3491" r:id="rId3940"/>
    <hyperlink xmlns:r="http://schemas.openxmlformats.org/officeDocument/2006/relationships" ref="O3492" r:id="rId3941"/>
    <hyperlink xmlns:r="http://schemas.openxmlformats.org/officeDocument/2006/relationships" ref="O3493" r:id="rId3942"/>
    <hyperlink xmlns:r="http://schemas.openxmlformats.org/officeDocument/2006/relationships" ref="O3494" r:id="rId3943"/>
    <hyperlink xmlns:r="http://schemas.openxmlformats.org/officeDocument/2006/relationships" ref="O3495" r:id="rId3944"/>
    <hyperlink xmlns:r="http://schemas.openxmlformats.org/officeDocument/2006/relationships" ref="N3496" r:id="rId3945"/>
    <hyperlink xmlns:r="http://schemas.openxmlformats.org/officeDocument/2006/relationships" ref="O3496" r:id="rId3946"/>
    <hyperlink xmlns:r="http://schemas.openxmlformats.org/officeDocument/2006/relationships" ref="O3497" r:id="rId3947"/>
    <hyperlink xmlns:r="http://schemas.openxmlformats.org/officeDocument/2006/relationships" ref="O3498" r:id="rId3948"/>
    <hyperlink xmlns:r="http://schemas.openxmlformats.org/officeDocument/2006/relationships" ref="N3499" r:id="rId3949"/>
    <hyperlink xmlns:r="http://schemas.openxmlformats.org/officeDocument/2006/relationships" ref="O3499" r:id="rId3950"/>
    <hyperlink xmlns:r="http://schemas.openxmlformats.org/officeDocument/2006/relationships" ref="O3500" r:id="rId3951"/>
    <hyperlink xmlns:r="http://schemas.openxmlformats.org/officeDocument/2006/relationships" ref="O3501" r:id="rId3952"/>
    <hyperlink xmlns:r="http://schemas.openxmlformats.org/officeDocument/2006/relationships" ref="N3502" r:id="rId3953"/>
    <hyperlink xmlns:r="http://schemas.openxmlformats.org/officeDocument/2006/relationships" ref="O3502" r:id="rId3954"/>
    <hyperlink xmlns:r="http://schemas.openxmlformats.org/officeDocument/2006/relationships" ref="N3503" r:id="rId3955"/>
    <hyperlink xmlns:r="http://schemas.openxmlformats.org/officeDocument/2006/relationships" ref="O3503" r:id="rId3956"/>
    <hyperlink xmlns:r="http://schemas.openxmlformats.org/officeDocument/2006/relationships" ref="O3504" r:id="rId3957"/>
    <hyperlink xmlns:r="http://schemas.openxmlformats.org/officeDocument/2006/relationships" ref="N3505" r:id="rId3958"/>
    <hyperlink xmlns:r="http://schemas.openxmlformats.org/officeDocument/2006/relationships" ref="O3505" r:id="rId3959"/>
    <hyperlink xmlns:r="http://schemas.openxmlformats.org/officeDocument/2006/relationships" ref="O3506" r:id="rId3960"/>
    <hyperlink xmlns:r="http://schemas.openxmlformats.org/officeDocument/2006/relationships" ref="O3507" r:id="rId3961"/>
    <hyperlink xmlns:r="http://schemas.openxmlformats.org/officeDocument/2006/relationships" ref="O3508" r:id="rId3962"/>
    <hyperlink xmlns:r="http://schemas.openxmlformats.org/officeDocument/2006/relationships" ref="O3509" r:id="rId3963"/>
    <hyperlink xmlns:r="http://schemas.openxmlformats.org/officeDocument/2006/relationships" ref="N3510" r:id="rId3964"/>
    <hyperlink xmlns:r="http://schemas.openxmlformats.org/officeDocument/2006/relationships" ref="O3510" r:id="rId3965"/>
    <hyperlink xmlns:r="http://schemas.openxmlformats.org/officeDocument/2006/relationships" ref="O3511" r:id="rId3966"/>
    <hyperlink xmlns:r="http://schemas.openxmlformats.org/officeDocument/2006/relationships" ref="O3512" r:id="rId3967"/>
    <hyperlink xmlns:r="http://schemas.openxmlformats.org/officeDocument/2006/relationships" ref="N3513" r:id="rId3968"/>
    <hyperlink xmlns:r="http://schemas.openxmlformats.org/officeDocument/2006/relationships" ref="O3513" r:id="rId3969"/>
    <hyperlink xmlns:r="http://schemas.openxmlformats.org/officeDocument/2006/relationships" ref="O3514" r:id="rId3970"/>
    <hyperlink xmlns:r="http://schemas.openxmlformats.org/officeDocument/2006/relationships" ref="O3515" r:id="rId3971"/>
    <hyperlink xmlns:r="http://schemas.openxmlformats.org/officeDocument/2006/relationships" ref="O3516" r:id="rId3972"/>
    <hyperlink xmlns:r="http://schemas.openxmlformats.org/officeDocument/2006/relationships" ref="O3517" r:id="rId3973"/>
    <hyperlink xmlns:r="http://schemas.openxmlformats.org/officeDocument/2006/relationships" ref="N3518" r:id="rId3974"/>
    <hyperlink xmlns:r="http://schemas.openxmlformats.org/officeDocument/2006/relationships" ref="O3518" r:id="rId3975"/>
    <hyperlink xmlns:r="http://schemas.openxmlformats.org/officeDocument/2006/relationships" ref="N3519" r:id="rId3976"/>
    <hyperlink xmlns:r="http://schemas.openxmlformats.org/officeDocument/2006/relationships" ref="O3519" r:id="rId3977"/>
    <hyperlink xmlns:r="http://schemas.openxmlformats.org/officeDocument/2006/relationships" ref="N3520" r:id="rId3978"/>
    <hyperlink xmlns:r="http://schemas.openxmlformats.org/officeDocument/2006/relationships" ref="O3520" r:id="rId3979"/>
    <hyperlink xmlns:r="http://schemas.openxmlformats.org/officeDocument/2006/relationships" ref="N3521" r:id="rId3980"/>
    <hyperlink xmlns:r="http://schemas.openxmlformats.org/officeDocument/2006/relationships" ref="O3521" r:id="rId3981"/>
    <hyperlink xmlns:r="http://schemas.openxmlformats.org/officeDocument/2006/relationships" ref="N3522" r:id="rId3982"/>
    <hyperlink xmlns:r="http://schemas.openxmlformats.org/officeDocument/2006/relationships" ref="O3522" r:id="rId3983"/>
    <hyperlink xmlns:r="http://schemas.openxmlformats.org/officeDocument/2006/relationships" ref="O3523" r:id="rId3984"/>
    <hyperlink xmlns:r="http://schemas.openxmlformats.org/officeDocument/2006/relationships" ref="O3524" r:id="rId3985"/>
    <hyperlink xmlns:r="http://schemas.openxmlformats.org/officeDocument/2006/relationships" ref="O3525" r:id="rId3986"/>
    <hyperlink xmlns:r="http://schemas.openxmlformats.org/officeDocument/2006/relationships" ref="O3526" r:id="rId3987"/>
    <hyperlink xmlns:r="http://schemas.openxmlformats.org/officeDocument/2006/relationships" ref="N3527" r:id="rId3988"/>
    <hyperlink xmlns:r="http://schemas.openxmlformats.org/officeDocument/2006/relationships" ref="O3527" r:id="rId3989"/>
    <hyperlink xmlns:r="http://schemas.openxmlformats.org/officeDocument/2006/relationships" ref="O3528" r:id="rId3990"/>
    <hyperlink xmlns:r="http://schemas.openxmlformats.org/officeDocument/2006/relationships" ref="N3529" r:id="rId3991"/>
    <hyperlink xmlns:r="http://schemas.openxmlformats.org/officeDocument/2006/relationships" ref="O3529" r:id="rId3992"/>
    <hyperlink xmlns:r="http://schemas.openxmlformats.org/officeDocument/2006/relationships" ref="N3530" r:id="rId3993"/>
    <hyperlink xmlns:r="http://schemas.openxmlformats.org/officeDocument/2006/relationships" ref="O3530" r:id="rId3994"/>
    <hyperlink xmlns:r="http://schemas.openxmlformats.org/officeDocument/2006/relationships" ref="O3531" r:id="rId3995"/>
    <hyperlink xmlns:r="http://schemas.openxmlformats.org/officeDocument/2006/relationships" ref="O3532" r:id="rId3996"/>
    <hyperlink xmlns:r="http://schemas.openxmlformats.org/officeDocument/2006/relationships" ref="O3533" r:id="rId3997"/>
    <hyperlink xmlns:r="http://schemas.openxmlformats.org/officeDocument/2006/relationships" ref="N3534" r:id="rId3998"/>
    <hyperlink xmlns:r="http://schemas.openxmlformats.org/officeDocument/2006/relationships" ref="O3534" r:id="rId3999"/>
    <hyperlink xmlns:r="http://schemas.openxmlformats.org/officeDocument/2006/relationships" ref="O3535" r:id="rId4000"/>
    <hyperlink xmlns:r="http://schemas.openxmlformats.org/officeDocument/2006/relationships" ref="O3536" r:id="rId4001"/>
    <hyperlink xmlns:r="http://schemas.openxmlformats.org/officeDocument/2006/relationships" ref="N3537" r:id="rId4002"/>
    <hyperlink xmlns:r="http://schemas.openxmlformats.org/officeDocument/2006/relationships" ref="O3537" r:id="rId4003"/>
    <hyperlink xmlns:r="http://schemas.openxmlformats.org/officeDocument/2006/relationships" ref="O3538" r:id="rId4004"/>
    <hyperlink xmlns:r="http://schemas.openxmlformats.org/officeDocument/2006/relationships" ref="O3539" r:id="rId4005"/>
    <hyperlink xmlns:r="http://schemas.openxmlformats.org/officeDocument/2006/relationships" ref="O3540" r:id="rId4006"/>
    <hyperlink xmlns:r="http://schemas.openxmlformats.org/officeDocument/2006/relationships" ref="N3541" r:id="rId4007"/>
    <hyperlink xmlns:r="http://schemas.openxmlformats.org/officeDocument/2006/relationships" ref="O3541" r:id="rId4008"/>
    <hyperlink xmlns:r="http://schemas.openxmlformats.org/officeDocument/2006/relationships" ref="O3542" r:id="rId4009"/>
    <hyperlink xmlns:r="http://schemas.openxmlformats.org/officeDocument/2006/relationships" ref="O3543" r:id="rId4010"/>
    <hyperlink xmlns:r="http://schemas.openxmlformats.org/officeDocument/2006/relationships" ref="N3544" r:id="rId4011"/>
    <hyperlink xmlns:r="http://schemas.openxmlformats.org/officeDocument/2006/relationships" ref="O3544" r:id="rId4012"/>
    <hyperlink xmlns:r="http://schemas.openxmlformats.org/officeDocument/2006/relationships" ref="O3545" r:id="rId4013"/>
    <hyperlink xmlns:r="http://schemas.openxmlformats.org/officeDocument/2006/relationships" ref="O3546" r:id="rId4014"/>
    <hyperlink xmlns:r="http://schemas.openxmlformats.org/officeDocument/2006/relationships" ref="O3547" r:id="rId4015"/>
    <hyperlink xmlns:r="http://schemas.openxmlformats.org/officeDocument/2006/relationships" ref="O3548" r:id="rId4016"/>
    <hyperlink xmlns:r="http://schemas.openxmlformats.org/officeDocument/2006/relationships" ref="O3549" r:id="rId4017"/>
    <hyperlink xmlns:r="http://schemas.openxmlformats.org/officeDocument/2006/relationships" ref="O3550" r:id="rId4018"/>
    <hyperlink xmlns:r="http://schemas.openxmlformats.org/officeDocument/2006/relationships" ref="O3551" r:id="rId4019"/>
    <hyperlink xmlns:r="http://schemas.openxmlformats.org/officeDocument/2006/relationships" ref="O3552" r:id="rId4020"/>
    <hyperlink xmlns:r="http://schemas.openxmlformats.org/officeDocument/2006/relationships" ref="N3553" r:id="rId4021"/>
    <hyperlink xmlns:r="http://schemas.openxmlformats.org/officeDocument/2006/relationships" ref="O3553" r:id="rId4022"/>
    <hyperlink xmlns:r="http://schemas.openxmlformats.org/officeDocument/2006/relationships" ref="O3554" r:id="rId4023"/>
    <hyperlink xmlns:r="http://schemas.openxmlformats.org/officeDocument/2006/relationships" ref="O3555" r:id="rId4024"/>
    <hyperlink xmlns:r="http://schemas.openxmlformats.org/officeDocument/2006/relationships" ref="O3556" r:id="rId4025"/>
    <hyperlink xmlns:r="http://schemas.openxmlformats.org/officeDocument/2006/relationships" ref="N3557" r:id="rId4026"/>
    <hyperlink xmlns:r="http://schemas.openxmlformats.org/officeDocument/2006/relationships" ref="O3557" r:id="rId4027"/>
    <hyperlink xmlns:r="http://schemas.openxmlformats.org/officeDocument/2006/relationships" ref="O3558" r:id="rId4028"/>
    <hyperlink xmlns:r="http://schemas.openxmlformats.org/officeDocument/2006/relationships" ref="O3559" r:id="rId4029"/>
    <hyperlink xmlns:r="http://schemas.openxmlformats.org/officeDocument/2006/relationships" ref="O3560" r:id="rId4030"/>
    <hyperlink xmlns:r="http://schemas.openxmlformats.org/officeDocument/2006/relationships" ref="O3561" r:id="rId4031"/>
    <hyperlink xmlns:r="http://schemas.openxmlformats.org/officeDocument/2006/relationships" ref="O3562" r:id="rId4032"/>
    <hyperlink xmlns:r="http://schemas.openxmlformats.org/officeDocument/2006/relationships" ref="N3563" r:id="rId4033"/>
    <hyperlink xmlns:r="http://schemas.openxmlformats.org/officeDocument/2006/relationships" ref="O3563" r:id="rId4034"/>
    <hyperlink xmlns:r="http://schemas.openxmlformats.org/officeDocument/2006/relationships" ref="O3564" r:id="rId4035"/>
    <hyperlink xmlns:r="http://schemas.openxmlformats.org/officeDocument/2006/relationships" ref="O3565" r:id="rId4036"/>
    <hyperlink xmlns:r="http://schemas.openxmlformats.org/officeDocument/2006/relationships" ref="N3566" r:id="rId4037"/>
    <hyperlink xmlns:r="http://schemas.openxmlformats.org/officeDocument/2006/relationships" ref="O3566" r:id="rId4038"/>
    <hyperlink xmlns:r="http://schemas.openxmlformats.org/officeDocument/2006/relationships" ref="N3567" r:id="rId4039"/>
    <hyperlink xmlns:r="http://schemas.openxmlformats.org/officeDocument/2006/relationships" ref="O3567" r:id="rId4040"/>
    <hyperlink xmlns:r="http://schemas.openxmlformats.org/officeDocument/2006/relationships" ref="O3568" r:id="rId4041"/>
    <hyperlink xmlns:r="http://schemas.openxmlformats.org/officeDocument/2006/relationships" ref="O3569" r:id="rId4042"/>
    <hyperlink xmlns:r="http://schemas.openxmlformats.org/officeDocument/2006/relationships" ref="O3570" r:id="rId4043"/>
    <hyperlink xmlns:r="http://schemas.openxmlformats.org/officeDocument/2006/relationships" ref="O3571" r:id="rId4044"/>
    <hyperlink xmlns:r="http://schemas.openxmlformats.org/officeDocument/2006/relationships" ref="N3572" r:id="rId4045"/>
    <hyperlink xmlns:r="http://schemas.openxmlformats.org/officeDocument/2006/relationships" ref="O3572" r:id="rId4046"/>
    <hyperlink xmlns:r="http://schemas.openxmlformats.org/officeDocument/2006/relationships" ref="N3573" r:id="rId4047"/>
    <hyperlink xmlns:r="http://schemas.openxmlformats.org/officeDocument/2006/relationships" ref="O3573" r:id="rId4048"/>
    <hyperlink xmlns:r="http://schemas.openxmlformats.org/officeDocument/2006/relationships" ref="N3574" r:id="rId4049"/>
    <hyperlink xmlns:r="http://schemas.openxmlformats.org/officeDocument/2006/relationships" ref="N3575" r:id="rId4050"/>
    <hyperlink xmlns:r="http://schemas.openxmlformats.org/officeDocument/2006/relationships" ref="O3575" r:id="rId4051"/>
    <hyperlink xmlns:r="http://schemas.openxmlformats.org/officeDocument/2006/relationships" ref="O3576" r:id="rId4052"/>
    <hyperlink xmlns:r="http://schemas.openxmlformats.org/officeDocument/2006/relationships" ref="N3577" r:id="rId4053"/>
    <hyperlink xmlns:r="http://schemas.openxmlformats.org/officeDocument/2006/relationships" ref="N3578" r:id="rId4054"/>
    <hyperlink xmlns:r="http://schemas.openxmlformats.org/officeDocument/2006/relationships" ref="N3579" r:id="rId4055"/>
    <hyperlink xmlns:r="http://schemas.openxmlformats.org/officeDocument/2006/relationships" ref="N3580" r:id="rId4056"/>
    <hyperlink xmlns:r="http://schemas.openxmlformats.org/officeDocument/2006/relationships" ref="N3581" r:id="rId4057"/>
    <hyperlink xmlns:r="http://schemas.openxmlformats.org/officeDocument/2006/relationships" ref="N3582" r:id="rId4058"/>
    <hyperlink xmlns:r="http://schemas.openxmlformats.org/officeDocument/2006/relationships" ref="N3583" r:id="rId4059"/>
    <hyperlink xmlns:r="http://schemas.openxmlformats.org/officeDocument/2006/relationships" ref="N3584" r:id="rId4060"/>
    <hyperlink xmlns:r="http://schemas.openxmlformats.org/officeDocument/2006/relationships" ref="N3585" r:id="rId4061"/>
    <hyperlink xmlns:r="http://schemas.openxmlformats.org/officeDocument/2006/relationships" ref="N3586" r:id="rId4062"/>
    <hyperlink xmlns:r="http://schemas.openxmlformats.org/officeDocument/2006/relationships" ref="O3586" r:id="rId4063"/>
    <hyperlink xmlns:r="http://schemas.openxmlformats.org/officeDocument/2006/relationships" ref="N3587" r:id="rId4064"/>
    <hyperlink xmlns:r="http://schemas.openxmlformats.org/officeDocument/2006/relationships" ref="N3588" r:id="rId4065"/>
    <hyperlink xmlns:r="http://schemas.openxmlformats.org/officeDocument/2006/relationships" ref="N3589" r:id="rId4066"/>
    <hyperlink xmlns:r="http://schemas.openxmlformats.org/officeDocument/2006/relationships" ref="N3590" r:id="rId4067"/>
    <hyperlink xmlns:r="http://schemas.openxmlformats.org/officeDocument/2006/relationships" ref="N3591" r:id="rId4068"/>
    <hyperlink xmlns:r="http://schemas.openxmlformats.org/officeDocument/2006/relationships" ref="N3592" r:id="rId4069"/>
    <hyperlink xmlns:r="http://schemas.openxmlformats.org/officeDocument/2006/relationships" ref="N3593" r:id="rId4070"/>
    <hyperlink xmlns:r="http://schemas.openxmlformats.org/officeDocument/2006/relationships" ref="O3593" r:id="rId4071"/>
    <hyperlink xmlns:r="http://schemas.openxmlformats.org/officeDocument/2006/relationships" ref="N3594" r:id="rId4072"/>
    <hyperlink xmlns:r="http://schemas.openxmlformats.org/officeDocument/2006/relationships" ref="N3595" r:id="rId4073"/>
    <hyperlink xmlns:r="http://schemas.openxmlformats.org/officeDocument/2006/relationships" ref="N3596" r:id="rId4074"/>
    <hyperlink xmlns:r="http://schemas.openxmlformats.org/officeDocument/2006/relationships" ref="N3597" r:id="rId4075"/>
    <hyperlink xmlns:r="http://schemas.openxmlformats.org/officeDocument/2006/relationships" ref="N3598" r:id="rId4076"/>
    <hyperlink xmlns:r="http://schemas.openxmlformats.org/officeDocument/2006/relationships" ref="O3598" r:id="rId4077"/>
    <hyperlink xmlns:r="http://schemas.openxmlformats.org/officeDocument/2006/relationships" ref="N3599" r:id="rId4078"/>
    <hyperlink xmlns:r="http://schemas.openxmlformats.org/officeDocument/2006/relationships" ref="N3600" r:id="rId4079"/>
    <hyperlink xmlns:r="http://schemas.openxmlformats.org/officeDocument/2006/relationships" ref="N3601" r:id="rId4080"/>
    <hyperlink xmlns:r="http://schemas.openxmlformats.org/officeDocument/2006/relationships" ref="O3602" r:id="rId4081"/>
    <hyperlink xmlns:r="http://schemas.openxmlformats.org/officeDocument/2006/relationships" ref="N3603" r:id="rId4082"/>
    <hyperlink xmlns:r="http://schemas.openxmlformats.org/officeDocument/2006/relationships" ref="O3603" r:id="rId4083"/>
    <hyperlink xmlns:r="http://schemas.openxmlformats.org/officeDocument/2006/relationships" ref="O3604" r:id="rId4084"/>
    <hyperlink xmlns:r="http://schemas.openxmlformats.org/officeDocument/2006/relationships" ref="O3605" r:id="rId4085"/>
    <hyperlink xmlns:r="http://schemas.openxmlformats.org/officeDocument/2006/relationships" ref="O3606" r:id="rId4086"/>
    <hyperlink xmlns:r="http://schemas.openxmlformats.org/officeDocument/2006/relationships" ref="O3607" r:id="rId4087"/>
    <hyperlink xmlns:r="http://schemas.openxmlformats.org/officeDocument/2006/relationships" ref="O3608" r:id="rId4088"/>
    <hyperlink xmlns:r="http://schemas.openxmlformats.org/officeDocument/2006/relationships" ref="O3609" r:id="rId4089"/>
    <hyperlink xmlns:r="http://schemas.openxmlformats.org/officeDocument/2006/relationships" ref="O3610" r:id="rId4090"/>
    <hyperlink xmlns:r="http://schemas.openxmlformats.org/officeDocument/2006/relationships" ref="O3611" r:id="rId4091"/>
    <hyperlink xmlns:r="http://schemas.openxmlformats.org/officeDocument/2006/relationships" ref="O3612" r:id="rId4092"/>
    <hyperlink xmlns:r="http://schemas.openxmlformats.org/officeDocument/2006/relationships" ref="N3613" r:id="rId4093"/>
    <hyperlink xmlns:r="http://schemas.openxmlformats.org/officeDocument/2006/relationships" ref="O3613" r:id="rId4094"/>
    <hyperlink xmlns:r="http://schemas.openxmlformats.org/officeDocument/2006/relationships" ref="O3614" r:id="rId4095"/>
    <hyperlink xmlns:r="http://schemas.openxmlformats.org/officeDocument/2006/relationships" ref="N3615" r:id="rId4096"/>
    <hyperlink xmlns:r="http://schemas.openxmlformats.org/officeDocument/2006/relationships" ref="O3615" r:id="rId4097"/>
    <hyperlink xmlns:r="http://schemas.openxmlformats.org/officeDocument/2006/relationships" ref="O3616" r:id="rId4098"/>
    <hyperlink xmlns:r="http://schemas.openxmlformats.org/officeDocument/2006/relationships" ref="O3617" r:id="rId4099"/>
    <hyperlink xmlns:r="http://schemas.openxmlformats.org/officeDocument/2006/relationships" ref="O3618" r:id="rId4100"/>
    <hyperlink xmlns:r="http://schemas.openxmlformats.org/officeDocument/2006/relationships" ref="O3619" r:id="rId4101"/>
    <hyperlink xmlns:r="http://schemas.openxmlformats.org/officeDocument/2006/relationships" ref="O3620" r:id="rId4102"/>
    <hyperlink xmlns:r="http://schemas.openxmlformats.org/officeDocument/2006/relationships" ref="O3621" r:id="rId4103"/>
    <hyperlink xmlns:r="http://schemas.openxmlformats.org/officeDocument/2006/relationships" ref="O3622" r:id="rId4104"/>
    <hyperlink xmlns:r="http://schemas.openxmlformats.org/officeDocument/2006/relationships" ref="O3623" r:id="rId4105"/>
    <hyperlink xmlns:r="http://schemas.openxmlformats.org/officeDocument/2006/relationships" ref="O3624" r:id="rId4106"/>
    <hyperlink xmlns:r="http://schemas.openxmlformats.org/officeDocument/2006/relationships" ref="N3625" r:id="rId4107"/>
    <hyperlink xmlns:r="http://schemas.openxmlformats.org/officeDocument/2006/relationships" ref="O3625" r:id="rId4108"/>
    <hyperlink xmlns:r="http://schemas.openxmlformats.org/officeDocument/2006/relationships" ref="O3626" r:id="rId4109"/>
    <hyperlink xmlns:r="http://schemas.openxmlformats.org/officeDocument/2006/relationships" ref="O3627" r:id="rId4110"/>
    <hyperlink xmlns:r="http://schemas.openxmlformats.org/officeDocument/2006/relationships" ref="O3628" r:id="rId4111"/>
    <hyperlink xmlns:r="http://schemas.openxmlformats.org/officeDocument/2006/relationships" ref="O3629" r:id="rId4112"/>
    <hyperlink xmlns:r="http://schemas.openxmlformats.org/officeDocument/2006/relationships" ref="N3630" r:id="rId4113"/>
    <hyperlink xmlns:r="http://schemas.openxmlformats.org/officeDocument/2006/relationships" ref="O3630" r:id="rId4114"/>
    <hyperlink xmlns:r="http://schemas.openxmlformats.org/officeDocument/2006/relationships" ref="O3631" r:id="rId4115"/>
    <hyperlink xmlns:r="http://schemas.openxmlformats.org/officeDocument/2006/relationships" ref="O3632" r:id="rId4116"/>
    <hyperlink xmlns:r="http://schemas.openxmlformats.org/officeDocument/2006/relationships" ref="O3633" r:id="rId4117"/>
    <hyperlink xmlns:r="http://schemas.openxmlformats.org/officeDocument/2006/relationships" ref="N3634" r:id="rId4118"/>
    <hyperlink xmlns:r="http://schemas.openxmlformats.org/officeDocument/2006/relationships" ref="O3634" r:id="rId4119"/>
    <hyperlink xmlns:r="http://schemas.openxmlformats.org/officeDocument/2006/relationships" ref="O3635" r:id="rId4120"/>
    <hyperlink xmlns:r="http://schemas.openxmlformats.org/officeDocument/2006/relationships" ref="O3636" r:id="rId4121"/>
    <hyperlink xmlns:r="http://schemas.openxmlformats.org/officeDocument/2006/relationships" ref="O3637" r:id="rId4122"/>
    <hyperlink xmlns:r="http://schemas.openxmlformats.org/officeDocument/2006/relationships" ref="O3638" r:id="rId4123"/>
    <hyperlink xmlns:r="http://schemas.openxmlformats.org/officeDocument/2006/relationships" ref="O3639" r:id="rId4124"/>
    <hyperlink xmlns:r="http://schemas.openxmlformats.org/officeDocument/2006/relationships" ref="N3640" r:id="rId4125"/>
    <hyperlink xmlns:r="http://schemas.openxmlformats.org/officeDocument/2006/relationships" ref="O3640" r:id="rId4126"/>
    <hyperlink xmlns:r="http://schemas.openxmlformats.org/officeDocument/2006/relationships" ref="N3641" r:id="rId4127"/>
    <hyperlink xmlns:r="http://schemas.openxmlformats.org/officeDocument/2006/relationships" ref="O3641" r:id="rId4128"/>
    <hyperlink xmlns:r="http://schemas.openxmlformats.org/officeDocument/2006/relationships" ref="O3642" r:id="rId4129"/>
    <hyperlink xmlns:r="http://schemas.openxmlformats.org/officeDocument/2006/relationships" ref="O3643" r:id="rId4130"/>
    <hyperlink xmlns:r="http://schemas.openxmlformats.org/officeDocument/2006/relationships" ref="O3644" r:id="rId4131"/>
    <hyperlink xmlns:r="http://schemas.openxmlformats.org/officeDocument/2006/relationships" ref="O3645" r:id="rId4132"/>
    <hyperlink xmlns:r="http://schemas.openxmlformats.org/officeDocument/2006/relationships" ref="O3646" r:id="rId4133"/>
    <hyperlink xmlns:r="http://schemas.openxmlformats.org/officeDocument/2006/relationships" ref="O3647" r:id="rId4134"/>
    <hyperlink xmlns:r="http://schemas.openxmlformats.org/officeDocument/2006/relationships" ref="O3648" r:id="rId4135"/>
    <hyperlink xmlns:r="http://schemas.openxmlformats.org/officeDocument/2006/relationships" ref="O3649" r:id="rId41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  <col width="34" customWidth="1" min="8" max="8"/>
    <col width="17" customWidth="1" min="9" max="9"/>
    <col width="16" customWidth="1" min="10" max="10"/>
    <col width="16" customWidth="1" min="11" max="11"/>
    <col width="16" customWidth="1" min="12" max="12"/>
    <col width="24" customWidth="1" min="13" max="13"/>
    <col width="60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Median Price</t>
        </is>
      </c>
      <c r="D1" s="1" t="inlineStr">
        <is>
          <t>Reduced</t>
        </is>
      </c>
      <c r="E1" s="1" t="inlineStr">
        <is>
          <t>Kraken Price</t>
        </is>
      </c>
      <c r="F1" s="1" t="inlineStr">
        <is>
          <t>Game</t>
        </is>
      </c>
      <c r="G1" s="1" t="inlineStr">
        <is>
          <t>Category</t>
        </is>
      </c>
      <c r="H1" s="1" t="inlineStr">
        <is>
          <t>Set</t>
        </is>
      </c>
      <c r="I1" s="1" t="inlineStr">
        <is>
          <t>PriceCharting Price</t>
        </is>
      </c>
      <c r="J1" s="1" t="inlineStr">
        <is>
          <t>TCGplayer Market</t>
        </is>
      </c>
      <c r="K1" s="1" t="inlineStr">
        <is>
          <t>TCGplayer Median</t>
        </is>
      </c>
      <c r="L1" s="1" t="inlineStr">
        <is>
          <t>TCGplayer Lowest</t>
        </is>
      </c>
      <c r="M1" s="1" t="inlineStr">
        <is>
          <t>Sources</t>
        </is>
      </c>
      <c r="N1" s="1" t="inlineStr">
        <is>
          <t>PriceCharting Link</t>
        </is>
      </c>
      <c r="O1" s="1" t="inlineStr">
        <is>
          <t>TCGplayer Link</t>
        </is>
      </c>
    </row>
    <row r="2">
      <c r="A2" s="2" t="inlineStr">
        <is>
          <t>Japanese Premium Booster Sealed Storage Box Set</t>
        </is>
      </c>
      <c r="B2" s="3">
        <f>IF(I2&lt;&gt;"",I2,IF(J2&lt;&gt;"",J2,IF(K2&lt;&gt;"",K2,L2)))</f>
        <v>352.9</v>
      </c>
      <c r="C2" s="3">
        <f>MEDIAN(I2:L2)</f>
        <v>352.9</v>
      </c>
      <c r="D2" s="3">
        <f>ROUND(C2*(1-Settings!$B$2),2)</f>
        <v>247.03</v>
      </c>
      <c r="E2" s="3">
        <f>ROUND(C2*(1-Settings!$B$3),2)</f>
        <v>247.03</v>
      </c>
      <c r="F2" s="2" t="inlineStr">
        <is>
          <t>One Piece</t>
        </is>
      </c>
      <c r="G2" s="2" t="inlineStr">
        <is>
          <t>Accessory</t>
        </is>
      </c>
      <c r="H2" s="2" t="inlineStr">
        <is>
          <t>Japanese Premium Booster</t>
        </is>
      </c>
      <c r="I2" s="3" t="n">
        <v>352.9</v>
      </c>
      <c r="J2" s="3" t="n"/>
      <c r="K2" s="3" t="n"/>
      <c r="L2" s="3" t="n"/>
      <c r="M2" s="2" t="inlineStr">
        <is>
          <t>PriceCharting</t>
        </is>
      </c>
      <c r="N2" s="4" t="inlineStr">
        <is>
          <t>https://www.pricecharting.com/game/one-piece-japanese-premium-booster/sealed-storage-box-set</t>
        </is>
      </c>
    </row>
    <row r="3">
      <c r="A3" s="2" t="inlineStr">
        <is>
          <t>Official 9 Pocket Binder Vol.1 (Sealed Promotional Bundle)</t>
        </is>
      </c>
      <c r="B3" s="3">
        <f>IF(I3&lt;&gt;"",I3,IF(J3&lt;&gt;"",J3,IF(K3&lt;&gt;"",K3,L3)))</f>
        <v>71.67</v>
      </c>
      <c r="C3" s="3">
        <f>MEDIAN(I3:L3)</f>
        <v>50.835</v>
      </c>
      <c r="D3" s="3">
        <f>ROUND(C3*(1-Settings!$B$2),2)</f>
        <v>35.58</v>
      </c>
      <c r="E3" s="3">
        <f>ROUND(C3*(1-Settings!$B$3),2)</f>
        <v>35.58</v>
      </c>
      <c r="F3" s="2" t="inlineStr">
        <is>
          <t>One Piece</t>
        </is>
      </c>
      <c r="G3" s="2" t="inlineStr">
        <is>
          <t>Accessory</t>
        </is>
      </c>
      <c r="H3" s="2" t="inlineStr">
        <is>
          <t>One Piece Promotion Cards</t>
        </is>
      </c>
      <c r="I3" s="3" t="n"/>
      <c r="J3" s="3" t="n">
        <v>71.67</v>
      </c>
      <c r="K3" s="3" t="n"/>
      <c r="L3" s="3" t="n">
        <v>30</v>
      </c>
      <c r="M3" s="2" t="inlineStr">
        <is>
          <t>TCGplayer</t>
        </is>
      </c>
      <c r="O3" s="4" t="inlineStr">
        <is>
          <t>https://www.tcgplayer.com/product/717458</t>
        </is>
      </c>
    </row>
    <row r="4">
      <c r="A4" s="2" t="inlineStr">
        <is>
          <t>Seven Warlords of the Sea Binder Set (Bundle)</t>
        </is>
      </c>
      <c r="B4" s="3">
        <f>IF(I4&lt;&gt;"",I4,IF(J4&lt;&gt;"",J4,IF(K4&lt;&gt;"",K4,L4)))</f>
        <v>351.83</v>
      </c>
      <c r="C4" s="3">
        <f>MEDIAN(I4:L4)</f>
        <v>348.40999999999997</v>
      </c>
      <c r="D4" s="3">
        <f>ROUND(C4*(1-Settings!$B$2),2)</f>
        <v>243.89</v>
      </c>
      <c r="E4" s="3">
        <f>ROUND(C4*(1-Settings!$B$3),2)</f>
        <v>243.89</v>
      </c>
      <c r="F4" s="2" t="inlineStr">
        <is>
          <t>One Piece</t>
        </is>
      </c>
      <c r="G4" s="2" t="inlineStr">
        <is>
          <t>Accessory</t>
        </is>
      </c>
      <c r="H4" s="2" t="inlineStr">
        <is>
          <t>One Piece Promotion Cards</t>
        </is>
      </c>
      <c r="I4" s="3" t="n"/>
      <c r="J4" s="3" t="n">
        <v>351.83</v>
      </c>
      <c r="K4" s="3" t="n"/>
      <c r="L4" s="3" t="n">
        <v>344.99</v>
      </c>
      <c r="M4" s="2" t="inlineStr">
        <is>
          <t>TCGplayer</t>
        </is>
      </c>
      <c r="O4" s="4" t="inlineStr">
        <is>
          <t>https://www.tcgplayer.com/product/700808</t>
        </is>
      </c>
    </row>
    <row r="5">
      <c r="A5" s="2" t="inlineStr">
        <is>
          <t>Promo Sealed Anniversary Storage Box</t>
        </is>
      </c>
      <c r="B5" s="3">
        <f>IF(I5&lt;&gt;"",I5,IF(J5&lt;&gt;"",J5,IF(K5&lt;&gt;"",K5,L5)))</f>
        <v>109.32</v>
      </c>
      <c r="C5" s="3">
        <f>MEDIAN(I5:L5)</f>
        <v>109.32</v>
      </c>
      <c r="D5" s="3">
        <f>ROUND(C5*(1-Settings!$B$2),2)</f>
        <v>76.52</v>
      </c>
      <c r="E5" s="3">
        <f>ROUND(C5*(1-Settings!$B$3),2)</f>
        <v>76.52</v>
      </c>
      <c r="F5" s="2" t="inlineStr">
        <is>
          <t>One Piece</t>
        </is>
      </c>
      <c r="G5" s="2" t="inlineStr">
        <is>
          <t>Accessory</t>
        </is>
      </c>
      <c r="H5" s="2" t="inlineStr">
        <is>
          <t>Promo</t>
        </is>
      </c>
      <c r="I5" s="3" t="n">
        <v>109.32</v>
      </c>
      <c r="J5" s="3" t="n"/>
      <c r="K5" s="3" t="n"/>
      <c r="L5" s="3" t="n"/>
      <c r="M5" s="2" t="inlineStr">
        <is>
          <t>PriceCharting</t>
        </is>
      </c>
      <c r="N5" s="4" t="inlineStr">
        <is>
          <t>https://www.pricecharting.com/game/one-piece-promo/sealed-anniversary-storage-box</t>
        </is>
      </c>
    </row>
    <row r="6">
      <c r="A6" s="2" t="inlineStr">
        <is>
          <t>Seven Warlords Of The Sea Binder Set Sealed Binder Set</t>
        </is>
      </c>
      <c r="B6" s="3">
        <f>IF(I6&lt;&gt;"",I6,IF(J6&lt;&gt;"",J6,IF(K6&lt;&gt;"",K6,L6)))</f>
        <v>198.96</v>
      </c>
      <c r="C6" s="3">
        <f>MEDIAN(I6:L6)</f>
        <v>198.96</v>
      </c>
      <c r="D6" s="3">
        <f>ROUND(C6*(1-Settings!$B$2),2)</f>
        <v>139.27</v>
      </c>
      <c r="E6" s="3">
        <f>ROUND(C6*(1-Settings!$B$3),2)</f>
        <v>139.27</v>
      </c>
      <c r="F6" s="2" t="inlineStr">
        <is>
          <t>One Piece</t>
        </is>
      </c>
      <c r="G6" s="2" t="inlineStr">
        <is>
          <t>Accessory</t>
        </is>
      </c>
      <c r="H6" s="2" t="inlineStr">
        <is>
          <t>Seven Warlords Of The Sea Binder Set</t>
        </is>
      </c>
      <c r="I6" s="3" t="n">
        <v>198.96</v>
      </c>
      <c r="J6" s="3" t="n"/>
      <c r="K6" s="3" t="n"/>
      <c r="L6" s="3" t="n"/>
      <c r="M6" s="2" t="inlineStr">
        <is>
          <t>PriceCharting</t>
        </is>
      </c>
      <c r="N6" s="4" t="inlineStr">
        <is>
          <t>https://www.pricecharting.com/game/one-piece-seven-warlords-of-the-sea-binder-set/sealed-binder-set</t>
        </is>
      </c>
    </row>
    <row r="7">
      <c r="A7" s="2" t="inlineStr">
        <is>
          <t>500 Years in the Future - Booster Box Case</t>
        </is>
      </c>
      <c r="B7" s="3">
        <f>IF(I7&lt;&gt;"",I7,IF(J7&lt;&gt;"",J7,IF(K7&lt;&gt;"",K7,L7)))</f>
        <v>3526.0</v>
      </c>
      <c r="C7" s="3">
        <f>MEDIAN(I7:L7)</f>
        <v>3680.5</v>
      </c>
      <c r="D7" s="3">
        <f>ROUND(C7*(1-Settings!$B$2),2)</f>
        <v>2576.35</v>
      </c>
      <c r="E7" s="3">
        <f>ROUND(C7*(1-Settings!$B$3),2)</f>
        <v>2576.35</v>
      </c>
      <c r="F7" s="2" t="inlineStr">
        <is>
          <t>One Piece</t>
        </is>
      </c>
      <c r="G7" s="2" t="inlineStr">
        <is>
          <t>Case/Display</t>
        </is>
      </c>
      <c r="H7" s="2" t="inlineStr">
        <is>
          <t>500 Years in the Future</t>
        </is>
      </c>
      <c r="I7" s="3" t="n"/>
      <c r="J7" s="3" t="n">
        <v>3526</v>
      </c>
      <c r="K7" s="3" t="n"/>
      <c r="L7" s="3" t="n">
        <v>3835</v>
      </c>
      <c r="M7" s="2" t="inlineStr">
        <is>
          <t>TCGplayer</t>
        </is>
      </c>
      <c r="O7" s="4" t="inlineStr">
        <is>
          <t>https://www.tcgplayer.com/product/532107</t>
        </is>
      </c>
    </row>
    <row r="8">
      <c r="A8" s="2" t="inlineStr">
        <is>
          <t>Double Pack Set Volume 4 Display</t>
        </is>
      </c>
      <c r="B8" s="3">
        <f>IF(I8&lt;&gt;"",I8,IF(J8&lt;&gt;"",J8,IF(K8&lt;&gt;"",K8,L8)))</f>
        <v>376.06</v>
      </c>
      <c r="C8" s="3">
        <f>MEDIAN(I8:L8)</f>
        <v>443.03</v>
      </c>
      <c r="D8" s="3">
        <f>ROUND(C8*(1-Settings!$B$2),2)</f>
        <v>310.12</v>
      </c>
      <c r="E8" s="3">
        <f>ROUND(C8*(1-Settings!$B$3),2)</f>
        <v>310.12</v>
      </c>
      <c r="F8" s="2" t="inlineStr">
        <is>
          <t>One Piece</t>
        </is>
      </c>
      <c r="G8" s="2" t="inlineStr">
        <is>
          <t>Case/Display</t>
        </is>
      </c>
      <c r="H8" s="2" t="inlineStr">
        <is>
          <t>500 Years in the Future</t>
        </is>
      </c>
      <c r="I8" s="3" t="n"/>
      <c r="J8" s="3" t="n">
        <v>376.06</v>
      </c>
      <c r="K8" s="3" t="n"/>
      <c r="L8" s="3" t="n">
        <v>510</v>
      </c>
      <c r="M8" s="2" t="inlineStr">
        <is>
          <t>TCGplayer</t>
        </is>
      </c>
      <c r="O8" s="4" t="inlineStr">
        <is>
          <t>https://www.tcgplayer.com/product/549495</t>
        </is>
      </c>
    </row>
    <row r="9">
      <c r="A9" s="2" t="inlineStr">
        <is>
          <t>A Fist of Divine Speed Booster Box Case</t>
        </is>
      </c>
      <c r="B9" s="3">
        <f>IF(I9&lt;&gt;"",I9,IF(J9&lt;&gt;"",J9,IF(K9&lt;&gt;"",K9,L9)))</f>
        <v>6180.79</v>
      </c>
      <c r="C9" s="3">
        <f>MEDIAN(I9:L9)</f>
        <v>6503.389999999999</v>
      </c>
      <c r="D9" s="3">
        <f>ROUND(C9*(1-Settings!$B$2),2)</f>
        <v>4552.37</v>
      </c>
      <c r="E9" s="3">
        <f>ROUND(C9*(1-Settings!$B$3),2)</f>
        <v>4552.37</v>
      </c>
      <c r="F9" s="2" t="inlineStr">
        <is>
          <t>One Piece</t>
        </is>
      </c>
      <c r="G9" s="2" t="inlineStr">
        <is>
          <t>Case/Display</t>
        </is>
      </c>
      <c r="H9" s="2" t="inlineStr">
        <is>
          <t>A Fist of Divine Speed</t>
        </is>
      </c>
      <c r="I9" s="3" t="n"/>
      <c r="J9" s="3" t="n">
        <v>6180.79</v>
      </c>
      <c r="K9" s="3" t="n"/>
      <c r="L9" s="3" t="n">
        <v>6825.99</v>
      </c>
      <c r="M9" s="2" t="inlineStr">
        <is>
          <t>TCGplayer</t>
        </is>
      </c>
      <c r="O9" s="4" t="inlineStr">
        <is>
          <t>https://www.tcgplayer.com/product/620181</t>
        </is>
      </c>
    </row>
    <row r="10">
      <c r="A10" s="2" t="inlineStr">
        <is>
          <t>Double Pack Set Volume 7 Display</t>
        </is>
      </c>
      <c r="B10" s="3">
        <f>IF(I10&lt;&gt;"",I10,IF(J10&lt;&gt;"",J10,IF(K10&lt;&gt;"",K10,L10)))</f>
        <v>652.52</v>
      </c>
      <c r="C10" s="3">
        <f>MEDIAN(I10:L10)</f>
        <v>739.26</v>
      </c>
      <c r="D10" s="3">
        <f>ROUND(C10*(1-Settings!$B$2),2)</f>
        <v>517.48</v>
      </c>
      <c r="E10" s="3">
        <f>ROUND(C10*(1-Settings!$B$3),2)</f>
        <v>517.48</v>
      </c>
      <c r="F10" s="2" t="inlineStr">
        <is>
          <t>One Piece</t>
        </is>
      </c>
      <c r="G10" s="2" t="inlineStr">
        <is>
          <t>Case/Display</t>
        </is>
      </c>
      <c r="H10" s="2" t="inlineStr">
        <is>
          <t>A Fist of Divine Speed</t>
        </is>
      </c>
      <c r="I10" s="3" t="n"/>
      <c r="J10" s="3" t="n">
        <v>652.52</v>
      </c>
      <c r="K10" s="3" t="n"/>
      <c r="L10" s="3" t="n">
        <v>826</v>
      </c>
      <c r="M10" s="2" t="inlineStr">
        <is>
          <t>TCGplayer</t>
        </is>
      </c>
      <c r="O10" s="4" t="inlineStr">
        <is>
          <t>https://www.tcgplayer.com/product/606562</t>
        </is>
      </c>
    </row>
    <row r="11">
      <c r="A11" s="2" t="inlineStr">
        <is>
          <t>Adventure on Kami's Island Booster Box Case</t>
        </is>
      </c>
      <c r="B11" s="3">
        <f>IF(I11&lt;&gt;"",I11,IF(J11&lt;&gt;"",J11,IF(K11&lt;&gt;"",K11,L11)))</f>
        <v>2943.0</v>
      </c>
      <c r="C11" s="3">
        <f>MEDIAN(I11:L11)</f>
        <v>2929.0</v>
      </c>
      <c r="D11" s="3">
        <f>ROUND(C11*(1-Settings!$B$2),2)</f>
        <v>2050.3</v>
      </c>
      <c r="E11" s="3">
        <f>ROUND(C11*(1-Settings!$B$3),2)</f>
        <v>2050.3</v>
      </c>
      <c r="F11" s="2" t="inlineStr">
        <is>
          <t>One Piece</t>
        </is>
      </c>
      <c r="G11" s="2" t="inlineStr">
        <is>
          <t>Case/Display</t>
        </is>
      </c>
      <c r="H11" s="2" t="inlineStr">
        <is>
          <t>Adventure on Kami's Island</t>
        </is>
      </c>
      <c r="I11" s="3" t="n"/>
      <c r="J11" s="3" t="n">
        <v>2943</v>
      </c>
      <c r="K11" s="3" t="n"/>
      <c r="L11" s="3" t="n">
        <v>2915</v>
      </c>
      <c r="M11" s="2" t="inlineStr">
        <is>
          <t>TCGplayer</t>
        </is>
      </c>
      <c r="O11" s="4" t="inlineStr">
        <is>
          <t>https://www.tcgplayer.com/product/682058</t>
        </is>
      </c>
    </row>
    <row r="12">
      <c r="A12" s="2" t="inlineStr">
        <is>
          <t>Double Pack Set Vol. 10 Display</t>
        </is>
      </c>
      <c r="B12" s="3">
        <f>IF(I12&lt;&gt;"",I12,IF(J12&lt;&gt;"",J12,IF(K12&lt;&gt;"",K12,L12)))</f>
        <v>254.76</v>
      </c>
      <c r="C12" s="3">
        <f>MEDIAN(I12:L12)</f>
        <v>287.13</v>
      </c>
      <c r="D12" s="3">
        <f>ROUND(C12*(1-Settings!$B$2),2)</f>
        <v>200.99</v>
      </c>
      <c r="E12" s="3">
        <f>ROUND(C12*(1-Settings!$B$3),2)</f>
        <v>200.99</v>
      </c>
      <c r="F12" s="2" t="inlineStr">
        <is>
          <t>One Piece</t>
        </is>
      </c>
      <c r="G12" s="2" t="inlineStr">
        <is>
          <t>Case/Display</t>
        </is>
      </c>
      <c r="H12" s="2" t="inlineStr">
        <is>
          <t>Adventure on Kami's Island</t>
        </is>
      </c>
      <c r="I12" s="3" t="n"/>
      <c r="J12" s="3" t="n">
        <v>254.76</v>
      </c>
      <c r="K12" s="3" t="n"/>
      <c r="L12" s="3" t="n">
        <v>319.5</v>
      </c>
      <c r="M12" s="2" t="inlineStr">
        <is>
          <t>TCGplayer</t>
        </is>
      </c>
      <c r="O12" s="4" t="inlineStr">
        <is>
          <t>https://www.tcgplayer.com/product/682790</t>
        </is>
      </c>
    </row>
    <row r="13">
      <c r="A13" s="2" t="inlineStr">
        <is>
          <t>Awakening of the New Era - Booster Box Case</t>
        </is>
      </c>
      <c r="B13" s="3">
        <f>IF(I13&lt;&gt;"",I13,IF(J13&lt;&gt;"",J13,IF(K13&lt;&gt;"",K13,L13)))</f>
        <v>12573.53</v>
      </c>
      <c r="C13" s="3">
        <f>MEDIAN(I13:L13)</f>
        <v>8786.76</v>
      </c>
      <c r="D13" s="3">
        <f>ROUND(C13*(1-Settings!$B$2),2)</f>
        <v>6150.73</v>
      </c>
      <c r="E13" s="3">
        <f>ROUND(C13*(1-Settings!$B$3),2)</f>
        <v>6150.73</v>
      </c>
      <c r="F13" s="2" t="inlineStr">
        <is>
          <t>One Piece</t>
        </is>
      </c>
      <c r="G13" s="2" t="inlineStr">
        <is>
          <t>Case/Display</t>
        </is>
      </c>
      <c r="H13" s="2" t="inlineStr">
        <is>
          <t>Awakening of the New Era</t>
        </is>
      </c>
      <c r="I13" s="3" t="n"/>
      <c r="J13" s="3" t="n">
        <v>12573.53</v>
      </c>
      <c r="K13" s="3" t="n"/>
      <c r="L13" s="3" t="n">
        <v>4999.99</v>
      </c>
      <c r="M13" s="2" t="inlineStr">
        <is>
          <t>TCGplayer</t>
        </is>
      </c>
      <c r="O13" s="4" t="inlineStr">
        <is>
          <t>https://www.tcgplayer.com/product/498735</t>
        </is>
      </c>
    </row>
    <row r="14">
      <c r="A14" s="2" t="inlineStr">
        <is>
          <t>Double Pack Set Volume 2 Display</t>
        </is>
      </c>
      <c r="B14" s="3">
        <f>IF(I14&lt;&gt;"",I14,IF(J14&lt;&gt;"",J14,IF(K14&lt;&gt;"",K14,L14)))</f>
        <v>1512.59</v>
      </c>
      <c r="C14" s="3">
        <f>MEDIAN(I14:L14)</f>
        <v>1606.295</v>
      </c>
      <c r="D14" s="3">
        <f>ROUND(C14*(1-Settings!$B$2),2)</f>
        <v>1124.41</v>
      </c>
      <c r="E14" s="3">
        <f>ROUND(C14*(1-Settings!$B$3),2)</f>
        <v>1124.41</v>
      </c>
      <c r="F14" s="2" t="inlineStr">
        <is>
          <t>One Piece</t>
        </is>
      </c>
      <c r="G14" s="2" t="inlineStr">
        <is>
          <t>Case/Display</t>
        </is>
      </c>
      <c r="H14" s="2" t="inlineStr">
        <is>
          <t>Awakening of the New Era</t>
        </is>
      </c>
      <c r="I14" s="3" t="n"/>
      <c r="J14" s="3" t="n">
        <v>1512.59</v>
      </c>
      <c r="K14" s="3" t="n"/>
      <c r="L14" s="3" t="n">
        <v>1700</v>
      </c>
      <c r="M14" s="2" t="inlineStr">
        <is>
          <t>TCGplayer</t>
        </is>
      </c>
      <c r="O14" s="4" t="inlineStr">
        <is>
          <t>https://www.tcgplayer.com/product/527062</t>
        </is>
      </c>
    </row>
    <row r="15">
      <c r="A15" s="2" t="inlineStr">
        <is>
          <t>Double Pack Set Volume 2 Display Case</t>
        </is>
      </c>
      <c r="B15" s="3">
        <f>IF(I15&lt;&gt;"",I15,IF(J15&lt;&gt;"",J15,IF(K15&lt;&gt;"",K15,L15)))</f>
        <v>15000.0</v>
      </c>
      <c r="C15" s="3">
        <f>MEDIAN(I15:L15)</f>
        <v>15000.0</v>
      </c>
      <c r="D15" s="3">
        <f>ROUND(C15*(1-Settings!$B$2),2)</f>
        <v>10500.0</v>
      </c>
      <c r="E15" s="3">
        <f>ROUND(C15*(1-Settings!$B$3),2)</f>
        <v>10500.0</v>
      </c>
      <c r="F15" s="2" t="inlineStr">
        <is>
          <t>One Piece</t>
        </is>
      </c>
      <c r="G15" s="2" t="inlineStr">
        <is>
          <t>Case/Display</t>
        </is>
      </c>
      <c r="H15" s="2" t="inlineStr">
        <is>
          <t>Awakening of the New Era</t>
        </is>
      </c>
      <c r="I15" s="3" t="n"/>
      <c r="J15" s="3" t="n"/>
      <c r="K15" s="3" t="n"/>
      <c r="L15" s="3" t="n">
        <v>15000</v>
      </c>
      <c r="M15" s="2" t="inlineStr">
        <is>
          <t>TCGplayer</t>
        </is>
      </c>
      <c r="O15" s="4" t="inlineStr">
        <is>
          <t>https://www.tcgplayer.com/product/527063</t>
        </is>
      </c>
    </row>
    <row r="16">
      <c r="A16" s="2" t="inlineStr">
        <is>
          <t>Carrying On His Will Booster Box Case</t>
        </is>
      </c>
      <c r="B16" s="3">
        <f>IF(I16&lt;&gt;"",I16,IF(J16&lt;&gt;"",J16,IF(K16&lt;&gt;"",K16,L16)))</f>
        <v>6000.87</v>
      </c>
      <c r="C16" s="3">
        <f>MEDIAN(I16:L16)</f>
        <v>4100.43</v>
      </c>
      <c r="D16" s="3">
        <f>ROUND(C16*(1-Settings!$B$2),2)</f>
        <v>2870.3</v>
      </c>
      <c r="E16" s="3">
        <f>ROUND(C16*(1-Settings!$B$3),2)</f>
        <v>2870.3</v>
      </c>
      <c r="F16" s="2" t="inlineStr">
        <is>
          <t>One Piece</t>
        </is>
      </c>
      <c r="G16" s="2" t="inlineStr">
        <is>
          <t>Case/Display</t>
        </is>
      </c>
      <c r="H16" s="2" t="inlineStr">
        <is>
          <t>Carrying On His Will</t>
        </is>
      </c>
      <c r="I16" s="3" t="n"/>
      <c r="J16" s="3" t="n">
        <v>6000.87</v>
      </c>
      <c r="K16" s="3" t="n"/>
      <c r="L16" s="3" t="n">
        <v>2199.99</v>
      </c>
      <c r="M16" s="2" t="inlineStr">
        <is>
          <t>TCGplayer</t>
        </is>
      </c>
      <c r="O16" s="4" t="inlineStr">
        <is>
          <t>https://www.tcgplayer.com/product/628353</t>
        </is>
      </c>
    </row>
    <row r="17">
      <c r="A17" s="2" t="inlineStr">
        <is>
          <t>Double Pack Set Volume 6 Display</t>
        </is>
      </c>
      <c r="B17" s="3">
        <f>IF(I17&lt;&gt;"",I17,IF(J17&lt;&gt;"",J17,IF(K17&lt;&gt;"",K17,L17)))</f>
        <v>775.49</v>
      </c>
      <c r="C17" s="3">
        <f>MEDIAN(I17:L17)</f>
        <v>787.24</v>
      </c>
      <c r="D17" s="3">
        <f>ROUND(C17*(1-Settings!$B$2),2)</f>
        <v>551.07</v>
      </c>
      <c r="E17" s="3">
        <f>ROUND(C17*(1-Settings!$B$3),2)</f>
        <v>551.07</v>
      </c>
      <c r="F17" s="2" t="inlineStr">
        <is>
          <t>One Piece</t>
        </is>
      </c>
      <c r="G17" s="2" t="inlineStr">
        <is>
          <t>Case/Display</t>
        </is>
      </c>
      <c r="H17" s="2" t="inlineStr">
        <is>
          <t>Emperors in the New World</t>
        </is>
      </c>
      <c r="I17" s="3" t="n"/>
      <c r="J17" s="3" t="n">
        <v>775.49</v>
      </c>
      <c r="K17" s="3" t="n"/>
      <c r="L17" s="3" t="n">
        <v>798.99</v>
      </c>
      <c r="M17" s="2" t="inlineStr">
        <is>
          <t>TCGplayer</t>
        </is>
      </c>
      <c r="O17" s="4" t="inlineStr">
        <is>
          <t>https://www.tcgplayer.com/product/563843</t>
        </is>
      </c>
    </row>
    <row r="18">
      <c r="A18" s="2" t="inlineStr">
        <is>
          <t>Emperors in the New World - Booster Box Case</t>
        </is>
      </c>
      <c r="B18" s="3">
        <f>IF(I18&lt;&gt;"",I18,IF(J18&lt;&gt;"",J18,IF(K18&lt;&gt;"",K18,L18)))</f>
        <v>7558.56</v>
      </c>
      <c r="C18" s="3">
        <f>MEDIAN(I18:L18)</f>
        <v>6279.280000000001</v>
      </c>
      <c r="D18" s="3">
        <f>ROUND(C18*(1-Settings!$B$2),2)</f>
        <v>4395.5</v>
      </c>
      <c r="E18" s="3">
        <f>ROUND(C18*(1-Settings!$B$3),2)</f>
        <v>4395.5</v>
      </c>
      <c r="F18" s="2" t="inlineStr">
        <is>
          <t>One Piece</t>
        </is>
      </c>
      <c r="G18" s="2" t="inlineStr">
        <is>
          <t>Case/Display</t>
        </is>
      </c>
      <c r="H18" s="2" t="inlineStr">
        <is>
          <t>Emperors in the New World</t>
        </is>
      </c>
      <c r="I18" s="3" t="n"/>
      <c r="J18" s="3" t="n">
        <v>7558.56</v>
      </c>
      <c r="K18" s="3" t="n"/>
      <c r="L18" s="3" t="n">
        <v>5000</v>
      </c>
      <c r="M18" s="2" t="inlineStr">
        <is>
          <t>TCGplayer</t>
        </is>
      </c>
      <c r="O18" s="4" t="inlineStr">
        <is>
          <t>https://www.tcgplayer.com/product/563835</t>
        </is>
      </c>
    </row>
    <row r="19">
      <c r="A19" s="2" t="inlineStr">
        <is>
          <t>Extra Booster: Anime 25th Collection Box Case</t>
        </is>
      </c>
      <c r="B19" s="3">
        <f>IF(I19&lt;&gt;"",I19,IF(J19&lt;&gt;"",J19,IF(K19&lt;&gt;"",K19,L19)))</f>
        <v>7905.16</v>
      </c>
      <c r="C19" s="3">
        <f>MEDIAN(I19:L19)</f>
        <v>7803.075</v>
      </c>
      <c r="D19" s="3">
        <f>ROUND(C19*(1-Settings!$B$2),2)</f>
        <v>5462.15</v>
      </c>
      <c r="E19" s="3">
        <f>ROUND(C19*(1-Settings!$B$3),2)</f>
        <v>5462.15</v>
      </c>
      <c r="F19" s="2" t="inlineStr">
        <is>
          <t>One Piece</t>
        </is>
      </c>
      <c r="G19" s="2" t="inlineStr">
        <is>
          <t>Case/Display</t>
        </is>
      </c>
      <c r="H19" s="2" t="inlineStr">
        <is>
          <t>Extra Booster: Anime 25th Collection</t>
        </is>
      </c>
      <c r="I19" s="3" t="n"/>
      <c r="J19" s="3" t="n">
        <v>7905.16</v>
      </c>
      <c r="K19" s="3" t="n"/>
      <c r="L19" s="3" t="n">
        <v>7700.99</v>
      </c>
      <c r="M19" s="2" t="inlineStr">
        <is>
          <t>TCGplayer</t>
        </is>
      </c>
      <c r="O19" s="4" t="inlineStr">
        <is>
          <t>https://www.tcgplayer.com/product/594070</t>
        </is>
      </c>
    </row>
    <row r="20">
      <c r="A20" s="2" t="inlineStr">
        <is>
          <t>Memorial Collection - Booster Box Case</t>
        </is>
      </c>
      <c r="B20" s="3">
        <f>IF(I20&lt;&gt;"",I20,IF(J20&lt;&gt;"",J20,IF(K20&lt;&gt;"",K20,L20)))</f>
        <v>10999.99</v>
      </c>
      <c r="C20" s="3">
        <f>MEDIAN(I20:L20)</f>
        <v>10999.99</v>
      </c>
      <c r="D20" s="3">
        <f>ROUND(C20*(1-Settings!$B$2),2)</f>
        <v>7699.99</v>
      </c>
      <c r="E20" s="3">
        <f>ROUND(C20*(1-Settings!$B$3),2)</f>
        <v>7699.99</v>
      </c>
      <c r="F20" s="2" t="inlineStr">
        <is>
          <t>One Piece</t>
        </is>
      </c>
      <c r="G20" s="2" t="inlineStr">
        <is>
          <t>Case/Display</t>
        </is>
      </c>
      <c r="H20" s="2" t="inlineStr">
        <is>
          <t>Extra Booster: Memorial Collection</t>
        </is>
      </c>
      <c r="I20" s="3" t="n"/>
      <c r="J20" s="3" t="n"/>
      <c r="K20" s="3" t="n"/>
      <c r="L20" s="3" t="n">
        <v>10999.99</v>
      </c>
      <c r="M20" s="2" t="inlineStr">
        <is>
          <t>TCGplayer</t>
        </is>
      </c>
      <c r="O20" s="4" t="inlineStr">
        <is>
          <t>https://www.tcgplayer.com/product/521162</t>
        </is>
      </c>
    </row>
    <row r="21">
      <c r="A21" s="2" t="inlineStr">
        <is>
          <t>Extra Booster: One Piece Heroines Edition Box Case</t>
        </is>
      </c>
      <c r="B21" s="3">
        <f>IF(I21&lt;&gt;"",I21,IF(J21&lt;&gt;"",J21,IF(K21&lt;&gt;"",K21,L21)))</f>
        <v>3581.52</v>
      </c>
      <c r="C21" s="3">
        <f>MEDIAN(I21:L21)</f>
        <v>3515.755</v>
      </c>
      <c r="D21" s="3">
        <f>ROUND(C21*(1-Settings!$B$2),2)</f>
        <v>2461.03</v>
      </c>
      <c r="E21" s="3">
        <f>ROUND(C21*(1-Settings!$B$3),2)</f>
        <v>2461.03</v>
      </c>
      <c r="F21" s="2" t="inlineStr">
        <is>
          <t>One Piece</t>
        </is>
      </c>
      <c r="G21" s="2" t="inlineStr">
        <is>
          <t>Case/Display</t>
        </is>
      </c>
      <c r="H21" s="2" t="inlineStr">
        <is>
          <t>Extra Booster: One Piece Heroines Edition</t>
        </is>
      </c>
      <c r="I21" s="3" t="n"/>
      <c r="J21" s="3" t="n">
        <v>3581.52</v>
      </c>
      <c r="K21" s="3" t="n"/>
      <c r="L21" s="3" t="n">
        <v>3449.99</v>
      </c>
      <c r="M21" s="2" t="inlineStr">
        <is>
          <t>TCGplayer</t>
        </is>
      </c>
      <c r="O21" s="4" t="inlineStr">
        <is>
          <t>https://www.tcgplayer.com/product/666892</t>
        </is>
      </c>
    </row>
    <row r="22">
      <c r="A22" s="2" t="inlineStr">
        <is>
          <t>Extra Booster: One Piece Heroines Edition Vol.2 - Booster Box Case</t>
        </is>
      </c>
      <c r="B22" s="3">
        <f>IF(I22&lt;&gt;"",I22,IF(J22&lt;&gt;"",J22,IF(K22&lt;&gt;"",K22,L22)))</f>
        <v>3705.74</v>
      </c>
      <c r="C22" s="3">
        <f>MEDIAN(I22:L22)</f>
        <v>3698.245</v>
      </c>
      <c r="D22" s="3">
        <f>ROUND(C22*(1-Settings!$B$2),2)</f>
        <v>2588.77</v>
      </c>
      <c r="E22" s="3">
        <f>ROUND(C22*(1-Settings!$B$3),2)</f>
        <v>2588.77</v>
      </c>
      <c r="F22" s="2" t="inlineStr">
        <is>
          <t>One Piece</t>
        </is>
      </c>
      <c r="G22" s="2" t="inlineStr">
        <is>
          <t>Case/Display</t>
        </is>
      </c>
      <c r="H22" s="2" t="inlineStr">
        <is>
          <t>Extra Booster: One Piece Heroines Edition Vol. 2</t>
        </is>
      </c>
      <c r="I22" s="3" t="n"/>
      <c r="J22" s="3" t="n">
        <v>3705.74</v>
      </c>
      <c r="K22" s="3" t="n"/>
      <c r="L22" s="3" t="n">
        <v>3690.75</v>
      </c>
      <c r="M22" s="2" t="inlineStr">
        <is>
          <t>TCGplayer</t>
        </is>
      </c>
      <c r="O22" s="4" t="inlineStr">
        <is>
          <t>https://www.tcgplayer.com/product/711386</t>
        </is>
      </c>
    </row>
    <row r="23">
      <c r="A23" s="2" t="inlineStr">
        <is>
          <t>Double Pack Set Volume 1 Display</t>
        </is>
      </c>
      <c r="B23" s="3">
        <f>IF(I23&lt;&gt;"",I23,IF(J23&lt;&gt;"",J23,IF(K23&lt;&gt;"",K23,L23)))</f>
        <v>874.85</v>
      </c>
      <c r="C23" s="3">
        <f>MEDIAN(I23:L23)</f>
        <v>839.925</v>
      </c>
      <c r="D23" s="3">
        <f>ROUND(C23*(1-Settings!$B$2),2)</f>
        <v>587.95</v>
      </c>
      <c r="E23" s="3">
        <f>ROUND(C23*(1-Settings!$B$3),2)</f>
        <v>587.95</v>
      </c>
      <c r="F23" s="2" t="inlineStr">
        <is>
          <t>One Piece</t>
        </is>
      </c>
      <c r="G23" s="2" t="inlineStr">
        <is>
          <t>Case/Display</t>
        </is>
      </c>
      <c r="H23" s="2" t="inlineStr">
        <is>
          <t>Kingdoms of Intrigue</t>
        </is>
      </c>
      <c r="I23" s="3" t="n"/>
      <c r="J23" s="3" t="n">
        <v>874.85</v>
      </c>
      <c r="K23" s="3" t="n"/>
      <c r="L23" s="3" t="n">
        <v>805</v>
      </c>
      <c r="M23" s="2" t="inlineStr">
        <is>
          <t>TCGplayer</t>
        </is>
      </c>
      <c r="O23" s="4" t="inlineStr">
        <is>
          <t>https://www.tcgplayer.com/product/514029</t>
        </is>
      </c>
    </row>
    <row r="24">
      <c r="A24" s="2" t="inlineStr">
        <is>
          <t>Kingdoms of Intrigue - Booster Box Case</t>
        </is>
      </c>
      <c r="B24" s="3">
        <f>IF(I24&lt;&gt;"",I24,IF(J24&lt;&gt;"",J24,IF(K24&lt;&gt;"",K24,L24)))</f>
        <v>5990.0</v>
      </c>
      <c r="C24" s="3">
        <f>MEDIAN(I24:L24)</f>
        <v>5990.0</v>
      </c>
      <c r="D24" s="3">
        <f>ROUND(C24*(1-Settings!$B$2),2)</f>
        <v>4193.0</v>
      </c>
      <c r="E24" s="3">
        <f>ROUND(C24*(1-Settings!$B$3),2)</f>
        <v>4193.0</v>
      </c>
      <c r="F24" s="2" t="inlineStr">
        <is>
          <t>One Piece</t>
        </is>
      </c>
      <c r="G24" s="2" t="inlineStr">
        <is>
          <t>Case/Display</t>
        </is>
      </c>
      <c r="H24" s="2" t="inlineStr">
        <is>
          <t>Kingdoms of Intrigue</t>
        </is>
      </c>
      <c r="I24" s="3" t="n"/>
      <c r="J24" s="3" t="n"/>
      <c r="K24" s="3" t="n"/>
      <c r="L24" s="3" t="n">
        <v>5990</v>
      </c>
      <c r="M24" s="2" t="inlineStr">
        <is>
          <t>TCGplayer</t>
        </is>
      </c>
      <c r="O24" s="4" t="inlineStr">
        <is>
          <t>https://www.tcgplayer.com/product/485834</t>
        </is>
      </c>
    </row>
    <row r="25">
      <c r="A25" s="2" t="inlineStr">
        <is>
          <t>Learn Together Deck Set Display</t>
        </is>
      </c>
      <c r="B25" s="3">
        <f>IF(I25&lt;&gt;"",I25,IF(J25&lt;&gt;"",J25,IF(K25&lt;&gt;"",K25,L25)))</f>
        <v>266.09</v>
      </c>
      <c r="C25" s="3">
        <f>MEDIAN(I25:L25)</f>
        <v>280.53999999999996</v>
      </c>
      <c r="D25" s="3">
        <f>ROUND(C25*(1-Settings!$B$2),2)</f>
        <v>196.38</v>
      </c>
      <c r="E25" s="3">
        <f>ROUND(C25*(1-Settings!$B$3),2)</f>
        <v>196.38</v>
      </c>
      <c r="F25" s="2" t="inlineStr">
        <is>
          <t>One Piece</t>
        </is>
      </c>
      <c r="G25" s="2" t="inlineStr">
        <is>
          <t>Case/Display</t>
        </is>
      </c>
      <c r="H25" s="2" t="inlineStr">
        <is>
          <t>Learn Together Deck Set</t>
        </is>
      </c>
      <c r="I25" s="3" t="n"/>
      <c r="J25" s="3" t="n">
        <v>266.09</v>
      </c>
      <c r="K25" s="3" t="n"/>
      <c r="L25" s="3" t="n">
        <v>294.99</v>
      </c>
      <c r="M25" s="2" t="inlineStr">
        <is>
          <t>TCGplayer</t>
        </is>
      </c>
      <c r="O25" s="4" t="inlineStr">
        <is>
          <t>https://www.tcgplayer.com/product/628479</t>
        </is>
      </c>
    </row>
    <row r="26">
      <c r="A26" s="2" t="inlineStr">
        <is>
          <t>Double Pack Set Vol. 8 Display</t>
        </is>
      </c>
      <c r="B26" s="3">
        <f>IF(I26&lt;&gt;"",I26,IF(J26&lt;&gt;"",J26,IF(K26&lt;&gt;"",K26,L26)))</f>
        <v>303.32</v>
      </c>
      <c r="C26" s="3">
        <f>MEDIAN(I26:L26)</f>
        <v>324.15999999999997</v>
      </c>
      <c r="D26" s="3">
        <f>ROUND(C26*(1-Settings!$B$2),2)</f>
        <v>226.91</v>
      </c>
      <c r="E26" s="3">
        <f>ROUND(C26*(1-Settings!$B$3),2)</f>
        <v>226.91</v>
      </c>
      <c r="F26" s="2" t="inlineStr">
        <is>
          <t>One Piece</t>
        </is>
      </c>
      <c r="G26" s="2" t="inlineStr">
        <is>
          <t>Case/Display</t>
        </is>
      </c>
      <c r="H26" s="2" t="inlineStr">
        <is>
          <t>Legacy of the Master</t>
        </is>
      </c>
      <c r="I26" s="3" t="n"/>
      <c r="J26" s="3" t="n">
        <v>303.32</v>
      </c>
      <c r="K26" s="3" t="n"/>
      <c r="L26" s="3" t="n">
        <v>345</v>
      </c>
      <c r="M26" s="2" t="inlineStr">
        <is>
          <t>TCGplayer</t>
        </is>
      </c>
      <c r="O26" s="4" t="inlineStr">
        <is>
          <t>https://www.tcgplayer.com/product/628349</t>
        </is>
      </c>
    </row>
    <row r="27">
      <c r="A27" s="2" t="inlineStr">
        <is>
          <t>Legacy of the Master Booster Box Case</t>
        </is>
      </c>
      <c r="B27" s="3">
        <f>IF(I27&lt;&gt;"",I27,IF(J27&lt;&gt;"",J27,IF(K27&lt;&gt;"",K27,L27)))</f>
        <v>2814.8</v>
      </c>
      <c r="C27" s="3">
        <f>MEDIAN(I27:L27)</f>
        <v>2907.395</v>
      </c>
      <c r="D27" s="3">
        <f>ROUND(C27*(1-Settings!$B$2),2)</f>
        <v>2035.18</v>
      </c>
      <c r="E27" s="3">
        <f>ROUND(C27*(1-Settings!$B$3),2)</f>
        <v>2035.18</v>
      </c>
      <c r="F27" s="2" t="inlineStr">
        <is>
          <t>One Piece</t>
        </is>
      </c>
      <c r="G27" s="2" t="inlineStr">
        <is>
          <t>Case/Display</t>
        </is>
      </c>
      <c r="H27" s="2" t="inlineStr">
        <is>
          <t>Legacy of the Master</t>
        </is>
      </c>
      <c r="I27" s="3" t="n"/>
      <c r="J27" s="3" t="n">
        <v>2814.8</v>
      </c>
      <c r="K27" s="3" t="n"/>
      <c r="L27" s="3" t="n">
        <v>2999.99</v>
      </c>
      <c r="M27" s="2" t="inlineStr">
        <is>
          <t>TCGplayer</t>
        </is>
      </c>
      <c r="O27" s="4" t="inlineStr">
        <is>
          <t>https://www.tcgplayer.com/product/628347</t>
        </is>
      </c>
    </row>
    <row r="28">
      <c r="A28" s="2" t="inlineStr">
        <is>
          <t>Devil Fruits Collection Vol. 2 Case</t>
        </is>
      </c>
      <c r="B28" s="3">
        <f>IF(I28&lt;&gt;"",I28,IF(J28&lt;&gt;"",J28,IF(K28&lt;&gt;"",K28,L28)))</f>
        <v>2500.99</v>
      </c>
      <c r="C28" s="3">
        <f>MEDIAN(I28:L28)</f>
        <v>2500.99</v>
      </c>
      <c r="D28" s="3">
        <f>ROUND(C28*(1-Settings!$B$2),2)</f>
        <v>1750.69</v>
      </c>
      <c r="E28" s="3">
        <f>ROUND(C28*(1-Settings!$B$3),2)</f>
        <v>1750.69</v>
      </c>
      <c r="F28" s="2" t="inlineStr">
        <is>
          <t>One Piece</t>
        </is>
      </c>
      <c r="G28" s="2" t="inlineStr">
        <is>
          <t>Case/Display</t>
        </is>
      </c>
      <c r="H28" s="2" t="inlineStr">
        <is>
          <t>One Piece Collection Sets</t>
        </is>
      </c>
      <c r="I28" s="3" t="n"/>
      <c r="J28" s="3" t="n"/>
      <c r="K28" s="3" t="n"/>
      <c r="L28" s="3" t="n">
        <v>2500.99</v>
      </c>
      <c r="M28" s="2" t="inlineStr">
        <is>
          <t>TCGplayer</t>
        </is>
      </c>
      <c r="O28" s="4" t="inlineStr">
        <is>
          <t>https://www.tcgplayer.com/product/593447</t>
        </is>
      </c>
    </row>
    <row r="29">
      <c r="A29" s="2" t="inlineStr">
        <is>
          <t>Gift Collection 2023 Display</t>
        </is>
      </c>
      <c r="B29" s="3">
        <f>IF(I29&lt;&gt;"",I29,IF(J29&lt;&gt;"",J29,IF(K29&lt;&gt;"",K29,L29)))</f>
        <v>2246.35</v>
      </c>
      <c r="C29" s="3">
        <f>MEDIAN(I29:L29)</f>
        <v>2523.175</v>
      </c>
      <c r="D29" s="3">
        <f>ROUND(C29*(1-Settings!$B$2),2)</f>
        <v>1766.22</v>
      </c>
      <c r="E29" s="3">
        <f>ROUND(C29*(1-Settings!$B$3),2)</f>
        <v>1766.22</v>
      </c>
      <c r="F29" s="2" t="inlineStr">
        <is>
          <t>One Piece</t>
        </is>
      </c>
      <c r="G29" s="2" t="inlineStr">
        <is>
          <t>Case/Display</t>
        </is>
      </c>
      <c r="H29" s="2" t="inlineStr">
        <is>
          <t>One Piece Promotion Cards</t>
        </is>
      </c>
      <c r="I29" s="3" t="n"/>
      <c r="J29" s="3" t="n">
        <v>2246.35</v>
      </c>
      <c r="K29" s="3" t="n"/>
      <c r="L29" s="3" t="n">
        <v>2800</v>
      </c>
      <c r="M29" s="2" t="inlineStr">
        <is>
          <t>TCGplayer</t>
        </is>
      </c>
      <c r="O29" s="4" t="inlineStr">
        <is>
          <t>https://www.tcgplayer.com/product/493744</t>
        </is>
      </c>
    </row>
    <row r="30">
      <c r="A30" s="2" t="inlineStr">
        <is>
          <t>One Piece Card Game Illustration Box Vol. 5 Case</t>
        </is>
      </c>
      <c r="B30" s="3">
        <f>IF(I30&lt;&gt;"",I30,IF(J30&lt;&gt;"",J30,IF(K30&lt;&gt;"",K30,L30)))</f>
        <v>757.85</v>
      </c>
      <c r="C30" s="3">
        <f>MEDIAN(I30:L30)</f>
        <v>828.925</v>
      </c>
      <c r="D30" s="3">
        <f>ROUND(C30*(1-Settings!$B$2),2)</f>
        <v>580.25</v>
      </c>
      <c r="E30" s="3">
        <f>ROUND(C30*(1-Settings!$B$3),2)</f>
        <v>580.25</v>
      </c>
      <c r="F30" s="2" t="inlineStr">
        <is>
          <t>One Piece</t>
        </is>
      </c>
      <c r="G30" s="2" t="inlineStr">
        <is>
          <t>Case/Display</t>
        </is>
      </c>
      <c r="H30" s="2" t="inlineStr">
        <is>
          <t>One Piece Promotion Cards</t>
        </is>
      </c>
      <c r="I30" s="3" t="n"/>
      <c r="J30" s="3" t="n">
        <v>757.85</v>
      </c>
      <c r="K30" s="3" t="n"/>
      <c r="L30" s="3" t="n">
        <v>900</v>
      </c>
      <c r="M30" s="2" t="inlineStr">
        <is>
          <t>TCGplayer</t>
        </is>
      </c>
      <c r="O30" s="4" t="inlineStr">
        <is>
          <t>https://www.tcgplayer.com/product/672601</t>
        </is>
      </c>
    </row>
    <row r="31">
      <c r="A31" s="2" t="inlineStr">
        <is>
          <t>One Piece Card Game Illustration Box Vol. 6 Case</t>
        </is>
      </c>
      <c r="B31" s="3">
        <f>IF(I31&lt;&gt;"",I31,IF(J31&lt;&gt;"",J31,IF(K31&lt;&gt;"",K31,L31)))</f>
        <v>682.27</v>
      </c>
      <c r="C31" s="3">
        <f>MEDIAN(I31:L31)</f>
        <v>661.13</v>
      </c>
      <c r="D31" s="3">
        <f>ROUND(C31*(1-Settings!$B$2),2)</f>
        <v>462.79</v>
      </c>
      <c r="E31" s="3">
        <f>ROUND(C31*(1-Settings!$B$3),2)</f>
        <v>462.79</v>
      </c>
      <c r="F31" s="2" t="inlineStr">
        <is>
          <t>One Piece</t>
        </is>
      </c>
      <c r="G31" s="2" t="inlineStr">
        <is>
          <t>Case/Display</t>
        </is>
      </c>
      <c r="H31" s="2" t="inlineStr">
        <is>
          <t>One Piece Promotion Cards</t>
        </is>
      </c>
      <c r="I31" s="3" t="n"/>
      <c r="J31" s="3" t="n">
        <v>682.27</v>
      </c>
      <c r="K31" s="3" t="n"/>
      <c r="L31" s="3" t="n">
        <v>639.99</v>
      </c>
      <c r="M31" s="2" t="inlineStr">
        <is>
          <t>TCGplayer</t>
        </is>
      </c>
      <c r="O31" s="4" t="inlineStr">
        <is>
          <t>https://www.tcgplayer.com/product/672604</t>
        </is>
      </c>
    </row>
    <row r="32">
      <c r="A32" s="2" t="inlineStr">
        <is>
          <t>One Piece Card Game Illustration Box Vol. 7 Case</t>
        </is>
      </c>
      <c r="B32" s="3">
        <f>IF(I32&lt;&gt;"",I32,IF(J32&lt;&gt;"",J32,IF(K32&lt;&gt;"",K32,L32)))</f>
        <v>254.74</v>
      </c>
      <c r="C32" s="3">
        <f>MEDIAN(I32:L32)</f>
        <v>289.87</v>
      </c>
      <c r="D32" s="3">
        <f>ROUND(C32*(1-Settings!$B$2),2)</f>
        <v>202.91</v>
      </c>
      <c r="E32" s="3">
        <f>ROUND(C32*(1-Settings!$B$3),2)</f>
        <v>202.91</v>
      </c>
      <c r="F32" s="2" t="inlineStr">
        <is>
          <t>One Piece</t>
        </is>
      </c>
      <c r="G32" s="2" t="inlineStr">
        <is>
          <t>Case/Display</t>
        </is>
      </c>
      <c r="H32" s="2" t="inlineStr">
        <is>
          <t>One Piece Promotion Cards</t>
        </is>
      </c>
      <c r="I32" s="3" t="n"/>
      <c r="J32" s="3" t="n">
        <v>254.74</v>
      </c>
      <c r="K32" s="3" t="n"/>
      <c r="L32" s="3" t="n">
        <v>325</v>
      </c>
      <c r="M32" s="2" t="inlineStr">
        <is>
          <t>TCGplayer</t>
        </is>
      </c>
      <c r="O32" s="4" t="inlineStr">
        <is>
          <t>https://www.tcgplayer.com/product/711511</t>
        </is>
      </c>
    </row>
    <row r="33">
      <c r="A33" s="2" t="inlineStr">
        <is>
          <t>One Piece Card Game Illustration Box Vol. 8 Case</t>
        </is>
      </c>
      <c r="B33" s="3">
        <f>IF(I33&lt;&gt;"",I33,IF(J33&lt;&gt;"",J33,IF(K33&lt;&gt;"",K33,L33)))</f>
        <v>259.99</v>
      </c>
      <c r="C33" s="3">
        <f>MEDIAN(I33:L33)</f>
        <v>292.495</v>
      </c>
      <c r="D33" s="3">
        <f>ROUND(C33*(1-Settings!$B$2),2)</f>
        <v>204.75</v>
      </c>
      <c r="E33" s="3">
        <f>ROUND(C33*(1-Settings!$B$3),2)</f>
        <v>204.75</v>
      </c>
      <c r="F33" s="2" t="inlineStr">
        <is>
          <t>One Piece</t>
        </is>
      </c>
      <c r="G33" s="2" t="inlineStr">
        <is>
          <t>Case/Display</t>
        </is>
      </c>
      <c r="H33" s="2" t="inlineStr">
        <is>
          <t>One Piece Promotion Cards</t>
        </is>
      </c>
      <c r="I33" s="3" t="n"/>
      <c r="J33" s="3" t="n">
        <v>259.99</v>
      </c>
      <c r="K33" s="3" t="n"/>
      <c r="L33" s="3" t="n">
        <v>325</v>
      </c>
      <c r="M33" s="2" t="inlineStr">
        <is>
          <t>TCGplayer</t>
        </is>
      </c>
      <c r="O33" s="4" t="inlineStr">
        <is>
          <t>https://www.tcgplayer.com/product/711512</t>
        </is>
      </c>
    </row>
    <row r="34">
      <c r="A34" s="2" t="inlineStr">
        <is>
          <t>One Piece Tin Pack Set Vol. 1 Display</t>
        </is>
      </c>
      <c r="B34" s="3">
        <f>IF(I34&lt;&gt;"",I34,IF(J34&lt;&gt;"",J34,IF(K34&lt;&gt;"",K34,L34)))</f>
        <v>480.25</v>
      </c>
      <c r="C34" s="3">
        <f>MEDIAN(I34:L34)</f>
        <v>540.12</v>
      </c>
      <c r="D34" s="3">
        <f>ROUND(C34*(1-Settings!$B$2),2)</f>
        <v>378.08</v>
      </c>
      <c r="E34" s="3">
        <f>ROUND(C34*(1-Settings!$B$3),2)</f>
        <v>378.08</v>
      </c>
      <c r="F34" s="2" t="inlineStr">
        <is>
          <t>One Piece</t>
        </is>
      </c>
      <c r="G34" s="2" t="inlineStr">
        <is>
          <t>Case/Display</t>
        </is>
      </c>
      <c r="H34" s="2" t="inlineStr">
        <is>
          <t>One Piece Promotion Cards</t>
        </is>
      </c>
      <c r="I34" s="3" t="n"/>
      <c r="J34" s="3" t="n">
        <v>480.25</v>
      </c>
      <c r="K34" s="3" t="n"/>
      <c r="L34" s="3" t="n">
        <v>599.99</v>
      </c>
      <c r="M34" s="2" t="inlineStr">
        <is>
          <t>TCGplayer</t>
        </is>
      </c>
      <c r="O34" s="4" t="inlineStr">
        <is>
          <t>https://www.tcgplayer.com/product/620280</t>
        </is>
      </c>
    </row>
    <row r="35">
      <c r="A35" s="2" t="inlineStr">
        <is>
          <t>One Piece Tin Pack Set Vol. 1 Display Case</t>
        </is>
      </c>
      <c r="B35" s="3">
        <f>IF(I35&lt;&gt;"",I35,IF(J35&lt;&gt;"",J35,IF(K35&lt;&gt;"",K35,L35)))</f>
        <v>3375.99</v>
      </c>
      <c r="C35" s="3">
        <f>MEDIAN(I35:L35)</f>
        <v>3375.99</v>
      </c>
      <c r="D35" s="3">
        <f>ROUND(C35*(1-Settings!$B$2),2)</f>
        <v>2363.19</v>
      </c>
      <c r="E35" s="3">
        <f>ROUND(C35*(1-Settings!$B$3),2)</f>
        <v>2363.19</v>
      </c>
      <c r="F35" s="2" t="inlineStr">
        <is>
          <t>One Piece</t>
        </is>
      </c>
      <c r="G35" s="2" t="inlineStr">
        <is>
          <t>Case/Display</t>
        </is>
      </c>
      <c r="H35" s="2" t="inlineStr">
        <is>
          <t>One Piece Promotion Cards</t>
        </is>
      </c>
      <c r="I35" s="3" t="n"/>
      <c r="J35" s="3" t="n"/>
      <c r="K35" s="3" t="n"/>
      <c r="L35" s="3" t="n">
        <v>3375.99</v>
      </c>
      <c r="M35" s="2" t="inlineStr">
        <is>
          <t>TCGplayer</t>
        </is>
      </c>
      <c r="O35" s="4" t="inlineStr">
        <is>
          <t>https://www.tcgplayer.com/product/620281</t>
        </is>
      </c>
    </row>
    <row r="36">
      <c r="A36" s="2" t="inlineStr">
        <is>
          <t>One Piece Tin Pack Set Vol. 2 Display</t>
        </is>
      </c>
      <c r="B36" s="3">
        <f>IF(I36&lt;&gt;"",I36,IF(J36&lt;&gt;"",J36,IF(K36&lt;&gt;"",K36,L36)))</f>
        <v>723.72</v>
      </c>
      <c r="C36" s="3">
        <f>MEDIAN(I36:L36)</f>
        <v>753.86</v>
      </c>
      <c r="D36" s="3">
        <f>ROUND(C36*(1-Settings!$B$2),2)</f>
        <v>527.7</v>
      </c>
      <c r="E36" s="3">
        <f>ROUND(C36*(1-Settings!$B$3),2)</f>
        <v>527.7</v>
      </c>
      <c r="F36" s="2" t="inlineStr">
        <is>
          <t>One Piece</t>
        </is>
      </c>
      <c r="G36" s="2" t="inlineStr">
        <is>
          <t>Case/Display</t>
        </is>
      </c>
      <c r="H36" s="2" t="inlineStr">
        <is>
          <t>One Piece Promotion Cards</t>
        </is>
      </c>
      <c r="I36" s="3" t="n"/>
      <c r="J36" s="3" t="n">
        <v>723.72</v>
      </c>
      <c r="K36" s="3" t="n"/>
      <c r="L36" s="3" t="n">
        <v>784</v>
      </c>
      <c r="M36" s="2" t="inlineStr">
        <is>
          <t>TCGplayer</t>
        </is>
      </c>
      <c r="O36" s="4" t="inlineStr">
        <is>
          <t>https://www.tcgplayer.com/product/657218</t>
        </is>
      </c>
    </row>
    <row r="37">
      <c r="A37" s="2" t="inlineStr">
        <is>
          <t>One Piece Tin Pack Set Vol. 2 Display Case</t>
        </is>
      </c>
      <c r="B37" s="3">
        <f>IF(I37&lt;&gt;"",I37,IF(J37&lt;&gt;"",J37,IF(K37&lt;&gt;"",K37,L37)))</f>
        <v>2999.95</v>
      </c>
      <c r="C37" s="3">
        <f>MEDIAN(I37:L37)</f>
        <v>3149.975</v>
      </c>
      <c r="D37" s="3">
        <f>ROUND(C37*(1-Settings!$B$2),2)</f>
        <v>2204.98</v>
      </c>
      <c r="E37" s="3">
        <f>ROUND(C37*(1-Settings!$B$3),2)</f>
        <v>2204.98</v>
      </c>
      <c r="F37" s="2" t="inlineStr">
        <is>
          <t>One Piece</t>
        </is>
      </c>
      <c r="G37" s="2" t="inlineStr">
        <is>
          <t>Case/Display</t>
        </is>
      </c>
      <c r="H37" s="2" t="inlineStr">
        <is>
          <t>One Piece Promotion Cards</t>
        </is>
      </c>
      <c r="I37" s="3" t="n"/>
      <c r="J37" s="3" t="n">
        <v>2999.95</v>
      </c>
      <c r="K37" s="3" t="n"/>
      <c r="L37" s="3" t="n">
        <v>3300</v>
      </c>
      <c r="M37" s="2" t="inlineStr">
        <is>
          <t>TCGplayer</t>
        </is>
      </c>
      <c r="O37" s="4" t="inlineStr">
        <is>
          <t>https://www.tcgplayer.com/product/657219</t>
        </is>
      </c>
    </row>
    <row r="38">
      <c r="A38" s="2" t="inlineStr">
        <is>
          <t>Treasure Booster Set Display Case</t>
        </is>
      </c>
      <c r="B38" s="3">
        <f>IF(I38&lt;&gt;"",I38,IF(J38&lt;&gt;"",J38,IF(K38&lt;&gt;"",K38,L38)))</f>
        <v>2473.99</v>
      </c>
      <c r="C38" s="3">
        <f>MEDIAN(I38:L38)</f>
        <v>2473.99</v>
      </c>
      <c r="D38" s="3">
        <f>ROUND(C38*(1-Settings!$B$2),2)</f>
        <v>1731.79</v>
      </c>
      <c r="E38" s="3">
        <f>ROUND(C38*(1-Settings!$B$3),2)</f>
        <v>1731.79</v>
      </c>
      <c r="F38" s="2" t="inlineStr">
        <is>
          <t>One Piece</t>
        </is>
      </c>
      <c r="G38" s="2" t="inlineStr">
        <is>
          <t>Case/Display</t>
        </is>
      </c>
      <c r="H38" s="2" t="inlineStr">
        <is>
          <t>One Piece Promotion Cards</t>
        </is>
      </c>
      <c r="I38" s="3" t="n"/>
      <c r="J38" s="3" t="n"/>
      <c r="K38" s="3" t="n"/>
      <c r="L38" s="3" t="n">
        <v>2473.99</v>
      </c>
      <c r="M38" s="2" t="inlineStr">
        <is>
          <t>TCGplayer</t>
        </is>
      </c>
      <c r="O38" s="4" t="inlineStr">
        <is>
          <t>https://www.tcgplayer.com/product/646249</t>
        </is>
      </c>
    </row>
    <row r="39">
      <c r="A39" s="2" t="inlineStr">
        <is>
          <t>Paramount War - Booster Box Case</t>
        </is>
      </c>
      <c r="B39" s="3">
        <f>IF(I39&lt;&gt;"",I39,IF(J39&lt;&gt;"",J39,IF(K39&lt;&gt;"",K39,L39)))</f>
        <v>5995.0</v>
      </c>
      <c r="C39" s="3">
        <f>MEDIAN(I39:L39)</f>
        <v>5995.0</v>
      </c>
      <c r="D39" s="3">
        <f>ROUND(C39*(1-Settings!$B$2),2)</f>
        <v>4196.5</v>
      </c>
      <c r="E39" s="3">
        <f>ROUND(C39*(1-Settings!$B$3),2)</f>
        <v>4196.5</v>
      </c>
      <c r="F39" s="2" t="inlineStr">
        <is>
          <t>One Piece</t>
        </is>
      </c>
      <c r="G39" s="2" t="inlineStr">
        <is>
          <t>Case/Display</t>
        </is>
      </c>
      <c r="H39" s="2" t="inlineStr">
        <is>
          <t>Paramount War</t>
        </is>
      </c>
      <c r="I39" s="3" t="n"/>
      <c r="J39" s="3" t="n"/>
      <c r="K39" s="3" t="n"/>
      <c r="L39" s="3" t="n">
        <v>5995</v>
      </c>
      <c r="M39" s="2" t="inlineStr">
        <is>
          <t>TCGplayer</t>
        </is>
      </c>
      <c r="O39" s="4" t="inlineStr">
        <is>
          <t>https://www.tcgplayer.com/product/455867</t>
        </is>
      </c>
    </row>
    <row r="40">
      <c r="A40" s="2" t="inlineStr">
        <is>
          <t>Pillars of Strength - Booster Box Case</t>
        </is>
      </c>
      <c r="B40" s="3">
        <f>IF(I40&lt;&gt;"",I40,IF(J40&lt;&gt;"",J40,IF(K40&lt;&gt;"",K40,L40)))</f>
        <v>6271.2</v>
      </c>
      <c r="C40" s="3">
        <f>MEDIAN(I40:L40)</f>
        <v>6271.2</v>
      </c>
      <c r="D40" s="3">
        <f>ROUND(C40*(1-Settings!$B$2),2)</f>
        <v>4389.84</v>
      </c>
      <c r="E40" s="3">
        <f>ROUND(C40*(1-Settings!$B$3),2)</f>
        <v>4389.84</v>
      </c>
      <c r="F40" s="2" t="inlineStr">
        <is>
          <t>One Piece</t>
        </is>
      </c>
      <c r="G40" s="2" t="inlineStr">
        <is>
          <t>Case/Display</t>
        </is>
      </c>
      <c r="H40" s="2" t="inlineStr">
        <is>
          <t>Pillars of Strength</t>
        </is>
      </c>
      <c r="I40" s="3" t="n"/>
      <c r="J40" s="3" t="n"/>
      <c r="K40" s="3" t="n"/>
      <c r="L40" s="3" t="n">
        <v>6271.2</v>
      </c>
      <c r="M40" s="2" t="inlineStr">
        <is>
          <t>TCGplayer</t>
        </is>
      </c>
      <c r="O40" s="4" t="inlineStr">
        <is>
          <t>https://www.tcgplayer.com/product/477177</t>
        </is>
      </c>
    </row>
    <row r="41">
      <c r="A41" s="2" t="inlineStr">
        <is>
          <t>Premium Booster Display [PRB01]</t>
        </is>
      </c>
      <c r="B41" s="3">
        <f>IF(I41&lt;&gt;"",I41,IF(J41&lt;&gt;"",J41,IF(K41&lt;&gt;"",K41,L41)))</f>
        <v>900.0</v>
      </c>
      <c r="C41" s="3">
        <f>MEDIAN(I41:L41)</f>
        <v>900.0</v>
      </c>
      <c r="D41" s="3">
        <f>ROUND(C41*(1-Settings!$B$2),2)</f>
        <v>630.0</v>
      </c>
      <c r="E41" s="3">
        <f>ROUND(C41*(1-Settings!$B$3),2)</f>
        <v>630.0</v>
      </c>
      <c r="F41" s="2" t="inlineStr">
        <is>
          <t>One Piece</t>
        </is>
      </c>
      <c r="G41" s="2" t="inlineStr">
        <is>
          <t>Case/Display</t>
        </is>
      </c>
      <c r="H41" s="2" t="inlineStr">
        <is>
          <t>Premium Booster</t>
        </is>
      </c>
      <c r="I41" s="3" t="n">
        <v>900</v>
      </c>
      <c r="J41" s="3" t="n"/>
      <c r="K41" s="3" t="n"/>
      <c r="L41" s="3" t="n"/>
      <c r="M41" s="2" t="inlineStr">
        <is>
          <t>PriceCharting</t>
        </is>
      </c>
      <c r="N41" s="4" t="inlineStr">
        <is>
          <t>https://www.pricecharting.com/game/one-piece-premium-booster/premium-booster-display-prb01</t>
        </is>
      </c>
    </row>
    <row r="42">
      <c r="A42" s="2" t="inlineStr">
        <is>
          <t>Premium Booster - Booster Box Case</t>
        </is>
      </c>
      <c r="B42" s="3">
        <f>IF(I42&lt;&gt;"",I42,IF(J42&lt;&gt;"",J42,IF(K42&lt;&gt;"",K42,L42)))</f>
        <v>9500.0</v>
      </c>
      <c r="C42" s="3">
        <f>MEDIAN(I42:L42)</f>
        <v>6249.995</v>
      </c>
      <c r="D42" s="3">
        <f>ROUND(C42*(1-Settings!$B$2),2)</f>
        <v>4375.0</v>
      </c>
      <c r="E42" s="3">
        <f>ROUND(C42*(1-Settings!$B$3),2)</f>
        <v>4375.0</v>
      </c>
      <c r="F42" s="2" t="inlineStr">
        <is>
          <t>One Piece</t>
        </is>
      </c>
      <c r="G42" s="2" t="inlineStr">
        <is>
          <t>Case/Display</t>
        </is>
      </c>
      <c r="H42" s="2" t="inlineStr">
        <is>
          <t>Premium Booster -The Best-</t>
        </is>
      </c>
      <c r="I42" s="3" t="n"/>
      <c r="J42" s="3" t="n">
        <v>9500</v>
      </c>
      <c r="K42" s="3" t="n"/>
      <c r="L42" s="3" t="n">
        <v>2999.99</v>
      </c>
      <c r="M42" s="2" t="inlineStr">
        <is>
          <t>TCGplayer</t>
        </is>
      </c>
      <c r="O42" s="4" t="inlineStr">
        <is>
          <t>https://www.tcgplayer.com/product/545400</t>
        </is>
      </c>
    </row>
    <row r="43">
      <c r="A43" s="2" t="inlineStr">
        <is>
          <t>Premium Booster Vol. 2 - Booster Box Case</t>
        </is>
      </c>
      <c r="B43" s="3">
        <f>IF(I43&lt;&gt;"",I43,IF(J43&lt;&gt;"",J43,IF(K43&lt;&gt;"",K43,L43)))</f>
        <v>3559.41</v>
      </c>
      <c r="C43" s="3">
        <f>MEDIAN(I43:L43)</f>
        <v>3029.705</v>
      </c>
      <c r="D43" s="3">
        <f>ROUND(C43*(1-Settings!$B$2),2)</f>
        <v>2120.79</v>
      </c>
      <c r="E43" s="3">
        <f>ROUND(C43*(1-Settings!$B$3),2)</f>
        <v>2120.79</v>
      </c>
      <c r="F43" s="2" t="inlineStr">
        <is>
          <t>One Piece</t>
        </is>
      </c>
      <c r="G43" s="2" t="inlineStr">
        <is>
          <t>Case/Display</t>
        </is>
      </c>
      <c r="H43" s="2" t="inlineStr">
        <is>
          <t>Premium Booster -The Best- Vol. 2</t>
        </is>
      </c>
      <c r="I43" s="3" t="n"/>
      <c r="J43" s="3" t="n">
        <v>3559.41</v>
      </c>
      <c r="K43" s="3" t="n"/>
      <c r="L43" s="3" t="n">
        <v>2500</v>
      </c>
      <c r="M43" s="2" t="inlineStr">
        <is>
          <t>TCGplayer</t>
        </is>
      </c>
      <c r="O43" s="4" t="inlineStr">
        <is>
          <t>https://www.tcgplayer.com/product/628453</t>
        </is>
      </c>
    </row>
    <row r="44">
      <c r="A44" s="2" t="inlineStr">
        <is>
          <t>Romance Dawn - Booster Box Case (Wave 1 - Blue)</t>
        </is>
      </c>
      <c r="B44" s="3">
        <f>IF(I44&lt;&gt;"",I44,IF(J44&lt;&gt;"",J44,IF(K44&lt;&gt;"",K44,L44)))</f>
        <v>67599.99</v>
      </c>
      <c r="C44" s="3">
        <f>MEDIAN(I44:L44)</f>
        <v>67599.99</v>
      </c>
      <c r="D44" s="3">
        <f>ROUND(C44*(1-Settings!$B$2),2)</f>
        <v>47319.99</v>
      </c>
      <c r="E44" s="3">
        <f>ROUND(C44*(1-Settings!$B$3),2)</f>
        <v>47319.99</v>
      </c>
      <c r="F44" s="2" t="inlineStr">
        <is>
          <t>One Piece</t>
        </is>
      </c>
      <c r="G44" s="2" t="inlineStr">
        <is>
          <t>Case/Display</t>
        </is>
      </c>
      <c r="H44" s="2" t="inlineStr">
        <is>
          <t>Romance Dawn</t>
        </is>
      </c>
      <c r="I44" s="3" t="n"/>
      <c r="J44" s="3" t="n"/>
      <c r="K44" s="3" t="n"/>
      <c r="L44" s="3" t="n">
        <v>67599.99000000001</v>
      </c>
      <c r="M44" s="2" t="inlineStr">
        <is>
          <t>TCGplayer</t>
        </is>
      </c>
      <c r="O44" s="4" t="inlineStr">
        <is>
          <t>https://www.tcgplayer.com/product/650853</t>
        </is>
      </c>
    </row>
    <row r="45">
      <c r="A45" s="2" t="inlineStr">
        <is>
          <t>Romance Dawn - Booster Box Case (Wave 2 - White)</t>
        </is>
      </c>
      <c r="B45" s="3">
        <f>IF(I45&lt;&gt;"",I45,IF(J45&lt;&gt;"",J45,IF(K45&lt;&gt;"",K45,L45)))</f>
        <v>5000.0</v>
      </c>
      <c r="C45" s="3">
        <f>MEDIAN(I45:L45)</f>
        <v>5000.0</v>
      </c>
      <c r="D45" s="3">
        <f>ROUND(C45*(1-Settings!$B$2),2)</f>
        <v>3500.0</v>
      </c>
      <c r="E45" s="3">
        <f>ROUND(C45*(1-Settings!$B$3),2)</f>
        <v>3500.0</v>
      </c>
      <c r="F45" s="2" t="inlineStr">
        <is>
          <t>One Piece</t>
        </is>
      </c>
      <c r="G45" s="2" t="inlineStr">
        <is>
          <t>Case/Display</t>
        </is>
      </c>
      <c r="H45" s="2" t="inlineStr">
        <is>
          <t>Romance Dawn</t>
        </is>
      </c>
      <c r="I45" s="3" t="n"/>
      <c r="J45" s="3" t="n"/>
      <c r="K45" s="3" t="n"/>
      <c r="L45" s="3" t="n">
        <v>5000</v>
      </c>
      <c r="M45" s="2" t="inlineStr">
        <is>
          <t>TCGplayer</t>
        </is>
      </c>
      <c r="O45" s="4" t="inlineStr">
        <is>
          <t>https://www.tcgplayer.com/product/450087</t>
        </is>
      </c>
    </row>
    <row r="46">
      <c r="A46" s="2" t="inlineStr">
        <is>
          <t>Royal Blood Booster Box Case</t>
        </is>
      </c>
      <c r="B46" s="3">
        <f>IF(I46&lt;&gt;"",I46,IF(J46&lt;&gt;"",J46,IF(K46&lt;&gt;"",K46,L46)))</f>
        <v>2411.3</v>
      </c>
      <c r="C46" s="3">
        <f>MEDIAN(I46:L46)</f>
        <v>2475.645</v>
      </c>
      <c r="D46" s="3">
        <f>ROUND(C46*(1-Settings!$B$2),2)</f>
        <v>1732.95</v>
      </c>
      <c r="E46" s="3">
        <f>ROUND(C46*(1-Settings!$B$3),2)</f>
        <v>1732.95</v>
      </c>
      <c r="F46" s="2" t="inlineStr">
        <is>
          <t>One Piece</t>
        </is>
      </c>
      <c r="G46" s="2" t="inlineStr">
        <is>
          <t>Case/Display</t>
        </is>
      </c>
      <c r="H46" s="2" t="inlineStr">
        <is>
          <t>Royal Blood</t>
        </is>
      </c>
      <c r="I46" s="3" t="n"/>
      <c r="J46" s="3" t="n">
        <v>2411.3</v>
      </c>
      <c r="K46" s="3" t="n"/>
      <c r="L46" s="3" t="n">
        <v>2539.99</v>
      </c>
      <c r="M46" s="2" t="inlineStr">
        <is>
          <t>TCGplayer</t>
        </is>
      </c>
      <c r="O46" s="4" t="inlineStr">
        <is>
          <t>https://www.tcgplayer.com/product/586673</t>
        </is>
      </c>
    </row>
    <row r="47">
      <c r="A47" s="2" t="inlineStr">
        <is>
          <t>Set Sail Deck Set Display</t>
        </is>
      </c>
      <c r="B47" s="3">
        <f>IF(I47&lt;&gt;"",I47,IF(J47&lt;&gt;"",J47,IF(K47&lt;&gt;"",K47,L47)))</f>
        <v>158.86</v>
      </c>
      <c r="C47" s="3">
        <f>MEDIAN(I47:L47)</f>
        <v>129.4</v>
      </c>
      <c r="D47" s="3">
        <f>ROUND(C47*(1-Settings!$B$2),2)</f>
        <v>90.58</v>
      </c>
      <c r="E47" s="3">
        <f>ROUND(C47*(1-Settings!$B$3),2)</f>
        <v>90.58</v>
      </c>
      <c r="F47" s="2" t="inlineStr">
        <is>
          <t>One Piece</t>
        </is>
      </c>
      <c r="G47" s="2" t="inlineStr">
        <is>
          <t>Case/Display</t>
        </is>
      </c>
      <c r="H47" s="2" t="inlineStr">
        <is>
          <t>Set Sail Deck Set</t>
        </is>
      </c>
      <c r="I47" s="3" t="n"/>
      <c r="J47" s="3" t="n">
        <v>158.86</v>
      </c>
      <c r="K47" s="3" t="n"/>
      <c r="L47" s="3" t="n">
        <v>99.94</v>
      </c>
      <c r="M47" s="2" t="inlineStr">
        <is>
          <t>TCGplayer</t>
        </is>
      </c>
      <c r="O47" s="4" t="inlineStr">
        <is>
          <t>https://www.tcgplayer.com/product/694894</t>
        </is>
      </c>
    </row>
    <row r="48">
      <c r="A48" s="2" t="inlineStr">
        <is>
          <t>Starter Deck 1: Straw Hat Crew Display</t>
        </is>
      </c>
      <c r="B48" s="3">
        <f>IF(I48&lt;&gt;"",I48,IF(J48&lt;&gt;"",J48,IF(K48&lt;&gt;"",K48,L48)))</f>
        <v>549.99</v>
      </c>
      <c r="C48" s="3">
        <f>MEDIAN(I48:L48)</f>
        <v>549.99</v>
      </c>
      <c r="D48" s="3">
        <f>ROUND(C48*(1-Settings!$B$2),2)</f>
        <v>384.99</v>
      </c>
      <c r="E48" s="3">
        <f>ROUND(C48*(1-Settings!$B$3),2)</f>
        <v>384.99</v>
      </c>
      <c r="F48" s="2" t="inlineStr">
        <is>
          <t>One Piece</t>
        </is>
      </c>
      <c r="G48" s="2" t="inlineStr">
        <is>
          <t>Case/Display</t>
        </is>
      </c>
      <c r="H48" s="2" t="inlineStr">
        <is>
          <t>ST-01: Starter Deck 1 Straw Hat Crew</t>
        </is>
      </c>
      <c r="I48" s="3" t="n"/>
      <c r="J48" s="3" t="n"/>
      <c r="K48" s="3" t="n"/>
      <c r="L48" s="3" t="n">
        <v>549.99</v>
      </c>
      <c r="M48" s="2" t="inlineStr">
        <is>
          <t>TCGplayer</t>
        </is>
      </c>
      <c r="O48" s="4" t="inlineStr">
        <is>
          <t>https://www.tcgplayer.com/product/288222</t>
        </is>
      </c>
    </row>
    <row r="49">
      <c r="A49" s="2" t="inlineStr">
        <is>
          <t>Starter Deck 2: Worst Generation Display</t>
        </is>
      </c>
      <c r="B49" s="3">
        <f>IF(I49&lt;&gt;"",I49,IF(J49&lt;&gt;"",J49,IF(K49&lt;&gt;"",K49,L49)))</f>
        <v>499.99</v>
      </c>
      <c r="C49" s="3">
        <f>MEDIAN(I49:L49)</f>
        <v>499.99</v>
      </c>
      <c r="D49" s="3">
        <f>ROUND(C49*(1-Settings!$B$2),2)</f>
        <v>349.99</v>
      </c>
      <c r="E49" s="3">
        <f>ROUND(C49*(1-Settings!$B$3),2)</f>
        <v>349.99</v>
      </c>
      <c r="F49" s="2" t="inlineStr">
        <is>
          <t>One Piece</t>
        </is>
      </c>
      <c r="G49" s="2" t="inlineStr">
        <is>
          <t>Case/Display</t>
        </is>
      </c>
      <c r="H49" s="2" t="inlineStr">
        <is>
          <t>ST-02: Starter Deck 2 Worst Generation</t>
        </is>
      </c>
      <c r="I49" s="3" t="n"/>
      <c r="J49" s="3" t="n"/>
      <c r="K49" s="3" t="n"/>
      <c r="L49" s="3" t="n">
        <v>499.99</v>
      </c>
      <c r="M49" s="2" t="inlineStr">
        <is>
          <t>TCGplayer</t>
        </is>
      </c>
      <c r="O49" s="4" t="inlineStr">
        <is>
          <t>https://www.tcgplayer.com/product/288231</t>
        </is>
      </c>
    </row>
    <row r="50">
      <c r="A50" s="2" t="inlineStr">
        <is>
          <t>Starter Deck 4: Animal Kingdom Pirates Display</t>
        </is>
      </c>
      <c r="B50" s="3">
        <f>IF(I50&lt;&gt;"",I50,IF(J50&lt;&gt;"",J50,IF(K50&lt;&gt;"",K50,L50)))</f>
        <v>1002.69</v>
      </c>
      <c r="C50" s="3">
        <f>MEDIAN(I50:L50)</f>
        <v>1002.69</v>
      </c>
      <c r="D50" s="3">
        <f>ROUND(C50*(1-Settings!$B$2),2)</f>
        <v>701.88</v>
      </c>
      <c r="E50" s="3">
        <f>ROUND(C50*(1-Settings!$B$3),2)</f>
        <v>701.88</v>
      </c>
      <c r="F50" s="2" t="inlineStr">
        <is>
          <t>One Piece</t>
        </is>
      </c>
      <c r="G50" s="2" t="inlineStr">
        <is>
          <t>Case/Display</t>
        </is>
      </c>
      <c r="H50" s="2" t="inlineStr">
        <is>
          <t>ST-04: Starter Deck 4 Animal Kingdom Pirates</t>
        </is>
      </c>
      <c r="I50" s="3" t="n"/>
      <c r="J50" s="3" t="n"/>
      <c r="K50" s="3" t="n"/>
      <c r="L50" s="3" t="n">
        <v>1002.69</v>
      </c>
      <c r="M50" s="2" t="inlineStr">
        <is>
          <t>TCGplayer</t>
        </is>
      </c>
      <c r="O50" s="4" t="inlineStr">
        <is>
          <t>https://www.tcgplayer.com/product/288223</t>
        </is>
      </c>
    </row>
    <row r="51">
      <c r="A51" s="2" t="inlineStr">
        <is>
          <t>Starter Deck 5: Film Edition Display</t>
        </is>
      </c>
      <c r="B51" s="3">
        <f>IF(I51&lt;&gt;"",I51,IF(J51&lt;&gt;"",J51,IF(K51&lt;&gt;"",K51,L51)))</f>
        <v>200.0</v>
      </c>
      <c r="C51" s="3">
        <f>MEDIAN(I51:L51)</f>
        <v>200.0</v>
      </c>
      <c r="D51" s="3">
        <f>ROUND(C51*(1-Settings!$B$2),2)</f>
        <v>140.0</v>
      </c>
      <c r="E51" s="3">
        <f>ROUND(C51*(1-Settings!$B$3),2)</f>
        <v>140.0</v>
      </c>
      <c r="F51" s="2" t="inlineStr">
        <is>
          <t>One Piece</t>
        </is>
      </c>
      <c r="G51" s="2" t="inlineStr">
        <is>
          <t>Case/Display</t>
        </is>
      </c>
      <c r="H51" s="2" t="inlineStr">
        <is>
          <t>ST-05: Starter Deck 5 Film Edition</t>
        </is>
      </c>
      <c r="I51" s="3" t="n"/>
      <c r="J51" s="3" t="n">
        <v>200</v>
      </c>
      <c r="K51" s="3" t="n"/>
      <c r="L51" s="3" t="n"/>
      <c r="M51" s="2" t="inlineStr">
        <is>
          <t>TCGplayer</t>
        </is>
      </c>
      <c r="O51" s="4" t="inlineStr">
        <is>
          <t>https://www.tcgplayer.com/product/455860</t>
        </is>
      </c>
    </row>
    <row r="52">
      <c r="A52" s="2" t="inlineStr">
        <is>
          <t>Starter Deck 6: Absolute Justice Display</t>
        </is>
      </c>
      <c r="B52" s="3">
        <f>IF(I52&lt;&gt;"",I52,IF(J52&lt;&gt;"",J52,IF(K52&lt;&gt;"",K52,L52)))</f>
        <v>178.34</v>
      </c>
      <c r="C52" s="3">
        <f>MEDIAN(I52:L52)</f>
        <v>178.34</v>
      </c>
      <c r="D52" s="3">
        <f>ROUND(C52*(1-Settings!$B$2),2)</f>
        <v>124.84</v>
      </c>
      <c r="E52" s="3">
        <f>ROUND(C52*(1-Settings!$B$3),2)</f>
        <v>124.84</v>
      </c>
      <c r="F52" s="2" t="inlineStr">
        <is>
          <t>One Piece</t>
        </is>
      </c>
      <c r="G52" s="2" t="inlineStr">
        <is>
          <t>Case/Display</t>
        </is>
      </c>
      <c r="H52" s="2" t="inlineStr">
        <is>
          <t>ST-06: Starter Deck 6 Absolute Justice</t>
        </is>
      </c>
      <c r="I52" s="3" t="n"/>
      <c r="J52" s="3" t="n">
        <v>178.34</v>
      </c>
      <c r="K52" s="3" t="n"/>
      <c r="L52" s="3" t="n">
        <v>178.34</v>
      </c>
      <c r="M52" s="2" t="inlineStr">
        <is>
          <t>TCGplayer</t>
        </is>
      </c>
      <c r="O52" s="4" t="inlineStr">
        <is>
          <t>https://www.tcgplayer.com/product/455869</t>
        </is>
      </c>
    </row>
    <row r="53">
      <c r="A53" s="2" t="inlineStr">
        <is>
          <t>Starter Deck 7: Big Mom Pirates Display</t>
        </is>
      </c>
      <c r="B53" s="3">
        <f>IF(I53&lt;&gt;"",I53,IF(J53&lt;&gt;"",J53,IF(K53&lt;&gt;"",K53,L53)))</f>
        <v>360.0</v>
      </c>
      <c r="C53" s="3">
        <f>MEDIAN(I53:L53)</f>
        <v>360.0</v>
      </c>
      <c r="D53" s="3">
        <f>ROUND(C53*(1-Settings!$B$2),2)</f>
        <v>252.0</v>
      </c>
      <c r="E53" s="3">
        <f>ROUND(C53*(1-Settings!$B$3),2)</f>
        <v>252.0</v>
      </c>
      <c r="F53" s="2" t="inlineStr">
        <is>
          <t>One Piece</t>
        </is>
      </c>
      <c r="G53" s="2" t="inlineStr">
        <is>
          <t>Case/Display</t>
        </is>
      </c>
      <c r="H53" s="2" t="inlineStr">
        <is>
          <t>ST-07: Starter Deck 7 Big Mom Pirates</t>
        </is>
      </c>
      <c r="I53" s="3" t="n"/>
      <c r="J53" s="3" t="n"/>
      <c r="K53" s="3" t="n"/>
      <c r="L53" s="3" t="n">
        <v>360</v>
      </c>
      <c r="M53" s="2" t="inlineStr">
        <is>
          <t>TCGplayer</t>
        </is>
      </c>
      <c r="O53" s="4" t="inlineStr">
        <is>
          <t>https://www.tcgplayer.com/product/480240</t>
        </is>
      </c>
    </row>
    <row r="54">
      <c r="A54" s="2" t="inlineStr">
        <is>
          <t>Starter Deck 8: Monkey.D.Luffy Display</t>
        </is>
      </c>
      <c r="B54" s="3">
        <f>IF(I54&lt;&gt;"",I54,IF(J54&lt;&gt;"",J54,IF(K54&lt;&gt;"",K54,L54)))</f>
        <v>87.32</v>
      </c>
      <c r="C54" s="3">
        <f>MEDIAN(I54:L54)</f>
        <v>88.655</v>
      </c>
      <c r="D54" s="3">
        <f>ROUND(C54*(1-Settings!$B$2),2)</f>
        <v>62.06</v>
      </c>
      <c r="E54" s="3">
        <f>ROUND(C54*(1-Settings!$B$3),2)</f>
        <v>62.06</v>
      </c>
      <c r="F54" s="2" t="inlineStr">
        <is>
          <t>One Piece</t>
        </is>
      </c>
      <c r="G54" s="2" t="inlineStr">
        <is>
          <t>Case/Display</t>
        </is>
      </c>
      <c r="H54" s="2" t="inlineStr">
        <is>
          <t>ST-08: Starter Deck 8 Monkey.D.Luffy</t>
        </is>
      </c>
      <c r="I54" s="3" t="n"/>
      <c r="J54" s="3" t="n">
        <v>87.31999999999999</v>
      </c>
      <c r="K54" s="3" t="n"/>
      <c r="L54" s="3" t="n">
        <v>89.98999999999999</v>
      </c>
      <c r="M54" s="2" t="inlineStr">
        <is>
          <t>TCGplayer</t>
        </is>
      </c>
      <c r="O54" s="4" t="inlineStr">
        <is>
          <t>https://www.tcgplayer.com/product/502976</t>
        </is>
      </c>
    </row>
    <row r="55">
      <c r="A55" s="2" t="inlineStr">
        <is>
          <t>Starter Deck 9: Yamato Display</t>
        </is>
      </c>
      <c r="B55" s="3">
        <f>IF(I55&lt;&gt;"",I55,IF(J55&lt;&gt;"",J55,IF(K55&lt;&gt;"",K55,L55)))</f>
        <v>79.9</v>
      </c>
      <c r="C55" s="3">
        <f>MEDIAN(I55:L55)</f>
        <v>83.95</v>
      </c>
      <c r="D55" s="3">
        <f>ROUND(C55*(1-Settings!$B$2),2)</f>
        <v>58.77</v>
      </c>
      <c r="E55" s="3">
        <f>ROUND(C55*(1-Settings!$B$3),2)</f>
        <v>58.77</v>
      </c>
      <c r="F55" s="2" t="inlineStr">
        <is>
          <t>One Piece</t>
        </is>
      </c>
      <c r="G55" s="2" t="inlineStr">
        <is>
          <t>Case/Display</t>
        </is>
      </c>
      <c r="H55" s="2" t="inlineStr">
        <is>
          <t>ST-09: Starter Deck 9 Yamato</t>
        </is>
      </c>
      <c r="I55" s="3" t="n"/>
      <c r="J55" s="3" t="n">
        <v>79.90000000000001</v>
      </c>
      <c r="K55" s="3" t="n"/>
      <c r="L55" s="3" t="n">
        <v>88</v>
      </c>
      <c r="M55" s="2" t="inlineStr">
        <is>
          <t>TCGplayer</t>
        </is>
      </c>
      <c r="O55" s="4" t="inlineStr">
        <is>
          <t>https://www.tcgplayer.com/product/502979</t>
        </is>
      </c>
    </row>
    <row r="56">
      <c r="A56" s="2" t="inlineStr">
        <is>
          <t>Starter Deck 9: Yamato Display Case</t>
        </is>
      </c>
      <c r="B56" s="3">
        <f>IF(I56&lt;&gt;"",I56,IF(J56&lt;&gt;"",J56,IF(K56&lt;&gt;"",K56,L56)))</f>
        <v>5000.0</v>
      </c>
      <c r="C56" s="3">
        <f>MEDIAN(I56:L56)</f>
        <v>5000.0</v>
      </c>
      <c r="D56" s="3">
        <f>ROUND(C56*(1-Settings!$B$2),2)</f>
        <v>3500.0</v>
      </c>
      <c r="E56" s="3">
        <f>ROUND(C56*(1-Settings!$B$3),2)</f>
        <v>3500.0</v>
      </c>
      <c r="F56" s="2" t="inlineStr">
        <is>
          <t>One Piece</t>
        </is>
      </c>
      <c r="G56" s="2" t="inlineStr">
        <is>
          <t>Case/Display</t>
        </is>
      </c>
      <c r="H56" s="2" t="inlineStr">
        <is>
          <t>ST-09: Starter Deck 9 Yamato</t>
        </is>
      </c>
      <c r="I56" s="3" t="n"/>
      <c r="J56" s="3" t="n"/>
      <c r="K56" s="3" t="n"/>
      <c r="L56" s="3" t="n">
        <v>5000</v>
      </c>
      <c r="M56" s="2" t="inlineStr">
        <is>
          <t>TCGplayer</t>
        </is>
      </c>
      <c r="O56" s="4" t="inlineStr">
        <is>
          <t>https://www.tcgplayer.com/product/502980</t>
        </is>
      </c>
    </row>
    <row r="57">
      <c r="A57" s="2" t="inlineStr">
        <is>
          <t>Ultra Deck: The Three Captains Display</t>
        </is>
      </c>
      <c r="B57" s="3">
        <f>IF(I57&lt;&gt;"",I57,IF(J57&lt;&gt;"",J57,IF(K57&lt;&gt;"",K57,L57)))</f>
        <v>599.97</v>
      </c>
      <c r="C57" s="3">
        <f>MEDIAN(I57:L57)</f>
        <v>599.97</v>
      </c>
      <c r="D57" s="3">
        <f>ROUND(C57*(1-Settings!$B$2),2)</f>
        <v>419.98</v>
      </c>
      <c r="E57" s="3">
        <f>ROUND(C57*(1-Settings!$B$3),2)</f>
        <v>419.98</v>
      </c>
      <c r="F57" s="2" t="inlineStr">
        <is>
          <t>One Piece</t>
        </is>
      </c>
      <c r="G57" s="2" t="inlineStr">
        <is>
          <t>Case/Display</t>
        </is>
      </c>
      <c r="H57" s="2" t="inlineStr">
        <is>
          <t>ST-10: Ultra Deck The Three Captains</t>
        </is>
      </c>
      <c r="I57" s="3" t="n"/>
      <c r="J57" s="3" t="n">
        <v>599.97</v>
      </c>
      <c r="K57" s="3" t="n"/>
      <c r="L57" s="3" t="n"/>
      <c r="M57" s="2" t="inlineStr">
        <is>
          <t>TCGplayer</t>
        </is>
      </c>
      <c r="O57" s="4" t="inlineStr">
        <is>
          <t>https://www.tcgplayer.com/product/502983</t>
        </is>
      </c>
    </row>
    <row r="58">
      <c r="A58" s="2" t="inlineStr">
        <is>
          <t>Starter Deck 11: Uta Display</t>
        </is>
      </c>
      <c r="B58" s="3">
        <f>IF(I58&lt;&gt;"",I58,IF(J58&lt;&gt;"",J58,IF(K58&lt;&gt;"",K58,L58)))</f>
        <v>108.07</v>
      </c>
      <c r="C58" s="3">
        <f>MEDIAN(I58:L58)</f>
        <v>113.61</v>
      </c>
      <c r="D58" s="3">
        <f>ROUND(C58*(1-Settings!$B$2),2)</f>
        <v>79.53</v>
      </c>
      <c r="E58" s="3">
        <f>ROUND(C58*(1-Settings!$B$3),2)</f>
        <v>79.53</v>
      </c>
      <c r="F58" s="2" t="inlineStr">
        <is>
          <t>One Piece</t>
        </is>
      </c>
      <c r="G58" s="2" t="inlineStr">
        <is>
          <t>Case/Display</t>
        </is>
      </c>
      <c r="H58" s="2" t="inlineStr">
        <is>
          <t>ST-11: Starter Deck 11 Uta</t>
        </is>
      </c>
      <c r="I58" s="3" t="n"/>
      <c r="J58" s="3" t="n">
        <v>108.07</v>
      </c>
      <c r="K58" s="3" t="n"/>
      <c r="L58" s="3" t="n">
        <v>119.15</v>
      </c>
      <c r="M58" s="2" t="inlineStr">
        <is>
          <t>TCGplayer</t>
        </is>
      </c>
      <c r="O58" s="4" t="inlineStr">
        <is>
          <t>https://www.tcgplayer.com/product/515296</t>
        </is>
      </c>
    </row>
    <row r="59">
      <c r="A59" s="2" t="inlineStr">
        <is>
          <t>Starter Deck 12: Zoro and Sanji Display</t>
        </is>
      </c>
      <c r="B59" s="3">
        <f>IF(I59&lt;&gt;"",I59,IF(J59&lt;&gt;"",J59,IF(K59&lt;&gt;"",K59,L59)))</f>
        <v>242.33</v>
      </c>
      <c r="C59" s="3">
        <f>MEDIAN(I59:L59)</f>
        <v>296.165</v>
      </c>
      <c r="D59" s="3">
        <f>ROUND(C59*(1-Settings!$B$2),2)</f>
        <v>207.32</v>
      </c>
      <c r="E59" s="3">
        <f>ROUND(C59*(1-Settings!$B$3),2)</f>
        <v>207.32</v>
      </c>
      <c r="F59" s="2" t="inlineStr">
        <is>
          <t>One Piece</t>
        </is>
      </c>
      <c r="G59" s="2" t="inlineStr">
        <is>
          <t>Case/Display</t>
        </is>
      </c>
      <c r="H59" s="2" t="inlineStr">
        <is>
          <t>ST-12: Starter Deck 12 Zoro and Sanji</t>
        </is>
      </c>
      <c r="I59" s="3" t="n"/>
      <c r="J59" s="3" t="n">
        <v>242.33</v>
      </c>
      <c r="K59" s="3" t="n"/>
      <c r="L59" s="3" t="n">
        <v>350</v>
      </c>
      <c r="M59" s="2" t="inlineStr">
        <is>
          <t>TCGplayer</t>
        </is>
      </c>
      <c r="O59" s="4" t="inlineStr">
        <is>
          <t>https://www.tcgplayer.com/product/536586</t>
        </is>
      </c>
    </row>
    <row r="60">
      <c r="A60" s="2" t="inlineStr">
        <is>
          <t>Ultra Deck: The Three Brothers Display</t>
        </is>
      </c>
      <c r="B60" s="3">
        <f>IF(I60&lt;&gt;"",I60,IF(J60&lt;&gt;"",J60,IF(K60&lt;&gt;"",K60,L60)))</f>
        <v>469.85</v>
      </c>
      <c r="C60" s="3">
        <f>MEDIAN(I60:L60)</f>
        <v>474.425</v>
      </c>
      <c r="D60" s="3">
        <f>ROUND(C60*(1-Settings!$B$2),2)</f>
        <v>332.1</v>
      </c>
      <c r="E60" s="3">
        <f>ROUND(C60*(1-Settings!$B$3),2)</f>
        <v>332.1</v>
      </c>
      <c r="F60" s="2" t="inlineStr">
        <is>
          <t>One Piece</t>
        </is>
      </c>
      <c r="G60" s="2" t="inlineStr">
        <is>
          <t>Case/Display</t>
        </is>
      </c>
      <c r="H60" s="2" t="inlineStr">
        <is>
          <t>ST-13: Ultra Deck The Three Brothers</t>
        </is>
      </c>
      <c r="I60" s="3" t="n"/>
      <c r="J60" s="3" t="n">
        <v>469.85</v>
      </c>
      <c r="K60" s="3" t="n"/>
      <c r="L60" s="3" t="n">
        <v>479</v>
      </c>
      <c r="M60" s="2" t="inlineStr">
        <is>
          <t>TCGplayer</t>
        </is>
      </c>
      <c r="O60" s="4" t="inlineStr">
        <is>
          <t>https://www.tcgplayer.com/product/543596</t>
        </is>
      </c>
    </row>
    <row r="61">
      <c r="A61" s="2" t="inlineStr">
        <is>
          <t>Starter Deck 14: 3D2Y Display</t>
        </is>
      </c>
      <c r="B61" s="3">
        <f>IF(I61&lt;&gt;"",I61,IF(J61&lt;&gt;"",J61,IF(K61&lt;&gt;"",K61,L61)))</f>
        <v>128.67</v>
      </c>
      <c r="C61" s="3">
        <f>MEDIAN(I61:L61)</f>
        <v>133.32999999999998</v>
      </c>
      <c r="D61" s="3">
        <f>ROUND(C61*(1-Settings!$B$2),2)</f>
        <v>93.33</v>
      </c>
      <c r="E61" s="3">
        <f>ROUND(C61*(1-Settings!$B$3),2)</f>
        <v>93.33</v>
      </c>
      <c r="F61" s="2" t="inlineStr">
        <is>
          <t>One Piece</t>
        </is>
      </c>
      <c r="G61" s="2" t="inlineStr">
        <is>
          <t>Case/Display</t>
        </is>
      </c>
      <c r="H61" s="2" t="inlineStr">
        <is>
          <t>ST-14: Starter Deck 14 3D2Y</t>
        </is>
      </c>
      <c r="I61" s="3" t="n"/>
      <c r="J61" s="3" t="n">
        <v>128.67</v>
      </c>
      <c r="K61" s="3" t="n"/>
      <c r="L61" s="3" t="n">
        <v>137.99</v>
      </c>
      <c r="M61" s="2" t="inlineStr">
        <is>
          <t>TCGplayer</t>
        </is>
      </c>
      <c r="O61" s="4" t="inlineStr">
        <is>
          <t>https://www.tcgplayer.com/product/545028</t>
        </is>
      </c>
    </row>
    <row r="62">
      <c r="A62" s="2" t="inlineStr">
        <is>
          <t>Starter Deck 15: RED Edward.Newgate Display</t>
        </is>
      </c>
      <c r="B62" s="3">
        <f>IF(I62&lt;&gt;"",I62,IF(J62&lt;&gt;"",J62,IF(K62&lt;&gt;"",K62,L62)))</f>
        <v>380.0</v>
      </c>
      <c r="C62" s="3">
        <f>MEDIAN(I62:L62)</f>
        <v>390.0</v>
      </c>
      <c r="D62" s="3">
        <f>ROUND(C62*(1-Settings!$B$2),2)</f>
        <v>273.0</v>
      </c>
      <c r="E62" s="3">
        <f>ROUND(C62*(1-Settings!$B$3),2)</f>
        <v>273.0</v>
      </c>
      <c r="F62" s="2" t="inlineStr">
        <is>
          <t>One Piece</t>
        </is>
      </c>
      <c r="G62" s="2" t="inlineStr">
        <is>
          <t>Case/Display</t>
        </is>
      </c>
      <c r="H62" s="2" t="inlineStr">
        <is>
          <t>ST-15: Starter Deck 15 RED Edward.Newgate</t>
        </is>
      </c>
      <c r="I62" s="3" t="n"/>
      <c r="J62" s="3" t="n">
        <v>380</v>
      </c>
      <c r="K62" s="3" t="n"/>
      <c r="L62" s="3" t="n">
        <v>400</v>
      </c>
      <c r="M62" s="2" t="inlineStr">
        <is>
          <t>TCGplayer</t>
        </is>
      </c>
      <c r="O62" s="4" t="inlineStr">
        <is>
          <t>https://www.tcgplayer.com/product/545034</t>
        </is>
      </c>
    </row>
    <row r="63">
      <c r="A63" s="2" t="inlineStr">
        <is>
          <t>Starter Deck 16: GREEN Uta Display</t>
        </is>
      </c>
      <c r="B63" s="3">
        <f>IF(I63&lt;&gt;"",I63,IF(J63&lt;&gt;"",J63,IF(K63&lt;&gt;"",K63,L63)))</f>
        <v>380.0</v>
      </c>
      <c r="C63" s="3">
        <f>MEDIAN(I63:L63)</f>
        <v>380.0</v>
      </c>
      <c r="D63" s="3">
        <f>ROUND(C63*(1-Settings!$B$2),2)</f>
        <v>266.0</v>
      </c>
      <c r="E63" s="3">
        <f>ROUND(C63*(1-Settings!$B$3),2)</f>
        <v>266.0</v>
      </c>
      <c r="F63" s="2" t="inlineStr">
        <is>
          <t>One Piece</t>
        </is>
      </c>
      <c r="G63" s="2" t="inlineStr">
        <is>
          <t>Case/Display</t>
        </is>
      </c>
      <c r="H63" s="2" t="inlineStr">
        <is>
          <t>ST-16: Starter Deck 16 GREEN Uta</t>
        </is>
      </c>
      <c r="I63" s="3" t="n"/>
      <c r="J63" s="3" t="n">
        <v>380</v>
      </c>
      <c r="K63" s="3" t="n"/>
      <c r="L63" s="3" t="n"/>
      <c r="M63" s="2" t="inlineStr">
        <is>
          <t>TCGplayer</t>
        </is>
      </c>
      <c r="O63" s="4" t="inlineStr">
        <is>
          <t>https://www.tcgplayer.com/product/545037</t>
        </is>
      </c>
    </row>
    <row r="64">
      <c r="A64" s="2" t="inlineStr">
        <is>
          <t>Starter Deck 17: BLUE Donquixote Doflamingo Display</t>
        </is>
      </c>
      <c r="B64" s="3">
        <f>IF(I64&lt;&gt;"",I64,IF(J64&lt;&gt;"",J64,IF(K64&lt;&gt;"",K64,L64)))</f>
        <v>999.95</v>
      </c>
      <c r="C64" s="3">
        <f>MEDIAN(I64:L64)</f>
        <v>999.95</v>
      </c>
      <c r="D64" s="3">
        <f>ROUND(C64*(1-Settings!$B$2),2)</f>
        <v>699.97</v>
      </c>
      <c r="E64" s="3">
        <f>ROUND(C64*(1-Settings!$B$3),2)</f>
        <v>699.97</v>
      </c>
      <c r="F64" s="2" t="inlineStr">
        <is>
          <t>One Piece</t>
        </is>
      </c>
      <c r="G64" s="2" t="inlineStr">
        <is>
          <t>Case/Display</t>
        </is>
      </c>
      <c r="H64" s="2" t="inlineStr">
        <is>
          <t>ST-17: Starter Deck 17 BLUE Donquixote Doflamingo</t>
        </is>
      </c>
      <c r="I64" s="3" t="n"/>
      <c r="J64" s="3" t="n"/>
      <c r="K64" s="3" t="n"/>
      <c r="L64" s="3" t="n">
        <v>999.95</v>
      </c>
      <c r="M64" s="2" t="inlineStr">
        <is>
          <t>TCGplayer</t>
        </is>
      </c>
      <c r="O64" s="4" t="inlineStr">
        <is>
          <t>https://www.tcgplayer.com/product/545040</t>
        </is>
      </c>
    </row>
    <row r="65">
      <c r="A65" s="2" t="inlineStr">
        <is>
          <t>Starter Deck 18: PURPLE Monkey.D.Luffy Display</t>
        </is>
      </c>
      <c r="B65" s="3">
        <f>IF(I65&lt;&gt;"",I65,IF(J65&lt;&gt;"",J65,IF(K65&lt;&gt;"",K65,L65)))</f>
        <v>2499.99</v>
      </c>
      <c r="C65" s="3">
        <f>MEDIAN(I65:L65)</f>
        <v>2499.99</v>
      </c>
      <c r="D65" s="3">
        <f>ROUND(C65*(1-Settings!$B$2),2)</f>
        <v>1749.99</v>
      </c>
      <c r="E65" s="3">
        <f>ROUND(C65*(1-Settings!$B$3),2)</f>
        <v>1749.99</v>
      </c>
      <c r="F65" s="2" t="inlineStr">
        <is>
          <t>One Piece</t>
        </is>
      </c>
      <c r="G65" s="2" t="inlineStr">
        <is>
          <t>Case/Display</t>
        </is>
      </c>
      <c r="H65" s="2" t="inlineStr">
        <is>
          <t>ST-18: Starter Deck 18 PURPLE Monkey.D.Luffy</t>
        </is>
      </c>
      <c r="I65" s="3" t="n"/>
      <c r="J65" s="3" t="n"/>
      <c r="K65" s="3" t="n"/>
      <c r="L65" s="3" t="n">
        <v>2499.99</v>
      </c>
      <c r="M65" s="2" t="inlineStr">
        <is>
          <t>TCGplayer</t>
        </is>
      </c>
      <c r="O65" s="4" t="inlineStr">
        <is>
          <t>https://www.tcgplayer.com/product/545043</t>
        </is>
      </c>
    </row>
    <row r="66">
      <c r="A66" s="2" t="inlineStr">
        <is>
          <t>Starter Deck 19: BLACK Smoker Display</t>
        </is>
      </c>
      <c r="B66" s="3">
        <f>IF(I66&lt;&gt;"",I66,IF(J66&lt;&gt;"",J66,IF(K66&lt;&gt;"",K66,L66)))</f>
        <v>499.99</v>
      </c>
      <c r="C66" s="3">
        <f>MEDIAN(I66:L66)</f>
        <v>499.99</v>
      </c>
      <c r="D66" s="3">
        <f>ROUND(C66*(1-Settings!$B$2),2)</f>
        <v>349.99</v>
      </c>
      <c r="E66" s="3">
        <f>ROUND(C66*(1-Settings!$B$3),2)</f>
        <v>349.99</v>
      </c>
      <c r="F66" s="2" t="inlineStr">
        <is>
          <t>One Piece</t>
        </is>
      </c>
      <c r="G66" s="2" t="inlineStr">
        <is>
          <t>Case/Display</t>
        </is>
      </c>
      <c r="H66" s="2" t="inlineStr">
        <is>
          <t>ST-19: Starter Deck 19 BLACK Smoker</t>
        </is>
      </c>
      <c r="I66" s="3" t="n"/>
      <c r="J66" s="3" t="n"/>
      <c r="K66" s="3" t="n"/>
      <c r="L66" s="3" t="n">
        <v>499.99</v>
      </c>
      <c r="M66" s="2" t="inlineStr">
        <is>
          <t>TCGplayer</t>
        </is>
      </c>
      <c r="O66" s="4" t="inlineStr">
        <is>
          <t>https://www.tcgplayer.com/product/545046</t>
        </is>
      </c>
    </row>
    <row r="67">
      <c r="A67" s="2" t="inlineStr">
        <is>
          <t>Starter Deck EX: Gear 5 Display</t>
        </is>
      </c>
      <c r="B67" s="3">
        <f>IF(I67&lt;&gt;"",I67,IF(J67&lt;&gt;"",J67,IF(K67&lt;&gt;"",K67,L67)))</f>
        <v>400.28</v>
      </c>
      <c r="C67" s="3">
        <f>MEDIAN(I67:L67)</f>
        <v>475.065</v>
      </c>
      <c r="D67" s="3">
        <f>ROUND(C67*(1-Settings!$B$2),2)</f>
        <v>332.55</v>
      </c>
      <c r="E67" s="3">
        <f>ROUND(C67*(1-Settings!$B$3),2)</f>
        <v>332.55</v>
      </c>
      <c r="F67" s="2" t="inlineStr">
        <is>
          <t>One Piece</t>
        </is>
      </c>
      <c r="G67" s="2" t="inlineStr">
        <is>
          <t>Case/Display</t>
        </is>
      </c>
      <c r="H67" s="2" t="inlineStr">
        <is>
          <t>ST-21: Starter Deck 21 EX Gear 5</t>
        </is>
      </c>
      <c r="I67" s="3" t="n"/>
      <c r="J67" s="3" t="n">
        <v>400.28</v>
      </c>
      <c r="K67" s="3" t="n"/>
      <c r="L67" s="3" t="n">
        <v>549.85</v>
      </c>
      <c r="M67" s="2" t="inlineStr">
        <is>
          <t>TCGplayer</t>
        </is>
      </c>
      <c r="O67" s="4" t="inlineStr">
        <is>
          <t>https://www.tcgplayer.com/product/606576</t>
        </is>
      </c>
    </row>
    <row r="68">
      <c r="A68" s="2" t="inlineStr">
        <is>
          <t>Starter Deck 22: Ace &amp; Newgate Display</t>
        </is>
      </c>
      <c r="B68" s="3">
        <f>IF(I68&lt;&gt;"",I68,IF(J68&lt;&gt;"",J68,IF(K68&lt;&gt;"",K68,L68)))</f>
        <v>85.26</v>
      </c>
      <c r="C68" s="3">
        <f>MEDIAN(I68:L68)</f>
        <v>90.63</v>
      </c>
      <c r="D68" s="3">
        <f>ROUND(C68*(1-Settings!$B$2),2)</f>
        <v>63.44</v>
      </c>
      <c r="E68" s="3">
        <f>ROUND(C68*(1-Settings!$B$3),2)</f>
        <v>63.44</v>
      </c>
      <c r="F68" s="2" t="inlineStr">
        <is>
          <t>One Piece</t>
        </is>
      </c>
      <c r="G68" s="2" t="inlineStr">
        <is>
          <t>Case/Display</t>
        </is>
      </c>
      <c r="H68" s="2" t="inlineStr">
        <is>
          <t>ST-22: Starter Deck 22 Ace &amp; Newgate</t>
        </is>
      </c>
      <c r="I68" s="3" t="n"/>
      <c r="J68" s="3" t="n">
        <v>85.26000000000001</v>
      </c>
      <c r="K68" s="3" t="n"/>
      <c r="L68" s="3" t="n">
        <v>96</v>
      </c>
      <c r="M68" s="2" t="inlineStr">
        <is>
          <t>TCGplayer</t>
        </is>
      </c>
      <c r="O68" s="4" t="inlineStr">
        <is>
          <t>https://www.tcgplayer.com/product/628449</t>
        </is>
      </c>
    </row>
    <row r="69">
      <c r="A69" s="2" t="inlineStr">
        <is>
          <t>Starter Deck 23: RED Shanks Display</t>
        </is>
      </c>
      <c r="B69" s="3">
        <f>IF(I69&lt;&gt;"",I69,IF(J69&lt;&gt;"",J69,IF(K69&lt;&gt;"",K69,L69)))</f>
        <v>223.85</v>
      </c>
      <c r="C69" s="3">
        <f>MEDIAN(I69:L69)</f>
        <v>299.8</v>
      </c>
      <c r="D69" s="3">
        <f>ROUND(C69*(1-Settings!$B$2),2)</f>
        <v>209.86</v>
      </c>
      <c r="E69" s="3">
        <f>ROUND(C69*(1-Settings!$B$3),2)</f>
        <v>209.86</v>
      </c>
      <c r="F69" s="2" t="inlineStr">
        <is>
          <t>One Piece</t>
        </is>
      </c>
      <c r="G69" s="2" t="inlineStr">
        <is>
          <t>Case/Display</t>
        </is>
      </c>
      <c r="H69" s="2" t="inlineStr">
        <is>
          <t>ST-23: Starter Deck 23 RED Shanks</t>
        </is>
      </c>
      <c r="I69" s="3" t="n"/>
      <c r="J69" s="3" t="n">
        <v>223.85</v>
      </c>
      <c r="K69" s="3" t="n"/>
      <c r="L69" s="3" t="n">
        <v>375.75</v>
      </c>
      <c r="M69" s="2" t="inlineStr">
        <is>
          <t>TCGplayer</t>
        </is>
      </c>
      <c r="O69" s="4" t="inlineStr">
        <is>
          <t>https://www.tcgplayer.com/product/627670</t>
        </is>
      </c>
    </row>
    <row r="70">
      <c r="A70" s="2" t="inlineStr">
        <is>
          <t>Starter Deck 24: GREEN Jewelry Bonney Display</t>
        </is>
      </c>
      <c r="B70" s="3">
        <f>IF(I70&lt;&gt;"",I70,IF(J70&lt;&gt;"",J70,IF(K70&lt;&gt;"",K70,L70)))</f>
        <v>224.24</v>
      </c>
      <c r="C70" s="3">
        <f>MEDIAN(I70:L70)</f>
        <v>256.445</v>
      </c>
      <c r="D70" s="3">
        <f>ROUND(C70*(1-Settings!$B$2),2)</f>
        <v>179.51</v>
      </c>
      <c r="E70" s="3">
        <f>ROUND(C70*(1-Settings!$B$3),2)</f>
        <v>179.51</v>
      </c>
      <c r="F70" s="2" t="inlineStr">
        <is>
          <t>One Piece</t>
        </is>
      </c>
      <c r="G70" s="2" t="inlineStr">
        <is>
          <t>Case/Display</t>
        </is>
      </c>
      <c r="H70" s="2" t="inlineStr">
        <is>
          <t>ST-24: Starter Deck 24 GREEN Jewelry Bonney</t>
        </is>
      </c>
      <c r="I70" s="3" t="n"/>
      <c r="J70" s="3" t="n">
        <v>224.24</v>
      </c>
      <c r="K70" s="3" t="n"/>
      <c r="L70" s="3" t="n">
        <v>288.65</v>
      </c>
      <c r="M70" s="2" t="inlineStr">
        <is>
          <t>TCGplayer</t>
        </is>
      </c>
      <c r="O70" s="4" t="inlineStr">
        <is>
          <t>https://www.tcgplayer.com/product/627671</t>
        </is>
      </c>
    </row>
    <row r="71">
      <c r="A71" s="2" t="inlineStr">
        <is>
          <t>Starter Deck 25: BLUE Buggy Display</t>
        </is>
      </c>
      <c r="B71" s="3">
        <f>IF(I71&lt;&gt;"",I71,IF(J71&lt;&gt;"",J71,IF(K71&lt;&gt;"",K71,L71)))</f>
        <v>237.28</v>
      </c>
      <c r="C71" s="3">
        <f>MEDIAN(I71:L71)</f>
        <v>237.28</v>
      </c>
      <c r="D71" s="3">
        <f>ROUND(C71*(1-Settings!$B$2),2)</f>
        <v>166.1</v>
      </c>
      <c r="E71" s="3">
        <f>ROUND(C71*(1-Settings!$B$3),2)</f>
        <v>166.1</v>
      </c>
      <c r="F71" s="2" t="inlineStr">
        <is>
          <t>One Piece</t>
        </is>
      </c>
      <c r="G71" s="2" t="inlineStr">
        <is>
          <t>Case/Display</t>
        </is>
      </c>
      <c r="H71" s="2" t="inlineStr">
        <is>
          <t>ST-25: Starter Deck 25 BLUE Buggy</t>
        </is>
      </c>
      <c r="I71" s="3" t="n"/>
      <c r="J71" s="3" t="n">
        <v>237.28</v>
      </c>
      <c r="K71" s="3" t="n"/>
      <c r="L71" s="3" t="n">
        <v>237.28</v>
      </c>
      <c r="M71" s="2" t="inlineStr">
        <is>
          <t>TCGplayer</t>
        </is>
      </c>
      <c r="O71" s="4" t="inlineStr">
        <is>
          <t>https://www.tcgplayer.com/product/627675</t>
        </is>
      </c>
    </row>
    <row r="72">
      <c r="A72" s="2" t="inlineStr">
        <is>
          <t>Starter Deck 26: PURPLE/BLACK Monkey.D.Luffy Display</t>
        </is>
      </c>
      <c r="B72" s="3">
        <f>IF(I72&lt;&gt;"",I72,IF(J72&lt;&gt;"",J72,IF(K72&lt;&gt;"",K72,L72)))</f>
        <v>246.29</v>
      </c>
      <c r="C72" s="3">
        <f>MEDIAN(I72:L72)</f>
        <v>278.14</v>
      </c>
      <c r="D72" s="3">
        <f>ROUND(C72*(1-Settings!$B$2),2)</f>
        <v>194.7</v>
      </c>
      <c r="E72" s="3">
        <f>ROUND(C72*(1-Settings!$B$3),2)</f>
        <v>194.7</v>
      </c>
      <c r="F72" s="2" t="inlineStr">
        <is>
          <t>One Piece</t>
        </is>
      </c>
      <c r="G72" s="2" t="inlineStr">
        <is>
          <t>Case/Display</t>
        </is>
      </c>
      <c r="H72" s="2" t="inlineStr">
        <is>
          <t>ST-26: Starter Deck 26 PURPLE/BLACK Monkey.D.Luffy</t>
        </is>
      </c>
      <c r="I72" s="3" t="n"/>
      <c r="J72" s="3" t="n">
        <v>246.29</v>
      </c>
      <c r="K72" s="3" t="n"/>
      <c r="L72" s="3" t="n">
        <v>309.99</v>
      </c>
      <c r="M72" s="2" t="inlineStr">
        <is>
          <t>TCGplayer</t>
        </is>
      </c>
      <c r="O72" s="4" t="inlineStr">
        <is>
          <t>https://www.tcgplayer.com/product/627676</t>
        </is>
      </c>
    </row>
    <row r="73">
      <c r="A73" s="2" t="inlineStr">
        <is>
          <t>Starter Deck 27: BLACK Marshall.D.Teach Display</t>
        </is>
      </c>
      <c r="B73" s="3">
        <f>IF(I73&lt;&gt;"",I73,IF(J73&lt;&gt;"",J73,IF(K73&lt;&gt;"",K73,L73)))</f>
        <v>208.84</v>
      </c>
      <c r="C73" s="3">
        <f>MEDIAN(I73:L73)</f>
        <v>221.91500000000002</v>
      </c>
      <c r="D73" s="3">
        <f>ROUND(C73*(1-Settings!$B$2),2)</f>
        <v>155.34</v>
      </c>
      <c r="E73" s="3">
        <f>ROUND(C73*(1-Settings!$B$3),2)</f>
        <v>155.34</v>
      </c>
      <c r="F73" s="2" t="inlineStr">
        <is>
          <t>One Piece</t>
        </is>
      </c>
      <c r="G73" s="2" t="inlineStr">
        <is>
          <t>Case/Display</t>
        </is>
      </c>
      <c r="H73" s="2" t="inlineStr">
        <is>
          <t>ST-27: Starter Deck 27 BLACK Marshall.D.Teach</t>
        </is>
      </c>
      <c r="I73" s="3" t="n"/>
      <c r="J73" s="3" t="n">
        <v>208.84</v>
      </c>
      <c r="K73" s="3" t="n"/>
      <c r="L73" s="3" t="n">
        <v>234.99</v>
      </c>
      <c r="M73" s="2" t="inlineStr">
        <is>
          <t>TCGplayer</t>
        </is>
      </c>
      <c r="O73" s="4" t="inlineStr">
        <is>
          <t>https://www.tcgplayer.com/product/627679</t>
        </is>
      </c>
    </row>
    <row r="74">
      <c r="A74" s="2" t="inlineStr">
        <is>
          <t>Starter Deck 28: GREEN/YELLOW Yamato Display</t>
        </is>
      </c>
      <c r="B74" s="3">
        <f>IF(I74&lt;&gt;"",I74,IF(J74&lt;&gt;"",J74,IF(K74&lt;&gt;"",K74,L74)))</f>
        <v>224.26</v>
      </c>
      <c r="C74" s="3">
        <f>MEDIAN(I74:L74)</f>
        <v>259.105</v>
      </c>
      <c r="D74" s="3">
        <f>ROUND(C74*(1-Settings!$B$2),2)</f>
        <v>181.37</v>
      </c>
      <c r="E74" s="3">
        <f>ROUND(C74*(1-Settings!$B$3),2)</f>
        <v>181.37</v>
      </c>
      <c r="F74" s="2" t="inlineStr">
        <is>
          <t>One Piece</t>
        </is>
      </c>
      <c r="G74" s="2" t="inlineStr">
        <is>
          <t>Case/Display</t>
        </is>
      </c>
      <c r="H74" s="2" t="inlineStr">
        <is>
          <t>ST-28: Starter Deck 28 GREEN/YELLOW Yamato</t>
        </is>
      </c>
      <c r="I74" s="3" t="n"/>
      <c r="J74" s="3" t="n">
        <v>224.26</v>
      </c>
      <c r="K74" s="3" t="n"/>
      <c r="L74" s="3" t="n">
        <v>293.95</v>
      </c>
      <c r="M74" s="2" t="inlineStr">
        <is>
          <t>TCGplayer</t>
        </is>
      </c>
      <c r="O74" s="4" t="inlineStr">
        <is>
          <t>https://www.tcgplayer.com/product/627680</t>
        </is>
      </c>
    </row>
    <row r="75">
      <c r="A75" s="2" t="inlineStr">
        <is>
          <t>Starter Deck 29: Egghead Display</t>
        </is>
      </c>
      <c r="B75" s="3">
        <f>IF(I75&lt;&gt;"",I75,IF(J75&lt;&gt;"",J75,IF(K75&lt;&gt;"",K75,L75)))</f>
        <v>224.91</v>
      </c>
      <c r="C75" s="3">
        <f>MEDIAN(I75:L75)</f>
        <v>199.95</v>
      </c>
      <c r="D75" s="3">
        <f>ROUND(C75*(1-Settings!$B$2),2)</f>
        <v>139.97</v>
      </c>
      <c r="E75" s="3">
        <f>ROUND(C75*(1-Settings!$B$3),2)</f>
        <v>139.97</v>
      </c>
      <c r="F75" s="2" t="inlineStr">
        <is>
          <t>One Piece</t>
        </is>
      </c>
      <c r="G75" s="2" t="inlineStr">
        <is>
          <t>Case/Display</t>
        </is>
      </c>
      <c r="H75" s="2" t="inlineStr">
        <is>
          <t>ST-29: Starter Deck 29 Egghead</t>
        </is>
      </c>
      <c r="I75" s="3" t="n"/>
      <c r="J75" s="3" t="n">
        <v>224.91</v>
      </c>
      <c r="K75" s="3" t="n"/>
      <c r="L75" s="3" t="n">
        <v>174.99</v>
      </c>
      <c r="M75" s="2" t="inlineStr">
        <is>
          <t>TCGplayer</t>
        </is>
      </c>
      <c r="O75" s="4" t="inlineStr">
        <is>
          <t>https://www.tcgplayer.com/product/671480</t>
        </is>
      </c>
    </row>
    <row r="76">
      <c r="A76" s="2" t="inlineStr">
        <is>
          <t>Starter Deck EX: Luffy &amp; Ace Display</t>
        </is>
      </c>
      <c r="B76" s="3">
        <f>IF(I76&lt;&gt;"",I76,IF(J76&lt;&gt;"",J76,IF(K76&lt;&gt;"",K76,L76)))</f>
        <v>211.41</v>
      </c>
      <c r="C76" s="3">
        <f>MEDIAN(I76:L76)</f>
        <v>190.70499999999998</v>
      </c>
      <c r="D76" s="3">
        <f>ROUND(C76*(1-Settings!$B$2),2)</f>
        <v>133.49</v>
      </c>
      <c r="E76" s="3">
        <f>ROUND(C76*(1-Settings!$B$3),2)</f>
        <v>133.49</v>
      </c>
      <c r="F76" s="2" t="inlineStr">
        <is>
          <t>One Piece</t>
        </is>
      </c>
      <c r="G76" s="2" t="inlineStr">
        <is>
          <t>Case/Display</t>
        </is>
      </c>
      <c r="H76" s="2" t="inlineStr">
        <is>
          <t>ST-30: Starter Deck 30 EX Luffy &amp; Ace</t>
        </is>
      </c>
      <c r="I76" s="3" t="n"/>
      <c r="J76" s="3" t="n">
        <v>211.41</v>
      </c>
      <c r="K76" s="3" t="n"/>
      <c r="L76" s="3" t="n">
        <v>170</v>
      </c>
      <c r="M76" s="2" t="inlineStr">
        <is>
          <t>TCGplayer</t>
        </is>
      </c>
      <c r="O76" s="4" t="inlineStr">
        <is>
          <t>https://www.tcgplayer.com/product/692139</t>
        </is>
      </c>
    </row>
    <row r="77">
      <c r="A77" s="2" t="inlineStr">
        <is>
          <t>Starter Deck 31: RED Monkey.D.Luffy Display</t>
        </is>
      </c>
      <c r="B77" s="3">
        <f>IF(I77&lt;&gt;"",I77,IF(J77&lt;&gt;"",J77,IF(K77&lt;&gt;"",K77,L77)))</f>
        <v>174.92</v>
      </c>
      <c r="C77" s="3">
        <f>MEDIAN(I77:L77)</f>
        <v>167.95999999999998</v>
      </c>
      <c r="D77" s="3">
        <f>ROUND(C77*(1-Settings!$B$2),2)</f>
        <v>117.57</v>
      </c>
      <c r="E77" s="3">
        <f>ROUND(C77*(1-Settings!$B$3),2)</f>
        <v>117.57</v>
      </c>
      <c r="F77" s="2" t="inlineStr">
        <is>
          <t>One Piece</t>
        </is>
      </c>
      <c r="G77" s="2" t="inlineStr">
        <is>
          <t>Case/Display</t>
        </is>
      </c>
      <c r="H77" s="2" t="inlineStr">
        <is>
          <t>ST-31: Starter Deck 31 RED Monkey.D.Luffy</t>
        </is>
      </c>
      <c r="I77" s="3" t="n"/>
      <c r="J77" s="3" t="n">
        <v>174.92</v>
      </c>
      <c r="K77" s="3" t="n"/>
      <c r="L77" s="3" t="n">
        <v>161</v>
      </c>
      <c r="M77" s="2" t="inlineStr">
        <is>
          <t>TCGplayer</t>
        </is>
      </c>
      <c r="O77" s="4" t="inlineStr">
        <is>
          <t>https://www.tcgplayer.com/product/704886</t>
        </is>
      </c>
    </row>
    <row r="78">
      <c r="A78" s="2" t="inlineStr">
        <is>
          <t>Starter Deck 32: GREEN Roronoa Zoro Display</t>
        </is>
      </c>
      <c r="B78" s="3">
        <f>IF(I78&lt;&gt;"",I78,IF(J78&lt;&gt;"",J78,IF(K78&lt;&gt;"",K78,L78)))</f>
        <v>177.25</v>
      </c>
      <c r="C78" s="3">
        <f>MEDIAN(I78:L78)</f>
        <v>163.625</v>
      </c>
      <c r="D78" s="3">
        <f>ROUND(C78*(1-Settings!$B$2),2)</f>
        <v>114.54</v>
      </c>
      <c r="E78" s="3">
        <f>ROUND(C78*(1-Settings!$B$3),2)</f>
        <v>114.54</v>
      </c>
      <c r="F78" s="2" t="inlineStr">
        <is>
          <t>One Piece</t>
        </is>
      </c>
      <c r="G78" s="2" t="inlineStr">
        <is>
          <t>Case/Display</t>
        </is>
      </c>
      <c r="H78" s="2" t="inlineStr">
        <is>
          <t>ST-32: Starter Deck 32 GREEN Roronoa Zoro</t>
        </is>
      </c>
      <c r="I78" s="3" t="n"/>
      <c r="J78" s="3" t="n">
        <v>177.25</v>
      </c>
      <c r="K78" s="3" t="n"/>
      <c r="L78" s="3" t="n">
        <v>150</v>
      </c>
      <c r="M78" s="2" t="inlineStr">
        <is>
          <t>TCGplayer</t>
        </is>
      </c>
      <c r="O78" s="4" t="inlineStr">
        <is>
          <t>https://www.tcgplayer.com/product/704888</t>
        </is>
      </c>
    </row>
    <row r="79">
      <c r="A79" s="2" t="inlineStr">
        <is>
          <t>Starter Deck 33: BLUE Kuzan Display</t>
        </is>
      </c>
      <c r="B79" s="3">
        <f>IF(I79&lt;&gt;"",I79,IF(J79&lt;&gt;"",J79,IF(K79&lt;&gt;"",K79,L79)))</f>
        <v>81.25</v>
      </c>
      <c r="C79" s="3">
        <f>MEDIAN(I79:L79)</f>
        <v>94.49000000000001</v>
      </c>
      <c r="D79" s="3">
        <f>ROUND(C79*(1-Settings!$B$2),2)</f>
        <v>66.14</v>
      </c>
      <c r="E79" s="3">
        <f>ROUND(C79*(1-Settings!$B$3),2)</f>
        <v>66.14</v>
      </c>
      <c r="F79" s="2" t="inlineStr">
        <is>
          <t>One Piece</t>
        </is>
      </c>
      <c r="G79" s="2" t="inlineStr">
        <is>
          <t>Case/Display</t>
        </is>
      </c>
      <c r="H79" s="2" t="inlineStr">
        <is>
          <t>ST-33: Starter Deck 33 BLUE Kuzan</t>
        </is>
      </c>
      <c r="I79" s="3" t="n"/>
      <c r="J79" s="3" t="n">
        <v>81.25</v>
      </c>
      <c r="K79" s="3" t="n"/>
      <c r="L79" s="3" t="n">
        <v>107.73</v>
      </c>
      <c r="M79" s="2" t="inlineStr">
        <is>
          <t>TCGplayer</t>
        </is>
      </c>
      <c r="O79" s="4" t="inlineStr">
        <is>
          <t>https://www.tcgplayer.com/product/704891</t>
        </is>
      </c>
    </row>
    <row r="80">
      <c r="A80" s="2" t="inlineStr">
        <is>
          <t>Starter Deck 34: PURPLE Charlotte Katakuri Display</t>
        </is>
      </c>
      <c r="B80" s="3">
        <f>IF(I80&lt;&gt;"",I80,IF(J80&lt;&gt;"",J80,IF(K80&lt;&gt;"",K80,L80)))</f>
        <v>116.25</v>
      </c>
      <c r="C80" s="3">
        <f>MEDIAN(I80:L80)</f>
        <v>115.31</v>
      </c>
      <c r="D80" s="3">
        <f>ROUND(C80*(1-Settings!$B$2),2)</f>
        <v>80.72</v>
      </c>
      <c r="E80" s="3">
        <f>ROUND(C80*(1-Settings!$B$3),2)</f>
        <v>80.72</v>
      </c>
      <c r="F80" s="2" t="inlineStr">
        <is>
          <t>One Piece</t>
        </is>
      </c>
      <c r="G80" s="2" t="inlineStr">
        <is>
          <t>Case/Display</t>
        </is>
      </c>
      <c r="H80" s="2" t="inlineStr">
        <is>
          <t>ST-34: Starter Deck 34 PURPLE Charlotte Katakuri</t>
        </is>
      </c>
      <c r="I80" s="3" t="n"/>
      <c r="J80" s="3" t="n">
        <v>116.25</v>
      </c>
      <c r="K80" s="3" t="n"/>
      <c r="L80" s="3" t="n">
        <v>114.37</v>
      </c>
      <c r="M80" s="2" t="inlineStr">
        <is>
          <t>TCGplayer</t>
        </is>
      </c>
      <c r="O80" s="4" t="inlineStr">
        <is>
          <t>https://www.tcgplayer.com/product/704892</t>
        </is>
      </c>
    </row>
    <row r="81">
      <c r="A81" s="2" t="inlineStr">
        <is>
          <t>Starter Deck 35: RED/BLACK Sabo Display</t>
        </is>
      </c>
      <c r="B81" s="3">
        <f>IF(I81&lt;&gt;"",I81,IF(J81&lt;&gt;"",J81,IF(K81&lt;&gt;"",K81,L81)))</f>
        <v>73.89</v>
      </c>
      <c r="C81" s="3">
        <f>MEDIAN(I81:L81)</f>
        <v>66.94</v>
      </c>
      <c r="D81" s="3">
        <f>ROUND(C81*(1-Settings!$B$2),2)</f>
        <v>46.86</v>
      </c>
      <c r="E81" s="3">
        <f>ROUND(C81*(1-Settings!$B$3),2)</f>
        <v>46.86</v>
      </c>
      <c r="F81" s="2" t="inlineStr">
        <is>
          <t>One Piece</t>
        </is>
      </c>
      <c r="G81" s="2" t="inlineStr">
        <is>
          <t>Case/Display</t>
        </is>
      </c>
      <c r="H81" s="2" t="inlineStr">
        <is>
          <t>ST-35: Starter Deck 35 RED/BLACK Sabo</t>
        </is>
      </c>
      <c r="I81" s="3" t="n"/>
      <c r="J81" s="3" t="n">
        <v>73.89</v>
      </c>
      <c r="K81" s="3" t="n"/>
      <c r="L81" s="3" t="n">
        <v>59.99</v>
      </c>
      <c r="M81" s="2" t="inlineStr">
        <is>
          <t>TCGplayer</t>
        </is>
      </c>
      <c r="O81" s="4" t="inlineStr">
        <is>
          <t>https://www.tcgplayer.com/product/704895</t>
        </is>
      </c>
    </row>
    <row r="82">
      <c r="A82" s="2" t="inlineStr">
        <is>
          <t>Starter Deck 36: YELLOW Eustass”Captain”Kid Display</t>
        </is>
      </c>
      <c r="B82" s="3">
        <f>IF(I82&lt;&gt;"",I82,IF(J82&lt;&gt;"",J82,IF(K82&lt;&gt;"",K82,L82)))</f>
        <v>84.18</v>
      </c>
      <c r="C82" s="3">
        <f>MEDIAN(I82:L82)</f>
        <v>79.59</v>
      </c>
      <c r="D82" s="3">
        <f>ROUND(C82*(1-Settings!$B$2),2)</f>
        <v>55.71</v>
      </c>
      <c r="E82" s="3">
        <f>ROUND(C82*(1-Settings!$B$3),2)</f>
        <v>55.71</v>
      </c>
      <c r="F82" s="2" t="inlineStr">
        <is>
          <t>One Piece</t>
        </is>
      </c>
      <c r="G82" s="2" t="inlineStr">
        <is>
          <t>Case/Display</t>
        </is>
      </c>
      <c r="H82" s="2" t="inlineStr">
        <is>
          <t>ST-36: Starter Deck 36 YELLOW Eustass"Captain"Kid</t>
        </is>
      </c>
      <c r="I82" s="3" t="n"/>
      <c r="J82" s="3" t="n">
        <v>84.18000000000001</v>
      </c>
      <c r="K82" s="3" t="n"/>
      <c r="L82" s="3" t="n">
        <v>75</v>
      </c>
      <c r="M82" s="2" t="inlineStr">
        <is>
          <t>TCGplayer</t>
        </is>
      </c>
      <c r="O82" s="4" t="inlineStr">
        <is>
          <t>https://www.tcgplayer.com/product/704896</t>
        </is>
      </c>
    </row>
    <row r="83">
      <c r="A83" s="2" t="inlineStr">
        <is>
          <t>Double Pack Set Vol. 9 Display</t>
        </is>
      </c>
      <c r="B83" s="3">
        <f>IF(I83&lt;&gt;"",I83,IF(J83&lt;&gt;"",J83,IF(K83&lt;&gt;"",K83,L83)))</f>
        <v>267.77</v>
      </c>
      <c r="C83" s="3">
        <f>MEDIAN(I83:L83)</f>
        <v>271.885</v>
      </c>
      <c r="D83" s="3">
        <f>ROUND(C83*(1-Settings!$B$2),2)</f>
        <v>190.32</v>
      </c>
      <c r="E83" s="3">
        <f>ROUND(C83*(1-Settings!$B$3),2)</f>
        <v>190.32</v>
      </c>
      <c r="F83" s="2" t="inlineStr">
        <is>
          <t>One Piece</t>
        </is>
      </c>
      <c r="G83" s="2" t="inlineStr">
        <is>
          <t>Case/Display</t>
        </is>
      </c>
      <c r="H83" s="2" t="inlineStr">
        <is>
          <t>The Azure Sea's Seven</t>
        </is>
      </c>
      <c r="I83" s="3" t="n"/>
      <c r="J83" s="3" t="n">
        <v>267.77</v>
      </c>
      <c r="K83" s="3" t="n"/>
      <c r="L83" s="3" t="n">
        <v>276</v>
      </c>
      <c r="M83" s="2" t="inlineStr">
        <is>
          <t>TCGplayer</t>
        </is>
      </c>
      <c r="O83" s="4" t="inlineStr">
        <is>
          <t>https://www.tcgplayer.com/product/666579</t>
        </is>
      </c>
    </row>
    <row r="84">
      <c r="A84" s="2" t="inlineStr">
        <is>
          <t>The Azure Sea's Seven Booster Box Case</t>
        </is>
      </c>
      <c r="B84" s="3">
        <f>IF(I84&lt;&gt;"",I84,IF(J84&lt;&gt;"",J84,IF(K84&lt;&gt;"",K84,L84)))</f>
        <v>2893.15</v>
      </c>
      <c r="C84" s="3">
        <f>MEDIAN(I84:L84)</f>
        <v>2646.5699999999997</v>
      </c>
      <c r="D84" s="3">
        <f>ROUND(C84*(1-Settings!$B$2),2)</f>
        <v>1852.6</v>
      </c>
      <c r="E84" s="3">
        <f>ROUND(C84*(1-Settings!$B$3),2)</f>
        <v>1852.6</v>
      </c>
      <c r="F84" s="2" t="inlineStr">
        <is>
          <t>One Piece</t>
        </is>
      </c>
      <c r="G84" s="2" t="inlineStr">
        <is>
          <t>Case/Display</t>
        </is>
      </c>
      <c r="H84" s="2" t="inlineStr">
        <is>
          <t>The Azure Sea's Seven</t>
        </is>
      </c>
      <c r="I84" s="3" t="n"/>
      <c r="J84" s="3" t="n">
        <v>2893.15</v>
      </c>
      <c r="K84" s="3" t="n"/>
      <c r="L84" s="3" t="n">
        <v>2399.99</v>
      </c>
      <c r="M84" s="2" t="inlineStr">
        <is>
          <t>TCGplayer</t>
        </is>
      </c>
      <c r="O84" s="4" t="inlineStr">
        <is>
          <t>https://www.tcgplayer.com/product/665599</t>
        </is>
      </c>
    </row>
    <row r="85">
      <c r="A85" s="2" t="inlineStr">
        <is>
          <t>Double Pack Set Vol. 13 Display</t>
        </is>
      </c>
      <c r="B85" s="3">
        <f>IF(I85&lt;&gt;"",I85,IF(J85&lt;&gt;"",J85,IF(K85&lt;&gt;"",K85,L85)))</f>
        <v>495.95</v>
      </c>
      <c r="C85" s="3">
        <f>MEDIAN(I85:L85)</f>
        <v>495.95</v>
      </c>
      <c r="D85" s="3">
        <f>ROUND(C85*(1-Settings!$B$2),2)</f>
        <v>347.17</v>
      </c>
      <c r="E85" s="3">
        <f>ROUND(C85*(1-Settings!$B$3),2)</f>
        <v>347.17</v>
      </c>
      <c r="F85" s="2" t="inlineStr">
        <is>
          <t>One Piece</t>
        </is>
      </c>
      <c r="G85" s="2" t="inlineStr">
        <is>
          <t>Case/Display</t>
        </is>
      </c>
      <c r="H85" s="2" t="inlineStr">
        <is>
          <t>The Dominance of God</t>
        </is>
      </c>
      <c r="I85" s="3" t="n"/>
      <c r="J85" s="3" t="n"/>
      <c r="K85" s="3" t="n"/>
      <c r="L85" s="3" t="n">
        <v>495.95</v>
      </c>
      <c r="M85" s="2" t="inlineStr">
        <is>
          <t>TCGplayer</t>
        </is>
      </c>
      <c r="O85" s="4" t="inlineStr">
        <is>
          <t>https://www.tcgplayer.com/product/712909</t>
        </is>
      </c>
    </row>
    <row r="86">
      <c r="A86" s="2" t="inlineStr">
        <is>
          <t>The Dominance of God Booster Box Case</t>
        </is>
      </c>
      <c r="B86" s="3">
        <f>IF(I86&lt;&gt;"",I86,IF(J86&lt;&gt;"",J86,IF(K86&lt;&gt;"",K86,L86)))</f>
        <v>4499.5</v>
      </c>
      <c r="C86" s="3">
        <f>MEDIAN(I86:L86)</f>
        <v>4441.75</v>
      </c>
      <c r="D86" s="3">
        <f>ROUND(C86*(1-Settings!$B$2),2)</f>
        <v>3109.23</v>
      </c>
      <c r="E86" s="3">
        <f>ROUND(C86*(1-Settings!$B$3),2)</f>
        <v>3109.23</v>
      </c>
      <c r="F86" s="2" t="inlineStr">
        <is>
          <t>One Piece</t>
        </is>
      </c>
      <c r="G86" s="2" t="inlineStr">
        <is>
          <t>Case/Display</t>
        </is>
      </c>
      <c r="H86" s="2" t="inlineStr">
        <is>
          <t>The Dominance of God</t>
        </is>
      </c>
      <c r="I86" s="3" t="n"/>
      <c r="J86" s="3" t="n">
        <v>4499.5</v>
      </c>
      <c r="K86" s="3" t="n"/>
      <c r="L86" s="3" t="n">
        <v>4384</v>
      </c>
      <c r="M86" s="2" t="inlineStr">
        <is>
          <t>TCGplayer</t>
        </is>
      </c>
      <c r="O86" s="4" t="inlineStr">
        <is>
          <t>https://www.tcgplayer.com/product/712902</t>
        </is>
      </c>
    </row>
    <row r="87">
      <c r="A87" s="2" t="inlineStr">
        <is>
          <t>Double Pack Set Vol. 11 Display</t>
        </is>
      </c>
      <c r="B87" s="3">
        <f>IF(I87&lt;&gt;"",I87,IF(J87&lt;&gt;"",J87,IF(K87&lt;&gt;"",K87,L87)))</f>
        <v>252.79</v>
      </c>
      <c r="C87" s="3">
        <f>MEDIAN(I87:L87)</f>
        <v>253.14</v>
      </c>
      <c r="D87" s="3">
        <f>ROUND(C87*(1-Settings!$B$2),2)</f>
        <v>177.2</v>
      </c>
      <c r="E87" s="3">
        <f>ROUND(C87*(1-Settings!$B$3),2)</f>
        <v>177.2</v>
      </c>
      <c r="F87" s="2" t="inlineStr">
        <is>
          <t>One Piece</t>
        </is>
      </c>
      <c r="G87" s="2" t="inlineStr">
        <is>
          <t>Case/Display</t>
        </is>
      </c>
      <c r="H87" s="2" t="inlineStr">
        <is>
          <t>The Time of Battle</t>
        </is>
      </c>
      <c r="I87" s="3" t="n"/>
      <c r="J87" s="3" t="n">
        <v>252.79</v>
      </c>
      <c r="K87" s="3" t="n"/>
      <c r="L87" s="3" t="n">
        <v>253.49</v>
      </c>
      <c r="M87" s="2" t="inlineStr">
        <is>
          <t>TCGplayer</t>
        </is>
      </c>
      <c r="O87" s="4" t="inlineStr">
        <is>
          <t>https://www.tcgplayer.com/product/693365</t>
        </is>
      </c>
    </row>
    <row r="88">
      <c r="A88" s="2" t="inlineStr">
        <is>
          <t>The Time of Battle Booster Box Case</t>
        </is>
      </c>
      <c r="B88" s="3">
        <f>IF(I88&lt;&gt;"",I88,IF(J88&lt;&gt;"",J88,IF(K88&lt;&gt;"",K88,L88)))</f>
        <v>2457.27</v>
      </c>
      <c r="C88" s="3">
        <f>MEDIAN(I88:L88)</f>
        <v>2428.635</v>
      </c>
      <c r="D88" s="3">
        <f>ROUND(C88*(1-Settings!$B$2),2)</f>
        <v>1700.04</v>
      </c>
      <c r="E88" s="3">
        <f>ROUND(C88*(1-Settings!$B$3),2)</f>
        <v>1700.04</v>
      </c>
      <c r="F88" s="2" t="inlineStr">
        <is>
          <t>One Piece</t>
        </is>
      </c>
      <c r="G88" s="2" t="inlineStr">
        <is>
          <t>Case/Display</t>
        </is>
      </c>
      <c r="H88" s="2" t="inlineStr">
        <is>
          <t>The Time of Battle</t>
        </is>
      </c>
      <c r="I88" s="3" t="n"/>
      <c r="J88" s="3" t="n">
        <v>2457.27</v>
      </c>
      <c r="K88" s="3" t="n"/>
      <c r="L88" s="3" t="n">
        <v>2400</v>
      </c>
      <c r="M88" s="2" t="inlineStr">
        <is>
          <t>TCGplayer</t>
        </is>
      </c>
      <c r="O88" s="4" t="inlineStr">
        <is>
          <t>https://www.tcgplayer.com/product/689338</t>
        </is>
      </c>
    </row>
    <row r="89">
      <c r="A89" s="2" t="inlineStr">
        <is>
          <t>Double Pack Set Vol. 12 Display</t>
        </is>
      </c>
      <c r="B89" s="3">
        <f>IF(I89&lt;&gt;"",I89,IF(J89&lt;&gt;"",J89,IF(K89&lt;&gt;"",K89,L89)))</f>
        <v>368.72</v>
      </c>
      <c r="C89" s="3">
        <f>MEDIAN(I89:L89)</f>
        <v>361.82500000000005</v>
      </c>
      <c r="D89" s="3">
        <f>ROUND(C89*(1-Settings!$B$2),2)</f>
        <v>253.28</v>
      </c>
      <c r="E89" s="3">
        <f>ROUND(C89*(1-Settings!$B$3),2)</f>
        <v>253.28</v>
      </c>
      <c r="F89" s="2" t="inlineStr">
        <is>
          <t>One Piece</t>
        </is>
      </c>
      <c r="G89" s="2" t="inlineStr">
        <is>
          <t>Case/Display</t>
        </is>
      </c>
      <c r="H89" s="2" t="inlineStr">
        <is>
          <t>The World's Strongest Warriors</t>
        </is>
      </c>
      <c r="I89" s="3" t="n"/>
      <c r="J89" s="3" t="n">
        <v>368.72</v>
      </c>
      <c r="K89" s="3" t="n"/>
      <c r="L89" s="3" t="n">
        <v>354.93</v>
      </c>
      <c r="M89" s="2" t="inlineStr">
        <is>
          <t>TCGplayer</t>
        </is>
      </c>
      <c r="O89" s="4" t="inlineStr">
        <is>
          <t>https://www.tcgplayer.com/product/704878</t>
        </is>
      </c>
    </row>
    <row r="90">
      <c r="A90" s="2" t="inlineStr">
        <is>
          <t>The World's Strongest Warriors Booster Box Case</t>
        </is>
      </c>
      <c r="B90" s="3">
        <f>IF(I90&lt;&gt;"",I90,IF(J90&lt;&gt;"",J90,IF(K90&lt;&gt;"",K90,L90)))</f>
        <v>3511.47</v>
      </c>
      <c r="C90" s="3">
        <f>MEDIAN(I90:L90)</f>
        <v>2630.725</v>
      </c>
      <c r="D90" s="3">
        <f>ROUND(C90*(1-Settings!$B$2),2)</f>
        <v>1841.51</v>
      </c>
      <c r="E90" s="3">
        <f>ROUND(C90*(1-Settings!$B$3),2)</f>
        <v>1841.51</v>
      </c>
      <c r="F90" s="2" t="inlineStr">
        <is>
          <t>One Piece</t>
        </is>
      </c>
      <c r="G90" s="2" t="inlineStr">
        <is>
          <t>Case/Display</t>
        </is>
      </c>
      <c r="H90" s="2" t="inlineStr">
        <is>
          <t>The World's Strongest Warriors</t>
        </is>
      </c>
      <c r="I90" s="3" t="n"/>
      <c r="J90" s="3" t="n">
        <v>3511.47</v>
      </c>
      <c r="K90" s="3" t="n"/>
      <c r="L90" s="3" t="n">
        <v>1749.98</v>
      </c>
      <c r="M90" s="2" t="inlineStr">
        <is>
          <t>TCGplayer</t>
        </is>
      </c>
      <c r="O90" s="4" t="inlineStr">
        <is>
          <t>https://www.tcgplayer.com/product/704754</t>
        </is>
      </c>
    </row>
    <row r="91">
      <c r="A91" s="2" t="inlineStr">
        <is>
          <t>Double Pack Set Volume 5 Display</t>
        </is>
      </c>
      <c r="B91" s="3">
        <f>IF(I91&lt;&gt;"",I91,IF(J91&lt;&gt;"",J91,IF(K91&lt;&gt;"",K91,L91)))</f>
        <v>272.91</v>
      </c>
      <c r="C91" s="3">
        <f>MEDIAN(I91:L91)</f>
        <v>323.95500000000004</v>
      </c>
      <c r="D91" s="3">
        <f>ROUND(C91*(1-Settings!$B$2),2)</f>
        <v>226.77</v>
      </c>
      <c r="E91" s="3">
        <f>ROUND(C91*(1-Settings!$B$3),2)</f>
        <v>226.77</v>
      </c>
      <c r="F91" s="2" t="inlineStr">
        <is>
          <t>One Piece</t>
        </is>
      </c>
      <c r="G91" s="2" t="inlineStr">
        <is>
          <t>Case/Display</t>
        </is>
      </c>
      <c r="H91" s="2" t="inlineStr">
        <is>
          <t>Two Legends</t>
        </is>
      </c>
      <c r="I91" s="3" t="n"/>
      <c r="J91" s="3" t="n">
        <v>272.91</v>
      </c>
      <c r="K91" s="3" t="n"/>
      <c r="L91" s="3" t="n">
        <v>375</v>
      </c>
      <c r="M91" s="2" t="inlineStr">
        <is>
          <t>TCGplayer</t>
        </is>
      </c>
      <c r="O91" s="4" t="inlineStr">
        <is>
          <t>https://www.tcgplayer.com/product/561690</t>
        </is>
      </c>
    </row>
    <row r="92">
      <c r="A92" s="2" t="inlineStr">
        <is>
          <t>Two Legends - Booster Box Case</t>
        </is>
      </c>
      <c r="B92" s="3">
        <f>IF(I92&lt;&gt;"",I92,IF(J92&lt;&gt;"",J92,IF(K92&lt;&gt;"",K92,L92)))</f>
        <v>2787.33</v>
      </c>
      <c r="C92" s="3">
        <f>MEDIAN(I92:L92)</f>
        <v>2809.66</v>
      </c>
      <c r="D92" s="3">
        <f>ROUND(C92*(1-Settings!$B$2),2)</f>
        <v>1966.76</v>
      </c>
      <c r="E92" s="3">
        <f>ROUND(C92*(1-Settings!$B$3),2)</f>
        <v>1966.76</v>
      </c>
      <c r="F92" s="2" t="inlineStr">
        <is>
          <t>One Piece</t>
        </is>
      </c>
      <c r="G92" s="2" t="inlineStr">
        <is>
          <t>Case/Display</t>
        </is>
      </c>
      <c r="H92" s="2" t="inlineStr">
        <is>
          <t>Two Legends</t>
        </is>
      </c>
      <c r="I92" s="3" t="n"/>
      <c r="J92" s="3" t="n">
        <v>2787.33</v>
      </c>
      <c r="K92" s="3" t="n"/>
      <c r="L92" s="3" t="n">
        <v>2831.99</v>
      </c>
      <c r="M92" s="2" t="inlineStr">
        <is>
          <t>TCGplayer</t>
        </is>
      </c>
      <c r="O92" s="4" t="inlineStr">
        <is>
          <t>https://www.tcgplayer.com/product/542505</t>
        </is>
      </c>
    </row>
    <row r="93">
      <c r="A93" s="2" t="inlineStr">
        <is>
          <t>Double Pack Set Volume 3 Display</t>
        </is>
      </c>
      <c r="B93" s="3">
        <f>IF(I93&lt;&gt;"",I93,IF(J93&lt;&gt;"",J93,IF(K93&lt;&gt;"",K93,L93)))</f>
        <v>474.83</v>
      </c>
      <c r="C93" s="3">
        <f>MEDIAN(I93:L93)</f>
        <v>572.26</v>
      </c>
      <c r="D93" s="3">
        <f>ROUND(C93*(1-Settings!$B$2),2)</f>
        <v>400.58</v>
      </c>
      <c r="E93" s="3">
        <f>ROUND(C93*(1-Settings!$B$3),2)</f>
        <v>400.58</v>
      </c>
      <c r="F93" s="2" t="inlineStr">
        <is>
          <t>One Piece</t>
        </is>
      </c>
      <c r="G93" s="2" t="inlineStr">
        <is>
          <t>Case/Display</t>
        </is>
      </c>
      <c r="H93" s="2" t="inlineStr">
        <is>
          <t>Wings of the Captain</t>
        </is>
      </c>
      <c r="I93" s="3" t="n"/>
      <c r="J93" s="3" t="n">
        <v>474.83</v>
      </c>
      <c r="K93" s="3" t="n"/>
      <c r="L93" s="3" t="n">
        <v>669.6900000000001</v>
      </c>
      <c r="M93" s="2" t="inlineStr">
        <is>
          <t>TCGplayer</t>
        </is>
      </c>
      <c r="O93" s="4" t="inlineStr">
        <is>
          <t>https://www.tcgplayer.com/product/541543</t>
        </is>
      </c>
    </row>
    <row r="94">
      <c r="A94" s="2" t="inlineStr">
        <is>
          <t>Double Pack Set Volume 3 Display Case</t>
        </is>
      </c>
      <c r="B94" s="3">
        <f>IF(I94&lt;&gt;"",I94,IF(J94&lt;&gt;"",J94,IF(K94&lt;&gt;"",K94,L94)))</f>
        <v>3000.0</v>
      </c>
      <c r="C94" s="3">
        <f>MEDIAN(I94:L94)</f>
        <v>3000.0</v>
      </c>
      <c r="D94" s="3">
        <f>ROUND(C94*(1-Settings!$B$2),2)</f>
        <v>2100.0</v>
      </c>
      <c r="E94" s="3">
        <f>ROUND(C94*(1-Settings!$B$3),2)</f>
        <v>2100.0</v>
      </c>
      <c r="F94" s="2" t="inlineStr">
        <is>
          <t>One Piece</t>
        </is>
      </c>
      <c r="G94" s="2" t="inlineStr">
        <is>
          <t>Case/Display</t>
        </is>
      </c>
      <c r="H94" s="2" t="inlineStr">
        <is>
          <t>Wings of the Captain</t>
        </is>
      </c>
      <c r="I94" s="3" t="n"/>
      <c r="J94" s="3" t="n"/>
      <c r="K94" s="3" t="n"/>
      <c r="L94" s="3" t="n">
        <v>3000</v>
      </c>
      <c r="M94" s="2" t="inlineStr">
        <is>
          <t>TCGplayer</t>
        </is>
      </c>
      <c r="O94" s="4" t="inlineStr">
        <is>
          <t>https://www.tcgplayer.com/product/541544</t>
        </is>
      </c>
    </row>
    <row r="95">
      <c r="A95" s="2" t="inlineStr">
        <is>
          <t>Wings of the Captain - Booster Box Case</t>
        </is>
      </c>
      <c r="B95" s="3">
        <f>IF(I95&lt;&gt;"",I95,IF(J95&lt;&gt;"",J95,IF(K95&lt;&gt;"",K95,L95)))</f>
        <v>4480.0</v>
      </c>
      <c r="C95" s="3">
        <f>MEDIAN(I95:L95)</f>
        <v>4389.99</v>
      </c>
      <c r="D95" s="3">
        <f>ROUND(C95*(1-Settings!$B$2),2)</f>
        <v>3072.99</v>
      </c>
      <c r="E95" s="3">
        <f>ROUND(C95*(1-Settings!$B$3),2)</f>
        <v>3072.99</v>
      </c>
      <c r="F95" s="2" t="inlineStr">
        <is>
          <t>One Piece</t>
        </is>
      </c>
      <c r="G95" s="2" t="inlineStr">
        <is>
          <t>Case/Display</t>
        </is>
      </c>
      <c r="H95" s="2" t="inlineStr">
        <is>
          <t>Wings of the Captain</t>
        </is>
      </c>
      <c r="I95" s="3" t="n"/>
      <c r="J95" s="3" t="n">
        <v>4480</v>
      </c>
      <c r="K95" s="3" t="n"/>
      <c r="L95" s="3" t="n">
        <v>4299.98</v>
      </c>
      <c r="M95" s="2" t="inlineStr">
        <is>
          <t>TCGplayer</t>
        </is>
      </c>
      <c r="O95" s="4" t="inlineStr">
        <is>
          <t>https://www.tcgplayer.com/product/515081</t>
        </is>
      </c>
    </row>
    <row r="96">
      <c r="A96" s="2" t="inlineStr">
        <is>
          <t>Japanese Promo Family Deck Set</t>
        </is>
      </c>
      <c r="B96" s="3">
        <f>IF(I96&lt;&gt;"",I96,IF(J96&lt;&gt;"",J96,IF(K96&lt;&gt;"",K96,L96)))</f>
        <v>103.4</v>
      </c>
      <c r="C96" s="3">
        <f>MEDIAN(I96:L96)</f>
        <v>103.4</v>
      </c>
      <c r="D96" s="3">
        <f>ROUND(C96*(1-Settings!$B$2),2)</f>
        <v>72.38</v>
      </c>
      <c r="E96" s="3">
        <f>ROUND(C96*(1-Settings!$B$3),2)</f>
        <v>72.38</v>
      </c>
      <c r="F96" s="2" t="inlineStr">
        <is>
          <t>One Piece</t>
        </is>
      </c>
      <c r="G96" s="2" t="inlineStr">
        <is>
          <t>Deck</t>
        </is>
      </c>
      <c r="H96" s="2" t="inlineStr">
        <is>
          <t>Japanese Promo</t>
        </is>
      </c>
      <c r="I96" s="3" t="n">
        <v>103.4</v>
      </c>
      <c r="J96" s="3" t="n"/>
      <c r="K96" s="3" t="n"/>
      <c r="L96" s="3" t="n"/>
      <c r="M96" s="2" t="inlineStr">
        <is>
          <t>PriceCharting</t>
        </is>
      </c>
      <c r="N96" s="4" t="inlineStr">
        <is>
          <t>https://www.pricecharting.com/game/one-piece-japanese-promo/family-deck-set</t>
        </is>
      </c>
    </row>
    <row r="97">
      <c r="A97" s="2" t="inlineStr">
        <is>
          <t>Japanese Starter Deck 1 Straw Hat Crew Sealed Deck</t>
        </is>
      </c>
      <c r="B97" s="3">
        <f>IF(I97&lt;&gt;"",I97,IF(J97&lt;&gt;"",J97,IF(K97&lt;&gt;"",K97,L97)))</f>
        <v>47.71</v>
      </c>
      <c r="C97" s="3">
        <f>MEDIAN(I97:L97)</f>
        <v>47.71</v>
      </c>
      <c r="D97" s="3">
        <f>ROUND(C97*(1-Settings!$B$2),2)</f>
        <v>33.4</v>
      </c>
      <c r="E97" s="3">
        <f>ROUND(C97*(1-Settings!$B$3),2)</f>
        <v>33.4</v>
      </c>
      <c r="F97" s="2" t="inlineStr">
        <is>
          <t>One Piece</t>
        </is>
      </c>
      <c r="G97" s="2" t="inlineStr">
        <is>
          <t>Deck</t>
        </is>
      </c>
      <c r="H97" s="2" t="inlineStr">
        <is>
          <t>Japanese Starter Deck 1 Straw Hat Crew</t>
        </is>
      </c>
      <c r="I97" s="3" t="n">
        <v>47.71</v>
      </c>
      <c r="J97" s="3" t="n"/>
      <c r="K97" s="3" t="n"/>
      <c r="L97" s="3" t="n"/>
      <c r="M97" s="2" t="inlineStr">
        <is>
          <t>PriceCharting</t>
        </is>
      </c>
      <c r="N97" s="4" t="inlineStr">
        <is>
          <t>https://www.pricecharting.com/game/one-piece-japanese-starter-deck-1-straw-hat-crew/sealed-deck</t>
        </is>
      </c>
    </row>
    <row r="98">
      <c r="A98" s="2" t="inlineStr">
        <is>
          <t>Japanese Starter Deck 11 Uta Sealed Deck</t>
        </is>
      </c>
      <c r="B98" s="3">
        <f>IF(I98&lt;&gt;"",I98,IF(J98&lt;&gt;"",J98,IF(K98&lt;&gt;"",K98,L98)))</f>
        <v>15.99</v>
      </c>
      <c r="C98" s="3">
        <f>MEDIAN(I98:L98)</f>
        <v>15.99</v>
      </c>
      <c r="D98" s="3">
        <f>ROUND(C98*(1-Settings!$B$2),2)</f>
        <v>11.19</v>
      </c>
      <c r="E98" s="3">
        <f>ROUND(C98*(1-Settings!$B$3),2)</f>
        <v>11.19</v>
      </c>
      <c r="F98" s="2" t="inlineStr">
        <is>
          <t>One Piece</t>
        </is>
      </c>
      <c r="G98" s="2" t="inlineStr">
        <is>
          <t>Deck</t>
        </is>
      </c>
      <c r="H98" s="2" t="inlineStr">
        <is>
          <t>Japanese Starter Deck 11 Uta</t>
        </is>
      </c>
      <c r="I98" s="3" t="n">
        <v>15.99</v>
      </c>
      <c r="J98" s="3" t="n"/>
      <c r="K98" s="3" t="n"/>
      <c r="L98" s="3" t="n"/>
      <c r="M98" s="2" t="inlineStr">
        <is>
          <t>PriceCharting</t>
        </is>
      </c>
      <c r="N98" s="4" t="inlineStr">
        <is>
          <t>https://www.pricecharting.com/game/one-piece-japanese-starter-deck-11-uta/sealed-deck</t>
        </is>
      </c>
    </row>
    <row r="99">
      <c r="A99" s="2" t="inlineStr">
        <is>
          <t>Japanese Starter Deck 12 Sealed Deck</t>
        </is>
      </c>
      <c r="B99" s="3">
        <f>IF(I99&lt;&gt;"",I99,IF(J99&lt;&gt;"",J99,IF(K99&lt;&gt;"",K99,L99)))</f>
        <v>42.18</v>
      </c>
      <c r="C99" s="3">
        <f>MEDIAN(I99:L99)</f>
        <v>42.18</v>
      </c>
      <c r="D99" s="3">
        <f>ROUND(C99*(1-Settings!$B$2),2)</f>
        <v>29.53</v>
      </c>
      <c r="E99" s="3">
        <f>ROUND(C99*(1-Settings!$B$3),2)</f>
        <v>29.53</v>
      </c>
      <c r="F99" s="2" t="inlineStr">
        <is>
          <t>One Piece</t>
        </is>
      </c>
      <c r="G99" s="2" t="inlineStr">
        <is>
          <t>Deck</t>
        </is>
      </c>
      <c r="H99" s="2" t="inlineStr">
        <is>
          <t>Japanese Starter Deck 12</t>
        </is>
      </c>
      <c r="I99" s="3" t="n">
        <v>42.18</v>
      </c>
      <c r="J99" s="3" t="n"/>
      <c r="K99" s="3" t="n"/>
      <c r="L99" s="3" t="n"/>
      <c r="M99" s="2" t="inlineStr">
        <is>
          <t>PriceCharting</t>
        </is>
      </c>
      <c r="N99" s="4" t="inlineStr">
        <is>
          <t>https://www.pricecharting.com/game/one-piece-japanese-starter-deck-12/sealed-deck</t>
        </is>
      </c>
    </row>
    <row r="100">
      <c r="A100" s="2" t="inlineStr">
        <is>
          <t>Japanese Starter Deck 14 3d2y Sealed Deck</t>
        </is>
      </c>
      <c r="B100" s="3">
        <f>IF(I100&lt;&gt;"",I100,IF(J100&lt;&gt;"",J100,IF(K100&lt;&gt;"",K100,L100)))</f>
        <v>18.33</v>
      </c>
      <c r="C100" s="3">
        <f>MEDIAN(I100:L100)</f>
        <v>18.33</v>
      </c>
      <c r="D100" s="3">
        <f>ROUND(C100*(1-Settings!$B$2),2)</f>
        <v>12.83</v>
      </c>
      <c r="E100" s="3">
        <f>ROUND(C100*(1-Settings!$B$3),2)</f>
        <v>12.83</v>
      </c>
      <c r="F100" s="2" t="inlineStr">
        <is>
          <t>One Piece</t>
        </is>
      </c>
      <c r="G100" s="2" t="inlineStr">
        <is>
          <t>Deck</t>
        </is>
      </c>
      <c r="H100" s="2" t="inlineStr">
        <is>
          <t>Japanese Starter Deck 14 3d2y</t>
        </is>
      </c>
      <c r="I100" s="3" t="n">
        <v>18.33</v>
      </c>
      <c r="J100" s="3" t="n"/>
      <c r="K100" s="3" t="n"/>
      <c r="L100" s="3" t="n"/>
      <c r="M100" s="2" t="inlineStr">
        <is>
          <t>PriceCharting</t>
        </is>
      </c>
      <c r="N100" s="4" t="inlineStr">
        <is>
          <t>https://www.pricecharting.com/game/one-piece-japanese-starter-deck-14-3d2y/sealed-deck</t>
        </is>
      </c>
    </row>
    <row r="101">
      <c r="A101" s="2" t="inlineStr">
        <is>
          <t>Japanese Starter Deck 15 Edward Newgate Sealed Deck</t>
        </is>
      </c>
      <c r="B101" s="3">
        <f>IF(I101&lt;&gt;"",I101,IF(J101&lt;&gt;"",J101,IF(K101&lt;&gt;"",K101,L101)))</f>
        <v>9.0</v>
      </c>
      <c r="C101" s="3">
        <f>MEDIAN(I101:L101)</f>
        <v>9.0</v>
      </c>
      <c r="D101" s="3">
        <f>ROUND(C101*(1-Settings!$B$2),2)</f>
        <v>6.3</v>
      </c>
      <c r="E101" s="3">
        <f>ROUND(C101*(1-Settings!$B$3),2)</f>
        <v>6.3</v>
      </c>
      <c r="F101" s="2" t="inlineStr">
        <is>
          <t>One Piece</t>
        </is>
      </c>
      <c r="G101" s="2" t="inlineStr">
        <is>
          <t>Deck</t>
        </is>
      </c>
      <c r="H101" s="2" t="inlineStr">
        <is>
          <t>Japanese Starter Deck 15 Edward Newgate</t>
        </is>
      </c>
      <c r="I101" s="3" t="n">
        <v>9</v>
      </c>
      <c r="J101" s="3" t="n"/>
      <c r="K101" s="3" t="n"/>
      <c r="L101" s="3" t="n"/>
      <c r="M101" s="2" t="inlineStr">
        <is>
          <t>PriceCharting</t>
        </is>
      </c>
      <c r="N101" s="4" t="inlineStr">
        <is>
          <t>https://www.pricecharting.com/game/one-piece-japanese-starter-deck-15-edward-newgate/sealed-deck</t>
        </is>
      </c>
    </row>
    <row r="102">
      <c r="A102" s="2" t="inlineStr">
        <is>
          <t>Japanese Starter Deck 18 Monkeydluffy Sealed Deck</t>
        </is>
      </c>
      <c r="B102" s="3">
        <f>IF(I102&lt;&gt;"",I102,IF(J102&lt;&gt;"",J102,IF(K102&lt;&gt;"",K102,L102)))</f>
        <v>121.94</v>
      </c>
      <c r="C102" s="3">
        <f>MEDIAN(I102:L102)</f>
        <v>121.94</v>
      </c>
      <c r="D102" s="3">
        <f>ROUND(C102*(1-Settings!$B$2),2)</f>
        <v>85.36</v>
      </c>
      <c r="E102" s="3">
        <f>ROUND(C102*(1-Settings!$B$3),2)</f>
        <v>85.36</v>
      </c>
      <c r="F102" s="2" t="inlineStr">
        <is>
          <t>One Piece</t>
        </is>
      </c>
      <c r="G102" s="2" t="inlineStr">
        <is>
          <t>Deck</t>
        </is>
      </c>
      <c r="H102" s="2" t="inlineStr">
        <is>
          <t>Japanese Starter Deck 18 Monkeydluffy</t>
        </is>
      </c>
      <c r="I102" s="3" t="n">
        <v>121.94</v>
      </c>
      <c r="J102" s="3" t="n"/>
      <c r="K102" s="3" t="n"/>
      <c r="L102" s="3" t="n"/>
      <c r="M102" s="2" t="inlineStr">
        <is>
          <t>PriceCharting</t>
        </is>
      </c>
      <c r="N102" s="4" t="inlineStr">
        <is>
          <t>https://www.pricecharting.com/game/one-piece-japanese-starter-deck-18-monkeydluffy/sealed-deck</t>
        </is>
      </c>
    </row>
    <row r="103">
      <c r="A103" s="2" t="inlineStr">
        <is>
          <t>Japanese Starter Deck 2 Worst Generation Sealed Deck</t>
        </is>
      </c>
      <c r="B103" s="3">
        <f>IF(I103&lt;&gt;"",I103,IF(J103&lt;&gt;"",J103,IF(K103&lt;&gt;"",K103,L103)))</f>
        <v>19.49</v>
      </c>
      <c r="C103" s="3">
        <f>MEDIAN(I103:L103)</f>
        <v>19.49</v>
      </c>
      <c r="D103" s="3">
        <f>ROUND(C103*(1-Settings!$B$2),2)</f>
        <v>13.64</v>
      </c>
      <c r="E103" s="3">
        <f>ROUND(C103*(1-Settings!$B$3),2)</f>
        <v>13.64</v>
      </c>
      <c r="F103" s="2" t="inlineStr">
        <is>
          <t>One Piece</t>
        </is>
      </c>
      <c r="G103" s="2" t="inlineStr">
        <is>
          <t>Deck</t>
        </is>
      </c>
      <c r="H103" s="2" t="inlineStr">
        <is>
          <t>Japanese Starter Deck 2 Worst Generation</t>
        </is>
      </c>
      <c r="I103" s="3" t="n">
        <v>19.49</v>
      </c>
      <c r="J103" s="3" t="n"/>
      <c r="K103" s="3" t="n"/>
      <c r="L103" s="3" t="n"/>
      <c r="M103" s="2" t="inlineStr">
        <is>
          <t>PriceCharting</t>
        </is>
      </c>
      <c r="N103" s="4" t="inlineStr">
        <is>
          <t>https://www.pricecharting.com/game/one-piece-japanese-starter-deck-2-worst-generation/sealed-deck</t>
        </is>
      </c>
    </row>
    <row r="104">
      <c r="A104" s="2" t="inlineStr">
        <is>
          <t>Japanese Starter Deck 25 Blue Buggy Sealed Deck</t>
        </is>
      </c>
      <c r="B104" s="3">
        <f>IF(I104&lt;&gt;"",I104,IF(J104&lt;&gt;"",J104,IF(K104&lt;&gt;"",K104,L104)))</f>
        <v>8.46</v>
      </c>
      <c r="C104" s="3">
        <f>MEDIAN(I104:L104)</f>
        <v>8.46</v>
      </c>
      <c r="D104" s="3">
        <f>ROUND(C104*(1-Settings!$B$2),2)</f>
        <v>5.92</v>
      </c>
      <c r="E104" s="3">
        <f>ROUND(C104*(1-Settings!$B$3),2)</f>
        <v>5.92</v>
      </c>
      <c r="F104" s="2" t="inlineStr">
        <is>
          <t>One Piece</t>
        </is>
      </c>
      <c r="G104" s="2" t="inlineStr">
        <is>
          <t>Deck</t>
        </is>
      </c>
      <c r="H104" s="2" t="inlineStr">
        <is>
          <t>Japanese Starter Deck 25 Blue Buggy</t>
        </is>
      </c>
      <c r="I104" s="3" t="n">
        <v>8.460000000000001</v>
      </c>
      <c r="J104" s="3" t="n"/>
      <c r="K104" s="3" t="n"/>
      <c r="L104" s="3" t="n"/>
      <c r="M104" s="2" t="inlineStr">
        <is>
          <t>PriceCharting</t>
        </is>
      </c>
      <c r="N104" s="4" t="inlineStr">
        <is>
          <t>https://www.pricecharting.com/game/one-piece-japanese-starter-deck-25-blue-buggy/sealed-deck</t>
        </is>
      </c>
    </row>
    <row r="105">
      <c r="A105" s="2" t="inlineStr">
        <is>
          <t>Japanese Starter Deck 28 Yellow Yamato Sealed Deck</t>
        </is>
      </c>
      <c r="B105" s="3">
        <f>IF(I105&lt;&gt;"",I105,IF(J105&lt;&gt;"",J105,IF(K105&lt;&gt;"",K105,L105)))</f>
        <v>14.0</v>
      </c>
      <c r="C105" s="3">
        <f>MEDIAN(I105:L105)</f>
        <v>14.0</v>
      </c>
      <c r="D105" s="3">
        <f>ROUND(C105*(1-Settings!$B$2),2)</f>
        <v>9.8</v>
      </c>
      <c r="E105" s="3">
        <f>ROUND(C105*(1-Settings!$B$3),2)</f>
        <v>9.8</v>
      </c>
      <c r="F105" s="2" t="inlineStr">
        <is>
          <t>One Piece</t>
        </is>
      </c>
      <c r="G105" s="2" t="inlineStr">
        <is>
          <t>Deck</t>
        </is>
      </c>
      <c r="H105" s="2" t="inlineStr">
        <is>
          <t>Japanese Starter Deck 28 Yellow Yamato</t>
        </is>
      </c>
      <c r="I105" s="3" t="n">
        <v>14</v>
      </c>
      <c r="J105" s="3" t="n"/>
      <c r="K105" s="3" t="n"/>
      <c r="L105" s="3" t="n"/>
      <c r="M105" s="2" t="inlineStr">
        <is>
          <t>PriceCharting</t>
        </is>
      </c>
      <c r="N105" s="4" t="inlineStr">
        <is>
          <t>https://www.pricecharting.com/game/one-piece-japanese-starter-deck-28-yellow-yamato/sealed-deck</t>
        </is>
      </c>
    </row>
    <row r="106">
      <c r="A106" s="2" t="inlineStr">
        <is>
          <t>Japanese Starter Deck 29 Egghead Arc Sealed Deck</t>
        </is>
      </c>
      <c r="B106" s="3">
        <f>IF(I106&lt;&gt;"",I106,IF(J106&lt;&gt;"",J106,IF(K106&lt;&gt;"",K106,L106)))</f>
        <v>39.25</v>
      </c>
      <c r="C106" s="3">
        <f>MEDIAN(I106:L106)</f>
        <v>39.25</v>
      </c>
      <c r="D106" s="3">
        <f>ROUND(C106*(1-Settings!$B$2),2)</f>
        <v>27.48</v>
      </c>
      <c r="E106" s="3">
        <f>ROUND(C106*(1-Settings!$B$3),2)</f>
        <v>27.48</v>
      </c>
      <c r="F106" s="2" t="inlineStr">
        <is>
          <t>One Piece</t>
        </is>
      </c>
      <c r="G106" s="2" t="inlineStr">
        <is>
          <t>Deck</t>
        </is>
      </c>
      <c r="H106" s="2" t="inlineStr">
        <is>
          <t>Japanese Starter Deck 29 Egghead Arc</t>
        </is>
      </c>
      <c r="I106" s="3" t="n">
        <v>39.25</v>
      </c>
      <c r="J106" s="3" t="n"/>
      <c r="K106" s="3" t="n"/>
      <c r="L106" s="3" t="n"/>
      <c r="M106" s="2" t="inlineStr">
        <is>
          <t>PriceCharting</t>
        </is>
      </c>
      <c r="N106" s="4" t="inlineStr">
        <is>
          <t>https://www.pricecharting.com/game/one-piece-japanese-starter-deck-29-egghead-arc/sealed-deck</t>
        </is>
      </c>
    </row>
    <row r="107">
      <c r="A107" s="2" t="inlineStr">
        <is>
          <t>Japanese Starter Deck 3 The Seven Warlords Of The Sea Sealed Deck</t>
        </is>
      </c>
      <c r="B107" s="3">
        <f>IF(I107&lt;&gt;"",I107,IF(J107&lt;&gt;"",J107,IF(K107&lt;&gt;"",K107,L107)))</f>
        <v>17.74</v>
      </c>
      <c r="C107" s="3">
        <f>MEDIAN(I107:L107)</f>
        <v>17.74</v>
      </c>
      <c r="D107" s="3">
        <f>ROUND(C107*(1-Settings!$B$2),2)</f>
        <v>12.42</v>
      </c>
      <c r="E107" s="3">
        <f>ROUND(C107*(1-Settings!$B$3),2)</f>
        <v>12.42</v>
      </c>
      <c r="F107" s="2" t="inlineStr">
        <is>
          <t>One Piece</t>
        </is>
      </c>
      <c r="G107" s="2" t="inlineStr">
        <is>
          <t>Deck</t>
        </is>
      </c>
      <c r="H107" s="2" t="inlineStr">
        <is>
          <t>Japanese Starter Deck 3 The Seven Warlords Of The Sea</t>
        </is>
      </c>
      <c r="I107" s="3" t="n">
        <v>17.74</v>
      </c>
      <c r="J107" s="3" t="n"/>
      <c r="K107" s="3" t="n"/>
      <c r="L107" s="3" t="n"/>
      <c r="M107" s="2" t="inlineStr">
        <is>
          <t>PriceCharting</t>
        </is>
      </c>
      <c r="N107" s="4" t="inlineStr">
        <is>
          <t>https://www.pricecharting.com/game/one-piece-japanese-starter-deck-3-the-seven-warlords-of-the-sea/sealed-deck</t>
        </is>
      </c>
    </row>
    <row r="108">
      <c r="A108" s="2" t="inlineStr">
        <is>
          <t>Japanese Starter Deck 6 Absolute Justice Sealed Deck</t>
        </is>
      </c>
      <c r="B108" s="3">
        <f>IF(I108&lt;&gt;"",I108,IF(J108&lt;&gt;"",J108,IF(K108&lt;&gt;"",K108,L108)))</f>
        <v>16.18</v>
      </c>
      <c r="C108" s="3">
        <f>MEDIAN(I108:L108)</f>
        <v>16.18</v>
      </c>
      <c r="D108" s="3">
        <f>ROUND(C108*(1-Settings!$B$2),2)</f>
        <v>11.33</v>
      </c>
      <c r="E108" s="3">
        <f>ROUND(C108*(1-Settings!$B$3),2)</f>
        <v>11.33</v>
      </c>
      <c r="F108" s="2" t="inlineStr">
        <is>
          <t>One Piece</t>
        </is>
      </c>
      <c r="G108" s="2" t="inlineStr">
        <is>
          <t>Deck</t>
        </is>
      </c>
      <c r="H108" s="2" t="inlineStr">
        <is>
          <t>Japanese Starter Deck 6 Absolute Justice</t>
        </is>
      </c>
      <c r="I108" s="3" t="n">
        <v>16.18</v>
      </c>
      <c r="J108" s="3" t="n"/>
      <c r="K108" s="3" t="n"/>
      <c r="L108" s="3" t="n"/>
      <c r="M108" s="2" t="inlineStr">
        <is>
          <t>PriceCharting</t>
        </is>
      </c>
      <c r="N108" s="4" t="inlineStr">
        <is>
          <t>https://www.pricecharting.com/game/one-piece-japanese-starter-deck-6-absolute-justice/sealed-deck</t>
        </is>
      </c>
    </row>
    <row r="109">
      <c r="A109" s="2" t="inlineStr">
        <is>
          <t>Japanese Starter Deck 7 Big Mom Pirates Sealed Deck</t>
        </is>
      </c>
      <c r="B109" s="3">
        <f>IF(I109&lt;&gt;"",I109,IF(J109&lt;&gt;"",J109,IF(K109&lt;&gt;"",K109,L109)))</f>
        <v>15.99</v>
      </c>
      <c r="C109" s="3">
        <f>MEDIAN(I109:L109)</f>
        <v>15.99</v>
      </c>
      <c r="D109" s="3">
        <f>ROUND(C109*(1-Settings!$B$2),2)</f>
        <v>11.19</v>
      </c>
      <c r="E109" s="3">
        <f>ROUND(C109*(1-Settings!$B$3),2)</f>
        <v>11.19</v>
      </c>
      <c r="F109" s="2" t="inlineStr">
        <is>
          <t>One Piece</t>
        </is>
      </c>
      <c r="G109" s="2" t="inlineStr">
        <is>
          <t>Deck</t>
        </is>
      </c>
      <c r="H109" s="2" t="inlineStr">
        <is>
          <t>Japanese Starter Deck 7 Big Mom Pirates</t>
        </is>
      </c>
      <c r="I109" s="3" t="n">
        <v>15.99</v>
      </c>
      <c r="J109" s="3" t="n"/>
      <c r="K109" s="3" t="n"/>
      <c r="L109" s="3" t="n"/>
      <c r="M109" s="2" t="inlineStr">
        <is>
          <t>PriceCharting</t>
        </is>
      </c>
      <c r="N109" s="4" t="inlineStr">
        <is>
          <t>https://www.pricecharting.com/game/one-piece-japanese-starter-deck-7-big-mom-pirates/sealed-deck</t>
        </is>
      </c>
    </row>
    <row r="110">
      <c r="A110" s="2" t="inlineStr">
        <is>
          <t>Japanese Starter Deck 8 Monkeydluffy Sealed Deck</t>
        </is>
      </c>
      <c r="B110" s="3">
        <f>IF(I110&lt;&gt;"",I110,IF(J110&lt;&gt;"",J110,IF(K110&lt;&gt;"",K110,L110)))</f>
        <v>14.99</v>
      </c>
      <c r="C110" s="3">
        <f>MEDIAN(I110:L110)</f>
        <v>14.99</v>
      </c>
      <c r="D110" s="3">
        <f>ROUND(C110*(1-Settings!$B$2),2)</f>
        <v>10.49</v>
      </c>
      <c r="E110" s="3">
        <f>ROUND(C110*(1-Settings!$B$3),2)</f>
        <v>10.49</v>
      </c>
      <c r="F110" s="2" t="inlineStr">
        <is>
          <t>One Piece</t>
        </is>
      </c>
      <c r="G110" s="2" t="inlineStr">
        <is>
          <t>Deck</t>
        </is>
      </c>
      <c r="H110" s="2" t="inlineStr">
        <is>
          <t>Japanese Starter Deck 8 Monkeydluffy</t>
        </is>
      </c>
      <c r="I110" s="3" t="n">
        <v>14.99</v>
      </c>
      <c r="J110" s="3" t="n"/>
      <c r="K110" s="3" t="n"/>
      <c r="L110" s="3" t="n"/>
      <c r="M110" s="2" t="inlineStr">
        <is>
          <t>PriceCharting</t>
        </is>
      </c>
      <c r="N110" s="4" t="inlineStr">
        <is>
          <t>https://www.pricecharting.com/game/one-piece-japanese-starter-deck-8-monkeydluffy/sealed-deck</t>
        </is>
      </c>
    </row>
    <row r="111">
      <c r="A111" s="2" t="inlineStr">
        <is>
          <t>Japanese Starter Deck 9 Yamato Sealed Deck</t>
        </is>
      </c>
      <c r="B111" s="3">
        <f>IF(I111&lt;&gt;"",I111,IF(J111&lt;&gt;"",J111,IF(K111&lt;&gt;"",K111,L111)))</f>
        <v>18.04</v>
      </c>
      <c r="C111" s="3">
        <f>MEDIAN(I111:L111)</f>
        <v>18.04</v>
      </c>
      <c r="D111" s="3">
        <f>ROUND(C111*(1-Settings!$B$2),2)</f>
        <v>12.63</v>
      </c>
      <c r="E111" s="3">
        <f>ROUND(C111*(1-Settings!$B$3),2)</f>
        <v>12.63</v>
      </c>
      <c r="F111" s="2" t="inlineStr">
        <is>
          <t>One Piece</t>
        </is>
      </c>
      <c r="G111" s="2" t="inlineStr">
        <is>
          <t>Deck</t>
        </is>
      </c>
      <c r="H111" s="2" t="inlineStr">
        <is>
          <t>Japanese Starter Deck 9 Yamato</t>
        </is>
      </c>
      <c r="I111" s="3" t="n">
        <v>18.04</v>
      </c>
      <c r="J111" s="3" t="n"/>
      <c r="K111" s="3" t="n"/>
      <c r="L111" s="3" t="n"/>
      <c r="M111" s="2" t="inlineStr">
        <is>
          <t>PriceCharting</t>
        </is>
      </c>
      <c r="N111" s="4" t="inlineStr">
        <is>
          <t>https://www.pricecharting.com/game/one-piece-japanese-starter-deck-9-yamato/sealed-deck</t>
        </is>
      </c>
    </row>
    <row r="112">
      <c r="A112" s="2" t="inlineStr">
        <is>
          <t>Japanese Ultra Deck The Three Brothers Sealed Deck</t>
        </is>
      </c>
      <c r="B112" s="3">
        <f>IF(I112&lt;&gt;"",I112,IF(J112&lt;&gt;"",J112,IF(K112&lt;&gt;"",K112,L112)))</f>
        <v>37.38</v>
      </c>
      <c r="C112" s="3">
        <f>MEDIAN(I112:L112)</f>
        <v>37.38</v>
      </c>
      <c r="D112" s="3">
        <f>ROUND(C112*(1-Settings!$B$2),2)</f>
        <v>26.17</v>
      </c>
      <c r="E112" s="3">
        <f>ROUND(C112*(1-Settings!$B$3),2)</f>
        <v>26.17</v>
      </c>
      <c r="F112" s="2" t="inlineStr">
        <is>
          <t>One Piece</t>
        </is>
      </c>
      <c r="G112" s="2" t="inlineStr">
        <is>
          <t>Deck</t>
        </is>
      </c>
      <c r="H112" s="2" t="inlineStr">
        <is>
          <t>Japanese Ultra Deck The Three Brothers</t>
        </is>
      </c>
      <c r="I112" s="3" t="n">
        <v>37.38</v>
      </c>
      <c r="J112" s="3" t="n"/>
      <c r="K112" s="3" t="n"/>
      <c r="L112" s="3" t="n"/>
      <c r="M112" s="2" t="inlineStr">
        <is>
          <t>PriceCharting</t>
        </is>
      </c>
      <c r="N112" s="4" t="inlineStr">
        <is>
          <t>https://www.pricecharting.com/game/one-piece-japanese-ultra-deck-the-three-brothers/sealed-deck</t>
        </is>
      </c>
    </row>
    <row r="113">
      <c r="A113" s="2" t="inlineStr">
        <is>
          <t>Japanese Ultra Deck The Three Captains Sealed Deck</t>
        </is>
      </c>
      <c r="B113" s="3">
        <f>IF(I113&lt;&gt;"",I113,IF(J113&lt;&gt;"",J113,IF(K113&lt;&gt;"",K113,L113)))</f>
        <v>91.18</v>
      </c>
      <c r="C113" s="3">
        <f>MEDIAN(I113:L113)</f>
        <v>91.18</v>
      </c>
      <c r="D113" s="3">
        <f>ROUND(C113*(1-Settings!$B$2),2)</f>
        <v>63.83</v>
      </c>
      <c r="E113" s="3">
        <f>ROUND(C113*(1-Settings!$B$3),2)</f>
        <v>63.83</v>
      </c>
      <c r="F113" s="2" t="inlineStr">
        <is>
          <t>One Piece</t>
        </is>
      </c>
      <c r="G113" s="2" t="inlineStr">
        <is>
          <t>Deck</t>
        </is>
      </c>
      <c r="H113" s="2" t="inlineStr">
        <is>
          <t>Japanese Ultra Deck The Three Captains</t>
        </is>
      </c>
      <c r="I113" s="3" t="n">
        <v>91.18000000000001</v>
      </c>
      <c r="J113" s="3" t="n"/>
      <c r="K113" s="3" t="n"/>
      <c r="L113" s="3" t="n"/>
      <c r="M113" s="2" t="inlineStr">
        <is>
          <t>PriceCharting</t>
        </is>
      </c>
      <c r="N113" s="4" t="inlineStr">
        <is>
          <t>https://www.pricecharting.com/game/one-piece-japanese-ultra-deck-the-three-captains/sealed-deck</t>
        </is>
      </c>
    </row>
    <row r="114">
      <c r="A114" s="2" t="inlineStr">
        <is>
          <t>Learn Together Deck Set</t>
        </is>
      </c>
      <c r="B114" s="3">
        <f>IF(I114&lt;&gt;"",I114,IF(J114&lt;&gt;"",J114,IF(K114&lt;&gt;"",K114,L114)))</f>
        <v>67.12</v>
      </c>
      <c r="C114" s="3">
        <f>MEDIAN(I114:L114)</f>
        <v>63.55500000000001</v>
      </c>
      <c r="D114" s="3">
        <f>ROUND(C114*(1-Settings!$B$2),2)</f>
        <v>44.49</v>
      </c>
      <c r="E114" s="3">
        <f>ROUND(C114*(1-Settings!$B$3),2)</f>
        <v>44.49</v>
      </c>
      <c r="F114" s="2" t="inlineStr">
        <is>
          <t>One Piece</t>
        </is>
      </c>
      <c r="G114" s="2" t="inlineStr">
        <is>
          <t>Deck</t>
        </is>
      </c>
      <c r="H114" s="2" t="inlineStr">
        <is>
          <t>Learn Together Deck Set</t>
        </is>
      </c>
      <c r="I114" s="3" t="n"/>
      <c r="J114" s="3" t="n">
        <v>67.12</v>
      </c>
      <c r="K114" s="3" t="n"/>
      <c r="L114" s="3" t="n">
        <v>59.99</v>
      </c>
      <c r="M114" s="2" t="inlineStr">
        <is>
          <t>TCGplayer</t>
        </is>
      </c>
      <c r="O114" s="4" t="inlineStr">
        <is>
          <t>https://www.tcgplayer.com/product/628478</t>
        </is>
      </c>
    </row>
    <row r="115">
      <c r="A115" s="2" t="inlineStr">
        <is>
          <t>Learn Together Deck Set Sealed Learn Together Deck Set</t>
        </is>
      </c>
      <c r="B115" s="3">
        <f>IF(I115&lt;&gt;"",I115,IF(J115&lt;&gt;"",J115,IF(K115&lt;&gt;"",K115,L115)))</f>
        <v>63.2</v>
      </c>
      <c r="C115" s="3">
        <f>MEDIAN(I115:L115)</f>
        <v>63.2</v>
      </c>
      <c r="D115" s="3">
        <f>ROUND(C115*(1-Settings!$B$2),2)</f>
        <v>44.24</v>
      </c>
      <c r="E115" s="3">
        <f>ROUND(C115*(1-Settings!$B$3),2)</f>
        <v>44.24</v>
      </c>
      <c r="F115" s="2" t="inlineStr">
        <is>
          <t>One Piece</t>
        </is>
      </c>
      <c r="G115" s="2" t="inlineStr">
        <is>
          <t>Deck</t>
        </is>
      </c>
      <c r="H115" s="2" t="inlineStr">
        <is>
          <t>Learn Together Deck Set</t>
        </is>
      </c>
      <c r="I115" s="3" t="n">
        <v>63.2</v>
      </c>
      <c r="J115" s="3" t="n"/>
      <c r="K115" s="3" t="n"/>
      <c r="L115" s="3" t="n"/>
      <c r="M115" s="2" t="inlineStr">
        <is>
          <t>PriceCharting</t>
        </is>
      </c>
      <c r="N115" s="4" t="inlineStr">
        <is>
          <t>https://www.pricecharting.com/game/one-piece-learn-together-deck-set/sealed-learn-together-deck-set</t>
        </is>
      </c>
    </row>
    <row r="116">
      <c r="A116" s="2" t="inlineStr">
        <is>
          <t>Beginners Deck Party [ST-23] - [ST-28] Participation Pack</t>
        </is>
      </c>
      <c r="B116" s="3">
        <f>IF(I116&lt;&gt;"",I116,IF(J116&lt;&gt;"",J116,IF(K116&lt;&gt;"",K116,L116)))</f>
        <v>5.21</v>
      </c>
      <c r="C116" s="3">
        <f>MEDIAN(I116:L116)</f>
        <v>7.59</v>
      </c>
      <c r="D116" s="3">
        <f>ROUND(C116*(1-Settings!$B$2),2)</f>
        <v>5.31</v>
      </c>
      <c r="E116" s="3">
        <f>ROUND(C116*(1-Settings!$B$3),2)</f>
        <v>5.31</v>
      </c>
      <c r="F116" s="2" t="inlineStr">
        <is>
          <t>One Piece</t>
        </is>
      </c>
      <c r="G116" s="2" t="inlineStr">
        <is>
          <t>Deck</t>
        </is>
      </c>
      <c r="H116" s="2" t="inlineStr">
        <is>
          <t>One Piece Promotion Cards</t>
        </is>
      </c>
      <c r="I116" s="3" t="n"/>
      <c r="J116" s="3" t="n">
        <v>5.21</v>
      </c>
      <c r="K116" s="3" t="n"/>
      <c r="L116" s="3" t="n">
        <v>9.970000000000001</v>
      </c>
      <c r="M116" s="2" t="inlineStr">
        <is>
          <t>TCGplayer</t>
        </is>
      </c>
      <c r="O116" s="4" t="inlineStr">
        <is>
          <t>https://www.tcgplayer.com/product/636531</t>
        </is>
      </c>
    </row>
    <row r="117">
      <c r="A117" s="2" t="inlineStr">
        <is>
          <t>Beginners Deck Party [ST-23] - [ST-28] Winner Pack</t>
        </is>
      </c>
      <c r="B117" s="3">
        <f>IF(I117&lt;&gt;"",I117,IF(J117&lt;&gt;"",J117,IF(K117&lt;&gt;"",K117,L117)))</f>
        <v>148.73</v>
      </c>
      <c r="C117" s="3">
        <f>MEDIAN(I117:L117)</f>
        <v>224.365</v>
      </c>
      <c r="D117" s="3">
        <f>ROUND(C117*(1-Settings!$B$2),2)</f>
        <v>157.06</v>
      </c>
      <c r="E117" s="3">
        <f>ROUND(C117*(1-Settings!$B$3),2)</f>
        <v>157.06</v>
      </c>
      <c r="F117" s="2" t="inlineStr">
        <is>
          <t>One Piece</t>
        </is>
      </c>
      <c r="G117" s="2" t="inlineStr">
        <is>
          <t>Deck</t>
        </is>
      </c>
      <c r="H117" s="2" t="inlineStr">
        <is>
          <t>One Piece Promotion Cards</t>
        </is>
      </c>
      <c r="I117" s="3" t="n"/>
      <c r="J117" s="3" t="n">
        <v>148.73</v>
      </c>
      <c r="K117" s="3" t="n"/>
      <c r="L117" s="3" t="n">
        <v>300</v>
      </c>
      <c r="M117" s="2" t="inlineStr">
        <is>
          <t>TCGplayer</t>
        </is>
      </c>
      <c r="O117" s="4" t="inlineStr">
        <is>
          <t>https://www.tcgplayer.com/product/636532</t>
        </is>
      </c>
    </row>
    <row r="118">
      <c r="A118" s="2" t="inlineStr">
        <is>
          <t>Beginners Deck Party [ST-31] - [ST-36] Participation Pack</t>
        </is>
      </c>
      <c r="B118" s="3">
        <f>IF(I118&lt;&gt;"",I118,IF(J118&lt;&gt;"",J118,IF(K118&lt;&gt;"",K118,L118)))</f>
        <v>9.99</v>
      </c>
      <c r="C118" s="3">
        <f>MEDIAN(I118:L118)</f>
        <v>9.99</v>
      </c>
      <c r="D118" s="3">
        <f>ROUND(C118*(1-Settings!$B$2),2)</f>
        <v>6.99</v>
      </c>
      <c r="E118" s="3">
        <f>ROUND(C118*(1-Settings!$B$3),2)</f>
        <v>6.99</v>
      </c>
      <c r="F118" s="2" t="inlineStr">
        <is>
          <t>One Piece</t>
        </is>
      </c>
      <c r="G118" s="2" t="inlineStr">
        <is>
          <t>Deck</t>
        </is>
      </c>
      <c r="H118" s="2" t="inlineStr">
        <is>
          <t>One Piece Promotion Cards</t>
        </is>
      </c>
      <c r="I118" s="3" t="n"/>
      <c r="J118" s="3" t="n"/>
      <c r="K118" s="3" t="n"/>
      <c r="L118" s="3" t="n">
        <v>9.99</v>
      </c>
      <c r="M118" s="2" t="inlineStr">
        <is>
          <t>TCGplayer</t>
        </is>
      </c>
      <c r="O118" s="4" t="inlineStr">
        <is>
          <t>https://www.tcgplayer.com/product/722701</t>
        </is>
      </c>
    </row>
    <row r="119">
      <c r="A119" s="2" t="inlineStr">
        <is>
          <t>Beginners Deck Party [ST-31] - [ST-36] Winner Pack</t>
        </is>
      </c>
      <c r="B119" s="3">
        <f>IF(I119&lt;&gt;"",I119,IF(J119&lt;&gt;"",J119,IF(K119&lt;&gt;"",K119,L119)))</f>
        <v>30.0</v>
      </c>
      <c r="C119" s="3">
        <f>MEDIAN(I119:L119)</f>
        <v>30.0</v>
      </c>
      <c r="D119" s="3">
        <f>ROUND(C119*(1-Settings!$B$2),2)</f>
        <v>21.0</v>
      </c>
      <c r="E119" s="3">
        <f>ROUND(C119*(1-Settings!$B$3),2)</f>
        <v>21.0</v>
      </c>
      <c r="F119" s="2" t="inlineStr">
        <is>
          <t>One Piece</t>
        </is>
      </c>
      <c r="G119" s="2" t="inlineStr">
        <is>
          <t>Deck</t>
        </is>
      </c>
      <c r="H119" s="2" t="inlineStr">
        <is>
          <t>One Piece Promotion Cards</t>
        </is>
      </c>
      <c r="I119" s="3" t="n"/>
      <c r="J119" s="3" t="n"/>
      <c r="K119" s="3" t="n"/>
      <c r="L119" s="3" t="n">
        <v>30</v>
      </c>
      <c r="M119" s="2" t="inlineStr">
        <is>
          <t>TCGplayer</t>
        </is>
      </c>
      <c r="O119" s="4" t="inlineStr">
        <is>
          <t>https://www.tcgplayer.com/product/722702</t>
        </is>
      </c>
    </row>
    <row r="120">
      <c r="A120" s="2" t="inlineStr">
        <is>
          <t>Uta Deck Battle Participation Pack (8 Cards)</t>
        </is>
      </c>
      <c r="B120" s="3">
        <f>IF(I120&lt;&gt;"",I120,IF(J120&lt;&gt;"",J120,IF(K120&lt;&gt;"",K120,L120)))</f>
        <v>14.53</v>
      </c>
      <c r="C120" s="3">
        <f>MEDIAN(I120:L120)</f>
        <v>12.265</v>
      </c>
      <c r="D120" s="3">
        <f>ROUND(C120*(1-Settings!$B$2),2)</f>
        <v>8.59</v>
      </c>
      <c r="E120" s="3">
        <f>ROUND(C120*(1-Settings!$B$3),2)</f>
        <v>8.59</v>
      </c>
      <c r="F120" s="2" t="inlineStr">
        <is>
          <t>One Piece</t>
        </is>
      </c>
      <c r="G120" s="2" t="inlineStr">
        <is>
          <t>Deck</t>
        </is>
      </c>
      <c r="H120" s="2" t="inlineStr">
        <is>
          <t>One Piece Promotion Cards</t>
        </is>
      </c>
      <c r="I120" s="3" t="n"/>
      <c r="J120" s="3" t="n">
        <v>14.53</v>
      </c>
      <c r="K120" s="3" t="n"/>
      <c r="L120" s="3" t="n">
        <v>10</v>
      </c>
      <c r="M120" s="2" t="inlineStr">
        <is>
          <t>TCGplayer</t>
        </is>
      </c>
      <c r="O120" s="4" t="inlineStr">
        <is>
          <t>https://www.tcgplayer.com/product/546889</t>
        </is>
      </c>
    </row>
    <row r="121">
      <c r="A121" s="2" t="inlineStr">
        <is>
          <t>Set Sail Deck Set</t>
        </is>
      </c>
      <c r="B121" s="3">
        <f>IF(I121&lt;&gt;"",I121,IF(J121&lt;&gt;"",J121,IF(K121&lt;&gt;"",K121,L121)))</f>
        <v>22.27</v>
      </c>
      <c r="C121" s="3">
        <f>MEDIAN(I121:L121)</f>
        <v>21.13</v>
      </c>
      <c r="D121" s="3">
        <f>ROUND(C121*(1-Settings!$B$2),2)</f>
        <v>14.79</v>
      </c>
      <c r="E121" s="3">
        <f>ROUND(C121*(1-Settings!$B$3),2)</f>
        <v>14.79</v>
      </c>
      <c r="F121" s="2" t="inlineStr">
        <is>
          <t>One Piece</t>
        </is>
      </c>
      <c r="G121" s="2" t="inlineStr">
        <is>
          <t>Deck</t>
        </is>
      </c>
      <c r="H121" s="2" t="inlineStr">
        <is>
          <t>Set Sail Deck Set</t>
        </is>
      </c>
      <c r="I121" s="3" t="n"/>
      <c r="J121" s="3" t="n">
        <v>22.27</v>
      </c>
      <c r="K121" s="3" t="n"/>
      <c r="L121" s="3" t="n">
        <v>19.99</v>
      </c>
      <c r="M121" s="2" t="inlineStr">
        <is>
          <t>TCGplayer</t>
        </is>
      </c>
      <c r="O121" s="4" t="inlineStr">
        <is>
          <t>https://www.tcgplayer.com/product/694893</t>
        </is>
      </c>
    </row>
    <row r="122">
      <c r="A122" s="2" t="inlineStr">
        <is>
          <t>Starter Deck 1: Straw Hat Crew</t>
        </is>
      </c>
      <c r="B122" s="3">
        <f>IF(I122&lt;&gt;"",I122,IF(J122&lt;&gt;"",J122,IF(K122&lt;&gt;"",K122,L122)))</f>
        <v>55.25</v>
      </c>
      <c r="C122" s="3">
        <f>MEDIAN(I122:L122)</f>
        <v>52.625</v>
      </c>
      <c r="D122" s="3">
        <f>ROUND(C122*(1-Settings!$B$2),2)</f>
        <v>36.84</v>
      </c>
      <c r="E122" s="3">
        <f>ROUND(C122*(1-Settings!$B$3),2)</f>
        <v>36.84</v>
      </c>
      <c r="F122" s="2" t="inlineStr">
        <is>
          <t>One Piece</t>
        </is>
      </c>
      <c r="G122" s="2" t="inlineStr">
        <is>
          <t>Deck</t>
        </is>
      </c>
      <c r="H122" s="2" t="inlineStr">
        <is>
          <t>ST-01: Starter Deck 1 Straw Hat Crew</t>
        </is>
      </c>
      <c r="I122" s="3" t="n"/>
      <c r="J122" s="3" t="n">
        <v>55.25</v>
      </c>
      <c r="K122" s="3" t="n"/>
      <c r="L122" s="3" t="n">
        <v>50</v>
      </c>
      <c r="M122" s="2" t="inlineStr">
        <is>
          <t>TCGplayer</t>
        </is>
      </c>
      <c r="O122" s="4" t="inlineStr">
        <is>
          <t>https://www.tcgplayer.com/product/288221</t>
        </is>
      </c>
    </row>
    <row r="123">
      <c r="A123" s="2" t="inlineStr">
        <is>
          <t>Starter Decks 1-4 [Set of 4]</t>
        </is>
      </c>
      <c r="B123" s="3">
        <f>IF(I123&lt;&gt;"",I123,IF(J123&lt;&gt;"",J123,IF(K123&lt;&gt;"",K123,L123)))</f>
        <v>147.67</v>
      </c>
      <c r="C123" s="3">
        <f>MEDIAN(I123:L123)</f>
        <v>171.56</v>
      </c>
      <c r="D123" s="3">
        <f>ROUND(C123*(1-Settings!$B$2),2)</f>
        <v>120.09</v>
      </c>
      <c r="E123" s="3">
        <f>ROUND(C123*(1-Settings!$B$3),2)</f>
        <v>120.09</v>
      </c>
      <c r="F123" s="2" t="inlineStr">
        <is>
          <t>One Piece</t>
        </is>
      </c>
      <c r="G123" s="2" t="inlineStr">
        <is>
          <t>Deck</t>
        </is>
      </c>
      <c r="H123" s="2" t="inlineStr">
        <is>
          <t>ST-01: Starter Deck 1 Straw Hat Crew</t>
        </is>
      </c>
      <c r="I123" s="3" t="n"/>
      <c r="J123" s="3" t="n">
        <v>147.67</v>
      </c>
      <c r="K123" s="3" t="n"/>
      <c r="L123" s="3" t="n">
        <v>195.45</v>
      </c>
      <c r="M123" s="2" t="inlineStr">
        <is>
          <t>TCGplayer</t>
        </is>
      </c>
      <c r="O123" s="4" t="inlineStr">
        <is>
          <t>https://www.tcgplayer.com/product/288225</t>
        </is>
      </c>
    </row>
    <row r="124">
      <c r="A124" s="2" t="inlineStr">
        <is>
          <t>Super Pre-Release Starter Deck 1: Straw Hat Crew</t>
        </is>
      </c>
      <c r="B124" s="3">
        <f>IF(I124&lt;&gt;"",I124,IF(J124&lt;&gt;"",J124,IF(K124&lt;&gt;"",K124,L124)))</f>
        <v>2100.68</v>
      </c>
      <c r="C124" s="3">
        <f>MEDIAN(I124:L124)</f>
        <v>2300.34</v>
      </c>
      <c r="D124" s="3">
        <f>ROUND(C124*(1-Settings!$B$2),2)</f>
        <v>1610.24</v>
      </c>
      <c r="E124" s="3">
        <f>ROUND(C124*(1-Settings!$B$3),2)</f>
        <v>1610.24</v>
      </c>
      <c r="F124" s="2" t="inlineStr">
        <is>
          <t>One Piece</t>
        </is>
      </c>
      <c r="G124" s="2" t="inlineStr">
        <is>
          <t>Deck</t>
        </is>
      </c>
      <c r="H124" s="2" t="inlineStr">
        <is>
          <t>ST-01: Starter Deck 1 Straw Hat Crew (Super Pre-Release Edition)</t>
        </is>
      </c>
      <c r="I124" s="3" t="n"/>
      <c r="J124" s="3" t="n">
        <v>2100.68</v>
      </c>
      <c r="K124" s="3" t="n"/>
      <c r="L124" s="3" t="n">
        <v>2500</v>
      </c>
      <c r="M124" s="2" t="inlineStr">
        <is>
          <t>TCGplayer</t>
        </is>
      </c>
      <c r="O124" s="4" t="inlineStr">
        <is>
          <t>https://www.tcgplayer.com/product/409506</t>
        </is>
      </c>
    </row>
    <row r="125">
      <c r="A125" s="2" t="inlineStr">
        <is>
          <t>Super Pre-Release Starter Decks 1-4 [Set of 4]</t>
        </is>
      </c>
      <c r="B125" s="3">
        <f>IF(I125&lt;&gt;"",I125,IF(J125&lt;&gt;"",J125,IF(K125&lt;&gt;"",K125,L125)))</f>
        <v>2978.56</v>
      </c>
      <c r="C125" s="3">
        <f>MEDIAN(I125:L125)</f>
        <v>2739.2799999999997</v>
      </c>
      <c r="D125" s="3">
        <f>ROUND(C125*(1-Settings!$B$2),2)</f>
        <v>1917.5</v>
      </c>
      <c r="E125" s="3">
        <f>ROUND(C125*(1-Settings!$B$3),2)</f>
        <v>1917.5</v>
      </c>
      <c r="F125" s="2" t="inlineStr">
        <is>
          <t>One Piece</t>
        </is>
      </c>
      <c r="G125" s="2" t="inlineStr">
        <is>
          <t>Deck</t>
        </is>
      </c>
      <c r="H125" s="2" t="inlineStr">
        <is>
          <t>ST-01: Starter Deck 1 Straw Hat Crew (Super Pre-Release Edition)</t>
        </is>
      </c>
      <c r="I125" s="3" t="n"/>
      <c r="J125" s="3" t="n">
        <v>2978.56</v>
      </c>
      <c r="K125" s="3" t="n"/>
      <c r="L125" s="3" t="n">
        <v>2500</v>
      </c>
      <c r="M125" s="2" t="inlineStr">
        <is>
          <t>TCGplayer</t>
        </is>
      </c>
      <c r="O125" s="4" t="inlineStr">
        <is>
          <t>https://www.tcgplayer.com/product/411372</t>
        </is>
      </c>
    </row>
    <row r="126">
      <c r="A126" s="2" t="inlineStr">
        <is>
          <t>Starter Deck 2: Worst Generation</t>
        </is>
      </c>
      <c r="B126" s="3">
        <f>IF(I126&lt;&gt;"",I126,IF(J126&lt;&gt;"",J126,IF(K126&lt;&gt;"",K126,L126)))</f>
        <v>22.61</v>
      </c>
      <c r="C126" s="3">
        <f>MEDIAN(I126:L126)</f>
        <v>16.785</v>
      </c>
      <c r="D126" s="3">
        <f>ROUND(C126*(1-Settings!$B$2),2)</f>
        <v>11.75</v>
      </c>
      <c r="E126" s="3">
        <f>ROUND(C126*(1-Settings!$B$3),2)</f>
        <v>11.75</v>
      </c>
      <c r="F126" s="2" t="inlineStr">
        <is>
          <t>One Piece</t>
        </is>
      </c>
      <c r="G126" s="2" t="inlineStr">
        <is>
          <t>Deck</t>
        </is>
      </c>
      <c r="H126" s="2" t="inlineStr">
        <is>
          <t>ST-02: Starter Deck 2 Worst Generation</t>
        </is>
      </c>
      <c r="I126" s="3" t="n"/>
      <c r="J126" s="3" t="n">
        <v>22.61</v>
      </c>
      <c r="K126" s="3" t="n"/>
      <c r="L126" s="3" t="n">
        <v>10.96</v>
      </c>
      <c r="M126" s="2" t="inlineStr">
        <is>
          <t>TCGplayer</t>
        </is>
      </c>
      <c r="O126" s="4" t="inlineStr">
        <is>
          <t>https://www.tcgplayer.com/product/288226</t>
        </is>
      </c>
    </row>
    <row r="127">
      <c r="A127" s="2" t="inlineStr">
        <is>
          <t>Super Pre-Release Starter Deck 2: Worst Generation</t>
        </is>
      </c>
      <c r="B127" s="3">
        <f>IF(I127&lt;&gt;"",I127,IF(J127&lt;&gt;"",J127,IF(K127&lt;&gt;"",K127,L127)))</f>
        <v>341.72</v>
      </c>
      <c r="C127" s="3">
        <f>MEDIAN(I127:L127)</f>
        <v>483.36</v>
      </c>
      <c r="D127" s="3">
        <f>ROUND(C127*(1-Settings!$B$2),2)</f>
        <v>338.35</v>
      </c>
      <c r="E127" s="3">
        <f>ROUND(C127*(1-Settings!$B$3),2)</f>
        <v>338.35</v>
      </c>
      <c r="F127" s="2" t="inlineStr">
        <is>
          <t>One Piece</t>
        </is>
      </c>
      <c r="G127" s="2" t="inlineStr">
        <is>
          <t>Deck</t>
        </is>
      </c>
      <c r="H127" s="2" t="inlineStr">
        <is>
          <t>ST-02: Starter Deck 2 Worst Generation (Super Pre-Release Edition)</t>
        </is>
      </c>
      <c r="I127" s="3" t="n"/>
      <c r="J127" s="3" t="n">
        <v>341.72</v>
      </c>
      <c r="K127" s="3" t="n"/>
      <c r="L127" s="3" t="n">
        <v>625</v>
      </c>
      <c r="M127" s="2" t="inlineStr">
        <is>
          <t>TCGplayer</t>
        </is>
      </c>
      <c r="O127" s="4" t="inlineStr">
        <is>
          <t>https://www.tcgplayer.com/product/408197</t>
        </is>
      </c>
    </row>
    <row r="128">
      <c r="A128" s="2" t="inlineStr">
        <is>
          <t>Starter Deck 3: The Seven Warlords of The Sea</t>
        </is>
      </c>
      <c r="B128" s="3">
        <f>IF(I128&lt;&gt;"",I128,IF(J128&lt;&gt;"",J128,IF(K128&lt;&gt;"",K128,L128)))</f>
        <v>21.14</v>
      </c>
      <c r="C128" s="3">
        <f>MEDIAN(I128:L128)</f>
        <v>15.565000000000001</v>
      </c>
      <c r="D128" s="3">
        <f>ROUND(C128*(1-Settings!$B$2),2)</f>
        <v>10.9</v>
      </c>
      <c r="E128" s="3">
        <f>ROUND(C128*(1-Settings!$B$3),2)</f>
        <v>10.9</v>
      </c>
      <c r="F128" s="2" t="inlineStr">
        <is>
          <t>One Piece</t>
        </is>
      </c>
      <c r="G128" s="2" t="inlineStr">
        <is>
          <t>Deck</t>
        </is>
      </c>
      <c r="H128" s="2" t="inlineStr">
        <is>
          <t>ST-03: Starter Deck 3 The Seven Warlords of The Sea</t>
        </is>
      </c>
      <c r="I128" s="3" t="n"/>
      <c r="J128" s="3" t="n">
        <v>21.14</v>
      </c>
      <c r="K128" s="3" t="n"/>
      <c r="L128" s="3" t="n">
        <v>9.99</v>
      </c>
      <c r="M128" s="2" t="inlineStr">
        <is>
          <t>TCGplayer</t>
        </is>
      </c>
      <c r="O128" s="4" t="inlineStr">
        <is>
          <t>https://www.tcgplayer.com/product/288227</t>
        </is>
      </c>
    </row>
    <row r="129">
      <c r="A129" s="2" t="inlineStr">
        <is>
          <t>Super Pre-Release Starter Deck 3: The Seven Warlords of The Sea</t>
        </is>
      </c>
      <c r="B129" s="3">
        <f>IF(I129&lt;&gt;"",I129,IF(J129&lt;&gt;"",J129,IF(K129&lt;&gt;"",K129,L129)))</f>
        <v>361.58</v>
      </c>
      <c r="C129" s="3">
        <f>MEDIAN(I129:L129)</f>
        <v>505.78999999999996</v>
      </c>
      <c r="D129" s="3">
        <f>ROUND(C129*(1-Settings!$B$2),2)</f>
        <v>354.05</v>
      </c>
      <c r="E129" s="3">
        <f>ROUND(C129*(1-Settings!$B$3),2)</f>
        <v>354.05</v>
      </c>
      <c r="F129" s="2" t="inlineStr">
        <is>
          <t>One Piece</t>
        </is>
      </c>
      <c r="G129" s="2" t="inlineStr">
        <is>
          <t>Deck</t>
        </is>
      </c>
      <c r="H129" s="2" t="inlineStr">
        <is>
          <t>ST-03: Starter Deck 3 The Seven Warlords of The Sea (Super Pre-Release Edition)</t>
        </is>
      </c>
      <c r="I129" s="3" t="n"/>
      <c r="J129" s="3" t="n">
        <v>361.58</v>
      </c>
      <c r="K129" s="3" t="n"/>
      <c r="L129" s="3" t="n">
        <v>650</v>
      </c>
      <c r="M129" s="2" t="inlineStr">
        <is>
          <t>TCGplayer</t>
        </is>
      </c>
      <c r="O129" s="4" t="inlineStr">
        <is>
          <t>https://www.tcgplayer.com/product/411279</t>
        </is>
      </c>
    </row>
    <row r="130">
      <c r="A130" s="2" t="inlineStr">
        <is>
          <t>Starter Deck 4: Animal Kingdom Pirates</t>
        </is>
      </c>
      <c r="B130" s="3">
        <f>IF(I130&lt;&gt;"",I130,IF(J130&lt;&gt;"",J130,IF(K130&lt;&gt;"",K130,L130)))</f>
        <v>27.19</v>
      </c>
      <c r="C130" s="3">
        <f>MEDIAN(I130:L130)</f>
        <v>20.095</v>
      </c>
      <c r="D130" s="3">
        <f>ROUND(C130*(1-Settings!$B$2),2)</f>
        <v>14.07</v>
      </c>
      <c r="E130" s="3">
        <f>ROUND(C130*(1-Settings!$B$3),2)</f>
        <v>14.07</v>
      </c>
      <c r="F130" s="2" t="inlineStr">
        <is>
          <t>One Piece</t>
        </is>
      </c>
      <c r="G130" s="2" t="inlineStr">
        <is>
          <t>Deck</t>
        </is>
      </c>
      <c r="H130" s="2" t="inlineStr">
        <is>
          <t>ST-04: Starter Deck 4 Animal Kingdom Pirates</t>
        </is>
      </c>
      <c r="I130" s="3" t="n"/>
      <c r="J130" s="3" t="n">
        <v>27.19</v>
      </c>
      <c r="K130" s="3" t="n"/>
      <c r="L130" s="3" t="n">
        <v>13</v>
      </c>
      <c r="M130" s="2" t="inlineStr">
        <is>
          <t>TCGplayer</t>
        </is>
      </c>
      <c r="O130" s="4" t="inlineStr">
        <is>
          <t>https://www.tcgplayer.com/product/288224</t>
        </is>
      </c>
    </row>
    <row r="131">
      <c r="A131" s="2" t="inlineStr">
        <is>
          <t>Super Pre-Release Starter Deck 4: Animal Kingdom Pirates</t>
        </is>
      </c>
      <c r="B131" s="3">
        <f>IF(I131&lt;&gt;"",I131,IF(J131&lt;&gt;"",J131,IF(K131&lt;&gt;"",K131,L131)))</f>
        <v>319.2</v>
      </c>
      <c r="C131" s="3">
        <f>MEDIAN(I131:L131)</f>
        <v>379.6</v>
      </c>
      <c r="D131" s="3">
        <f>ROUND(C131*(1-Settings!$B$2),2)</f>
        <v>265.72</v>
      </c>
      <c r="E131" s="3">
        <f>ROUND(C131*(1-Settings!$B$3),2)</f>
        <v>265.72</v>
      </c>
      <c r="F131" s="2" t="inlineStr">
        <is>
          <t>One Piece</t>
        </is>
      </c>
      <c r="G131" s="2" t="inlineStr">
        <is>
          <t>Deck</t>
        </is>
      </c>
      <c r="H131" s="2" t="inlineStr">
        <is>
          <t>ST-04: Starter Deck 4 Animal Kingdom Pirates (Super Pre-Release Edition)</t>
        </is>
      </c>
      <c r="I131" s="3" t="n"/>
      <c r="J131" s="3" t="n">
        <v>319.2</v>
      </c>
      <c r="K131" s="3" t="n"/>
      <c r="L131" s="3" t="n">
        <v>440</v>
      </c>
      <c r="M131" s="2" t="inlineStr">
        <is>
          <t>TCGplayer</t>
        </is>
      </c>
      <c r="O131" s="4" t="inlineStr">
        <is>
          <t>https://www.tcgplayer.com/product/422137</t>
        </is>
      </c>
    </row>
    <row r="132">
      <c r="A132" s="2" t="inlineStr">
        <is>
          <t>Starter Deck 5: Film Edition</t>
        </is>
      </c>
      <c r="B132" s="3">
        <f>IF(I132&lt;&gt;"",I132,IF(J132&lt;&gt;"",J132,IF(K132&lt;&gt;"",K132,L132)))</f>
        <v>25.38</v>
      </c>
      <c r="C132" s="3">
        <f>MEDIAN(I132:L132)</f>
        <v>19.689999999999998</v>
      </c>
      <c r="D132" s="3">
        <f>ROUND(C132*(1-Settings!$B$2),2)</f>
        <v>13.78</v>
      </c>
      <c r="E132" s="3">
        <f>ROUND(C132*(1-Settings!$B$3),2)</f>
        <v>13.78</v>
      </c>
      <c r="F132" s="2" t="inlineStr">
        <is>
          <t>One Piece</t>
        </is>
      </c>
      <c r="G132" s="2" t="inlineStr">
        <is>
          <t>Deck</t>
        </is>
      </c>
      <c r="H132" s="2" t="inlineStr">
        <is>
          <t>ST-05: Starter Deck 5 Film Edition</t>
        </is>
      </c>
      <c r="I132" s="3" t="n"/>
      <c r="J132" s="3" t="n">
        <v>25.38</v>
      </c>
      <c r="K132" s="3" t="n"/>
      <c r="L132" s="3" t="n">
        <v>14</v>
      </c>
      <c r="M132" s="2" t="inlineStr">
        <is>
          <t>TCGplayer</t>
        </is>
      </c>
      <c r="O132" s="4" t="inlineStr">
        <is>
          <t>https://www.tcgplayer.com/product/455859</t>
        </is>
      </c>
    </row>
    <row r="133">
      <c r="A133" s="2" t="inlineStr">
        <is>
          <t>Starter Deck 6: Absolute Justice</t>
        </is>
      </c>
      <c r="B133" s="3">
        <f>IF(I133&lt;&gt;"",I133,IF(J133&lt;&gt;"",J133,IF(K133&lt;&gt;"",K133,L133)))</f>
        <v>21.91</v>
      </c>
      <c r="C133" s="3">
        <f>MEDIAN(I133:L133)</f>
        <v>16.71</v>
      </c>
      <c r="D133" s="3">
        <f>ROUND(C133*(1-Settings!$B$2),2)</f>
        <v>11.7</v>
      </c>
      <c r="E133" s="3">
        <f>ROUND(C133*(1-Settings!$B$3),2)</f>
        <v>11.7</v>
      </c>
      <c r="F133" s="2" t="inlineStr">
        <is>
          <t>One Piece</t>
        </is>
      </c>
      <c r="G133" s="2" t="inlineStr">
        <is>
          <t>Deck</t>
        </is>
      </c>
      <c r="H133" s="2" t="inlineStr">
        <is>
          <t>ST-06: Starter Deck 6 Absolute Justice</t>
        </is>
      </c>
      <c r="I133" s="3" t="n"/>
      <c r="J133" s="3" t="n">
        <v>21.91</v>
      </c>
      <c r="K133" s="3" t="n"/>
      <c r="L133" s="3" t="n">
        <v>11.51</v>
      </c>
      <c r="M133" s="2" t="inlineStr">
        <is>
          <t>TCGplayer</t>
        </is>
      </c>
      <c r="O133" s="4" t="inlineStr">
        <is>
          <t>https://www.tcgplayer.com/product/455868</t>
        </is>
      </c>
    </row>
    <row r="134">
      <c r="A134" s="2" t="inlineStr">
        <is>
          <t>Starter Deck 7: Big Mom Pirates</t>
        </is>
      </c>
      <c r="B134" s="3">
        <f>IF(I134&lt;&gt;"",I134,IF(J134&lt;&gt;"",J134,IF(K134&lt;&gt;"",K134,L134)))</f>
        <v>39.06</v>
      </c>
      <c r="C134" s="3">
        <f>MEDIAN(I134:L134)</f>
        <v>36.275000000000006</v>
      </c>
      <c r="D134" s="3">
        <f>ROUND(C134*(1-Settings!$B$2),2)</f>
        <v>25.39</v>
      </c>
      <c r="E134" s="3">
        <f>ROUND(C134*(1-Settings!$B$3),2)</f>
        <v>25.39</v>
      </c>
      <c r="F134" s="2" t="inlineStr">
        <is>
          <t>One Piece</t>
        </is>
      </c>
      <c r="G134" s="2" t="inlineStr">
        <is>
          <t>Deck</t>
        </is>
      </c>
      <c r="H134" s="2" t="inlineStr">
        <is>
          <t>ST-07: Starter Deck 7 Big Mom Pirates</t>
        </is>
      </c>
      <c r="I134" s="3" t="n"/>
      <c r="J134" s="3" t="n">
        <v>39.06</v>
      </c>
      <c r="K134" s="3" t="n"/>
      <c r="L134" s="3" t="n">
        <v>33.49</v>
      </c>
      <c r="M134" s="2" t="inlineStr">
        <is>
          <t>TCGplayer</t>
        </is>
      </c>
      <c r="O134" s="4" t="inlineStr">
        <is>
          <t>https://www.tcgplayer.com/product/480236</t>
        </is>
      </c>
    </row>
    <row r="135">
      <c r="A135" s="2" t="inlineStr">
        <is>
          <t>Starter Deck 8: Monkey.D.Luffy</t>
        </is>
      </c>
      <c r="B135" s="3">
        <f>IF(I135&lt;&gt;"",I135,IF(J135&lt;&gt;"",J135,IF(K135&lt;&gt;"",K135,L135)))</f>
        <v>19.42</v>
      </c>
      <c r="C135" s="3">
        <f>MEDIAN(I135:L135)</f>
        <v>14.21</v>
      </c>
      <c r="D135" s="3">
        <f>ROUND(C135*(1-Settings!$B$2),2)</f>
        <v>9.95</v>
      </c>
      <c r="E135" s="3">
        <f>ROUND(C135*(1-Settings!$B$3),2)</f>
        <v>9.95</v>
      </c>
      <c r="F135" s="2" t="inlineStr">
        <is>
          <t>One Piece</t>
        </is>
      </c>
      <c r="G135" s="2" t="inlineStr">
        <is>
          <t>Deck</t>
        </is>
      </c>
      <c r="H135" s="2" t="inlineStr">
        <is>
          <t>ST-08: Starter Deck 8 Monkey.D.Luffy</t>
        </is>
      </c>
      <c r="I135" s="3" t="n"/>
      <c r="J135" s="3" t="n">
        <v>19.42</v>
      </c>
      <c r="K135" s="3" t="n"/>
      <c r="L135" s="3" t="n">
        <v>9</v>
      </c>
      <c r="M135" s="2" t="inlineStr">
        <is>
          <t>TCGplayer</t>
        </is>
      </c>
      <c r="O135" s="4" t="inlineStr">
        <is>
          <t>https://www.tcgplayer.com/product/502975</t>
        </is>
      </c>
    </row>
    <row r="136">
      <c r="A136" s="2" t="inlineStr">
        <is>
          <t>Starter Deck 9: Yamato</t>
        </is>
      </c>
      <c r="B136" s="3">
        <f>IF(I136&lt;&gt;"",I136,IF(J136&lt;&gt;"",J136,IF(K136&lt;&gt;"",K136,L136)))</f>
        <v>18.03</v>
      </c>
      <c r="C136" s="3">
        <f>MEDIAN(I136:L136)</f>
        <v>14.015</v>
      </c>
      <c r="D136" s="3">
        <f>ROUND(C136*(1-Settings!$B$2),2)</f>
        <v>9.81</v>
      </c>
      <c r="E136" s="3">
        <f>ROUND(C136*(1-Settings!$B$3),2)</f>
        <v>9.81</v>
      </c>
      <c r="F136" s="2" t="inlineStr">
        <is>
          <t>One Piece</t>
        </is>
      </c>
      <c r="G136" s="2" t="inlineStr">
        <is>
          <t>Deck</t>
        </is>
      </c>
      <c r="H136" s="2" t="inlineStr">
        <is>
          <t>ST-09: Starter Deck 9 Yamato</t>
        </is>
      </c>
      <c r="I136" s="3" t="n"/>
      <c r="J136" s="3" t="n">
        <v>18.03</v>
      </c>
      <c r="K136" s="3" t="n"/>
      <c r="L136" s="3" t="n">
        <v>10</v>
      </c>
      <c r="M136" s="2" t="inlineStr">
        <is>
          <t>TCGplayer</t>
        </is>
      </c>
      <c r="O136" s="4" t="inlineStr">
        <is>
          <t>https://www.tcgplayer.com/product/502978</t>
        </is>
      </c>
    </row>
    <row r="137">
      <c r="A137" s="2" t="inlineStr">
        <is>
          <t>Ultra Deck: The Three Captains</t>
        </is>
      </c>
      <c r="B137" s="3">
        <f>IF(I137&lt;&gt;"",I137,IF(J137&lt;&gt;"",J137,IF(K137&lt;&gt;"",K137,L137)))</f>
        <v>96.79</v>
      </c>
      <c r="C137" s="3">
        <f>MEDIAN(I137:L137)</f>
        <v>88.39500000000001</v>
      </c>
      <c r="D137" s="3">
        <f>ROUND(C137*(1-Settings!$B$2),2)</f>
        <v>61.88</v>
      </c>
      <c r="E137" s="3">
        <f>ROUND(C137*(1-Settings!$B$3),2)</f>
        <v>61.88</v>
      </c>
      <c r="F137" s="2" t="inlineStr">
        <is>
          <t>One Piece</t>
        </is>
      </c>
      <c r="G137" s="2" t="inlineStr">
        <is>
          <t>Deck</t>
        </is>
      </c>
      <c r="H137" s="2" t="inlineStr">
        <is>
          <t>ST-10: Ultra Deck The Three Captains</t>
        </is>
      </c>
      <c r="I137" s="3" t="n"/>
      <c r="J137" s="3" t="n">
        <v>96.79000000000001</v>
      </c>
      <c r="K137" s="3" t="n"/>
      <c r="L137" s="3" t="n">
        <v>80</v>
      </c>
      <c r="M137" s="2" t="inlineStr">
        <is>
          <t>TCGplayer</t>
        </is>
      </c>
      <c r="O137" s="4" t="inlineStr">
        <is>
          <t>https://www.tcgplayer.com/product/502982</t>
        </is>
      </c>
    </row>
    <row r="138">
      <c r="A138" s="2" t="inlineStr">
        <is>
          <t>Starter Deck 11: Uta</t>
        </is>
      </c>
      <c r="B138" s="3">
        <f>IF(I138&lt;&gt;"",I138,IF(J138&lt;&gt;"",J138,IF(K138&lt;&gt;"",K138,L138)))</f>
        <v>19.41</v>
      </c>
      <c r="C138" s="3">
        <f>MEDIAN(I138:L138)</f>
        <v>15.705</v>
      </c>
      <c r="D138" s="3">
        <f>ROUND(C138*(1-Settings!$B$2),2)</f>
        <v>10.99</v>
      </c>
      <c r="E138" s="3">
        <f>ROUND(C138*(1-Settings!$B$3),2)</f>
        <v>10.99</v>
      </c>
      <c r="F138" s="2" t="inlineStr">
        <is>
          <t>One Piece</t>
        </is>
      </c>
      <c r="G138" s="2" t="inlineStr">
        <is>
          <t>Deck</t>
        </is>
      </c>
      <c r="H138" s="2" t="inlineStr">
        <is>
          <t>ST-11: Starter Deck 11 Uta</t>
        </is>
      </c>
      <c r="I138" s="3" t="n"/>
      <c r="J138" s="3" t="n">
        <v>19.41</v>
      </c>
      <c r="K138" s="3" t="n"/>
      <c r="L138" s="3" t="n">
        <v>12</v>
      </c>
      <c r="M138" s="2" t="inlineStr">
        <is>
          <t>TCGplayer</t>
        </is>
      </c>
      <c r="O138" s="4" t="inlineStr">
        <is>
          <t>https://www.tcgplayer.com/product/515294</t>
        </is>
      </c>
    </row>
    <row r="139">
      <c r="A139" s="2" t="inlineStr">
        <is>
          <t>Starter Deck 12: Zoro and Sanji</t>
        </is>
      </c>
      <c r="B139" s="3">
        <f>IF(I139&lt;&gt;"",I139,IF(J139&lt;&gt;"",J139,IF(K139&lt;&gt;"",K139,L139)))</f>
        <v>46.56</v>
      </c>
      <c r="C139" s="3">
        <f>MEDIAN(I139:L139)</f>
        <v>43.5</v>
      </c>
      <c r="D139" s="3">
        <f>ROUND(C139*(1-Settings!$B$2),2)</f>
        <v>30.45</v>
      </c>
      <c r="E139" s="3">
        <f>ROUND(C139*(1-Settings!$B$3),2)</f>
        <v>30.45</v>
      </c>
      <c r="F139" s="2" t="inlineStr">
        <is>
          <t>One Piece</t>
        </is>
      </c>
      <c r="G139" s="2" t="inlineStr">
        <is>
          <t>Deck</t>
        </is>
      </c>
      <c r="H139" s="2" t="inlineStr">
        <is>
          <t>ST-12: Starter Deck 12 Zoro and Sanji</t>
        </is>
      </c>
      <c r="I139" s="3" t="n"/>
      <c r="J139" s="3" t="n">
        <v>46.56</v>
      </c>
      <c r="K139" s="3" t="n"/>
      <c r="L139" s="3" t="n">
        <v>40.44</v>
      </c>
      <c r="M139" s="2" t="inlineStr">
        <is>
          <t>TCGplayer</t>
        </is>
      </c>
      <c r="O139" s="4" t="inlineStr">
        <is>
          <t>https://www.tcgplayer.com/product/536585</t>
        </is>
      </c>
    </row>
    <row r="140">
      <c r="A140" s="2" t="inlineStr">
        <is>
          <t>Ultra Deck: The Three Brothers</t>
        </is>
      </c>
      <c r="B140" s="3">
        <f>IF(I140&lt;&gt;"",I140,IF(J140&lt;&gt;"",J140,IF(K140&lt;&gt;"",K140,L140)))</f>
        <v>71.01</v>
      </c>
      <c r="C140" s="3">
        <f>MEDIAN(I140:L140)</f>
        <v>43.0</v>
      </c>
      <c r="D140" s="3">
        <f>ROUND(C140*(1-Settings!$B$2),2)</f>
        <v>30.1</v>
      </c>
      <c r="E140" s="3">
        <f>ROUND(C140*(1-Settings!$B$3),2)</f>
        <v>30.1</v>
      </c>
      <c r="F140" s="2" t="inlineStr">
        <is>
          <t>One Piece</t>
        </is>
      </c>
      <c r="G140" s="2" t="inlineStr">
        <is>
          <t>Deck</t>
        </is>
      </c>
      <c r="H140" s="2" t="inlineStr">
        <is>
          <t>ST-13: Ultra Deck The Three Brothers</t>
        </is>
      </c>
      <c r="I140" s="3" t="n"/>
      <c r="J140" s="3" t="n">
        <v>71.01000000000001</v>
      </c>
      <c r="K140" s="3" t="n"/>
      <c r="L140" s="3" t="n">
        <v>14.99</v>
      </c>
      <c r="M140" s="2" t="inlineStr">
        <is>
          <t>TCGplayer</t>
        </is>
      </c>
      <c r="O140" s="4" t="inlineStr">
        <is>
          <t>https://www.tcgplayer.com/product/543595</t>
        </is>
      </c>
    </row>
    <row r="141">
      <c r="A141" s="2" t="inlineStr">
        <is>
          <t>Starter Deck 14: 3D2Y</t>
        </is>
      </c>
      <c r="B141" s="3">
        <f>IF(I141&lt;&gt;"",I141,IF(J141&lt;&gt;"",J141,IF(K141&lt;&gt;"",K141,L141)))</f>
        <v>23.2</v>
      </c>
      <c r="C141" s="3">
        <f>MEDIAN(I141:L141)</f>
        <v>19.345</v>
      </c>
      <c r="D141" s="3">
        <f>ROUND(C141*(1-Settings!$B$2),2)</f>
        <v>13.54</v>
      </c>
      <c r="E141" s="3">
        <f>ROUND(C141*(1-Settings!$B$3),2)</f>
        <v>13.54</v>
      </c>
      <c r="F141" s="2" t="inlineStr">
        <is>
          <t>One Piece</t>
        </is>
      </c>
      <c r="G141" s="2" t="inlineStr">
        <is>
          <t>Deck</t>
        </is>
      </c>
      <c r="H141" s="2" t="inlineStr">
        <is>
          <t>ST-14: Starter Deck 14 3D2Y</t>
        </is>
      </c>
      <c r="I141" s="3" t="n"/>
      <c r="J141" s="3" t="n">
        <v>23.2</v>
      </c>
      <c r="K141" s="3" t="n"/>
      <c r="L141" s="3" t="n">
        <v>15.49</v>
      </c>
      <c r="M141" s="2" t="inlineStr">
        <is>
          <t>TCGplayer</t>
        </is>
      </c>
      <c r="O141" s="4" t="inlineStr">
        <is>
          <t>https://www.tcgplayer.com/product/545026</t>
        </is>
      </c>
    </row>
    <row r="142">
      <c r="A142" s="2" t="inlineStr">
        <is>
          <t>Starter Deck 15: RED Edward.Newgate</t>
        </is>
      </c>
      <c r="B142" s="3">
        <f>IF(I142&lt;&gt;"",I142,IF(J142&lt;&gt;"",J142,IF(K142&lt;&gt;"",K142,L142)))</f>
        <v>59.01</v>
      </c>
      <c r="C142" s="3">
        <f>MEDIAN(I142:L142)</f>
        <v>38.129999999999995</v>
      </c>
      <c r="D142" s="3">
        <f>ROUND(C142*(1-Settings!$B$2),2)</f>
        <v>26.69</v>
      </c>
      <c r="E142" s="3">
        <f>ROUND(C142*(1-Settings!$B$3),2)</f>
        <v>26.69</v>
      </c>
      <c r="F142" s="2" t="inlineStr">
        <is>
          <t>One Piece</t>
        </is>
      </c>
      <c r="G142" s="2" t="inlineStr">
        <is>
          <t>Deck</t>
        </is>
      </c>
      <c r="H142" s="2" t="inlineStr">
        <is>
          <t>ST-15: Starter Deck 15 RED Edward.Newgate</t>
        </is>
      </c>
      <c r="I142" s="3" t="n"/>
      <c r="J142" s="3" t="n">
        <v>59.01</v>
      </c>
      <c r="K142" s="3" t="n"/>
      <c r="L142" s="3" t="n">
        <v>17.25</v>
      </c>
      <c r="M142" s="2" t="inlineStr">
        <is>
          <t>TCGplayer</t>
        </is>
      </c>
      <c r="O142" s="4" t="inlineStr">
        <is>
          <t>https://www.tcgplayer.com/product/545033</t>
        </is>
      </c>
    </row>
    <row r="143">
      <c r="A143" s="2" t="inlineStr">
        <is>
          <t>Starter Decks 15-20 [Set of 6]</t>
        </is>
      </c>
      <c r="B143" s="3">
        <f>IF(I143&lt;&gt;"",I143,IF(J143&lt;&gt;"",J143,IF(K143&lt;&gt;"",K143,L143)))</f>
        <v>200.0</v>
      </c>
      <c r="C143" s="3">
        <f>MEDIAN(I143:L143)</f>
        <v>200.0</v>
      </c>
      <c r="D143" s="3">
        <f>ROUND(C143*(1-Settings!$B$2),2)</f>
        <v>140.0</v>
      </c>
      <c r="E143" s="3">
        <f>ROUND(C143*(1-Settings!$B$3),2)</f>
        <v>140.0</v>
      </c>
      <c r="F143" s="2" t="inlineStr">
        <is>
          <t>One Piece</t>
        </is>
      </c>
      <c r="G143" s="2" t="inlineStr">
        <is>
          <t>Deck</t>
        </is>
      </c>
      <c r="H143" s="2" t="inlineStr">
        <is>
          <t>ST-15: Starter Deck 15 RED Edward.Newgate</t>
        </is>
      </c>
      <c r="I143" s="3" t="n"/>
      <c r="J143" s="3" t="n"/>
      <c r="K143" s="3" t="n"/>
      <c r="L143" s="3" t="n">
        <v>200</v>
      </c>
      <c r="M143" s="2" t="inlineStr">
        <is>
          <t>TCGplayer</t>
        </is>
      </c>
      <c r="O143" s="4" t="inlineStr">
        <is>
          <t>https://www.tcgplayer.com/product/594381</t>
        </is>
      </c>
    </row>
    <row r="144">
      <c r="A144" s="2" t="inlineStr">
        <is>
          <t>Starter Deck 16: GREEN Uta</t>
        </is>
      </c>
      <c r="B144" s="3">
        <f>IF(I144&lt;&gt;"",I144,IF(J144&lt;&gt;"",J144,IF(K144&lt;&gt;"",K144,L144)))</f>
        <v>58.99</v>
      </c>
      <c r="C144" s="3">
        <f>MEDIAN(I144:L144)</f>
        <v>41.99</v>
      </c>
      <c r="D144" s="3">
        <f>ROUND(C144*(1-Settings!$B$2),2)</f>
        <v>29.39</v>
      </c>
      <c r="E144" s="3">
        <f>ROUND(C144*(1-Settings!$B$3),2)</f>
        <v>29.39</v>
      </c>
      <c r="F144" s="2" t="inlineStr">
        <is>
          <t>One Piece</t>
        </is>
      </c>
      <c r="G144" s="2" t="inlineStr">
        <is>
          <t>Deck</t>
        </is>
      </c>
      <c r="H144" s="2" t="inlineStr">
        <is>
          <t>ST-16: Starter Deck 16 GREEN Uta</t>
        </is>
      </c>
      <c r="I144" s="3" t="n"/>
      <c r="J144" s="3" t="n">
        <v>58.99</v>
      </c>
      <c r="K144" s="3" t="n"/>
      <c r="L144" s="3" t="n">
        <v>24.99</v>
      </c>
      <c r="M144" s="2" t="inlineStr">
        <is>
          <t>TCGplayer</t>
        </is>
      </c>
      <c r="O144" s="4" t="inlineStr">
        <is>
          <t>https://www.tcgplayer.com/product/545036</t>
        </is>
      </c>
    </row>
    <row r="145">
      <c r="A145" s="2" t="inlineStr">
        <is>
          <t>Starter Deck 17: BLUE Donquixote Doflamingo</t>
        </is>
      </c>
      <c r="B145" s="3">
        <f>IF(I145&lt;&gt;"",I145,IF(J145&lt;&gt;"",J145,IF(K145&lt;&gt;"",K145,L145)))</f>
        <v>81.07</v>
      </c>
      <c r="C145" s="3">
        <f>MEDIAN(I145:L145)</f>
        <v>55.535</v>
      </c>
      <c r="D145" s="3">
        <f>ROUND(C145*(1-Settings!$B$2),2)</f>
        <v>38.87</v>
      </c>
      <c r="E145" s="3">
        <f>ROUND(C145*(1-Settings!$B$3),2)</f>
        <v>38.87</v>
      </c>
      <c r="F145" s="2" t="inlineStr">
        <is>
          <t>One Piece</t>
        </is>
      </c>
      <c r="G145" s="2" t="inlineStr">
        <is>
          <t>Deck</t>
        </is>
      </c>
      <c r="H145" s="2" t="inlineStr">
        <is>
          <t>ST-17: Starter Deck 17 BLUE Donquixote Doflamingo</t>
        </is>
      </c>
      <c r="I145" s="3" t="n"/>
      <c r="J145" s="3" t="n">
        <v>81.06999999999999</v>
      </c>
      <c r="K145" s="3" t="n"/>
      <c r="L145" s="3" t="n">
        <v>30</v>
      </c>
      <c r="M145" s="2" t="inlineStr">
        <is>
          <t>TCGplayer</t>
        </is>
      </c>
      <c r="O145" s="4" t="inlineStr">
        <is>
          <t>https://www.tcgplayer.com/product/545039</t>
        </is>
      </c>
    </row>
    <row r="146">
      <c r="A146" s="2" t="inlineStr">
        <is>
          <t>Starter Deck 18: PURPLE Monkey.D.Luffy</t>
        </is>
      </c>
      <c r="B146" s="3">
        <f>IF(I146&lt;&gt;"",I146,IF(J146&lt;&gt;"",J146,IF(K146&lt;&gt;"",K146,L146)))</f>
        <v>162.12</v>
      </c>
      <c r="C146" s="3">
        <f>MEDIAN(I146:L146)</f>
        <v>108.31</v>
      </c>
      <c r="D146" s="3">
        <f>ROUND(C146*(1-Settings!$B$2),2)</f>
        <v>75.82</v>
      </c>
      <c r="E146" s="3">
        <f>ROUND(C146*(1-Settings!$B$3),2)</f>
        <v>75.82</v>
      </c>
      <c r="F146" s="2" t="inlineStr">
        <is>
          <t>One Piece</t>
        </is>
      </c>
      <c r="G146" s="2" t="inlineStr">
        <is>
          <t>Deck</t>
        </is>
      </c>
      <c r="H146" s="2" t="inlineStr">
        <is>
          <t>ST-18: Starter Deck 18 PURPLE Monkey.D.Luffy</t>
        </is>
      </c>
      <c r="I146" s="3" t="n"/>
      <c r="J146" s="3" t="n">
        <v>162.12</v>
      </c>
      <c r="K146" s="3" t="n"/>
      <c r="L146" s="3" t="n">
        <v>54.5</v>
      </c>
      <c r="M146" s="2" t="inlineStr">
        <is>
          <t>TCGplayer</t>
        </is>
      </c>
      <c r="O146" s="4" t="inlineStr">
        <is>
          <t>https://www.tcgplayer.com/product/545042</t>
        </is>
      </c>
    </row>
    <row r="147">
      <c r="A147" s="2" t="inlineStr">
        <is>
          <t>Starter Deck 19: BLACK Smoker</t>
        </is>
      </c>
      <c r="B147" s="3">
        <f>IF(I147&lt;&gt;"",I147,IF(J147&lt;&gt;"",J147,IF(K147&lt;&gt;"",K147,L147)))</f>
        <v>55.55</v>
      </c>
      <c r="C147" s="3">
        <f>MEDIAN(I147:L147)</f>
        <v>32.775</v>
      </c>
      <c r="D147" s="3">
        <f>ROUND(C147*(1-Settings!$B$2),2)</f>
        <v>22.94</v>
      </c>
      <c r="E147" s="3">
        <f>ROUND(C147*(1-Settings!$B$3),2)</f>
        <v>22.94</v>
      </c>
      <c r="F147" s="2" t="inlineStr">
        <is>
          <t>One Piece</t>
        </is>
      </c>
      <c r="G147" s="2" t="inlineStr">
        <is>
          <t>Deck</t>
        </is>
      </c>
      <c r="H147" s="2" t="inlineStr">
        <is>
          <t>ST-19: Starter Deck 19 BLACK Smoker</t>
        </is>
      </c>
      <c r="I147" s="3" t="n"/>
      <c r="J147" s="3" t="n">
        <v>55.55</v>
      </c>
      <c r="K147" s="3" t="n"/>
      <c r="L147" s="3" t="n">
        <v>10</v>
      </c>
      <c r="M147" s="2" t="inlineStr">
        <is>
          <t>TCGplayer</t>
        </is>
      </c>
      <c r="O147" s="4" t="inlineStr">
        <is>
          <t>https://www.tcgplayer.com/product/545045</t>
        </is>
      </c>
    </row>
    <row r="148">
      <c r="A148" s="2" t="inlineStr">
        <is>
          <t>Starter Deck 20: YELLOW Charlotte Katakuri</t>
        </is>
      </c>
      <c r="B148" s="3">
        <f>IF(I148&lt;&gt;"",I148,IF(J148&lt;&gt;"",J148,IF(K148&lt;&gt;"",K148,L148)))</f>
        <v>53.28</v>
      </c>
      <c r="C148" s="3">
        <f>MEDIAN(I148:L148)</f>
        <v>31.135</v>
      </c>
      <c r="D148" s="3">
        <f>ROUND(C148*(1-Settings!$B$2),2)</f>
        <v>21.79</v>
      </c>
      <c r="E148" s="3">
        <f>ROUND(C148*(1-Settings!$B$3),2)</f>
        <v>21.79</v>
      </c>
      <c r="F148" s="2" t="inlineStr">
        <is>
          <t>One Piece</t>
        </is>
      </c>
      <c r="G148" s="2" t="inlineStr">
        <is>
          <t>Deck</t>
        </is>
      </c>
      <c r="H148" s="2" t="inlineStr">
        <is>
          <t>ST-20: Starter Deck 20 YELLOW Charlotte Katakuri</t>
        </is>
      </c>
      <c r="I148" s="3" t="n"/>
      <c r="J148" s="3" t="n">
        <v>53.28</v>
      </c>
      <c r="K148" s="3" t="n"/>
      <c r="L148" s="3" t="n">
        <v>8.99</v>
      </c>
      <c r="M148" s="2" t="inlineStr">
        <is>
          <t>TCGplayer</t>
        </is>
      </c>
      <c r="O148" s="4" t="inlineStr">
        <is>
          <t>https://www.tcgplayer.com/product/545048</t>
        </is>
      </c>
    </row>
    <row r="149">
      <c r="A149" s="2" t="inlineStr">
        <is>
          <t>Starter Deck EX: Gear 5</t>
        </is>
      </c>
      <c r="B149" s="3">
        <f>IF(I149&lt;&gt;"",I149,IF(J149&lt;&gt;"",J149,IF(K149&lt;&gt;"",K149,L149)))</f>
        <v>72.46</v>
      </c>
      <c r="C149" s="3">
        <f>MEDIAN(I149:L149)</f>
        <v>68.235</v>
      </c>
      <c r="D149" s="3">
        <f>ROUND(C149*(1-Settings!$B$2),2)</f>
        <v>47.76</v>
      </c>
      <c r="E149" s="3">
        <f>ROUND(C149*(1-Settings!$B$3),2)</f>
        <v>47.76</v>
      </c>
      <c r="F149" s="2" t="inlineStr">
        <is>
          <t>One Piece</t>
        </is>
      </c>
      <c r="G149" s="2" t="inlineStr">
        <is>
          <t>Deck</t>
        </is>
      </c>
      <c r="H149" s="2" t="inlineStr">
        <is>
          <t>ST-21: Starter Deck 21 EX Gear 5</t>
        </is>
      </c>
      <c r="I149" s="3" t="n"/>
      <c r="J149" s="3" t="n">
        <v>72.45999999999999</v>
      </c>
      <c r="K149" s="3" t="n"/>
      <c r="L149" s="3" t="n">
        <v>64.01000000000001</v>
      </c>
      <c r="M149" s="2" t="inlineStr">
        <is>
          <t>TCGplayer</t>
        </is>
      </c>
      <c r="O149" s="4" t="inlineStr">
        <is>
          <t>https://www.tcgplayer.com/product/606575</t>
        </is>
      </c>
    </row>
    <row r="150">
      <c r="A150" s="2" t="inlineStr">
        <is>
          <t>Starter Deck EX: Gear 5 Bonus Pack</t>
        </is>
      </c>
      <c r="B150" s="3">
        <f>IF(I150&lt;&gt;"",I150,IF(J150&lt;&gt;"",J150,IF(K150&lt;&gt;"",K150,L150)))</f>
        <v>59.41</v>
      </c>
      <c r="C150" s="3">
        <f>MEDIAN(I150:L150)</f>
        <v>71.58500000000001</v>
      </c>
      <c r="D150" s="3">
        <f>ROUND(C150*(1-Settings!$B$2),2)</f>
        <v>50.11</v>
      </c>
      <c r="E150" s="3">
        <f>ROUND(C150*(1-Settings!$B$3),2)</f>
        <v>50.11</v>
      </c>
      <c r="F150" s="2" t="inlineStr">
        <is>
          <t>One Piece</t>
        </is>
      </c>
      <c r="G150" s="2" t="inlineStr">
        <is>
          <t>Deck</t>
        </is>
      </c>
      <c r="H150" s="2" t="inlineStr">
        <is>
          <t>ST-21: Starter Deck 21 EX Gear 5</t>
        </is>
      </c>
      <c r="I150" s="3" t="n"/>
      <c r="J150" s="3" t="n">
        <v>59.41</v>
      </c>
      <c r="K150" s="3" t="n"/>
      <c r="L150" s="3" t="n">
        <v>83.76000000000001</v>
      </c>
      <c r="M150" s="2" t="inlineStr">
        <is>
          <t>TCGplayer</t>
        </is>
      </c>
      <c r="O150" s="4" t="inlineStr">
        <is>
          <t>https://www.tcgplayer.com/product/628485</t>
        </is>
      </c>
    </row>
    <row r="151">
      <c r="A151" s="2" t="inlineStr">
        <is>
          <t>Starter Deck 22: Ace &amp; Newgate</t>
        </is>
      </c>
      <c r="B151" s="3">
        <f>IF(I151&lt;&gt;"",I151,IF(J151&lt;&gt;"",J151,IF(K151&lt;&gt;"",K151,L151)))</f>
        <v>22.71</v>
      </c>
      <c r="C151" s="3">
        <f>MEDIAN(I151:L151)</f>
        <v>16.85</v>
      </c>
      <c r="D151" s="3">
        <f>ROUND(C151*(1-Settings!$B$2),2)</f>
        <v>11.8</v>
      </c>
      <c r="E151" s="3">
        <f>ROUND(C151*(1-Settings!$B$3),2)</f>
        <v>11.8</v>
      </c>
      <c r="F151" s="2" t="inlineStr">
        <is>
          <t>One Piece</t>
        </is>
      </c>
      <c r="G151" s="2" t="inlineStr">
        <is>
          <t>Deck</t>
        </is>
      </c>
      <c r="H151" s="2" t="inlineStr">
        <is>
          <t>ST-22: Starter Deck 22 Ace &amp; Newgate</t>
        </is>
      </c>
      <c r="I151" s="3" t="n"/>
      <c r="J151" s="3" t="n">
        <v>22.71</v>
      </c>
      <c r="K151" s="3" t="n"/>
      <c r="L151" s="3" t="n">
        <v>10.99</v>
      </c>
      <c r="M151" s="2" t="inlineStr">
        <is>
          <t>TCGplayer</t>
        </is>
      </c>
      <c r="O151" s="4" t="inlineStr">
        <is>
          <t>https://www.tcgplayer.com/product/628448</t>
        </is>
      </c>
    </row>
    <row r="152">
      <c r="A152" s="2" t="inlineStr">
        <is>
          <t>Starter Deck 23: RED Shanks</t>
        </is>
      </c>
      <c r="B152" s="3">
        <f>IF(I152&lt;&gt;"",I152,IF(J152&lt;&gt;"",J152,IF(K152&lt;&gt;"",K152,L152)))</f>
        <v>52.03</v>
      </c>
      <c r="C152" s="3">
        <f>MEDIAN(I152:L152)</f>
        <v>43.765</v>
      </c>
      <c r="D152" s="3">
        <f>ROUND(C152*(1-Settings!$B$2),2)</f>
        <v>30.64</v>
      </c>
      <c r="E152" s="3">
        <f>ROUND(C152*(1-Settings!$B$3),2)</f>
        <v>30.64</v>
      </c>
      <c r="F152" s="2" t="inlineStr">
        <is>
          <t>One Piece</t>
        </is>
      </c>
      <c r="G152" s="2" t="inlineStr">
        <is>
          <t>Deck</t>
        </is>
      </c>
      <c r="H152" s="2" t="inlineStr">
        <is>
          <t>ST-23: Starter Deck 23 RED Shanks</t>
        </is>
      </c>
      <c r="I152" s="3" t="n"/>
      <c r="J152" s="3" t="n">
        <v>52.03</v>
      </c>
      <c r="K152" s="3" t="n"/>
      <c r="L152" s="3" t="n">
        <v>35.5</v>
      </c>
      <c r="M152" s="2" t="inlineStr">
        <is>
          <t>TCGplayer</t>
        </is>
      </c>
      <c r="O152" s="4" t="inlineStr">
        <is>
          <t>https://www.tcgplayer.com/product/627669</t>
        </is>
      </c>
    </row>
    <row r="153">
      <c r="A153" s="2" t="inlineStr">
        <is>
          <t>Starter Decks 23-28 [Set of 6]</t>
        </is>
      </c>
      <c r="B153" s="3">
        <f>IF(I153&lt;&gt;"",I153,IF(J153&lt;&gt;"",J153,IF(K153&lt;&gt;"",K153,L153)))</f>
        <v>248.06</v>
      </c>
      <c r="C153" s="3">
        <f>MEDIAN(I153:L153)</f>
        <v>286.03</v>
      </c>
      <c r="D153" s="3">
        <f>ROUND(C153*(1-Settings!$B$2),2)</f>
        <v>200.22</v>
      </c>
      <c r="E153" s="3">
        <f>ROUND(C153*(1-Settings!$B$3),2)</f>
        <v>200.22</v>
      </c>
      <c r="F153" s="2" t="inlineStr">
        <is>
          <t>One Piece</t>
        </is>
      </c>
      <c r="G153" s="2" t="inlineStr">
        <is>
          <t>Deck</t>
        </is>
      </c>
      <c r="H153" s="2" t="inlineStr">
        <is>
          <t>ST-23: Starter Deck 23 RED Shanks</t>
        </is>
      </c>
      <c r="I153" s="3" t="n"/>
      <c r="J153" s="3" t="n">
        <v>248.06</v>
      </c>
      <c r="K153" s="3" t="n"/>
      <c r="L153" s="3" t="n">
        <v>324</v>
      </c>
      <c r="M153" s="2" t="inlineStr">
        <is>
          <t>TCGplayer</t>
        </is>
      </c>
      <c r="O153" s="4" t="inlineStr">
        <is>
          <t>https://www.tcgplayer.com/product/659940</t>
        </is>
      </c>
    </row>
    <row r="154">
      <c r="A154" s="2" t="inlineStr">
        <is>
          <t>Starter Deck 24: GREEN Jewelry Bonney</t>
        </is>
      </c>
      <c r="B154" s="3">
        <f>IF(I154&lt;&gt;"",I154,IF(J154&lt;&gt;"",J154,IF(K154&lt;&gt;"",K154,L154)))</f>
        <v>38.34</v>
      </c>
      <c r="C154" s="3">
        <f>MEDIAN(I154:L154)</f>
        <v>30.165</v>
      </c>
      <c r="D154" s="3">
        <f>ROUND(C154*(1-Settings!$B$2),2)</f>
        <v>21.12</v>
      </c>
      <c r="E154" s="3">
        <f>ROUND(C154*(1-Settings!$B$3),2)</f>
        <v>21.12</v>
      </c>
      <c r="F154" s="2" t="inlineStr">
        <is>
          <t>One Piece</t>
        </is>
      </c>
      <c r="G154" s="2" t="inlineStr">
        <is>
          <t>Deck</t>
        </is>
      </c>
      <c r="H154" s="2" t="inlineStr">
        <is>
          <t>ST-24: Starter Deck 24 GREEN Jewelry Bonney</t>
        </is>
      </c>
      <c r="I154" s="3" t="n"/>
      <c r="J154" s="3" t="n">
        <v>38.34</v>
      </c>
      <c r="K154" s="3" t="n"/>
      <c r="L154" s="3" t="n">
        <v>21.99</v>
      </c>
      <c r="M154" s="2" t="inlineStr">
        <is>
          <t>TCGplayer</t>
        </is>
      </c>
      <c r="O154" s="4" t="inlineStr">
        <is>
          <t>https://www.tcgplayer.com/product/627672</t>
        </is>
      </c>
    </row>
    <row r="155">
      <c r="A155" s="2" t="inlineStr">
        <is>
          <t>Starter Deck 25: BLUE Buggy</t>
        </is>
      </c>
      <c r="B155" s="3">
        <f>IF(I155&lt;&gt;"",I155,IF(J155&lt;&gt;"",J155,IF(K155&lt;&gt;"",K155,L155)))</f>
        <v>37.87</v>
      </c>
      <c r="C155" s="3">
        <f>MEDIAN(I155:L155)</f>
        <v>23.935</v>
      </c>
      <c r="D155" s="3">
        <f>ROUND(C155*(1-Settings!$B$2),2)</f>
        <v>16.75</v>
      </c>
      <c r="E155" s="3">
        <f>ROUND(C155*(1-Settings!$B$3),2)</f>
        <v>16.75</v>
      </c>
      <c r="F155" s="2" t="inlineStr">
        <is>
          <t>One Piece</t>
        </is>
      </c>
      <c r="G155" s="2" t="inlineStr">
        <is>
          <t>Deck</t>
        </is>
      </c>
      <c r="H155" s="2" t="inlineStr">
        <is>
          <t>ST-25: Starter Deck 25 BLUE Buggy</t>
        </is>
      </c>
      <c r="I155" s="3" t="n"/>
      <c r="J155" s="3" t="n">
        <v>37.87</v>
      </c>
      <c r="K155" s="3" t="n"/>
      <c r="L155" s="3" t="n">
        <v>10</v>
      </c>
      <c r="M155" s="2" t="inlineStr">
        <is>
          <t>TCGplayer</t>
        </is>
      </c>
      <c r="O155" s="4" t="inlineStr">
        <is>
          <t>https://www.tcgplayer.com/product/627674</t>
        </is>
      </c>
    </row>
    <row r="156">
      <c r="A156" s="2" t="inlineStr">
        <is>
          <t>Starter Deck 26: PURPLE/BLACK Monkey.D.Luffy</t>
        </is>
      </c>
      <c r="B156" s="3">
        <f>IF(I156&lt;&gt;"",I156,IF(J156&lt;&gt;"",J156,IF(K156&lt;&gt;"",K156,L156)))</f>
        <v>45.37</v>
      </c>
      <c r="C156" s="3">
        <f>MEDIAN(I156:L156)</f>
        <v>33.685</v>
      </c>
      <c r="D156" s="3">
        <f>ROUND(C156*(1-Settings!$B$2),2)</f>
        <v>23.58</v>
      </c>
      <c r="E156" s="3">
        <f>ROUND(C156*(1-Settings!$B$3),2)</f>
        <v>23.58</v>
      </c>
      <c r="F156" s="2" t="inlineStr">
        <is>
          <t>One Piece</t>
        </is>
      </c>
      <c r="G156" s="2" t="inlineStr">
        <is>
          <t>Deck</t>
        </is>
      </c>
      <c r="H156" s="2" t="inlineStr">
        <is>
          <t>ST-26: Starter Deck 26 PURPLE/BLACK Monkey.D.Luffy</t>
        </is>
      </c>
      <c r="I156" s="3" t="n"/>
      <c r="J156" s="3" t="n">
        <v>45.37</v>
      </c>
      <c r="K156" s="3" t="n"/>
      <c r="L156" s="3" t="n">
        <v>22</v>
      </c>
      <c r="M156" s="2" t="inlineStr">
        <is>
          <t>TCGplayer</t>
        </is>
      </c>
      <c r="O156" s="4" t="inlineStr">
        <is>
          <t>https://www.tcgplayer.com/product/627677</t>
        </is>
      </c>
    </row>
    <row r="157">
      <c r="A157" s="2" t="inlineStr">
        <is>
          <t>Starter Deck 27: BLACK Marshall.D.Teach</t>
        </is>
      </c>
      <c r="B157" s="3">
        <f>IF(I157&lt;&gt;"",I157,IF(J157&lt;&gt;"",J157,IF(K157&lt;&gt;"",K157,L157)))</f>
        <v>38.12</v>
      </c>
      <c r="C157" s="3">
        <f>MEDIAN(I157:L157)</f>
        <v>25.055</v>
      </c>
      <c r="D157" s="3">
        <f>ROUND(C157*(1-Settings!$B$2),2)</f>
        <v>17.54</v>
      </c>
      <c r="E157" s="3">
        <f>ROUND(C157*(1-Settings!$B$3),2)</f>
        <v>17.54</v>
      </c>
      <c r="F157" s="2" t="inlineStr">
        <is>
          <t>One Piece</t>
        </is>
      </c>
      <c r="G157" s="2" t="inlineStr">
        <is>
          <t>Deck</t>
        </is>
      </c>
      <c r="H157" s="2" t="inlineStr">
        <is>
          <t>ST-27: Starter Deck 27 BLACK Marshall.D.Teach</t>
        </is>
      </c>
      <c r="I157" s="3" t="n"/>
      <c r="J157" s="3" t="n">
        <v>38.12</v>
      </c>
      <c r="K157" s="3" t="n"/>
      <c r="L157" s="3" t="n">
        <v>11.99</v>
      </c>
      <c r="M157" s="2" t="inlineStr">
        <is>
          <t>TCGplayer</t>
        </is>
      </c>
      <c r="O157" s="4" t="inlineStr">
        <is>
          <t>https://www.tcgplayer.com/product/627678</t>
        </is>
      </c>
    </row>
    <row r="158">
      <c r="A158" s="2" t="inlineStr">
        <is>
          <t>Starter Deck 28: GREEN/YELLOW Yamato</t>
        </is>
      </c>
      <c r="B158" s="3">
        <f>IF(I158&lt;&gt;"",I158,IF(J158&lt;&gt;"",J158,IF(K158&lt;&gt;"",K158,L158)))</f>
        <v>40.94</v>
      </c>
      <c r="C158" s="3">
        <f>MEDIAN(I158:L158)</f>
        <v>28.465</v>
      </c>
      <c r="D158" s="3">
        <f>ROUND(C158*(1-Settings!$B$2),2)</f>
        <v>19.93</v>
      </c>
      <c r="E158" s="3">
        <f>ROUND(C158*(1-Settings!$B$3),2)</f>
        <v>19.93</v>
      </c>
      <c r="F158" s="2" t="inlineStr">
        <is>
          <t>One Piece</t>
        </is>
      </c>
      <c r="G158" s="2" t="inlineStr">
        <is>
          <t>Deck</t>
        </is>
      </c>
      <c r="H158" s="2" t="inlineStr">
        <is>
          <t>ST-28: Starter Deck 28 GREEN/YELLOW Yamato</t>
        </is>
      </c>
      <c r="I158" s="3" t="n"/>
      <c r="J158" s="3" t="n">
        <v>40.94</v>
      </c>
      <c r="K158" s="3" t="n"/>
      <c r="L158" s="3" t="n">
        <v>15.99</v>
      </c>
      <c r="M158" s="2" t="inlineStr">
        <is>
          <t>TCGplayer</t>
        </is>
      </c>
      <c r="O158" s="4" t="inlineStr">
        <is>
          <t>https://www.tcgplayer.com/product/627681</t>
        </is>
      </c>
    </row>
    <row r="159">
      <c r="A159" s="2" t="inlineStr">
        <is>
          <t>Starter Deck 29: Egghead</t>
        </is>
      </c>
      <c r="B159" s="3">
        <f>IF(I159&lt;&gt;"",I159,IF(J159&lt;&gt;"",J159,IF(K159&lt;&gt;"",K159,L159)))</f>
        <v>37.19</v>
      </c>
      <c r="C159" s="3">
        <f>MEDIAN(I159:L159)</f>
        <v>21.715</v>
      </c>
      <c r="D159" s="3">
        <f>ROUND(C159*(1-Settings!$B$2),2)</f>
        <v>15.2</v>
      </c>
      <c r="E159" s="3">
        <f>ROUND(C159*(1-Settings!$B$3),2)</f>
        <v>15.2</v>
      </c>
      <c r="F159" s="2" t="inlineStr">
        <is>
          <t>One Piece</t>
        </is>
      </c>
      <c r="G159" s="2" t="inlineStr">
        <is>
          <t>Deck</t>
        </is>
      </c>
      <c r="H159" s="2" t="inlineStr">
        <is>
          <t>ST-29: Starter Deck 29 Egghead</t>
        </is>
      </c>
      <c r="I159" s="3" t="n"/>
      <c r="J159" s="3" t="n">
        <v>37.19</v>
      </c>
      <c r="K159" s="3" t="n"/>
      <c r="L159" s="3" t="n">
        <v>6.24</v>
      </c>
      <c r="M159" s="2" t="inlineStr">
        <is>
          <t>TCGplayer</t>
        </is>
      </c>
      <c r="O159" s="4" t="inlineStr">
        <is>
          <t>https://www.tcgplayer.com/product/671479</t>
        </is>
      </c>
    </row>
    <row r="160">
      <c r="A160" s="2" t="inlineStr">
        <is>
          <t>Starter Deck 29: Egghead Bonus Pack</t>
        </is>
      </c>
      <c r="B160" s="3">
        <f>IF(I160&lt;&gt;"",I160,IF(J160&lt;&gt;"",J160,IF(K160&lt;&gt;"",K160,L160)))</f>
        <v>29.51</v>
      </c>
      <c r="C160" s="3">
        <f>MEDIAN(I160:L160)</f>
        <v>29.755000000000003</v>
      </c>
      <c r="D160" s="3">
        <f>ROUND(C160*(1-Settings!$B$2),2)</f>
        <v>20.83</v>
      </c>
      <c r="E160" s="3">
        <f>ROUND(C160*(1-Settings!$B$3),2)</f>
        <v>20.83</v>
      </c>
      <c r="F160" s="2" t="inlineStr">
        <is>
          <t>One Piece</t>
        </is>
      </c>
      <c r="G160" s="2" t="inlineStr">
        <is>
          <t>Deck</t>
        </is>
      </c>
      <c r="H160" s="2" t="inlineStr">
        <is>
          <t>ST-29: Starter Deck 29 Egghead</t>
        </is>
      </c>
      <c r="I160" s="3" t="n"/>
      <c r="J160" s="3" t="n">
        <v>29.51</v>
      </c>
      <c r="K160" s="3" t="n"/>
      <c r="L160" s="3" t="n">
        <v>30</v>
      </c>
      <c r="M160" s="2" t="inlineStr">
        <is>
          <t>TCGplayer</t>
        </is>
      </c>
      <c r="O160" s="4" t="inlineStr">
        <is>
          <t>https://www.tcgplayer.com/product/672894</t>
        </is>
      </c>
    </row>
    <row r="161">
      <c r="A161" s="2" t="inlineStr">
        <is>
          <t>Starter Deck EX: Luffy &amp; Ace</t>
        </is>
      </c>
      <c r="B161" s="3">
        <f>IF(I161&lt;&gt;"",I161,IF(J161&lt;&gt;"",J161,IF(K161&lt;&gt;"",K161,L161)))</f>
        <v>29.57</v>
      </c>
      <c r="C161" s="3">
        <f>MEDIAN(I161:L161)</f>
        <v>27.095</v>
      </c>
      <c r="D161" s="3">
        <f>ROUND(C161*(1-Settings!$B$2),2)</f>
        <v>18.97</v>
      </c>
      <c r="E161" s="3">
        <f>ROUND(C161*(1-Settings!$B$3),2)</f>
        <v>18.97</v>
      </c>
      <c r="F161" s="2" t="inlineStr">
        <is>
          <t>One Piece</t>
        </is>
      </c>
      <c r="G161" s="2" t="inlineStr">
        <is>
          <t>Deck</t>
        </is>
      </c>
      <c r="H161" s="2" t="inlineStr">
        <is>
          <t>ST-30: Starter Deck 30 EX Luffy &amp; Ace</t>
        </is>
      </c>
      <c r="I161" s="3" t="n"/>
      <c r="J161" s="3" t="n">
        <v>29.57</v>
      </c>
      <c r="K161" s="3" t="n"/>
      <c r="L161" s="3" t="n">
        <v>24.62</v>
      </c>
      <c r="M161" s="2" t="inlineStr">
        <is>
          <t>TCGplayer</t>
        </is>
      </c>
      <c r="O161" s="4" t="inlineStr">
        <is>
          <t>https://www.tcgplayer.com/product/692138</t>
        </is>
      </c>
    </row>
    <row r="162">
      <c r="A162" s="2" t="inlineStr">
        <is>
          <t>Starter Deck EX: Luffy &amp; Ace Bonus Pack</t>
        </is>
      </c>
      <c r="B162" s="3">
        <f>IF(I162&lt;&gt;"",I162,IF(J162&lt;&gt;"",J162,IF(K162&lt;&gt;"",K162,L162)))</f>
        <v>34.0</v>
      </c>
      <c r="C162" s="3">
        <f>MEDIAN(I162:L162)</f>
        <v>29.494999999999997</v>
      </c>
      <c r="D162" s="3">
        <f>ROUND(C162*(1-Settings!$B$2),2)</f>
        <v>20.65</v>
      </c>
      <c r="E162" s="3">
        <f>ROUND(C162*(1-Settings!$B$3),2)</f>
        <v>20.65</v>
      </c>
      <c r="F162" s="2" t="inlineStr">
        <is>
          <t>One Piece</t>
        </is>
      </c>
      <c r="G162" s="2" t="inlineStr">
        <is>
          <t>Deck</t>
        </is>
      </c>
      <c r="H162" s="2" t="inlineStr">
        <is>
          <t>ST-30: Starter Deck 30 EX Luffy &amp; Ace</t>
        </is>
      </c>
      <c r="I162" s="3" t="n"/>
      <c r="J162" s="3" t="n">
        <v>34</v>
      </c>
      <c r="K162" s="3" t="n"/>
      <c r="L162" s="3" t="n">
        <v>24.99</v>
      </c>
      <c r="M162" s="2" t="inlineStr">
        <is>
          <t>TCGplayer</t>
        </is>
      </c>
      <c r="O162" s="4" t="inlineStr">
        <is>
          <t>https://www.tcgplayer.com/product/692140</t>
        </is>
      </c>
    </row>
    <row r="163">
      <c r="A163" s="2" t="inlineStr">
        <is>
          <t>Starter Deck 31: RED Monkey.D.Luffy</t>
        </is>
      </c>
      <c r="B163" s="3">
        <f>IF(I163&lt;&gt;"",I163,IF(J163&lt;&gt;"",J163,IF(K163&lt;&gt;"",K163,L163)))</f>
        <v>26.56</v>
      </c>
      <c r="C163" s="3">
        <f>MEDIAN(I163:L163)</f>
        <v>25.775</v>
      </c>
      <c r="D163" s="3">
        <f>ROUND(C163*(1-Settings!$B$2),2)</f>
        <v>18.04</v>
      </c>
      <c r="E163" s="3">
        <f>ROUND(C163*(1-Settings!$B$3),2)</f>
        <v>18.04</v>
      </c>
      <c r="F163" s="2" t="inlineStr">
        <is>
          <t>One Piece</t>
        </is>
      </c>
      <c r="G163" s="2" t="inlineStr">
        <is>
          <t>Deck</t>
        </is>
      </c>
      <c r="H163" s="2" t="inlineStr">
        <is>
          <t>ST-31: Starter Deck 31 RED Monkey.D.Luffy</t>
        </is>
      </c>
      <c r="I163" s="3" t="n"/>
      <c r="J163" s="3" t="n">
        <v>26.56</v>
      </c>
      <c r="K163" s="3" t="n"/>
      <c r="L163" s="3" t="n">
        <v>24.99</v>
      </c>
      <c r="M163" s="2" t="inlineStr">
        <is>
          <t>TCGplayer</t>
        </is>
      </c>
      <c r="O163" s="4" t="inlineStr">
        <is>
          <t>https://www.tcgplayer.com/product/704885</t>
        </is>
      </c>
    </row>
    <row r="164">
      <c r="A164" s="2" t="inlineStr">
        <is>
          <t>Starter Decks 31-36 [Set of 6]</t>
        </is>
      </c>
      <c r="B164" s="3">
        <f>IF(I164&lt;&gt;"",I164,IF(J164&lt;&gt;"",J164,IF(K164&lt;&gt;"",K164,L164)))</f>
        <v>159.62</v>
      </c>
      <c r="C164" s="3">
        <f>MEDIAN(I164:L164)</f>
        <v>151.31</v>
      </c>
      <c r="D164" s="3">
        <f>ROUND(C164*(1-Settings!$B$2),2)</f>
        <v>105.92</v>
      </c>
      <c r="E164" s="3">
        <f>ROUND(C164*(1-Settings!$B$3),2)</f>
        <v>105.92</v>
      </c>
      <c r="F164" s="2" t="inlineStr">
        <is>
          <t>One Piece</t>
        </is>
      </c>
      <c r="G164" s="2" t="inlineStr">
        <is>
          <t>Deck</t>
        </is>
      </c>
      <c r="H164" s="2" t="inlineStr">
        <is>
          <t>ST-31: Starter Deck 31 RED Monkey.D.Luffy</t>
        </is>
      </c>
      <c r="I164" s="3" t="n"/>
      <c r="J164" s="3" t="n">
        <v>159.62</v>
      </c>
      <c r="K164" s="3" t="n"/>
      <c r="L164" s="3" t="n">
        <v>143</v>
      </c>
      <c r="M164" s="2" t="inlineStr">
        <is>
          <t>TCGplayer</t>
        </is>
      </c>
      <c r="O164" s="4" t="inlineStr">
        <is>
          <t>https://www.tcgplayer.com/product/712853</t>
        </is>
      </c>
    </row>
    <row r="165">
      <c r="A165" s="2" t="inlineStr">
        <is>
          <t>Starter Deck 32: GREEN Roronoa Zoro</t>
        </is>
      </c>
      <c r="B165" s="3">
        <f>IF(I165&lt;&gt;"",I165,IF(J165&lt;&gt;"",J165,IF(K165&lt;&gt;"",K165,L165)))</f>
        <v>30.76</v>
      </c>
      <c r="C165" s="3">
        <f>MEDIAN(I165:L165)</f>
        <v>27.880000000000003</v>
      </c>
      <c r="D165" s="3">
        <f>ROUND(C165*(1-Settings!$B$2),2)</f>
        <v>19.52</v>
      </c>
      <c r="E165" s="3">
        <f>ROUND(C165*(1-Settings!$B$3),2)</f>
        <v>19.52</v>
      </c>
      <c r="F165" s="2" t="inlineStr">
        <is>
          <t>One Piece</t>
        </is>
      </c>
      <c r="G165" s="2" t="inlineStr">
        <is>
          <t>Deck</t>
        </is>
      </c>
      <c r="H165" s="2" t="inlineStr">
        <is>
          <t>ST-32: Starter Deck 32 GREEN Roronoa Zoro</t>
        </is>
      </c>
      <c r="I165" s="3" t="n"/>
      <c r="J165" s="3" t="n">
        <v>30.76</v>
      </c>
      <c r="K165" s="3" t="n"/>
      <c r="L165" s="3" t="n">
        <v>25</v>
      </c>
      <c r="M165" s="2" t="inlineStr">
        <is>
          <t>TCGplayer</t>
        </is>
      </c>
      <c r="O165" s="4" t="inlineStr">
        <is>
          <t>https://www.tcgplayer.com/product/704889</t>
        </is>
      </c>
    </row>
    <row r="166">
      <c r="A166" s="2" t="inlineStr">
        <is>
          <t>Starter Deck 33: BLUE Kuzan</t>
        </is>
      </c>
      <c r="B166" s="3">
        <f>IF(I166&lt;&gt;"",I166,IF(J166&lt;&gt;"",J166,IF(K166&lt;&gt;"",K166,L166)))</f>
        <v>17.04</v>
      </c>
      <c r="C166" s="3">
        <f>MEDIAN(I166:L166)</f>
        <v>15.515</v>
      </c>
      <c r="D166" s="3">
        <f>ROUND(C166*(1-Settings!$B$2),2)</f>
        <v>10.86</v>
      </c>
      <c r="E166" s="3">
        <f>ROUND(C166*(1-Settings!$B$3),2)</f>
        <v>10.86</v>
      </c>
      <c r="F166" s="2" t="inlineStr">
        <is>
          <t>One Piece</t>
        </is>
      </c>
      <c r="G166" s="2" t="inlineStr">
        <is>
          <t>Deck</t>
        </is>
      </c>
      <c r="H166" s="2" t="inlineStr">
        <is>
          <t>ST-33: Starter Deck 33 BLUE Kuzan</t>
        </is>
      </c>
      <c r="I166" s="3" t="n"/>
      <c r="J166" s="3" t="n">
        <v>17.04</v>
      </c>
      <c r="K166" s="3" t="n"/>
      <c r="L166" s="3" t="n">
        <v>13.99</v>
      </c>
      <c r="M166" s="2" t="inlineStr">
        <is>
          <t>TCGplayer</t>
        </is>
      </c>
      <c r="O166" s="4" t="inlineStr">
        <is>
          <t>https://www.tcgplayer.com/product/704890</t>
        </is>
      </c>
    </row>
    <row r="167">
      <c r="A167" s="2" t="inlineStr">
        <is>
          <t>Starter Deck 34: PURPLE Charlotte Katakuri</t>
        </is>
      </c>
      <c r="B167" s="3">
        <f>IF(I167&lt;&gt;"",I167,IF(J167&lt;&gt;"",J167,IF(K167&lt;&gt;"",K167,L167)))</f>
        <v>24.37</v>
      </c>
      <c r="C167" s="3">
        <f>MEDIAN(I167:L167)</f>
        <v>19.685000000000002</v>
      </c>
      <c r="D167" s="3">
        <f>ROUND(C167*(1-Settings!$B$2),2)</f>
        <v>13.78</v>
      </c>
      <c r="E167" s="3">
        <f>ROUND(C167*(1-Settings!$B$3),2)</f>
        <v>13.78</v>
      </c>
      <c r="F167" s="2" t="inlineStr">
        <is>
          <t>One Piece</t>
        </is>
      </c>
      <c r="G167" s="2" t="inlineStr">
        <is>
          <t>Deck</t>
        </is>
      </c>
      <c r="H167" s="2" t="inlineStr">
        <is>
          <t>ST-34: Starter Deck 34 PURPLE Charlotte Katakuri</t>
        </is>
      </c>
      <c r="I167" s="3" t="n"/>
      <c r="J167" s="3" t="n">
        <v>24.37</v>
      </c>
      <c r="K167" s="3" t="n"/>
      <c r="L167" s="3" t="n">
        <v>15</v>
      </c>
      <c r="M167" s="2" t="inlineStr">
        <is>
          <t>TCGplayer</t>
        </is>
      </c>
      <c r="O167" s="4" t="inlineStr">
        <is>
          <t>https://www.tcgplayer.com/product/704893</t>
        </is>
      </c>
    </row>
    <row r="168">
      <c r="A168" s="2" t="inlineStr">
        <is>
          <t>Starter Deck 35: RED/BLACK Sabo</t>
        </is>
      </c>
      <c r="B168" s="3">
        <f>IF(I168&lt;&gt;"",I168,IF(J168&lt;&gt;"",J168,IF(K168&lt;&gt;"",K168,L168)))</f>
        <v>16.15</v>
      </c>
      <c r="C168" s="3">
        <f>MEDIAN(I168:L168)</f>
        <v>12.07</v>
      </c>
      <c r="D168" s="3">
        <f>ROUND(C168*(1-Settings!$B$2),2)</f>
        <v>8.45</v>
      </c>
      <c r="E168" s="3">
        <f>ROUND(C168*(1-Settings!$B$3),2)</f>
        <v>8.45</v>
      </c>
      <c r="F168" s="2" t="inlineStr">
        <is>
          <t>One Piece</t>
        </is>
      </c>
      <c r="G168" s="2" t="inlineStr">
        <is>
          <t>Deck</t>
        </is>
      </c>
      <c r="H168" s="2" t="inlineStr">
        <is>
          <t>ST-35: Starter Deck 35 RED/BLACK Sabo</t>
        </is>
      </c>
      <c r="I168" s="3" t="n"/>
      <c r="J168" s="3" t="n">
        <v>16.15</v>
      </c>
      <c r="K168" s="3" t="n"/>
      <c r="L168" s="3" t="n">
        <v>7.99</v>
      </c>
      <c r="M168" s="2" t="inlineStr">
        <is>
          <t>TCGplayer</t>
        </is>
      </c>
      <c r="O168" s="4" t="inlineStr">
        <is>
          <t>https://www.tcgplayer.com/product/704894</t>
        </is>
      </c>
    </row>
    <row r="169">
      <c r="A169" s="2" t="inlineStr">
        <is>
          <t>Starter Deck 36: YELLOW Eustass”Captain”Kid</t>
        </is>
      </c>
      <c r="B169" s="3">
        <f>IF(I169&lt;&gt;"",I169,IF(J169&lt;&gt;"",J169,IF(K169&lt;&gt;"",K169,L169)))</f>
        <v>16.46</v>
      </c>
      <c r="C169" s="3">
        <f>MEDIAN(I169:L169)</f>
        <v>13.225000000000001</v>
      </c>
      <c r="D169" s="3">
        <f>ROUND(C169*(1-Settings!$B$2),2)</f>
        <v>9.26</v>
      </c>
      <c r="E169" s="3">
        <f>ROUND(C169*(1-Settings!$B$3),2)</f>
        <v>9.26</v>
      </c>
      <c r="F169" s="2" t="inlineStr">
        <is>
          <t>One Piece</t>
        </is>
      </c>
      <c r="G169" s="2" t="inlineStr">
        <is>
          <t>Deck</t>
        </is>
      </c>
      <c r="H169" s="2" t="inlineStr">
        <is>
          <t>ST-36: Starter Deck 36 YELLOW Eustass"Captain"Kid</t>
        </is>
      </c>
      <c r="I169" s="3" t="n"/>
      <c r="J169" s="3" t="n">
        <v>16.46</v>
      </c>
      <c r="K169" s="3" t="n"/>
      <c r="L169" s="3" t="n">
        <v>9.99</v>
      </c>
      <c r="M169" s="2" t="inlineStr">
        <is>
          <t>TCGplayer</t>
        </is>
      </c>
      <c r="O169" s="4" t="inlineStr">
        <is>
          <t>https://www.tcgplayer.com/product/704897</t>
        </is>
      </c>
    </row>
    <row r="170">
      <c r="A170" s="2" t="inlineStr">
        <is>
          <t>Starter Deck 1 Straw Hat Crew Sealed Deck</t>
        </is>
      </c>
      <c r="B170" s="3">
        <f>IF(I170&lt;&gt;"",I170,IF(J170&lt;&gt;"",J170,IF(K170&lt;&gt;"",K170,L170)))</f>
        <v>203.18</v>
      </c>
      <c r="C170" s="3">
        <f>MEDIAN(I170:L170)</f>
        <v>203.18</v>
      </c>
      <c r="D170" s="3">
        <f>ROUND(C170*(1-Settings!$B$2),2)</f>
        <v>142.23</v>
      </c>
      <c r="E170" s="3">
        <f>ROUND(C170*(1-Settings!$B$3),2)</f>
        <v>142.23</v>
      </c>
      <c r="F170" s="2" t="inlineStr">
        <is>
          <t>One Piece</t>
        </is>
      </c>
      <c r="G170" s="2" t="inlineStr">
        <is>
          <t>Deck</t>
        </is>
      </c>
      <c r="H170" s="2" t="inlineStr">
        <is>
          <t>Starter Deck 1 Straw Hat Crew</t>
        </is>
      </c>
      <c r="I170" s="3" t="n">
        <v>203.18</v>
      </c>
      <c r="J170" s="3" t="n"/>
      <c r="K170" s="3" t="n"/>
      <c r="L170" s="3" t="n"/>
      <c r="M170" s="2" t="inlineStr">
        <is>
          <t>PriceCharting</t>
        </is>
      </c>
      <c r="N170" s="4" t="inlineStr">
        <is>
          <t>https://www.pricecharting.com/game/one-piece-starter-deck-1-straw-hat-crew/sealed-deck</t>
        </is>
      </c>
    </row>
    <row r="171">
      <c r="A171" s="2" t="inlineStr">
        <is>
          <t>Starter Deck 1 Straw Hat Crew Super Pre-Release Starter Deck 1</t>
        </is>
      </c>
      <c r="B171" s="3">
        <f>IF(I171&lt;&gt;"",I171,IF(J171&lt;&gt;"",J171,IF(K171&lt;&gt;"",K171,L171)))</f>
        <v>75.0</v>
      </c>
      <c r="C171" s="3">
        <f>MEDIAN(I171:L171)</f>
        <v>75.0</v>
      </c>
      <c r="D171" s="3">
        <f>ROUND(C171*(1-Settings!$B$2),2)</f>
        <v>52.5</v>
      </c>
      <c r="E171" s="3">
        <f>ROUND(C171*(1-Settings!$B$3),2)</f>
        <v>52.5</v>
      </c>
      <c r="F171" s="2" t="inlineStr">
        <is>
          <t>One Piece</t>
        </is>
      </c>
      <c r="G171" s="2" t="inlineStr">
        <is>
          <t>Deck</t>
        </is>
      </c>
      <c r="H171" s="2" t="inlineStr">
        <is>
          <t>Starter Deck 1 Straw Hat Crew</t>
        </is>
      </c>
      <c r="I171" s="3" t="n">
        <v>75</v>
      </c>
      <c r="J171" s="3" t="n"/>
      <c r="K171" s="3" t="n"/>
      <c r="L171" s="3" t="n"/>
      <c r="M171" s="2" t="inlineStr">
        <is>
          <t>PriceCharting</t>
        </is>
      </c>
      <c r="N171" s="4" t="inlineStr">
        <is>
          <t>https://www.pricecharting.com/game/one-piece-starter-deck-1-straw-hat-crew/super-pre-release-starter-deck-1</t>
        </is>
      </c>
    </row>
    <row r="172">
      <c r="A172" s="2" t="inlineStr">
        <is>
          <t>Starter Deck 11 Uta Sealed Deck</t>
        </is>
      </c>
      <c r="B172" s="3">
        <f>IF(I172&lt;&gt;"",I172,IF(J172&lt;&gt;"",J172,IF(K172&lt;&gt;"",K172,L172)))</f>
        <v>5.27</v>
      </c>
      <c r="C172" s="3">
        <f>MEDIAN(I172:L172)</f>
        <v>5.27</v>
      </c>
      <c r="D172" s="3">
        <f>ROUND(C172*(1-Settings!$B$2),2)</f>
        <v>3.69</v>
      </c>
      <c r="E172" s="3">
        <f>ROUND(C172*(1-Settings!$B$3),2)</f>
        <v>3.69</v>
      </c>
      <c r="F172" s="2" t="inlineStr">
        <is>
          <t>One Piece</t>
        </is>
      </c>
      <c r="G172" s="2" t="inlineStr">
        <is>
          <t>Deck</t>
        </is>
      </c>
      <c r="H172" s="2" t="inlineStr">
        <is>
          <t>Starter Deck 11 Uta</t>
        </is>
      </c>
      <c r="I172" s="3" t="n">
        <v>5.27</v>
      </c>
      <c r="J172" s="3" t="n"/>
      <c r="K172" s="3" t="n"/>
      <c r="L172" s="3" t="n"/>
      <c r="M172" s="2" t="inlineStr">
        <is>
          <t>PriceCharting</t>
        </is>
      </c>
      <c r="N172" s="4" t="inlineStr">
        <is>
          <t>https://www.pricecharting.com/game/one-piece-starter-deck-11-uta/sealed-deck</t>
        </is>
      </c>
    </row>
    <row r="173">
      <c r="A173" s="2" t="inlineStr">
        <is>
          <t>Starter Deck 12 Sealed Deck</t>
        </is>
      </c>
      <c r="B173" s="3">
        <f>IF(I173&lt;&gt;"",I173,IF(J173&lt;&gt;"",J173,IF(K173&lt;&gt;"",K173,L173)))</f>
        <v>30.0</v>
      </c>
      <c r="C173" s="3">
        <f>MEDIAN(I173:L173)</f>
        <v>30.0</v>
      </c>
      <c r="D173" s="3">
        <f>ROUND(C173*(1-Settings!$B$2),2)</f>
        <v>21.0</v>
      </c>
      <c r="E173" s="3">
        <f>ROUND(C173*(1-Settings!$B$3),2)</f>
        <v>21.0</v>
      </c>
      <c r="F173" s="2" t="inlineStr">
        <is>
          <t>One Piece</t>
        </is>
      </c>
      <c r="G173" s="2" t="inlineStr">
        <is>
          <t>Deck</t>
        </is>
      </c>
      <c r="H173" s="2" t="inlineStr">
        <is>
          <t>Starter Deck 12</t>
        </is>
      </c>
      <c r="I173" s="3" t="n">
        <v>30</v>
      </c>
      <c r="J173" s="3" t="n"/>
      <c r="K173" s="3" t="n"/>
      <c r="L173" s="3" t="n"/>
      <c r="M173" s="2" t="inlineStr">
        <is>
          <t>PriceCharting</t>
        </is>
      </c>
      <c r="N173" s="4" t="inlineStr">
        <is>
          <t>https://www.pricecharting.com/game/one-piece-starter-deck-12/sealed-deck</t>
        </is>
      </c>
    </row>
    <row r="174">
      <c r="A174" s="2" t="inlineStr">
        <is>
          <t>Starter Deck 14 3d2y Sealed Deck</t>
        </is>
      </c>
      <c r="B174" s="3">
        <f>IF(I174&lt;&gt;"",I174,IF(J174&lt;&gt;"",J174,IF(K174&lt;&gt;"",K174,L174)))</f>
        <v>15.5</v>
      </c>
      <c r="C174" s="3">
        <f>MEDIAN(I174:L174)</f>
        <v>15.5</v>
      </c>
      <c r="D174" s="3">
        <f>ROUND(C174*(1-Settings!$B$2),2)</f>
        <v>10.85</v>
      </c>
      <c r="E174" s="3">
        <f>ROUND(C174*(1-Settings!$B$3),2)</f>
        <v>10.85</v>
      </c>
      <c r="F174" s="2" t="inlineStr">
        <is>
          <t>One Piece</t>
        </is>
      </c>
      <c r="G174" s="2" t="inlineStr">
        <is>
          <t>Deck</t>
        </is>
      </c>
      <c r="H174" s="2" t="inlineStr">
        <is>
          <t>Starter Deck 14 3d2y</t>
        </is>
      </c>
      <c r="I174" s="3" t="n">
        <v>15.5</v>
      </c>
      <c r="J174" s="3" t="n"/>
      <c r="K174" s="3" t="n"/>
      <c r="L174" s="3" t="n"/>
      <c r="M174" s="2" t="inlineStr">
        <is>
          <t>PriceCharting</t>
        </is>
      </c>
      <c r="N174" s="4" t="inlineStr">
        <is>
          <t>https://www.pricecharting.com/game/one-piece-starter-deck-14-3d2y/sealed-deck</t>
        </is>
      </c>
    </row>
    <row r="175">
      <c r="A175" s="2" t="inlineStr">
        <is>
          <t>Starter Deck 15 Edward Newgate Sealed Deck</t>
        </is>
      </c>
      <c r="B175" s="3">
        <f>IF(I175&lt;&gt;"",I175,IF(J175&lt;&gt;"",J175,IF(K175&lt;&gt;"",K175,L175)))</f>
        <v>38.39</v>
      </c>
      <c r="C175" s="3">
        <f>MEDIAN(I175:L175)</f>
        <v>38.39</v>
      </c>
      <c r="D175" s="3">
        <f>ROUND(C175*(1-Settings!$B$2),2)</f>
        <v>26.87</v>
      </c>
      <c r="E175" s="3">
        <f>ROUND(C175*(1-Settings!$B$3),2)</f>
        <v>26.87</v>
      </c>
      <c r="F175" s="2" t="inlineStr">
        <is>
          <t>One Piece</t>
        </is>
      </c>
      <c r="G175" s="2" t="inlineStr">
        <is>
          <t>Deck</t>
        </is>
      </c>
      <c r="H175" s="2" t="inlineStr">
        <is>
          <t>Starter Deck 15 Edward Newgate</t>
        </is>
      </c>
      <c r="I175" s="3" t="n">
        <v>38.39</v>
      </c>
      <c r="J175" s="3" t="n"/>
      <c r="K175" s="3" t="n"/>
      <c r="L175" s="3" t="n"/>
      <c r="M175" s="2" t="inlineStr">
        <is>
          <t>PriceCharting</t>
        </is>
      </c>
      <c r="N175" s="4" t="inlineStr">
        <is>
          <t>https://www.pricecharting.com/game/one-piece-starter-deck-15-edward-newgate/sealed-deck</t>
        </is>
      </c>
    </row>
    <row r="176">
      <c r="A176" s="2" t="inlineStr">
        <is>
          <t>Starter Deck 16 Uta Sealed Deck</t>
        </is>
      </c>
      <c r="B176" s="3">
        <f>IF(I176&lt;&gt;"",I176,IF(J176&lt;&gt;"",J176,IF(K176&lt;&gt;"",K176,L176)))</f>
        <v>24.99</v>
      </c>
      <c r="C176" s="3">
        <f>MEDIAN(I176:L176)</f>
        <v>24.99</v>
      </c>
      <c r="D176" s="3">
        <f>ROUND(C176*(1-Settings!$B$2),2)</f>
        <v>17.49</v>
      </c>
      <c r="E176" s="3">
        <f>ROUND(C176*(1-Settings!$B$3),2)</f>
        <v>17.49</v>
      </c>
      <c r="F176" s="2" t="inlineStr">
        <is>
          <t>One Piece</t>
        </is>
      </c>
      <c r="G176" s="2" t="inlineStr">
        <is>
          <t>Deck</t>
        </is>
      </c>
      <c r="H176" s="2" t="inlineStr">
        <is>
          <t>Starter Deck 16 Uta</t>
        </is>
      </c>
      <c r="I176" s="3" t="n">
        <v>24.99</v>
      </c>
      <c r="J176" s="3" t="n"/>
      <c r="K176" s="3" t="n"/>
      <c r="L176" s="3" t="n"/>
      <c r="M176" s="2" t="inlineStr">
        <is>
          <t>PriceCharting</t>
        </is>
      </c>
      <c r="N176" s="4" t="inlineStr">
        <is>
          <t>https://www.pricecharting.com/game/one-piece-starter-deck-16-uta/sealed-deck</t>
        </is>
      </c>
    </row>
    <row r="177">
      <c r="A177" s="2" t="inlineStr">
        <is>
          <t>Starter Deck 17 Donquixote Donflamingo Sealed Deck</t>
        </is>
      </c>
      <c r="B177" s="3">
        <f>IF(I177&lt;&gt;"",I177,IF(J177&lt;&gt;"",J177,IF(K177&lt;&gt;"",K177,L177)))</f>
        <v>30.52</v>
      </c>
      <c r="C177" s="3">
        <f>MEDIAN(I177:L177)</f>
        <v>30.52</v>
      </c>
      <c r="D177" s="3">
        <f>ROUND(C177*(1-Settings!$B$2),2)</f>
        <v>21.36</v>
      </c>
      <c r="E177" s="3">
        <f>ROUND(C177*(1-Settings!$B$3),2)</f>
        <v>21.36</v>
      </c>
      <c r="F177" s="2" t="inlineStr">
        <is>
          <t>One Piece</t>
        </is>
      </c>
      <c r="G177" s="2" t="inlineStr">
        <is>
          <t>Deck</t>
        </is>
      </c>
      <c r="H177" s="2" t="inlineStr">
        <is>
          <t>Starter Deck 17 Donquixote Donflamingo</t>
        </is>
      </c>
      <c r="I177" s="3" t="n">
        <v>30.52</v>
      </c>
      <c r="J177" s="3" t="n"/>
      <c r="K177" s="3" t="n"/>
      <c r="L177" s="3" t="n"/>
      <c r="M177" s="2" t="inlineStr">
        <is>
          <t>PriceCharting</t>
        </is>
      </c>
      <c r="N177" s="4" t="inlineStr">
        <is>
          <t>https://www.pricecharting.com/game/one-piece-starter-deck-17-donquixote-donflamingo/sealed-deck</t>
        </is>
      </c>
    </row>
    <row r="178">
      <c r="A178" s="2" t="inlineStr">
        <is>
          <t>Starter Deck 18 Monkeydluffy Sealed Deck</t>
        </is>
      </c>
      <c r="B178" s="3">
        <f>IF(I178&lt;&gt;"",I178,IF(J178&lt;&gt;"",J178,IF(K178&lt;&gt;"",K178,L178)))</f>
        <v>62.75</v>
      </c>
      <c r="C178" s="3">
        <f>MEDIAN(I178:L178)</f>
        <v>62.75</v>
      </c>
      <c r="D178" s="3">
        <f>ROUND(C178*(1-Settings!$B$2),2)</f>
        <v>43.93</v>
      </c>
      <c r="E178" s="3">
        <f>ROUND(C178*(1-Settings!$B$3),2)</f>
        <v>43.93</v>
      </c>
      <c r="F178" s="2" t="inlineStr">
        <is>
          <t>One Piece</t>
        </is>
      </c>
      <c r="G178" s="2" t="inlineStr">
        <is>
          <t>Deck</t>
        </is>
      </c>
      <c r="H178" s="2" t="inlineStr">
        <is>
          <t>Starter Deck 18 Monkeydluffy</t>
        </is>
      </c>
      <c r="I178" s="3" t="n">
        <v>62.75</v>
      </c>
      <c r="J178" s="3" t="n"/>
      <c r="K178" s="3" t="n"/>
      <c r="L178" s="3" t="n"/>
      <c r="M178" s="2" t="inlineStr">
        <is>
          <t>PriceCharting</t>
        </is>
      </c>
      <c r="N178" s="4" t="inlineStr">
        <is>
          <t>https://www.pricecharting.com/game/one-piece-starter-deck-18-monkeydluffy/sealed-deck</t>
        </is>
      </c>
    </row>
    <row r="179">
      <c r="A179" s="2" t="inlineStr">
        <is>
          <t>Starter Deck 19 Smoker Sealed Deck</t>
        </is>
      </c>
      <c r="B179" s="3">
        <f>IF(I179&lt;&gt;"",I179,IF(J179&lt;&gt;"",J179,IF(K179&lt;&gt;"",K179,L179)))</f>
        <v>24.19</v>
      </c>
      <c r="C179" s="3">
        <f>MEDIAN(I179:L179)</f>
        <v>24.19</v>
      </c>
      <c r="D179" s="3">
        <f>ROUND(C179*(1-Settings!$B$2),2)</f>
        <v>16.93</v>
      </c>
      <c r="E179" s="3">
        <f>ROUND(C179*(1-Settings!$B$3),2)</f>
        <v>16.93</v>
      </c>
      <c r="F179" s="2" t="inlineStr">
        <is>
          <t>One Piece</t>
        </is>
      </c>
      <c r="G179" s="2" t="inlineStr">
        <is>
          <t>Deck</t>
        </is>
      </c>
      <c r="H179" s="2" t="inlineStr">
        <is>
          <t>Starter Deck 19 Smoker</t>
        </is>
      </c>
      <c r="I179" s="3" t="n">
        <v>24.19</v>
      </c>
      <c r="J179" s="3" t="n"/>
      <c r="K179" s="3" t="n"/>
      <c r="L179" s="3" t="n"/>
      <c r="M179" s="2" t="inlineStr">
        <is>
          <t>PriceCharting</t>
        </is>
      </c>
      <c r="N179" s="4" t="inlineStr">
        <is>
          <t>https://www.pricecharting.com/game/one-piece-starter-deck-19-smoker/sealed-deck</t>
        </is>
      </c>
    </row>
    <row r="180">
      <c r="A180" s="2" t="inlineStr">
        <is>
          <t>Starter Deck 2 Worst Generation Sealed Deck</t>
        </is>
      </c>
      <c r="B180" s="3">
        <f>IF(I180&lt;&gt;"",I180,IF(J180&lt;&gt;"",J180,IF(K180&lt;&gt;"",K180,L180)))</f>
        <v>20.99</v>
      </c>
      <c r="C180" s="3">
        <f>MEDIAN(I180:L180)</f>
        <v>20.99</v>
      </c>
      <c r="D180" s="3">
        <f>ROUND(C180*(1-Settings!$B$2),2)</f>
        <v>14.69</v>
      </c>
      <c r="E180" s="3">
        <f>ROUND(C180*(1-Settings!$B$3),2)</f>
        <v>14.69</v>
      </c>
      <c r="F180" s="2" t="inlineStr">
        <is>
          <t>One Piece</t>
        </is>
      </c>
      <c r="G180" s="2" t="inlineStr">
        <is>
          <t>Deck</t>
        </is>
      </c>
      <c r="H180" s="2" t="inlineStr">
        <is>
          <t>Starter Deck 2 Worst Generation</t>
        </is>
      </c>
      <c r="I180" s="3" t="n">
        <v>20.99</v>
      </c>
      <c r="J180" s="3" t="n"/>
      <c r="K180" s="3" t="n"/>
      <c r="L180" s="3" t="n"/>
      <c r="M180" s="2" t="inlineStr">
        <is>
          <t>PriceCharting</t>
        </is>
      </c>
      <c r="N180" s="4" t="inlineStr">
        <is>
          <t>https://www.pricecharting.com/game/one-piece-starter-deck-2-worst-generation/sealed-deck</t>
        </is>
      </c>
    </row>
    <row r="181">
      <c r="A181" s="2" t="inlineStr">
        <is>
          <t>Starter Deck 2 Worst Generation Super Pre-Release Starter Deck 2</t>
        </is>
      </c>
      <c r="B181" s="3">
        <f>IF(I181&lt;&gt;"",I181,IF(J181&lt;&gt;"",J181,IF(K181&lt;&gt;"",K181,L181)))</f>
        <v>7.69</v>
      </c>
      <c r="C181" s="3">
        <f>MEDIAN(I181:L181)</f>
        <v>7.69</v>
      </c>
      <c r="D181" s="3">
        <f>ROUND(C181*(1-Settings!$B$2),2)</f>
        <v>5.38</v>
      </c>
      <c r="E181" s="3">
        <f>ROUND(C181*(1-Settings!$B$3),2)</f>
        <v>5.38</v>
      </c>
      <c r="F181" s="2" t="inlineStr">
        <is>
          <t>One Piece</t>
        </is>
      </c>
      <c r="G181" s="2" t="inlineStr">
        <is>
          <t>Deck</t>
        </is>
      </c>
      <c r="H181" s="2" t="inlineStr">
        <is>
          <t>Starter Deck 2 Worst Generation</t>
        </is>
      </c>
      <c r="I181" s="3" t="n">
        <v>7.69</v>
      </c>
      <c r="J181" s="3" t="n"/>
      <c r="K181" s="3" t="n"/>
      <c r="L181" s="3" t="n"/>
      <c r="M181" s="2" t="inlineStr">
        <is>
          <t>PriceCharting</t>
        </is>
      </c>
      <c r="N181" s="4" t="inlineStr">
        <is>
          <t>https://www.pricecharting.com/game/one-piece-starter-deck-2-worst-generation/super-pre-release-starter-deck-2</t>
        </is>
      </c>
    </row>
    <row r="182">
      <c r="A182" s="2" t="inlineStr">
        <is>
          <t>Starter Deck 20 Charlotte Katakuri Sealed Deck</t>
        </is>
      </c>
      <c r="B182" s="3">
        <f>IF(I182&lt;&gt;"",I182,IF(J182&lt;&gt;"",J182,IF(K182&lt;&gt;"",K182,L182)))</f>
        <v>21.24</v>
      </c>
      <c r="C182" s="3">
        <f>MEDIAN(I182:L182)</f>
        <v>21.24</v>
      </c>
      <c r="D182" s="3">
        <f>ROUND(C182*(1-Settings!$B$2),2)</f>
        <v>14.87</v>
      </c>
      <c r="E182" s="3">
        <f>ROUND(C182*(1-Settings!$B$3),2)</f>
        <v>14.87</v>
      </c>
      <c r="F182" s="2" t="inlineStr">
        <is>
          <t>One Piece</t>
        </is>
      </c>
      <c r="G182" s="2" t="inlineStr">
        <is>
          <t>Deck</t>
        </is>
      </c>
      <c r="H182" s="2" t="inlineStr">
        <is>
          <t>Starter Deck 20 Charlotte Katakuri</t>
        </is>
      </c>
      <c r="I182" s="3" t="n">
        <v>21.24</v>
      </c>
      <c r="J182" s="3" t="n"/>
      <c r="K182" s="3" t="n"/>
      <c r="L182" s="3" t="n"/>
      <c r="M182" s="2" t="inlineStr">
        <is>
          <t>PriceCharting</t>
        </is>
      </c>
      <c r="N182" s="4" t="inlineStr">
        <is>
          <t>https://www.pricecharting.com/game/one-piece-starter-deck-20-charlotte-katakuri/sealed-deck</t>
        </is>
      </c>
    </row>
    <row r="183">
      <c r="A183" s="2" t="inlineStr">
        <is>
          <t>Starter Deck 21 Gear5 Sealed Deck</t>
        </is>
      </c>
      <c r="B183" s="3">
        <f>IF(I183&lt;&gt;"",I183,IF(J183&lt;&gt;"",J183,IF(K183&lt;&gt;"",K183,L183)))</f>
        <v>71.99</v>
      </c>
      <c r="C183" s="3">
        <f>MEDIAN(I183:L183)</f>
        <v>71.99</v>
      </c>
      <c r="D183" s="3">
        <f>ROUND(C183*(1-Settings!$B$2),2)</f>
        <v>50.39</v>
      </c>
      <c r="E183" s="3">
        <f>ROUND(C183*(1-Settings!$B$3),2)</f>
        <v>50.39</v>
      </c>
      <c r="F183" s="2" t="inlineStr">
        <is>
          <t>One Piece</t>
        </is>
      </c>
      <c r="G183" s="2" t="inlineStr">
        <is>
          <t>Deck</t>
        </is>
      </c>
      <c r="H183" s="2" t="inlineStr">
        <is>
          <t>Starter Deck 21 Gear5</t>
        </is>
      </c>
      <c r="I183" s="3" t="n">
        <v>71.98999999999999</v>
      </c>
      <c r="J183" s="3" t="n"/>
      <c r="K183" s="3" t="n"/>
      <c r="L183" s="3" t="n"/>
      <c r="M183" s="2" t="inlineStr">
        <is>
          <t>PriceCharting</t>
        </is>
      </c>
      <c r="N183" s="4" t="inlineStr">
        <is>
          <t>https://www.pricecharting.com/game/one-piece-starter-deck-21-gear5/sealed-deck</t>
        </is>
      </c>
    </row>
    <row r="184">
      <c r="A184" s="2" t="inlineStr">
        <is>
          <t>Starter Deck 23 Red Shanks Sealed Deck</t>
        </is>
      </c>
      <c r="B184" s="3">
        <f>IF(I184&lt;&gt;"",I184,IF(J184&lt;&gt;"",J184,IF(K184&lt;&gt;"",K184,L184)))</f>
        <v>36.98</v>
      </c>
      <c r="C184" s="3">
        <f>MEDIAN(I184:L184)</f>
        <v>36.98</v>
      </c>
      <c r="D184" s="3">
        <f>ROUND(C184*(1-Settings!$B$2),2)</f>
        <v>25.89</v>
      </c>
      <c r="E184" s="3">
        <f>ROUND(C184*(1-Settings!$B$3),2)</f>
        <v>25.89</v>
      </c>
      <c r="F184" s="2" t="inlineStr">
        <is>
          <t>One Piece</t>
        </is>
      </c>
      <c r="G184" s="2" t="inlineStr">
        <is>
          <t>Deck</t>
        </is>
      </c>
      <c r="H184" s="2" t="inlineStr">
        <is>
          <t>Starter Deck 23 Red Shanks</t>
        </is>
      </c>
      <c r="I184" s="3" t="n">
        <v>36.98</v>
      </c>
      <c r="J184" s="3" t="n"/>
      <c r="K184" s="3" t="n"/>
      <c r="L184" s="3" t="n"/>
      <c r="M184" s="2" t="inlineStr">
        <is>
          <t>PriceCharting</t>
        </is>
      </c>
      <c r="N184" s="4" t="inlineStr">
        <is>
          <t>https://www.pricecharting.com/game/one-piece-starter-deck-23-red-shanks/sealed-deck</t>
        </is>
      </c>
    </row>
    <row r="185">
      <c r="A185" s="2" t="inlineStr">
        <is>
          <t>Starter Deck 24 Green Jewelry Bonney Sealed Starter Deck</t>
        </is>
      </c>
      <c r="B185" s="3">
        <f>IF(I185&lt;&gt;"",I185,IF(J185&lt;&gt;"",J185,IF(K185&lt;&gt;"",K185,L185)))</f>
        <v>29.16</v>
      </c>
      <c r="C185" s="3">
        <f>MEDIAN(I185:L185)</f>
        <v>29.16</v>
      </c>
      <c r="D185" s="3">
        <f>ROUND(C185*(1-Settings!$B$2),2)</f>
        <v>20.41</v>
      </c>
      <c r="E185" s="3">
        <f>ROUND(C185*(1-Settings!$B$3),2)</f>
        <v>20.41</v>
      </c>
      <c r="F185" s="2" t="inlineStr">
        <is>
          <t>One Piece</t>
        </is>
      </c>
      <c r="G185" s="2" t="inlineStr">
        <is>
          <t>Deck</t>
        </is>
      </c>
      <c r="H185" s="2" t="inlineStr">
        <is>
          <t>Starter Deck 24 Green Jewelry Bonney</t>
        </is>
      </c>
      <c r="I185" s="3" t="n">
        <v>29.16</v>
      </c>
      <c r="J185" s="3" t="n"/>
      <c r="K185" s="3" t="n"/>
      <c r="L185" s="3" t="n"/>
      <c r="M185" s="2" t="inlineStr">
        <is>
          <t>PriceCharting</t>
        </is>
      </c>
      <c r="N185" s="4" t="inlineStr">
        <is>
          <t>https://www.pricecharting.com/game/one-piece-starter-deck-24-green-jewelry-bonney/sealed-starter-deck</t>
        </is>
      </c>
    </row>
    <row r="186">
      <c r="A186" s="2" t="inlineStr">
        <is>
          <t>Starter Deck 25 Blue Buggy Sealed Starter Deck</t>
        </is>
      </c>
      <c r="B186" s="3">
        <f>IF(I186&lt;&gt;"",I186,IF(J186&lt;&gt;"",J186,IF(K186&lt;&gt;"",K186,L186)))</f>
        <v>16.97</v>
      </c>
      <c r="C186" s="3">
        <f>MEDIAN(I186:L186)</f>
        <v>16.97</v>
      </c>
      <c r="D186" s="3">
        <f>ROUND(C186*(1-Settings!$B$2),2)</f>
        <v>11.88</v>
      </c>
      <c r="E186" s="3">
        <f>ROUND(C186*(1-Settings!$B$3),2)</f>
        <v>11.88</v>
      </c>
      <c r="F186" s="2" t="inlineStr">
        <is>
          <t>One Piece</t>
        </is>
      </c>
      <c r="G186" s="2" t="inlineStr">
        <is>
          <t>Deck</t>
        </is>
      </c>
      <c r="H186" s="2" t="inlineStr">
        <is>
          <t>Starter Deck 25 Blue Buggy</t>
        </is>
      </c>
      <c r="I186" s="3" t="n">
        <v>16.97</v>
      </c>
      <c r="J186" s="3" t="n"/>
      <c r="K186" s="3" t="n"/>
      <c r="L186" s="3" t="n"/>
      <c r="M186" s="2" t="inlineStr">
        <is>
          <t>PriceCharting</t>
        </is>
      </c>
      <c r="N186" s="4" t="inlineStr">
        <is>
          <t>https://www.pricecharting.com/game/one-piece-starter-deck-25-blue-buggy/sealed-starter-deck</t>
        </is>
      </c>
    </row>
    <row r="187">
      <c r="A187" s="2" t="inlineStr">
        <is>
          <t>Starter Deck 26 Purple Monkeydluffy Sealed Starter Deck</t>
        </is>
      </c>
      <c r="B187" s="3">
        <f>IF(I187&lt;&gt;"",I187,IF(J187&lt;&gt;"",J187,IF(K187&lt;&gt;"",K187,L187)))</f>
        <v>41.78</v>
      </c>
      <c r="C187" s="3">
        <f>MEDIAN(I187:L187)</f>
        <v>41.78</v>
      </c>
      <c r="D187" s="3">
        <f>ROUND(C187*(1-Settings!$B$2),2)</f>
        <v>29.25</v>
      </c>
      <c r="E187" s="3">
        <f>ROUND(C187*(1-Settings!$B$3),2)</f>
        <v>29.25</v>
      </c>
      <c r="F187" s="2" t="inlineStr">
        <is>
          <t>One Piece</t>
        </is>
      </c>
      <c r="G187" s="2" t="inlineStr">
        <is>
          <t>Deck</t>
        </is>
      </c>
      <c r="H187" s="2" t="inlineStr">
        <is>
          <t>Starter Deck 26 Purple Monkeydluffy</t>
        </is>
      </c>
      <c r="I187" s="3" t="n">
        <v>41.78</v>
      </c>
      <c r="J187" s="3" t="n"/>
      <c r="K187" s="3" t="n"/>
      <c r="L187" s="3" t="n"/>
      <c r="M187" s="2" t="inlineStr">
        <is>
          <t>PriceCharting</t>
        </is>
      </c>
      <c r="N187" s="4" t="inlineStr">
        <is>
          <t>https://www.pricecharting.com/game/one-piece-starter-deck-26-purple-monkeydluffy/sealed-starter-deck</t>
        </is>
      </c>
    </row>
    <row r="188">
      <c r="A188" s="2" t="inlineStr">
        <is>
          <t>Starter Deck 27 Black Marshalldteach Sealed Starter Deck</t>
        </is>
      </c>
      <c r="B188" s="3">
        <f>IF(I188&lt;&gt;"",I188,IF(J188&lt;&gt;"",J188,IF(K188&lt;&gt;"",K188,L188)))</f>
        <v>39.99</v>
      </c>
      <c r="C188" s="3">
        <f>MEDIAN(I188:L188)</f>
        <v>39.99</v>
      </c>
      <c r="D188" s="3">
        <f>ROUND(C188*(1-Settings!$B$2),2)</f>
        <v>27.99</v>
      </c>
      <c r="E188" s="3">
        <f>ROUND(C188*(1-Settings!$B$3),2)</f>
        <v>27.99</v>
      </c>
      <c r="F188" s="2" t="inlineStr">
        <is>
          <t>One Piece</t>
        </is>
      </c>
      <c r="G188" s="2" t="inlineStr">
        <is>
          <t>Deck</t>
        </is>
      </c>
      <c r="H188" s="2" t="inlineStr">
        <is>
          <t>Starter Deck 27 Black Marshalldteach</t>
        </is>
      </c>
      <c r="I188" s="3" t="n">
        <v>39.99</v>
      </c>
      <c r="J188" s="3" t="n"/>
      <c r="K188" s="3" t="n"/>
      <c r="L188" s="3" t="n"/>
      <c r="M188" s="2" t="inlineStr">
        <is>
          <t>PriceCharting</t>
        </is>
      </c>
      <c r="N188" s="4" t="inlineStr">
        <is>
          <t>https://www.pricecharting.com/game/one-piece-starter-deck-27-black-marshalldteach/sealed-starter-deck</t>
        </is>
      </c>
    </row>
    <row r="189">
      <c r="A189" s="2" t="inlineStr">
        <is>
          <t>Starter Deck 28 Yellow Yamato Sealed Starter Deck</t>
        </is>
      </c>
      <c r="B189" s="3">
        <f>IF(I189&lt;&gt;"",I189,IF(J189&lt;&gt;"",J189,IF(K189&lt;&gt;"",K189,L189)))</f>
        <v>32.42</v>
      </c>
      <c r="C189" s="3">
        <f>MEDIAN(I189:L189)</f>
        <v>32.42</v>
      </c>
      <c r="D189" s="3">
        <f>ROUND(C189*(1-Settings!$B$2),2)</f>
        <v>22.69</v>
      </c>
      <c r="E189" s="3">
        <f>ROUND(C189*(1-Settings!$B$3),2)</f>
        <v>22.69</v>
      </c>
      <c r="F189" s="2" t="inlineStr">
        <is>
          <t>One Piece</t>
        </is>
      </c>
      <c r="G189" s="2" t="inlineStr">
        <is>
          <t>Deck</t>
        </is>
      </c>
      <c r="H189" s="2" t="inlineStr">
        <is>
          <t>Starter Deck 28 Yellow Yamato</t>
        </is>
      </c>
      <c r="I189" s="3" t="n">
        <v>32.42</v>
      </c>
      <c r="J189" s="3" t="n"/>
      <c r="K189" s="3" t="n"/>
      <c r="L189" s="3" t="n"/>
      <c r="M189" s="2" t="inlineStr">
        <is>
          <t>PriceCharting</t>
        </is>
      </c>
      <c r="N189" s="4" t="inlineStr">
        <is>
          <t>https://www.pricecharting.com/game/one-piece-starter-deck-28-yellow-yamato/sealed-starter-deck</t>
        </is>
      </c>
    </row>
    <row r="190">
      <c r="A190" s="2" t="inlineStr">
        <is>
          <t>Starter Deck 29 Egghead Sealed Deck</t>
        </is>
      </c>
      <c r="B190" s="3">
        <f>IF(I190&lt;&gt;"",I190,IF(J190&lt;&gt;"",J190,IF(K190&lt;&gt;"",K190,L190)))</f>
        <v>30.84</v>
      </c>
      <c r="C190" s="3">
        <f>MEDIAN(I190:L190)</f>
        <v>30.84</v>
      </c>
      <c r="D190" s="3">
        <f>ROUND(C190*(1-Settings!$B$2),2)</f>
        <v>21.59</v>
      </c>
      <c r="E190" s="3">
        <f>ROUND(C190*(1-Settings!$B$3),2)</f>
        <v>21.59</v>
      </c>
      <c r="F190" s="2" t="inlineStr">
        <is>
          <t>One Piece</t>
        </is>
      </c>
      <c r="G190" s="2" t="inlineStr">
        <is>
          <t>Deck</t>
        </is>
      </c>
      <c r="H190" s="2" t="inlineStr">
        <is>
          <t>Starter Deck 29 Egghead</t>
        </is>
      </c>
      <c r="I190" s="3" t="n">
        <v>30.84</v>
      </c>
      <c r="J190" s="3" t="n"/>
      <c r="K190" s="3" t="n"/>
      <c r="L190" s="3" t="n"/>
      <c r="M190" s="2" t="inlineStr">
        <is>
          <t>PriceCharting</t>
        </is>
      </c>
      <c r="N190" s="4" t="inlineStr">
        <is>
          <t>https://www.pricecharting.com/game/one-piece-starter-deck-29-egghead/sealed-deck</t>
        </is>
      </c>
    </row>
    <row r="191">
      <c r="A191" s="2" t="inlineStr">
        <is>
          <t>Starter Deck 3 The Seven Warlords Of The Sea Sealed Deck</t>
        </is>
      </c>
      <c r="B191" s="3">
        <f>IF(I191&lt;&gt;"",I191,IF(J191&lt;&gt;"",J191,IF(K191&lt;&gt;"",K191,L191)))</f>
        <v>27.26</v>
      </c>
      <c r="C191" s="3">
        <f>MEDIAN(I191:L191)</f>
        <v>27.26</v>
      </c>
      <c r="D191" s="3">
        <f>ROUND(C191*(1-Settings!$B$2),2)</f>
        <v>19.08</v>
      </c>
      <c r="E191" s="3">
        <f>ROUND(C191*(1-Settings!$B$3),2)</f>
        <v>19.08</v>
      </c>
      <c r="F191" s="2" t="inlineStr">
        <is>
          <t>One Piece</t>
        </is>
      </c>
      <c r="G191" s="2" t="inlineStr">
        <is>
          <t>Deck</t>
        </is>
      </c>
      <c r="H191" s="2" t="inlineStr">
        <is>
          <t>Starter Deck 3 The Seven Warlords Of The Sea</t>
        </is>
      </c>
      <c r="I191" s="3" t="n">
        <v>27.26</v>
      </c>
      <c r="J191" s="3" t="n"/>
      <c r="K191" s="3" t="n"/>
      <c r="L191" s="3" t="n"/>
      <c r="M191" s="2" t="inlineStr">
        <is>
          <t>PriceCharting</t>
        </is>
      </c>
      <c r="N191" s="4" t="inlineStr">
        <is>
          <t>https://www.pricecharting.com/game/one-piece-starter-deck-3-the-seven-warlords-of-the-sea/sealed-deck</t>
        </is>
      </c>
    </row>
    <row r="192">
      <c r="A192" s="2" t="inlineStr">
        <is>
          <t>Starter Deck 3 The Seven Warlords Of The Sea Super Pre-Release Starter Deck 3</t>
        </is>
      </c>
      <c r="B192" s="3">
        <f>IF(I192&lt;&gt;"",I192,IF(J192&lt;&gt;"",J192,IF(K192&lt;&gt;"",K192,L192)))</f>
        <v>543.35</v>
      </c>
      <c r="C192" s="3">
        <f>MEDIAN(I192:L192)</f>
        <v>543.35</v>
      </c>
      <c r="D192" s="3">
        <f>ROUND(C192*(1-Settings!$B$2),2)</f>
        <v>380.35</v>
      </c>
      <c r="E192" s="3">
        <f>ROUND(C192*(1-Settings!$B$3),2)</f>
        <v>380.35</v>
      </c>
      <c r="F192" s="2" t="inlineStr">
        <is>
          <t>One Piece</t>
        </is>
      </c>
      <c r="G192" s="2" t="inlineStr">
        <is>
          <t>Deck</t>
        </is>
      </c>
      <c r="H192" s="2" t="inlineStr">
        <is>
          <t>Starter Deck 3 The Seven Warlords Of The Sea</t>
        </is>
      </c>
      <c r="I192" s="3" t="n">
        <v>543.35</v>
      </c>
      <c r="J192" s="3" t="n"/>
      <c r="K192" s="3" t="n"/>
      <c r="L192" s="3" t="n"/>
      <c r="M192" s="2" t="inlineStr">
        <is>
          <t>PriceCharting</t>
        </is>
      </c>
      <c r="N192" s="4" t="inlineStr">
        <is>
          <t>https://www.pricecharting.com/game/one-piece-starter-deck-3-the-seven-warlords-of-the-sea/super-pre-release-starter-deck-3</t>
        </is>
      </c>
    </row>
    <row r="193">
      <c r="A193" s="2" t="inlineStr">
        <is>
          <t>Starter Deck 31 Red Monkeydluffy Sealed Deck</t>
        </is>
      </c>
      <c r="B193" s="3">
        <f>IF(I193&lt;&gt;"",I193,IF(J193&lt;&gt;"",J193,IF(K193&lt;&gt;"",K193,L193)))</f>
        <v>11.07</v>
      </c>
      <c r="C193" s="3">
        <f>MEDIAN(I193:L193)</f>
        <v>11.07</v>
      </c>
      <c r="D193" s="3">
        <f>ROUND(C193*(1-Settings!$B$2),2)</f>
        <v>7.75</v>
      </c>
      <c r="E193" s="3">
        <f>ROUND(C193*(1-Settings!$B$3),2)</f>
        <v>7.75</v>
      </c>
      <c r="F193" s="2" t="inlineStr">
        <is>
          <t>One Piece</t>
        </is>
      </c>
      <c r="G193" s="2" t="inlineStr">
        <is>
          <t>Deck</t>
        </is>
      </c>
      <c r="H193" s="2" t="inlineStr">
        <is>
          <t>Starter Deck 31 Red Monkeydluffy</t>
        </is>
      </c>
      <c r="I193" s="3" t="n">
        <v>11.07</v>
      </c>
      <c r="J193" s="3" t="n"/>
      <c r="K193" s="3" t="n"/>
      <c r="L193" s="3" t="n"/>
      <c r="M193" s="2" t="inlineStr">
        <is>
          <t>PriceCharting</t>
        </is>
      </c>
      <c r="N193" s="4" t="inlineStr">
        <is>
          <t>https://www.pricecharting.com/game/one-piece-starter-deck-31-red-monkeydluffy/sealed-deck</t>
        </is>
      </c>
    </row>
    <row r="194">
      <c r="A194" s="2" t="inlineStr">
        <is>
          <t>Starter Deck 4 Animal Kingdom Pirates Sealed Deck</t>
        </is>
      </c>
      <c r="B194" s="3">
        <f>IF(I194&lt;&gt;"",I194,IF(J194&lt;&gt;"",J194,IF(K194&lt;&gt;"",K194,L194)))</f>
        <v>262.41</v>
      </c>
      <c r="C194" s="3">
        <f>MEDIAN(I194:L194)</f>
        <v>262.41</v>
      </c>
      <c r="D194" s="3">
        <f>ROUND(C194*(1-Settings!$B$2),2)</f>
        <v>183.69</v>
      </c>
      <c r="E194" s="3">
        <f>ROUND(C194*(1-Settings!$B$3),2)</f>
        <v>183.69</v>
      </c>
      <c r="F194" s="2" t="inlineStr">
        <is>
          <t>One Piece</t>
        </is>
      </c>
      <c r="G194" s="2" t="inlineStr">
        <is>
          <t>Deck</t>
        </is>
      </c>
      <c r="H194" s="2" t="inlineStr">
        <is>
          <t>Starter Deck 4 Animal Kingdom Pirates</t>
        </is>
      </c>
      <c r="I194" s="3" t="n">
        <v>262.41</v>
      </c>
      <c r="J194" s="3" t="n"/>
      <c r="K194" s="3" t="n"/>
      <c r="L194" s="3" t="n"/>
      <c r="M194" s="2" t="inlineStr">
        <is>
          <t>PriceCharting</t>
        </is>
      </c>
      <c r="N194" s="4" t="inlineStr">
        <is>
          <t>https://www.pricecharting.com/game/one-piece-starter-deck-4-animal-kingdom-pirates/sealed-deck</t>
        </is>
      </c>
    </row>
    <row r="195">
      <c r="A195" s="2" t="inlineStr">
        <is>
          <t>Starter Deck 4 Animal Kingdom Pirates Super Pre-Release Starter Deck 4</t>
        </is>
      </c>
      <c r="B195" s="3">
        <f>IF(I195&lt;&gt;"",I195,IF(J195&lt;&gt;"",J195,IF(K195&lt;&gt;"",K195,L195)))</f>
        <v>16.98</v>
      </c>
      <c r="C195" s="3">
        <f>MEDIAN(I195:L195)</f>
        <v>16.98</v>
      </c>
      <c r="D195" s="3">
        <f>ROUND(C195*(1-Settings!$B$2),2)</f>
        <v>11.89</v>
      </c>
      <c r="E195" s="3">
        <f>ROUND(C195*(1-Settings!$B$3),2)</f>
        <v>11.89</v>
      </c>
      <c r="F195" s="2" t="inlineStr">
        <is>
          <t>One Piece</t>
        </is>
      </c>
      <c r="G195" s="2" t="inlineStr">
        <is>
          <t>Deck</t>
        </is>
      </c>
      <c r="H195" s="2" t="inlineStr">
        <is>
          <t>Starter Deck 4 Animal Kingdom Pirates</t>
        </is>
      </c>
      <c r="I195" s="3" t="n">
        <v>16.98</v>
      </c>
      <c r="J195" s="3" t="n"/>
      <c r="K195" s="3" t="n"/>
      <c r="L195" s="3" t="n"/>
      <c r="M195" s="2" t="inlineStr">
        <is>
          <t>PriceCharting</t>
        </is>
      </c>
      <c r="N195" s="4" t="inlineStr">
        <is>
          <t>https://www.pricecharting.com/game/one-piece-starter-deck-4-animal-kingdom-pirates/super-pre-release-starter-deck-4</t>
        </is>
      </c>
    </row>
    <row r="196">
      <c r="A196" s="2" t="inlineStr">
        <is>
          <t>Starter Deck 5 Film Edition Sealed Deck</t>
        </is>
      </c>
      <c r="B196" s="3">
        <f>IF(I196&lt;&gt;"",I196,IF(J196&lt;&gt;"",J196,IF(K196&lt;&gt;"",K196,L196)))</f>
        <v>34.59</v>
      </c>
      <c r="C196" s="3">
        <f>MEDIAN(I196:L196)</f>
        <v>34.59</v>
      </c>
      <c r="D196" s="3">
        <f>ROUND(C196*(1-Settings!$B$2),2)</f>
        <v>24.21</v>
      </c>
      <c r="E196" s="3">
        <f>ROUND(C196*(1-Settings!$B$3),2)</f>
        <v>24.21</v>
      </c>
      <c r="F196" s="2" t="inlineStr">
        <is>
          <t>One Piece</t>
        </is>
      </c>
      <c r="G196" s="2" t="inlineStr">
        <is>
          <t>Deck</t>
        </is>
      </c>
      <c r="H196" s="2" t="inlineStr">
        <is>
          <t>Starter Deck 5 Film Edition</t>
        </is>
      </c>
      <c r="I196" s="3" t="n">
        <v>34.59</v>
      </c>
      <c r="J196" s="3" t="n"/>
      <c r="K196" s="3" t="n"/>
      <c r="L196" s="3" t="n"/>
      <c r="M196" s="2" t="inlineStr">
        <is>
          <t>PriceCharting</t>
        </is>
      </c>
      <c r="N196" s="4" t="inlineStr">
        <is>
          <t>https://www.pricecharting.com/game/one-piece-starter-deck-5-film-edition/sealed-deck</t>
        </is>
      </c>
    </row>
    <row r="197">
      <c r="A197" s="2" t="inlineStr">
        <is>
          <t>Starter Deck 6 Absolute Justice Sealed Deck</t>
        </is>
      </c>
      <c r="B197" s="3">
        <f>IF(I197&lt;&gt;"",I197,IF(J197&lt;&gt;"",J197,IF(K197&lt;&gt;"",K197,L197)))</f>
        <v>34.52</v>
      </c>
      <c r="C197" s="3">
        <f>MEDIAN(I197:L197)</f>
        <v>34.52</v>
      </c>
      <c r="D197" s="3">
        <f>ROUND(C197*(1-Settings!$B$2),2)</f>
        <v>24.16</v>
      </c>
      <c r="E197" s="3">
        <f>ROUND(C197*(1-Settings!$B$3),2)</f>
        <v>24.16</v>
      </c>
      <c r="F197" s="2" t="inlineStr">
        <is>
          <t>One Piece</t>
        </is>
      </c>
      <c r="G197" s="2" t="inlineStr">
        <is>
          <t>Deck</t>
        </is>
      </c>
      <c r="H197" s="2" t="inlineStr">
        <is>
          <t>Starter Deck 6 Absolute Justice</t>
        </is>
      </c>
      <c r="I197" s="3" t="n">
        <v>34.52</v>
      </c>
      <c r="J197" s="3" t="n"/>
      <c r="K197" s="3" t="n"/>
      <c r="L197" s="3" t="n"/>
      <c r="M197" s="2" t="inlineStr">
        <is>
          <t>PriceCharting</t>
        </is>
      </c>
      <c r="N197" s="4" t="inlineStr">
        <is>
          <t>https://www.pricecharting.com/game/one-piece-starter-deck-6-absolute-justice/sealed-deck</t>
        </is>
      </c>
    </row>
    <row r="198">
      <c r="A198" s="2" t="inlineStr">
        <is>
          <t>Starter Deck 6 Absolute Justice Starter Deck 6: Absolute Justice</t>
        </is>
      </c>
      <c r="B198" s="3">
        <f>IF(I198&lt;&gt;"",I198,IF(J198&lt;&gt;"",J198,IF(K198&lt;&gt;"",K198,L198)))</f>
        <v>2.18</v>
      </c>
      <c r="C198" s="3">
        <f>MEDIAN(I198:L198)</f>
        <v>2.18</v>
      </c>
      <c r="D198" s="3">
        <f>ROUND(C198*(1-Settings!$B$2),2)</f>
        <v>1.53</v>
      </c>
      <c r="E198" s="3">
        <f>ROUND(C198*(1-Settings!$B$3),2)</f>
        <v>1.53</v>
      </c>
      <c r="F198" s="2" t="inlineStr">
        <is>
          <t>One Piece</t>
        </is>
      </c>
      <c r="G198" s="2" t="inlineStr">
        <is>
          <t>Deck</t>
        </is>
      </c>
      <c r="H198" s="2" t="inlineStr">
        <is>
          <t>Starter Deck 6 Absolute Justice</t>
        </is>
      </c>
      <c r="I198" s="3" t="n">
        <v>2.18</v>
      </c>
      <c r="J198" s="3" t="n"/>
      <c r="K198" s="3" t="n"/>
      <c r="L198" s="3" t="n"/>
      <c r="M198" s="2" t="inlineStr">
        <is>
          <t>PriceCharting</t>
        </is>
      </c>
      <c r="N198" s="4" t="inlineStr">
        <is>
          <t>https://www.pricecharting.com/game/one-piece-starter-deck-6-absolute-justice/starter-deck-6-absolute-justice</t>
        </is>
      </c>
    </row>
    <row r="199">
      <c r="A199" s="2" t="inlineStr">
        <is>
          <t>Starter Deck 7 Big Mom Pirates Sealed Deck</t>
        </is>
      </c>
      <c r="B199" s="3">
        <f>IF(I199&lt;&gt;"",I199,IF(J199&lt;&gt;"",J199,IF(K199&lt;&gt;"",K199,L199)))</f>
        <v>30.41</v>
      </c>
      <c r="C199" s="3">
        <f>MEDIAN(I199:L199)</f>
        <v>30.41</v>
      </c>
      <c r="D199" s="3">
        <f>ROUND(C199*(1-Settings!$B$2),2)</f>
        <v>21.29</v>
      </c>
      <c r="E199" s="3">
        <f>ROUND(C199*(1-Settings!$B$3),2)</f>
        <v>21.29</v>
      </c>
      <c r="F199" s="2" t="inlineStr">
        <is>
          <t>One Piece</t>
        </is>
      </c>
      <c r="G199" s="2" t="inlineStr">
        <is>
          <t>Deck</t>
        </is>
      </c>
      <c r="H199" s="2" t="inlineStr">
        <is>
          <t>Starter Deck 7 Big Mom Pirates</t>
        </is>
      </c>
      <c r="I199" s="3" t="n">
        <v>30.41</v>
      </c>
      <c r="J199" s="3" t="n"/>
      <c r="K199" s="3" t="n"/>
      <c r="L199" s="3" t="n"/>
      <c r="M199" s="2" t="inlineStr">
        <is>
          <t>PriceCharting</t>
        </is>
      </c>
      <c r="N199" s="4" t="inlineStr">
        <is>
          <t>https://www.pricecharting.com/game/one-piece-starter-deck-7-big-mom-pirates/sealed-deck</t>
        </is>
      </c>
    </row>
    <row r="200">
      <c r="A200" s="2" t="inlineStr">
        <is>
          <t>Starter Deck 8 Monkeydluffy Sealed Deck</t>
        </is>
      </c>
      <c r="B200" s="3">
        <f>IF(I200&lt;&gt;"",I200,IF(J200&lt;&gt;"",J200,IF(K200&lt;&gt;"",K200,L200)))</f>
        <v>19.99</v>
      </c>
      <c r="C200" s="3">
        <f>MEDIAN(I200:L200)</f>
        <v>19.99</v>
      </c>
      <c r="D200" s="3">
        <f>ROUND(C200*(1-Settings!$B$2),2)</f>
        <v>13.99</v>
      </c>
      <c r="E200" s="3">
        <f>ROUND(C200*(1-Settings!$B$3),2)</f>
        <v>13.99</v>
      </c>
      <c r="F200" s="2" t="inlineStr">
        <is>
          <t>One Piece</t>
        </is>
      </c>
      <c r="G200" s="2" t="inlineStr">
        <is>
          <t>Deck</t>
        </is>
      </c>
      <c r="H200" s="2" t="inlineStr">
        <is>
          <t>Starter Deck 8 Monkeydluffy</t>
        </is>
      </c>
      <c r="I200" s="3" t="n">
        <v>19.99</v>
      </c>
      <c r="J200" s="3" t="n"/>
      <c r="K200" s="3" t="n"/>
      <c r="L200" s="3" t="n"/>
      <c r="M200" s="2" t="inlineStr">
        <is>
          <t>PriceCharting</t>
        </is>
      </c>
      <c r="N200" s="4" t="inlineStr">
        <is>
          <t>https://www.pricecharting.com/game/one-piece-starter-deck-8-monkeydluffy/sealed-deck</t>
        </is>
      </c>
    </row>
    <row r="201">
      <c r="A201" s="2" t="inlineStr">
        <is>
          <t>Starter Deck 9 Yamato Sealed Deck</t>
        </is>
      </c>
      <c r="B201" s="3">
        <f>IF(I201&lt;&gt;"",I201,IF(J201&lt;&gt;"",J201,IF(K201&lt;&gt;"",K201,L201)))</f>
        <v>13.26</v>
      </c>
      <c r="C201" s="3">
        <f>MEDIAN(I201:L201)</f>
        <v>13.26</v>
      </c>
      <c r="D201" s="3">
        <f>ROUND(C201*(1-Settings!$B$2),2)</f>
        <v>9.28</v>
      </c>
      <c r="E201" s="3">
        <f>ROUND(C201*(1-Settings!$B$3),2)</f>
        <v>9.28</v>
      </c>
      <c r="F201" s="2" t="inlineStr">
        <is>
          <t>One Piece</t>
        </is>
      </c>
      <c r="G201" s="2" t="inlineStr">
        <is>
          <t>Deck</t>
        </is>
      </c>
      <c r="H201" s="2" t="inlineStr">
        <is>
          <t>Starter Deck 9 Yamato</t>
        </is>
      </c>
      <c r="I201" s="3" t="n">
        <v>13.26</v>
      </c>
      <c r="J201" s="3" t="n"/>
      <c r="K201" s="3" t="n"/>
      <c r="L201" s="3" t="n"/>
      <c r="M201" s="2" t="inlineStr">
        <is>
          <t>PriceCharting</t>
        </is>
      </c>
      <c r="N201" s="4" t="inlineStr">
        <is>
          <t>https://www.pricecharting.com/game/one-piece-starter-deck-9-yamato/sealed-deck</t>
        </is>
      </c>
    </row>
    <row r="202">
      <c r="A202" s="2" t="inlineStr">
        <is>
          <t>Starter Starter Deck 32 Green Roronoa Zoro Sealed Deck</t>
        </is>
      </c>
      <c r="B202" s="3">
        <f>IF(I202&lt;&gt;"",I202,IF(J202&lt;&gt;"",J202,IF(K202&lt;&gt;"",K202,L202)))</f>
        <v>20.2</v>
      </c>
      <c r="C202" s="3">
        <f>MEDIAN(I202:L202)</f>
        <v>20.2</v>
      </c>
      <c r="D202" s="3">
        <f>ROUND(C202*(1-Settings!$B$2),2)</f>
        <v>14.14</v>
      </c>
      <c r="E202" s="3">
        <f>ROUND(C202*(1-Settings!$B$3),2)</f>
        <v>14.14</v>
      </c>
      <c r="F202" s="2" t="inlineStr">
        <is>
          <t>One Piece</t>
        </is>
      </c>
      <c r="G202" s="2" t="inlineStr">
        <is>
          <t>Deck</t>
        </is>
      </c>
      <c r="H202" s="2" t="inlineStr">
        <is>
          <t>Starter Starter Deck 32 Green Roronoa Zoro</t>
        </is>
      </c>
      <c r="I202" s="3" t="n">
        <v>20.2</v>
      </c>
      <c r="J202" s="3" t="n"/>
      <c r="K202" s="3" t="n"/>
      <c r="L202" s="3" t="n"/>
      <c r="M202" s="2" t="inlineStr">
        <is>
          <t>PriceCharting</t>
        </is>
      </c>
      <c r="N202" s="4" t="inlineStr">
        <is>
          <t>https://www.pricecharting.com/game/one-piece-starter-starter-deck-32-green-roronoa-zoro/sealed-deck</t>
        </is>
      </c>
    </row>
    <row r="203">
      <c r="A203" s="2" t="inlineStr">
        <is>
          <t>Starter Starter Deck 33 Blue Kuzan Sealed Deck</t>
        </is>
      </c>
      <c r="B203" s="3">
        <f>IF(I203&lt;&gt;"",I203,IF(J203&lt;&gt;"",J203,IF(K203&lt;&gt;"",K203,L203)))</f>
        <v>9.74</v>
      </c>
      <c r="C203" s="3">
        <f>MEDIAN(I203:L203)</f>
        <v>9.74</v>
      </c>
      <c r="D203" s="3">
        <f>ROUND(C203*(1-Settings!$B$2),2)</f>
        <v>6.82</v>
      </c>
      <c r="E203" s="3">
        <f>ROUND(C203*(1-Settings!$B$3),2)</f>
        <v>6.82</v>
      </c>
      <c r="F203" s="2" t="inlineStr">
        <is>
          <t>One Piece</t>
        </is>
      </c>
      <c r="G203" s="2" t="inlineStr">
        <is>
          <t>Deck</t>
        </is>
      </c>
      <c r="H203" s="2" t="inlineStr">
        <is>
          <t>Starter Starter Deck 33 Blue Kuzan</t>
        </is>
      </c>
      <c r="I203" s="3" t="n">
        <v>9.74</v>
      </c>
      <c r="J203" s="3" t="n"/>
      <c r="K203" s="3" t="n"/>
      <c r="L203" s="3" t="n"/>
      <c r="M203" s="2" t="inlineStr">
        <is>
          <t>PriceCharting</t>
        </is>
      </c>
      <c r="N203" s="4" t="inlineStr">
        <is>
          <t>https://www.pricecharting.com/game/one-piece-starter-starter-deck-33-blue-kuzan/sealed-deck</t>
        </is>
      </c>
    </row>
    <row r="204">
      <c r="A204" s="2" t="inlineStr">
        <is>
          <t>Starter Starter Deck 34 Purple Charlotte Katakuri Sealed Deck</t>
        </is>
      </c>
      <c r="B204" s="3">
        <f>IF(I204&lt;&gt;"",I204,IF(J204&lt;&gt;"",J204,IF(K204&lt;&gt;"",K204,L204)))</f>
        <v>15.0</v>
      </c>
      <c r="C204" s="3">
        <f>MEDIAN(I204:L204)</f>
        <v>15.0</v>
      </c>
      <c r="D204" s="3">
        <f>ROUND(C204*(1-Settings!$B$2),2)</f>
        <v>10.5</v>
      </c>
      <c r="E204" s="3">
        <f>ROUND(C204*(1-Settings!$B$3),2)</f>
        <v>10.5</v>
      </c>
      <c r="F204" s="2" t="inlineStr">
        <is>
          <t>One Piece</t>
        </is>
      </c>
      <c r="G204" s="2" t="inlineStr">
        <is>
          <t>Deck</t>
        </is>
      </c>
      <c r="H204" s="2" t="inlineStr">
        <is>
          <t>Starter Starter Deck 34 Purple Charlotte Katakuri</t>
        </is>
      </c>
      <c r="I204" s="3" t="n">
        <v>15</v>
      </c>
      <c r="J204" s="3" t="n"/>
      <c r="K204" s="3" t="n"/>
      <c r="L204" s="3" t="n"/>
      <c r="M204" s="2" t="inlineStr">
        <is>
          <t>PriceCharting</t>
        </is>
      </c>
      <c r="N204" s="4" t="inlineStr">
        <is>
          <t>https://www.pricecharting.com/game/one-piece-starter-starter-deck-34-purple-charlotte-katakuri/sealed-deck</t>
        </is>
      </c>
    </row>
    <row r="205">
      <c r="A205" s="2" t="inlineStr">
        <is>
          <t>Starter Starter Deck 35 Red Black Sabo Sealed Deck</t>
        </is>
      </c>
      <c r="B205" s="3">
        <f>IF(I205&lt;&gt;"",I205,IF(J205&lt;&gt;"",J205,IF(K205&lt;&gt;"",K205,L205)))</f>
        <v>16.25</v>
      </c>
      <c r="C205" s="3">
        <f>MEDIAN(I205:L205)</f>
        <v>16.25</v>
      </c>
      <c r="D205" s="3">
        <f>ROUND(C205*(1-Settings!$B$2),2)</f>
        <v>11.38</v>
      </c>
      <c r="E205" s="3">
        <f>ROUND(C205*(1-Settings!$B$3),2)</f>
        <v>11.38</v>
      </c>
      <c r="F205" s="2" t="inlineStr">
        <is>
          <t>One Piece</t>
        </is>
      </c>
      <c r="G205" s="2" t="inlineStr">
        <is>
          <t>Deck</t>
        </is>
      </c>
      <c r="H205" s="2" t="inlineStr">
        <is>
          <t>Starter Starter Deck 35 Red Black Sabo</t>
        </is>
      </c>
      <c r="I205" s="3" t="n">
        <v>16.25</v>
      </c>
      <c r="J205" s="3" t="n"/>
      <c r="K205" s="3" t="n"/>
      <c r="L205" s="3" t="n"/>
      <c r="M205" s="2" t="inlineStr">
        <is>
          <t>PriceCharting</t>
        </is>
      </c>
      <c r="N205" s="4" t="inlineStr">
        <is>
          <t>https://www.pricecharting.com/game/one-piece-starter-starter-deck-35-red-black-sabo/sealed-deck</t>
        </is>
      </c>
    </row>
    <row r="206">
      <c r="A206" s="2" t="inlineStr">
        <is>
          <t>Starter Starter Deck 36 Yellow Eustass Captain Kid Sealed Deck</t>
        </is>
      </c>
      <c r="B206" s="3">
        <f>IF(I206&lt;&gt;"",I206,IF(J206&lt;&gt;"",J206,IF(K206&lt;&gt;"",K206,L206)))</f>
        <v>7.51</v>
      </c>
      <c r="C206" s="3">
        <f>MEDIAN(I206:L206)</f>
        <v>7.51</v>
      </c>
      <c r="D206" s="3">
        <f>ROUND(C206*(1-Settings!$B$2),2)</f>
        <v>5.26</v>
      </c>
      <c r="E206" s="3">
        <f>ROUND(C206*(1-Settings!$B$3),2)</f>
        <v>5.26</v>
      </c>
      <c r="F206" s="2" t="inlineStr">
        <is>
          <t>One Piece</t>
        </is>
      </c>
      <c r="G206" s="2" t="inlineStr">
        <is>
          <t>Deck</t>
        </is>
      </c>
      <c r="H206" s="2" t="inlineStr">
        <is>
          <t>Starter Starter Deck 36 Yellow Eustass Captain Kid</t>
        </is>
      </c>
      <c r="I206" s="3" t="n">
        <v>7.51</v>
      </c>
      <c r="J206" s="3" t="n"/>
      <c r="K206" s="3" t="n"/>
      <c r="L206" s="3" t="n"/>
      <c r="M206" s="2" t="inlineStr">
        <is>
          <t>PriceCharting</t>
        </is>
      </c>
      <c r="N206" s="4" t="inlineStr">
        <is>
          <t>https://www.pricecharting.com/game/one-piece-starter-starter-deck-36-yellow-eustass-captain-kid/sealed-deck</t>
        </is>
      </c>
    </row>
    <row r="207">
      <c r="A207" s="2" t="inlineStr">
        <is>
          <t>Ultra Deck The Three Brothers Sealed Deck</t>
        </is>
      </c>
      <c r="B207" s="3">
        <f>IF(I207&lt;&gt;"",I207,IF(J207&lt;&gt;"",J207,IF(K207&lt;&gt;"",K207,L207)))</f>
        <v>69.99</v>
      </c>
      <c r="C207" s="3">
        <f>MEDIAN(I207:L207)</f>
        <v>69.99</v>
      </c>
      <c r="D207" s="3">
        <f>ROUND(C207*(1-Settings!$B$2),2)</f>
        <v>48.99</v>
      </c>
      <c r="E207" s="3">
        <f>ROUND(C207*(1-Settings!$B$3),2)</f>
        <v>48.99</v>
      </c>
      <c r="F207" s="2" t="inlineStr">
        <is>
          <t>One Piece</t>
        </is>
      </c>
      <c r="G207" s="2" t="inlineStr">
        <is>
          <t>Deck</t>
        </is>
      </c>
      <c r="H207" s="2" t="inlineStr">
        <is>
          <t>Ultra Deck The Three Brothers</t>
        </is>
      </c>
      <c r="I207" s="3" t="n">
        <v>69.98999999999999</v>
      </c>
      <c r="J207" s="3" t="n"/>
      <c r="K207" s="3" t="n"/>
      <c r="L207" s="3" t="n"/>
      <c r="M207" s="2" t="inlineStr">
        <is>
          <t>PriceCharting</t>
        </is>
      </c>
      <c r="N207" s="4" t="inlineStr">
        <is>
          <t>https://www.pricecharting.com/game/one-piece-ultra-deck-the-three-brothers/sealed-deck</t>
        </is>
      </c>
    </row>
    <row r="208">
      <c r="A208" s="2" t="inlineStr">
        <is>
          <t>Ultra Deck The Three Captains Sealed Deck</t>
        </is>
      </c>
      <c r="B208" s="3">
        <f>IF(I208&lt;&gt;"",I208,IF(J208&lt;&gt;"",J208,IF(K208&lt;&gt;"",K208,L208)))</f>
        <v>69.0</v>
      </c>
      <c r="C208" s="3">
        <f>MEDIAN(I208:L208)</f>
        <v>69.0</v>
      </c>
      <c r="D208" s="3">
        <f>ROUND(C208*(1-Settings!$B$2),2)</f>
        <v>48.3</v>
      </c>
      <c r="E208" s="3">
        <f>ROUND(C208*(1-Settings!$B$3),2)</f>
        <v>48.3</v>
      </c>
      <c r="F208" s="2" t="inlineStr">
        <is>
          <t>One Piece</t>
        </is>
      </c>
      <c r="G208" s="2" t="inlineStr">
        <is>
          <t>Deck</t>
        </is>
      </c>
      <c r="H208" s="2" t="inlineStr">
        <is>
          <t>Ultra Deck The Three Captains</t>
        </is>
      </c>
      <c r="I208" s="3" t="n">
        <v>69</v>
      </c>
      <c r="J208" s="3" t="n"/>
      <c r="K208" s="3" t="n"/>
      <c r="L208" s="3" t="n"/>
      <c r="M208" s="2" t="inlineStr">
        <is>
          <t>PriceCharting</t>
        </is>
      </c>
      <c r="N208" s="4" t="inlineStr">
        <is>
          <t>https://www.pricecharting.com/game/one-piece-ultra-deck-the-three-captains/sealed-deck</t>
        </is>
      </c>
    </row>
    <row r="209">
      <c r="A209" s="2" t="inlineStr">
        <is>
          <t>Japanese Promo Bea Rubber Playmat Set</t>
        </is>
      </c>
      <c r="B209" s="3">
        <f>IF(I209&lt;&gt;"",I209,IF(J209&lt;&gt;"",J209,IF(K209&lt;&gt;"",K209,L209)))</f>
        <v>169.8</v>
      </c>
      <c r="C209" s="3">
        <f>MEDIAN(I209:L209)</f>
        <v>169.8</v>
      </c>
      <c r="D209" s="3">
        <f>ROUND(C209*(1-Settings!$B$2),2)</f>
        <v>118.86</v>
      </c>
      <c r="E209" s="3">
        <f>ROUND(C209*(1-Settings!$B$3),2)</f>
        <v>118.86</v>
      </c>
      <c r="F209" s="2" t="inlineStr">
        <is>
          <t>Pokemon</t>
        </is>
      </c>
      <c r="G209" s="2" t="inlineStr">
        <is>
          <t>Accessory</t>
        </is>
      </c>
      <c r="H209" s="2" t="inlineStr">
        <is>
          <t>Japanese Promo</t>
        </is>
      </c>
      <c r="I209" s="3" t="n">
        <v>169.8</v>
      </c>
      <c r="J209" s="3" t="n"/>
      <c r="K209" s="3" t="n"/>
      <c r="L209" s="3" t="n"/>
      <c r="M209" s="2" t="inlineStr">
        <is>
          <t>PriceCharting</t>
        </is>
      </c>
      <c r="N209" s="4" t="inlineStr">
        <is>
          <t>https://www.pricecharting.com/game/pokemon-japanese-promo/bea-rubber-playmat-set</t>
        </is>
      </c>
    </row>
    <row r="210">
      <c r="A210" s="2" t="inlineStr">
        <is>
          <t>Japanese Vmax Climax Victor &amp; Gloria Rubber Playmat Set</t>
        </is>
      </c>
      <c r="B210" s="3">
        <f>IF(I210&lt;&gt;"",I210,IF(J210&lt;&gt;"",J210,IF(K210&lt;&gt;"",K210,L210)))</f>
        <v>83.72</v>
      </c>
      <c r="C210" s="3">
        <f>MEDIAN(I210:L210)</f>
        <v>83.72</v>
      </c>
      <c r="D210" s="3">
        <f>ROUND(C210*(1-Settings!$B$2),2)</f>
        <v>58.6</v>
      </c>
      <c r="E210" s="3">
        <f>ROUND(C210*(1-Settings!$B$3),2)</f>
        <v>58.6</v>
      </c>
      <c r="F210" s="2" t="inlineStr">
        <is>
          <t>Pokemon</t>
        </is>
      </c>
      <c r="G210" s="2" t="inlineStr">
        <is>
          <t>Accessory</t>
        </is>
      </c>
      <c r="H210" s="2" t="inlineStr">
        <is>
          <t>Japanese Vmax Climax</t>
        </is>
      </c>
      <c r="I210" s="3" t="n">
        <v>83.72</v>
      </c>
      <c r="J210" s="3" t="n"/>
      <c r="K210" s="3" t="n"/>
      <c r="L210" s="3" t="n"/>
      <c r="M210" s="2" t="inlineStr">
        <is>
          <t>PriceCharting</t>
        </is>
      </c>
      <c r="N210" s="4" t="inlineStr">
        <is>
          <t>https://www.pricecharting.com/game/pokemon-japanese-vmax-climax/victor-&amp;-gloria-rubber-playmat-set</t>
        </is>
      </c>
    </row>
    <row r="211">
      <c r="A211" s="2" t="inlineStr">
        <is>
          <t>Promo Elite Trainer Deck Shield: Dawn Wings Necrozma</t>
        </is>
      </c>
      <c r="B211" s="3">
        <f>IF(I211&lt;&gt;"",I211,IF(J211&lt;&gt;"",J211,IF(K211&lt;&gt;"",K211,L211)))</f>
        <v>55.0</v>
      </c>
      <c r="C211" s="3">
        <f>MEDIAN(I211:L211)</f>
        <v>55.0</v>
      </c>
      <c r="D211" s="3">
        <f>ROUND(C211*(1-Settings!$B$2),2)</f>
        <v>38.5</v>
      </c>
      <c r="E211" s="3">
        <f>ROUND(C211*(1-Settings!$B$3),2)</f>
        <v>38.5</v>
      </c>
      <c r="F211" s="2" t="inlineStr">
        <is>
          <t>Pokemon</t>
        </is>
      </c>
      <c r="G211" s="2" t="inlineStr">
        <is>
          <t>Accessory</t>
        </is>
      </c>
      <c r="H211" s="2" t="inlineStr">
        <is>
          <t>Promo</t>
        </is>
      </c>
      <c r="I211" s="3" t="n">
        <v>55</v>
      </c>
      <c r="J211" s="3" t="n"/>
      <c r="K211" s="3" t="n"/>
      <c r="L211" s="3" t="n"/>
      <c r="M211" s="2" t="inlineStr">
        <is>
          <t>PriceCharting</t>
        </is>
      </c>
      <c r="N211" s="4" t="inlineStr">
        <is>
          <t>https://www.pricecharting.com/game/pokemon-promo/elite-trainer-deck-shield-dawn-wings-necrozma</t>
        </is>
      </c>
    </row>
    <row r="212">
      <c r="A212" s="2" t="inlineStr">
        <is>
          <t>Steam Siege Volcanion Elite Trainer Deck Shield</t>
        </is>
      </c>
      <c r="B212" s="3">
        <f>IF(I212&lt;&gt;"",I212,IF(J212&lt;&gt;"",J212,IF(K212&lt;&gt;"",K212,L212)))</f>
        <v>27.74</v>
      </c>
      <c r="C212" s="3">
        <f>MEDIAN(I212:L212)</f>
        <v>27.74</v>
      </c>
      <c r="D212" s="3">
        <f>ROUND(C212*(1-Settings!$B$2),2)</f>
        <v>19.42</v>
      </c>
      <c r="E212" s="3">
        <f>ROUND(C212*(1-Settings!$B$3),2)</f>
        <v>19.42</v>
      </c>
      <c r="F212" s="2" t="inlineStr">
        <is>
          <t>Pokemon</t>
        </is>
      </c>
      <c r="G212" s="2" t="inlineStr">
        <is>
          <t>Accessory</t>
        </is>
      </c>
      <c r="H212" s="2" t="inlineStr">
        <is>
          <t>Steam Siege</t>
        </is>
      </c>
      <c r="I212" s="3" t="n">
        <v>27.74</v>
      </c>
      <c r="J212" s="3" t="n"/>
      <c r="K212" s="3" t="n"/>
      <c r="L212" s="3" t="n"/>
      <c r="M212" s="2" t="inlineStr">
        <is>
          <t>PriceCharting</t>
        </is>
      </c>
      <c r="N212" s="4" t="inlineStr">
        <is>
          <t>https://www.pricecharting.com/game/pokemon-steam-siege/volcanion-elite-trainer-deck-shield</t>
        </is>
      </c>
    </row>
    <row r="213">
      <c r="A213" s="2" t="inlineStr">
        <is>
          <t>Steam Siege Zygarde Elite Trainer Deck Shield</t>
        </is>
      </c>
      <c r="B213" s="3">
        <f>IF(I213&lt;&gt;"",I213,IF(J213&lt;&gt;"",J213,IF(K213&lt;&gt;"",K213,L213)))</f>
        <v>29.0</v>
      </c>
      <c r="C213" s="3">
        <f>MEDIAN(I213:L213)</f>
        <v>29.0</v>
      </c>
      <c r="D213" s="3">
        <f>ROUND(C213*(1-Settings!$B$2),2)</f>
        <v>20.3</v>
      </c>
      <c r="E213" s="3">
        <f>ROUND(C213*(1-Settings!$B$3),2)</f>
        <v>20.3</v>
      </c>
      <c r="F213" s="2" t="inlineStr">
        <is>
          <t>Pokemon</t>
        </is>
      </c>
      <c r="G213" s="2" t="inlineStr">
        <is>
          <t>Accessory</t>
        </is>
      </c>
      <c r="H213" s="2" t="inlineStr">
        <is>
          <t>Steam Siege</t>
        </is>
      </c>
      <c r="I213" s="3" t="n">
        <v>29</v>
      </c>
      <c r="J213" s="3" t="n"/>
      <c r="K213" s="3" t="n"/>
      <c r="L213" s="3" t="n"/>
      <c r="M213" s="2" t="inlineStr">
        <is>
          <t>PriceCharting</t>
        </is>
      </c>
      <c r="N213" s="4" t="inlineStr">
        <is>
          <t>https://www.pricecharting.com/game/pokemon-steam-siege/zygarde-elite-trainer-deck-shield</t>
        </is>
      </c>
    </row>
    <row r="214">
      <c r="A214" s="2" t="inlineStr">
        <is>
          <t>Pokemon TCG: Battle Academy 2022 Case</t>
        </is>
      </c>
      <c r="B214" s="3">
        <f>IF(I214&lt;&gt;"",I214,IF(J214&lt;&gt;"",J214,IF(K214&lt;&gt;"",K214,L214)))</f>
        <v>129.22</v>
      </c>
      <c r="C214" s="3">
        <f>MEDIAN(I214:L214)</f>
        <v>129.11</v>
      </c>
      <c r="D214" s="3">
        <f>ROUND(C214*(1-Settings!$B$2),2)</f>
        <v>90.38</v>
      </c>
      <c r="E214" s="3">
        <f>ROUND(C214*(1-Settings!$B$3),2)</f>
        <v>90.38</v>
      </c>
      <c r="F214" s="2" t="inlineStr">
        <is>
          <t>Pokemon</t>
        </is>
      </c>
      <c r="G214" s="2" t="inlineStr">
        <is>
          <t>Case/Display</t>
        </is>
      </c>
      <c r="H214" s="2" t="inlineStr">
        <is>
          <t>Battle Academy 2022</t>
        </is>
      </c>
      <c r="I214" s="3" t="n"/>
      <c r="J214" s="3" t="n"/>
      <c r="K214" s="3" t="n">
        <v>129.22</v>
      </c>
      <c r="L214" s="3" t="n">
        <v>129</v>
      </c>
      <c r="M214" s="2" t="inlineStr">
        <is>
          <t>TCGplayer</t>
        </is>
      </c>
      <c r="O214" s="4" t="inlineStr">
        <is>
          <t>https://www.tcgplayer.com/product/688727</t>
        </is>
      </c>
    </row>
    <row r="215">
      <c r="A215" s="2" t="inlineStr">
        <is>
          <t>Celebrations Collection Case</t>
        </is>
      </c>
      <c r="B215" s="3">
        <f>IF(I215&lt;&gt;"",I215,IF(J215&lt;&gt;"",J215,IF(K215&lt;&gt;"",K215,L215)))</f>
        <v>899.98</v>
      </c>
      <c r="C215" s="3">
        <f>MEDIAN(I215:L215)</f>
        <v>900.0</v>
      </c>
      <c r="D215" s="3">
        <f>ROUND(C215*(1-Settings!$B$2),2)</f>
        <v>630.0</v>
      </c>
      <c r="E215" s="3">
        <f>ROUND(C215*(1-Settings!$B$3),2)</f>
        <v>630.0</v>
      </c>
      <c r="F215" s="2" t="inlineStr">
        <is>
          <t>Pokemon</t>
        </is>
      </c>
      <c r="G215" s="2" t="inlineStr">
        <is>
          <t>Case/Display</t>
        </is>
      </c>
      <c r="H215" s="2" t="inlineStr">
        <is>
          <t>Celebrations</t>
        </is>
      </c>
      <c r="I215" s="3" t="n"/>
      <c r="J215" s="3" t="n">
        <v>899.98</v>
      </c>
      <c r="K215" s="3" t="n">
        <v>1349.97</v>
      </c>
      <c r="L215" s="3" t="n">
        <v>900</v>
      </c>
      <c r="M215" s="2" t="inlineStr">
        <is>
          <t>TCGplayer</t>
        </is>
      </c>
      <c r="O215" s="4" t="inlineStr">
        <is>
          <t>https://www.tcgplayer.com/product/455796</t>
        </is>
      </c>
    </row>
    <row r="216">
      <c r="A216" s="2" t="inlineStr">
        <is>
          <t>Celebrations Collection Case [Dragapult Prime]</t>
        </is>
      </c>
      <c r="B216" s="3">
        <f>IF(I216&lt;&gt;"",I216,IF(J216&lt;&gt;"",J216,IF(K216&lt;&gt;"",K216,L216)))</f>
        <v>599.95</v>
      </c>
      <c r="C216" s="3">
        <f>MEDIAN(I216:L216)</f>
        <v>597.48</v>
      </c>
      <c r="D216" s="3">
        <f>ROUND(C216*(1-Settings!$B$2),2)</f>
        <v>418.24</v>
      </c>
      <c r="E216" s="3">
        <f>ROUND(C216*(1-Settings!$B$3),2)</f>
        <v>418.24</v>
      </c>
      <c r="F216" s="2" t="inlineStr">
        <is>
          <t>Pokemon</t>
        </is>
      </c>
      <c r="G216" s="2" t="inlineStr">
        <is>
          <t>Case/Display</t>
        </is>
      </c>
      <c r="H216" s="2" t="inlineStr">
        <is>
          <t>Celebrations</t>
        </is>
      </c>
      <c r="I216" s="3" t="n"/>
      <c r="J216" s="3" t="n">
        <v>599.95</v>
      </c>
      <c r="K216" s="3" t="n">
        <v>597.48</v>
      </c>
      <c r="L216" s="3" t="n">
        <v>594.99</v>
      </c>
      <c r="M216" s="2" t="inlineStr">
        <is>
          <t>TCGplayer</t>
        </is>
      </c>
      <c r="O216" s="4" t="inlineStr">
        <is>
          <t>https://www.tcgplayer.com/product/251880</t>
        </is>
      </c>
    </row>
    <row r="217">
      <c r="A217" s="2" t="inlineStr">
        <is>
          <t>Celebrations Deluxe Pin Collection Case [Zacian LV. X]</t>
        </is>
      </c>
      <c r="B217" s="3">
        <f>IF(I217&lt;&gt;"",I217,IF(J217&lt;&gt;"",J217,IF(K217&lt;&gt;"",K217,L217)))</f>
        <v>1499.95</v>
      </c>
      <c r="C217" s="3">
        <f>MEDIAN(I217:L217)</f>
        <v>1499.95</v>
      </c>
      <c r="D217" s="3">
        <f>ROUND(C217*(1-Settings!$B$2),2)</f>
        <v>1049.97</v>
      </c>
      <c r="E217" s="3">
        <f>ROUND(C217*(1-Settings!$B$3),2)</f>
        <v>1049.97</v>
      </c>
      <c r="F217" s="2" t="inlineStr">
        <is>
          <t>Pokemon</t>
        </is>
      </c>
      <c r="G217" s="2" t="inlineStr">
        <is>
          <t>Case/Display</t>
        </is>
      </c>
      <c r="H217" s="2" t="inlineStr">
        <is>
          <t>Celebrations</t>
        </is>
      </c>
      <c r="I217" s="3" t="n"/>
      <c r="J217" s="3" t="n"/>
      <c r="K217" s="3" t="n">
        <v>1499.95</v>
      </c>
      <c r="L217" s="3" t="n">
        <v>1499.95</v>
      </c>
      <c r="M217" s="2" t="inlineStr">
        <is>
          <t>TCGplayer</t>
        </is>
      </c>
      <c r="O217" s="4" t="inlineStr">
        <is>
          <t>https://www.tcgplayer.com/product/256970</t>
        </is>
      </c>
    </row>
    <row r="218">
      <c r="A218" s="2" t="inlineStr">
        <is>
          <t>Celebrations Elite Trainer Box Case</t>
        </is>
      </c>
      <c r="B218" s="3">
        <f>IF(I218&lt;&gt;"",I218,IF(J218&lt;&gt;"",J218,IF(K218&lt;&gt;"",K218,L218)))</f>
        <v>4199.99</v>
      </c>
      <c r="C218" s="3">
        <f>MEDIAN(I218:L218)</f>
        <v>4259.99</v>
      </c>
      <c r="D218" s="3">
        <f>ROUND(C218*(1-Settings!$B$2),2)</f>
        <v>2981.99</v>
      </c>
      <c r="E218" s="3">
        <f>ROUND(C218*(1-Settings!$B$3),2)</f>
        <v>2981.99</v>
      </c>
      <c r="F218" s="2" t="inlineStr">
        <is>
          <t>Pokemon</t>
        </is>
      </c>
      <c r="G218" s="2" t="inlineStr">
        <is>
          <t>Case/Display</t>
        </is>
      </c>
      <c r="H218" s="2" t="inlineStr">
        <is>
          <t>Celebrations</t>
        </is>
      </c>
      <c r="I218" s="3" t="n"/>
      <c r="J218" s="3" t="n">
        <v>4199.99</v>
      </c>
      <c r="K218" s="3" t="n">
        <v>4817.5</v>
      </c>
      <c r="L218" s="3" t="n">
        <v>4259.99</v>
      </c>
      <c r="M218" s="2" t="inlineStr">
        <is>
          <t>TCGplayer</t>
        </is>
      </c>
      <c r="O218" s="4" t="inlineStr">
        <is>
          <t>https://www.tcgplayer.com/product/251895</t>
        </is>
      </c>
    </row>
    <row r="219">
      <c r="A219" s="2" t="inlineStr">
        <is>
          <t>Celebrations Mini Tin Display</t>
        </is>
      </c>
      <c r="B219" s="3">
        <f>IF(I219&lt;&gt;"",I219,IF(J219&lt;&gt;"",J219,IF(K219&lt;&gt;"",K219,L219)))</f>
        <v>465.86</v>
      </c>
      <c r="C219" s="3">
        <f>MEDIAN(I219:L219)</f>
        <v>465.86</v>
      </c>
      <c r="D219" s="3">
        <f>ROUND(C219*(1-Settings!$B$2),2)</f>
        <v>326.1</v>
      </c>
      <c r="E219" s="3">
        <f>ROUND(C219*(1-Settings!$B$3),2)</f>
        <v>326.1</v>
      </c>
      <c r="F219" s="2" t="inlineStr">
        <is>
          <t>Pokemon</t>
        </is>
      </c>
      <c r="G219" s="2" t="inlineStr">
        <is>
          <t>Case/Display</t>
        </is>
      </c>
      <c r="H219" s="2" t="inlineStr">
        <is>
          <t>Celebrations</t>
        </is>
      </c>
      <c r="I219" s="3" t="n">
        <v>465.86</v>
      </c>
      <c r="J219" s="3" t="n"/>
      <c r="K219" s="3" t="n"/>
      <c r="L219" s="3" t="n"/>
      <c r="M219" s="2" t="inlineStr">
        <is>
          <t>PriceCharting</t>
        </is>
      </c>
      <c r="N219" s="4" t="inlineStr">
        <is>
          <t>https://www.pricecharting.com/game/pokemon-celebrations/mini-tin-display</t>
        </is>
      </c>
    </row>
    <row r="220">
      <c r="A220" s="2" t="inlineStr">
        <is>
          <t>Celebrations Ultra-Premium Collection Case</t>
        </is>
      </c>
      <c r="B220" s="3">
        <f>IF(I220&lt;&gt;"",I220,IF(J220&lt;&gt;"",J220,IF(K220&lt;&gt;"",K220,L220)))</f>
        <v>5888.88</v>
      </c>
      <c r="C220" s="3">
        <f>MEDIAN(I220:L220)</f>
        <v>9999.99</v>
      </c>
      <c r="D220" s="3">
        <f>ROUND(C220*(1-Settings!$B$2),2)</f>
        <v>6999.99</v>
      </c>
      <c r="E220" s="3">
        <f>ROUND(C220*(1-Settings!$B$3),2)</f>
        <v>6999.99</v>
      </c>
      <c r="F220" s="2" t="inlineStr">
        <is>
          <t>Pokemon</t>
        </is>
      </c>
      <c r="G220" s="2" t="inlineStr">
        <is>
          <t>Case/Display</t>
        </is>
      </c>
      <c r="H220" s="2" t="inlineStr">
        <is>
          <t>Celebrations</t>
        </is>
      </c>
      <c r="I220" s="3" t="n"/>
      <c r="J220" s="3" t="n">
        <v>5888.88</v>
      </c>
      <c r="K220" s="3" t="n">
        <v>9999.99</v>
      </c>
      <c r="L220" s="3" t="n">
        <v>9999.99</v>
      </c>
      <c r="M220" s="2" t="inlineStr">
        <is>
          <t>TCGplayer</t>
        </is>
      </c>
      <c r="O220" s="4" t="inlineStr">
        <is>
          <t>https://www.tcgplayer.com/product/518638</t>
        </is>
      </c>
    </row>
    <row r="221">
      <c r="A221" s="2" t="inlineStr">
        <is>
          <t>Champion's Path Elite Trainer Box Case</t>
        </is>
      </c>
      <c r="B221" s="3">
        <f>IF(I221&lt;&gt;"",I221,IF(J221&lt;&gt;"",J221,IF(K221&lt;&gt;"",K221,L221)))</f>
        <v>2200.0</v>
      </c>
      <c r="C221" s="3">
        <f>MEDIAN(I221:L221)</f>
        <v>2199.975</v>
      </c>
      <c r="D221" s="3">
        <f>ROUND(C221*(1-Settings!$B$2),2)</f>
        <v>1539.98</v>
      </c>
      <c r="E221" s="3">
        <f>ROUND(C221*(1-Settings!$B$3),2)</f>
        <v>1539.98</v>
      </c>
      <c r="F221" s="2" t="inlineStr">
        <is>
          <t>Pokemon</t>
        </is>
      </c>
      <c r="G221" s="2" t="inlineStr">
        <is>
          <t>Case/Display</t>
        </is>
      </c>
      <c r="H221" s="2" t="inlineStr">
        <is>
          <t>Champion's Path</t>
        </is>
      </c>
      <c r="I221" s="3" t="n"/>
      <c r="J221" s="3" t="n"/>
      <c r="K221" s="3" t="n">
        <v>2200</v>
      </c>
      <c r="L221" s="3" t="n">
        <v>2199.95</v>
      </c>
      <c r="M221" s="2" t="inlineStr">
        <is>
          <t>TCGplayer</t>
        </is>
      </c>
      <c r="O221" s="4" t="inlineStr">
        <is>
          <t>https://www.tcgplayer.com/product/247385</t>
        </is>
      </c>
    </row>
    <row r="222">
      <c r="A222" s="2" t="inlineStr">
        <is>
          <t>Champion's Path Pin Collection Display: Turffield, Hulbury, &amp; Motostoke Gyms</t>
        </is>
      </c>
      <c r="B222" s="3">
        <f>IF(I222&lt;&gt;"",I222,IF(J222&lt;&gt;"",J222,IF(K222&lt;&gt;"",K222,L222)))</f>
        <v>345.0</v>
      </c>
      <c r="C222" s="3">
        <f>MEDIAN(I222:L222)</f>
        <v>335.0</v>
      </c>
      <c r="D222" s="3">
        <f>ROUND(C222*(1-Settings!$B$2),2)</f>
        <v>234.5</v>
      </c>
      <c r="E222" s="3">
        <f>ROUND(C222*(1-Settings!$B$3),2)</f>
        <v>234.5</v>
      </c>
      <c r="F222" s="2" t="inlineStr">
        <is>
          <t>Pokemon</t>
        </is>
      </c>
      <c r="G222" s="2" t="inlineStr">
        <is>
          <t>Case/Display</t>
        </is>
      </c>
      <c r="H222" s="2" t="inlineStr">
        <is>
          <t>Champion's Path</t>
        </is>
      </c>
      <c r="I222" s="3" t="n"/>
      <c r="J222" s="3" t="n"/>
      <c r="K222" s="3" t="n">
        <v>345</v>
      </c>
      <c r="L222" s="3" t="n">
        <v>325</v>
      </c>
      <c r="M222" s="2" t="inlineStr">
        <is>
          <t>TCGplayer</t>
        </is>
      </c>
      <c r="O222" s="4" t="inlineStr">
        <is>
          <t>https://www.tcgplayer.com/product/218792</t>
        </is>
      </c>
    </row>
    <row r="223">
      <c r="A223" s="2" t="inlineStr">
        <is>
          <t>Chaos Rising Build &amp; Battle Display</t>
        </is>
      </c>
      <c r="B223" s="3">
        <f>IF(I223&lt;&gt;"",I223,IF(J223&lt;&gt;"",J223,IF(K223&lt;&gt;"",K223,L223)))</f>
        <v>359.99</v>
      </c>
      <c r="C223" s="3">
        <f>MEDIAN(I223:L223)</f>
        <v>359.99</v>
      </c>
      <c r="D223" s="3">
        <f>ROUND(C223*(1-Settings!$B$2),2)</f>
        <v>251.99</v>
      </c>
      <c r="E223" s="3">
        <f>ROUND(C223*(1-Settings!$B$3),2)</f>
        <v>251.99</v>
      </c>
      <c r="F223" s="2" t="inlineStr">
        <is>
          <t>Pokemon</t>
        </is>
      </c>
      <c r="G223" s="2" t="inlineStr">
        <is>
          <t>Case/Display</t>
        </is>
      </c>
      <c r="H223" s="2" t="inlineStr">
        <is>
          <t>Chaos Rising</t>
        </is>
      </c>
      <c r="I223" s="3" t="n">
        <v>359.99</v>
      </c>
      <c r="J223" s="3" t="n"/>
      <c r="K223" s="3" t="n"/>
      <c r="L223" s="3" t="n"/>
      <c r="M223" s="2" t="inlineStr">
        <is>
          <t>PriceCharting</t>
        </is>
      </c>
      <c r="N223" s="4" t="inlineStr">
        <is>
          <t>https://www.pricecharting.com/game/pokemon-chaos-rising/build-&amp;-battle-display</t>
        </is>
      </c>
    </row>
    <row r="224">
      <c r="A224" s="2" t="inlineStr">
        <is>
          <t>Chinese Promo Charizard Card Display Frame Gift Box</t>
        </is>
      </c>
      <c r="B224" s="3">
        <f>IF(I224&lt;&gt;"",I224,IF(J224&lt;&gt;"",J224,IF(K224&lt;&gt;"",K224,L224)))</f>
        <v>24.95</v>
      </c>
      <c r="C224" s="3">
        <f>MEDIAN(I224:L224)</f>
        <v>24.95</v>
      </c>
      <c r="D224" s="3">
        <f>ROUND(C224*(1-Settings!$B$2),2)</f>
        <v>17.47</v>
      </c>
      <c r="E224" s="3">
        <f>ROUND(C224*(1-Settings!$B$3),2)</f>
        <v>17.47</v>
      </c>
      <c r="F224" s="2" t="inlineStr">
        <is>
          <t>Pokemon</t>
        </is>
      </c>
      <c r="G224" s="2" t="inlineStr">
        <is>
          <t>Case/Display</t>
        </is>
      </c>
      <c r="H224" s="2" t="inlineStr">
        <is>
          <t>Chinese Promo</t>
        </is>
      </c>
      <c r="I224" s="3" t="n">
        <v>24.95</v>
      </c>
      <c r="J224" s="3" t="n"/>
      <c r="K224" s="3" t="n"/>
      <c r="L224" s="3" t="n"/>
      <c r="M224" s="2" t="inlineStr">
        <is>
          <t>PriceCharting</t>
        </is>
      </c>
      <c r="N224" s="4" t="inlineStr">
        <is>
          <t>https://www.pricecharting.com/game/pokemon-chinese-promo/charizard-card-display-frame-gift-box</t>
        </is>
      </c>
    </row>
    <row r="225">
      <c r="A225" s="2" t="inlineStr">
        <is>
          <t>Chinese Promo Eevee Card Display Frame Gift Box</t>
        </is>
      </c>
      <c r="B225" s="3">
        <f>IF(I225&lt;&gt;"",I225,IF(J225&lt;&gt;"",J225,IF(K225&lt;&gt;"",K225,L225)))</f>
        <v>20.0</v>
      </c>
      <c r="C225" s="3">
        <f>MEDIAN(I225:L225)</f>
        <v>20.0</v>
      </c>
      <c r="D225" s="3">
        <f>ROUND(C225*(1-Settings!$B$2),2)</f>
        <v>14.0</v>
      </c>
      <c r="E225" s="3">
        <f>ROUND(C225*(1-Settings!$B$3),2)</f>
        <v>14.0</v>
      </c>
      <c r="F225" s="2" t="inlineStr">
        <is>
          <t>Pokemon</t>
        </is>
      </c>
      <c r="G225" s="2" t="inlineStr">
        <is>
          <t>Case/Display</t>
        </is>
      </c>
      <c r="H225" s="2" t="inlineStr">
        <is>
          <t>Chinese Promo</t>
        </is>
      </c>
      <c r="I225" s="3" t="n">
        <v>20</v>
      </c>
      <c r="J225" s="3" t="n"/>
      <c r="K225" s="3" t="n"/>
      <c r="L225" s="3" t="n"/>
      <c r="M225" s="2" t="inlineStr">
        <is>
          <t>PriceCharting</t>
        </is>
      </c>
      <c r="N225" s="4" t="inlineStr">
        <is>
          <t>https://www.pricecharting.com/game/pokemon-chinese-promo/eevee-card-display-frame-gift-box</t>
        </is>
      </c>
    </row>
    <row r="226">
      <c r="A226" s="2" t="inlineStr">
        <is>
          <t>Crown Zenith Sealed Tin Display</t>
        </is>
      </c>
      <c r="B226" s="3">
        <f>IF(I226&lt;&gt;"",I226,IF(J226&lt;&gt;"",J226,IF(K226&lt;&gt;"",K226,L226)))</f>
        <v>509.98</v>
      </c>
      <c r="C226" s="3">
        <f>MEDIAN(I226:L226)</f>
        <v>509.98</v>
      </c>
      <c r="D226" s="3">
        <f>ROUND(C226*(1-Settings!$B$2),2)</f>
        <v>356.99</v>
      </c>
      <c r="E226" s="3">
        <f>ROUND(C226*(1-Settings!$B$3),2)</f>
        <v>356.99</v>
      </c>
      <c r="F226" s="2" t="inlineStr">
        <is>
          <t>Pokemon</t>
        </is>
      </c>
      <c r="G226" s="2" t="inlineStr">
        <is>
          <t>Case/Display</t>
        </is>
      </c>
      <c r="H226" s="2" t="inlineStr">
        <is>
          <t>Crown Zenith</t>
        </is>
      </c>
      <c r="I226" s="3" t="n">
        <v>509.98</v>
      </c>
      <c r="J226" s="3" t="n"/>
      <c r="K226" s="3" t="n"/>
      <c r="L226" s="3" t="n"/>
      <c r="M226" s="2" t="inlineStr">
        <is>
          <t>PriceCharting</t>
        </is>
      </c>
      <c r="N226" s="4" t="inlineStr">
        <is>
          <t>https://www.pricecharting.com/game/pokemon-crown-zenith/sealed-tin-display</t>
        </is>
      </c>
    </row>
    <row r="227">
      <c r="A227" s="2" t="inlineStr">
        <is>
          <t>Detective Pikachu Case File</t>
        </is>
      </c>
      <c r="B227" s="3">
        <f>IF(I227&lt;&gt;"",I227,IF(J227&lt;&gt;"",J227,IF(K227&lt;&gt;"",K227,L227)))</f>
        <v>81.02</v>
      </c>
      <c r="C227" s="3">
        <f>MEDIAN(I227:L227)</f>
        <v>114.66</v>
      </c>
      <c r="D227" s="3">
        <f>ROUND(C227*(1-Settings!$B$2),2)</f>
        <v>80.26</v>
      </c>
      <c r="E227" s="3">
        <f>ROUND(C227*(1-Settings!$B$3),2)</f>
        <v>80.26</v>
      </c>
      <c r="F227" s="2" t="inlineStr">
        <is>
          <t>Pokemon</t>
        </is>
      </c>
      <c r="G227" s="2" t="inlineStr">
        <is>
          <t>Case/Display</t>
        </is>
      </c>
      <c r="H227" s="2" t="inlineStr">
        <is>
          <t>Detective Pikachu</t>
        </is>
      </c>
      <c r="I227" s="3" t="n">
        <v>81.02</v>
      </c>
      <c r="J227" s="3" t="n">
        <v>94.33</v>
      </c>
      <c r="K227" s="3" t="n">
        <v>140</v>
      </c>
      <c r="L227" s="3" t="n">
        <v>134.99</v>
      </c>
      <c r="M227" s="2" t="inlineStr">
        <is>
          <t>PriceCharting + TCGplayer</t>
        </is>
      </c>
      <c r="N227" s="4" t="inlineStr">
        <is>
          <t>https://www.pricecharting.com/game/pokemon-detective-pikachu/detective-pikachu-case-file</t>
        </is>
      </c>
      <c r="O227" s="4" t="inlineStr">
        <is>
          <t>https://www.tcgplayer.com/product/185245</t>
        </is>
      </c>
    </row>
    <row r="228">
      <c r="A228" s="2" t="inlineStr">
        <is>
          <t>Detective Pikachu Case File Display</t>
        </is>
      </c>
      <c r="B228" s="3">
        <f>IF(I228&lt;&gt;"",I228,IF(J228&lt;&gt;"",J228,IF(K228&lt;&gt;"",K228,L228)))</f>
        <v>575.66</v>
      </c>
      <c r="C228" s="3">
        <f>MEDIAN(I228:L228)</f>
        <v>575.66</v>
      </c>
      <c r="D228" s="3">
        <f>ROUND(C228*(1-Settings!$B$2),2)</f>
        <v>402.96</v>
      </c>
      <c r="E228" s="3">
        <f>ROUND(C228*(1-Settings!$B$3),2)</f>
        <v>402.96</v>
      </c>
      <c r="F228" s="2" t="inlineStr">
        <is>
          <t>Pokemon</t>
        </is>
      </c>
      <c r="G228" s="2" t="inlineStr">
        <is>
          <t>Case/Display</t>
        </is>
      </c>
      <c r="H228" s="2" t="inlineStr">
        <is>
          <t>Detective Pikachu</t>
        </is>
      </c>
      <c r="I228" s="3" t="n">
        <v>575.66</v>
      </c>
      <c r="J228" s="3" t="n"/>
      <c r="K228" s="3" t="n"/>
      <c r="L228" s="3" t="n"/>
      <c r="M228" s="2" t="inlineStr">
        <is>
          <t>PriceCharting</t>
        </is>
      </c>
      <c r="N228" s="4" t="inlineStr">
        <is>
          <t>https://www.pricecharting.com/game/pokemon-detective-pikachu/detective-pikachu-case-file-display</t>
        </is>
      </c>
    </row>
    <row r="229">
      <c r="A229" s="2" t="inlineStr">
        <is>
          <t>Detective Pikachu On the Case Figure Collection</t>
        </is>
      </c>
      <c r="B229" s="3">
        <f>IF(I229&lt;&gt;"",I229,IF(J229&lt;&gt;"",J229,IF(K229&lt;&gt;"",K229,L229)))</f>
        <v>256.0</v>
      </c>
      <c r="C229" s="3">
        <f>MEDIAN(I229:L229)</f>
        <v>438.28999999999996</v>
      </c>
      <c r="D229" s="3">
        <f>ROUND(C229*(1-Settings!$B$2),2)</f>
        <v>306.8</v>
      </c>
      <c r="E229" s="3">
        <f>ROUND(C229*(1-Settings!$B$3),2)</f>
        <v>306.8</v>
      </c>
      <c r="F229" s="2" t="inlineStr">
        <is>
          <t>Pokemon</t>
        </is>
      </c>
      <c r="G229" s="2" t="inlineStr">
        <is>
          <t>Case/Display</t>
        </is>
      </c>
      <c r="H229" s="2" t="inlineStr">
        <is>
          <t>Detective Pikachu</t>
        </is>
      </c>
      <c r="I229" s="3" t="n">
        <v>256</v>
      </c>
      <c r="J229" s="3" t="n">
        <v>376.63</v>
      </c>
      <c r="K229" s="3" t="n">
        <v>499.95</v>
      </c>
      <c r="L229" s="3" t="n">
        <v>499.95</v>
      </c>
      <c r="M229" s="2" t="inlineStr">
        <is>
          <t>PriceCharting + TCGplayer</t>
        </is>
      </c>
      <c r="N229" s="4" t="inlineStr">
        <is>
          <t>https://www.pricecharting.com/game/pokemon-detective-pikachu/detective-pikachu-on-the-case-figure-collection</t>
        </is>
      </c>
      <c r="O229" s="4" t="inlineStr">
        <is>
          <t>https://www.tcgplayer.com/product/197563</t>
        </is>
      </c>
    </row>
    <row r="230">
      <c r="A230" s="2" t="inlineStr">
        <is>
          <t>Detective Pikachu: Charizard GX Case File</t>
        </is>
      </c>
      <c r="B230" s="3">
        <f>IF(I230&lt;&gt;"",I230,IF(J230&lt;&gt;"",J230,IF(K230&lt;&gt;"",K230,L230)))</f>
        <v>125.19</v>
      </c>
      <c r="C230" s="3">
        <f>MEDIAN(I230:L230)</f>
        <v>195.385</v>
      </c>
      <c r="D230" s="3">
        <f>ROUND(C230*(1-Settings!$B$2),2)</f>
        <v>136.77</v>
      </c>
      <c r="E230" s="3">
        <f>ROUND(C230*(1-Settings!$B$3),2)</f>
        <v>136.77</v>
      </c>
      <c r="F230" s="2" t="inlineStr">
        <is>
          <t>Pokemon</t>
        </is>
      </c>
      <c r="G230" s="2" t="inlineStr">
        <is>
          <t>Case/Display</t>
        </is>
      </c>
      <c r="H230" s="2" t="inlineStr">
        <is>
          <t>Detective Pikachu</t>
        </is>
      </c>
      <c r="I230" s="3" t="n">
        <v>125.19</v>
      </c>
      <c r="J230" s="3" t="n">
        <v>195.78</v>
      </c>
      <c r="K230" s="3" t="n">
        <v>240</v>
      </c>
      <c r="L230" s="3" t="n">
        <v>194.99</v>
      </c>
      <c r="M230" s="2" t="inlineStr">
        <is>
          <t>PriceCharting + TCGplayer</t>
        </is>
      </c>
      <c r="N230" s="4" t="inlineStr">
        <is>
          <t>https://www.pricecharting.com/game/pokemon-detective-pikachu/charizard-gx-case-file</t>
        </is>
      </c>
      <c r="O230" s="4" t="inlineStr">
        <is>
          <t>https://www.tcgplayer.com/product/185242</t>
        </is>
      </c>
    </row>
    <row r="231">
      <c r="A231" s="2" t="inlineStr">
        <is>
          <t>Detective Pikachu: Charizard GX Special Case File</t>
        </is>
      </c>
      <c r="B231" s="3">
        <f>IF(I231&lt;&gt;"",I231,IF(J231&lt;&gt;"",J231,IF(K231&lt;&gt;"",K231,L231)))</f>
        <v>215.61</v>
      </c>
      <c r="C231" s="3">
        <f>MEDIAN(I231:L231)</f>
        <v>564.065</v>
      </c>
      <c r="D231" s="3">
        <f>ROUND(C231*(1-Settings!$B$2),2)</f>
        <v>394.85</v>
      </c>
      <c r="E231" s="3">
        <f>ROUND(C231*(1-Settings!$B$3),2)</f>
        <v>394.85</v>
      </c>
      <c r="F231" s="2" t="inlineStr">
        <is>
          <t>Pokemon</t>
        </is>
      </c>
      <c r="G231" s="2" t="inlineStr">
        <is>
          <t>Case/Display</t>
        </is>
      </c>
      <c r="H231" s="2" t="inlineStr">
        <is>
          <t>Detective Pikachu</t>
        </is>
      </c>
      <c r="I231" s="3" t="n">
        <v>215.61</v>
      </c>
      <c r="J231" s="3" t="n">
        <v>490</v>
      </c>
      <c r="K231" s="3" t="n">
        <v>638.13</v>
      </c>
      <c r="L231" s="3" t="n">
        <v>638.13</v>
      </c>
      <c r="M231" s="2" t="inlineStr">
        <is>
          <t>PriceCharting + TCGplayer</t>
        </is>
      </c>
      <c r="N231" s="4" t="inlineStr">
        <is>
          <t>https://www.pricecharting.com/game/pokemon-detective-pikachu/charizard-gx-special-case-file</t>
        </is>
      </c>
      <c r="O231" s="4" t="inlineStr">
        <is>
          <t>https://www.tcgplayer.com/product/237678</t>
        </is>
      </c>
    </row>
    <row r="232">
      <c r="A232" s="2" t="inlineStr">
        <is>
          <t>Detective Pikachu: Greninja GX Case File</t>
        </is>
      </c>
      <c r="B232" s="3">
        <f>IF(I232&lt;&gt;"",I232,IF(J232&lt;&gt;"",J232,IF(K232&lt;&gt;"",K232,L232)))</f>
        <v>74.99</v>
      </c>
      <c r="C232" s="3">
        <f>MEDIAN(I232:L232)</f>
        <v>349.325</v>
      </c>
      <c r="D232" s="3">
        <f>ROUND(C232*(1-Settings!$B$2),2)</f>
        <v>244.53</v>
      </c>
      <c r="E232" s="3">
        <f>ROUND(C232*(1-Settings!$B$3),2)</f>
        <v>244.53</v>
      </c>
      <c r="F232" s="2" t="inlineStr">
        <is>
          <t>Pokemon</t>
        </is>
      </c>
      <c r="G232" s="2" t="inlineStr">
        <is>
          <t>Case/Display</t>
        </is>
      </c>
      <c r="H232" s="2" t="inlineStr">
        <is>
          <t>Detective Pikachu</t>
        </is>
      </c>
      <c r="I232" s="3" t="n">
        <v>74.98999999999999</v>
      </c>
      <c r="J232" s="3" t="n">
        <v>198.66</v>
      </c>
      <c r="K232" s="3" t="n">
        <v>499.99</v>
      </c>
      <c r="L232" s="3" t="n">
        <v>499.99</v>
      </c>
      <c r="M232" s="2" t="inlineStr">
        <is>
          <t>PriceCharting + TCGplayer</t>
        </is>
      </c>
      <c r="N232" s="4" t="inlineStr">
        <is>
          <t>https://www.pricecharting.com/game/pokemon-detective-pikachu/greninja-gx-case-file</t>
        </is>
      </c>
      <c r="O232" s="4" t="inlineStr">
        <is>
          <t>https://www.tcgplayer.com/product/185243</t>
        </is>
      </c>
    </row>
    <row r="233">
      <c r="A233" s="2" t="inlineStr">
        <is>
          <t>Detective Pikachu: Mewtwo GX Case File</t>
        </is>
      </c>
      <c r="B233" s="3">
        <f>IF(I233&lt;&gt;"",I233,IF(J233&lt;&gt;"",J233,IF(K233&lt;&gt;"",K233,L233)))</f>
        <v>168.28</v>
      </c>
      <c r="C233" s="3">
        <f>MEDIAN(I233:L233)</f>
        <v>177.0</v>
      </c>
      <c r="D233" s="3">
        <f>ROUND(C233*(1-Settings!$B$2),2)</f>
        <v>123.9</v>
      </c>
      <c r="E233" s="3">
        <f>ROUND(C233*(1-Settings!$B$3),2)</f>
        <v>123.9</v>
      </c>
      <c r="F233" s="2" t="inlineStr">
        <is>
          <t>Pokemon</t>
        </is>
      </c>
      <c r="G233" s="2" t="inlineStr">
        <is>
          <t>Case/Display</t>
        </is>
      </c>
      <c r="H233" s="2" t="inlineStr">
        <is>
          <t>Detective Pikachu</t>
        </is>
      </c>
      <c r="I233" s="3" t="n"/>
      <c r="J233" s="3" t="n">
        <v>168.28</v>
      </c>
      <c r="K233" s="3" t="n">
        <v>188.88</v>
      </c>
      <c r="L233" s="3" t="n">
        <v>177</v>
      </c>
      <c r="M233" s="2" t="inlineStr">
        <is>
          <t>TCGplayer</t>
        </is>
      </c>
      <c r="O233" s="4" t="inlineStr">
        <is>
          <t>https://www.tcgplayer.com/product/190324</t>
        </is>
      </c>
    </row>
    <row r="234">
      <c r="A234" s="2" t="inlineStr">
        <is>
          <t>First Partner Illustration Collection Case (Series 1)</t>
        </is>
      </c>
      <c r="B234" s="3">
        <f>IF(I234&lt;&gt;"",I234,IF(J234&lt;&gt;"",J234,IF(K234&lt;&gt;"",K234,L234)))</f>
        <v>392.75</v>
      </c>
      <c r="C234" s="3">
        <f>MEDIAN(I234:L234)</f>
        <v>392.75</v>
      </c>
      <c r="D234" s="3">
        <f>ROUND(C234*(1-Settings!$B$2),2)</f>
        <v>274.93</v>
      </c>
      <c r="E234" s="3">
        <f>ROUND(C234*(1-Settings!$B$3),2)</f>
        <v>274.93</v>
      </c>
      <c r="F234" s="2" t="inlineStr">
        <is>
          <t>Pokemon</t>
        </is>
      </c>
      <c r="G234" s="2" t="inlineStr">
        <is>
          <t>Case/Display</t>
        </is>
      </c>
      <c r="H234" s="2" t="inlineStr">
        <is>
          <t>First Partner Collection 2026</t>
        </is>
      </c>
      <c r="I234" s="3" t="n"/>
      <c r="J234" s="3" t="n">
        <v>392.75</v>
      </c>
      <c r="K234" s="3" t="n">
        <v>487.98</v>
      </c>
      <c r="L234" s="3" t="n">
        <v>124.99</v>
      </c>
      <c r="M234" s="2" t="inlineStr">
        <is>
          <t>TCGplayer</t>
        </is>
      </c>
      <c r="O234" s="4" t="inlineStr">
        <is>
          <t>https://www.tcgplayer.com/product/673439</t>
        </is>
      </c>
    </row>
    <row r="235">
      <c r="A235" s="2" t="inlineStr">
        <is>
          <t>First Partner Illustration Collection Case (Series 2)</t>
        </is>
      </c>
      <c r="B235" s="3">
        <f>IF(I235&lt;&gt;"",I235,IF(J235&lt;&gt;"",J235,IF(K235&lt;&gt;"",K235,L235)))</f>
        <v>157.48</v>
      </c>
      <c r="C235" s="3">
        <f>MEDIAN(I235:L235)</f>
        <v>157.48</v>
      </c>
      <c r="D235" s="3">
        <f>ROUND(C235*(1-Settings!$B$2),2)</f>
        <v>110.24</v>
      </c>
      <c r="E235" s="3">
        <f>ROUND(C235*(1-Settings!$B$3),2)</f>
        <v>110.24</v>
      </c>
      <c r="F235" s="2" t="inlineStr">
        <is>
          <t>Pokemon</t>
        </is>
      </c>
      <c r="G235" s="2" t="inlineStr">
        <is>
          <t>Case/Display</t>
        </is>
      </c>
      <c r="H235" s="2" t="inlineStr">
        <is>
          <t>First Partner Collection 2026</t>
        </is>
      </c>
      <c r="I235" s="3" t="n"/>
      <c r="J235" s="3" t="n">
        <v>157.48</v>
      </c>
      <c r="K235" s="3" t="n">
        <v>264.99</v>
      </c>
      <c r="L235" s="3" t="n">
        <v>156.66</v>
      </c>
      <c r="M235" s="2" t="inlineStr">
        <is>
          <t>TCGplayer</t>
        </is>
      </c>
      <c r="O235" s="4" t="inlineStr">
        <is>
          <t>https://www.tcgplayer.com/product/688716</t>
        </is>
      </c>
    </row>
    <row r="236">
      <c r="A236" s="2" t="inlineStr">
        <is>
          <t>First Partner Illustration Collection Case (Series 3)</t>
        </is>
      </c>
      <c r="B236" s="3">
        <f>IF(I236&lt;&gt;"",I236,IF(J236&lt;&gt;"",J236,IF(K236&lt;&gt;"",K236,L236)))</f>
        <v>158.39</v>
      </c>
      <c r="C236" s="3">
        <f>MEDIAN(I236:L236)</f>
        <v>158.39</v>
      </c>
      <c r="D236" s="3">
        <f>ROUND(C236*(1-Settings!$B$2),2)</f>
        <v>110.87</v>
      </c>
      <c r="E236" s="3">
        <f>ROUND(C236*(1-Settings!$B$3),2)</f>
        <v>110.87</v>
      </c>
      <c r="F236" s="2" t="inlineStr">
        <is>
          <t>Pokemon</t>
        </is>
      </c>
      <c r="G236" s="2" t="inlineStr">
        <is>
          <t>Case/Display</t>
        </is>
      </c>
      <c r="H236" s="2" t="inlineStr">
        <is>
          <t>First Partner Collection 2026</t>
        </is>
      </c>
      <c r="I236" s="3" t="n"/>
      <c r="J236" s="3" t="n">
        <v>158.39</v>
      </c>
      <c r="K236" s="3" t="n">
        <v>188.07</v>
      </c>
      <c r="L236" s="3" t="n">
        <v>129.99</v>
      </c>
      <c r="M236" s="2" t="inlineStr">
        <is>
          <t>TCGplayer</t>
        </is>
      </c>
      <c r="O236" s="4" t="inlineStr">
        <is>
          <t>https://www.tcgplayer.com/product/695402</t>
        </is>
      </c>
    </row>
    <row r="237">
      <c r="A237" s="2" t="inlineStr">
        <is>
          <t>Hidden Fates Elite Trainer Box Case</t>
        </is>
      </c>
      <c r="B237" s="3">
        <f>IF(I237&lt;&gt;"",I237,IF(J237&lt;&gt;"",J237,IF(K237&lt;&gt;"",K237,L237)))</f>
        <v>6499.99</v>
      </c>
      <c r="C237" s="3">
        <f>MEDIAN(I237:L237)</f>
        <v>6499.99</v>
      </c>
      <c r="D237" s="3">
        <f>ROUND(C237*(1-Settings!$B$2),2)</f>
        <v>4549.99</v>
      </c>
      <c r="E237" s="3">
        <f>ROUND(C237*(1-Settings!$B$3),2)</f>
        <v>4549.99</v>
      </c>
      <c r="F237" s="2" t="inlineStr">
        <is>
          <t>Pokemon</t>
        </is>
      </c>
      <c r="G237" s="2" t="inlineStr">
        <is>
          <t>Case/Display</t>
        </is>
      </c>
      <c r="H237" s="2" t="inlineStr">
        <is>
          <t>Hidden Fates</t>
        </is>
      </c>
      <c r="I237" s="3" t="n"/>
      <c r="J237" s="3" t="n"/>
      <c r="K237" s="3" t="n">
        <v>6499.99</v>
      </c>
      <c r="L237" s="3" t="n">
        <v>6499.99</v>
      </c>
      <c r="M237" s="2" t="inlineStr">
        <is>
          <t>TCGplayer</t>
        </is>
      </c>
      <c r="O237" s="4" t="inlineStr">
        <is>
          <t>https://www.tcgplayer.com/product/648466</t>
        </is>
      </c>
    </row>
    <row r="238">
      <c r="A238" s="2" t="inlineStr">
        <is>
          <t>Japanese Glory Of Team Rocket Attache Case Set</t>
        </is>
      </c>
      <c r="B238" s="3">
        <f>IF(I238&lt;&gt;"",I238,IF(J238&lt;&gt;"",J238,IF(K238&lt;&gt;"",K238,L238)))</f>
        <v>295.35</v>
      </c>
      <c r="C238" s="3">
        <f>MEDIAN(I238:L238)</f>
        <v>295.35</v>
      </c>
      <c r="D238" s="3">
        <f>ROUND(C238*(1-Settings!$B$2),2)</f>
        <v>206.75</v>
      </c>
      <c r="E238" s="3">
        <f>ROUND(C238*(1-Settings!$B$3),2)</f>
        <v>206.75</v>
      </c>
      <c r="F238" s="2" t="inlineStr">
        <is>
          <t>Pokemon</t>
        </is>
      </c>
      <c r="G238" s="2" t="inlineStr">
        <is>
          <t>Case/Display</t>
        </is>
      </c>
      <c r="H238" s="2" t="inlineStr">
        <is>
          <t>Japanese Glory Of Team Rocket</t>
        </is>
      </c>
      <c r="I238" s="3" t="n">
        <v>295.35</v>
      </c>
      <c r="J238" s="3" t="n"/>
      <c r="K238" s="3" t="n"/>
      <c r="L238" s="3" t="n"/>
      <c r="M238" s="2" t="inlineStr">
        <is>
          <t>PriceCharting</t>
        </is>
      </c>
      <c r="N238" s="4" t="inlineStr">
        <is>
          <t>https://www.pricecharting.com/game/pokemon-japanese-glory-of-team-rocket/attache-case-set</t>
        </is>
      </c>
    </row>
    <row r="239">
      <c r="A239" s="2" t="inlineStr">
        <is>
          <t>Mega Evolution Booster Box Case</t>
        </is>
      </c>
      <c r="B239" s="3">
        <f>IF(I239&lt;&gt;"",I239,IF(J239&lt;&gt;"",J239,IF(K239&lt;&gt;"",K239,L239)))</f>
        <v>1951.79</v>
      </c>
      <c r="C239" s="3">
        <f>MEDIAN(I239:L239)</f>
        <v>1951.79</v>
      </c>
      <c r="D239" s="3">
        <f>ROUND(C239*(1-Settings!$B$2),2)</f>
        <v>1366.25</v>
      </c>
      <c r="E239" s="3">
        <f>ROUND(C239*(1-Settings!$B$3),2)</f>
        <v>1366.25</v>
      </c>
      <c r="F239" s="2" t="inlineStr">
        <is>
          <t>Pokemon</t>
        </is>
      </c>
      <c r="G239" s="2" t="inlineStr">
        <is>
          <t>Case/Display</t>
        </is>
      </c>
      <c r="H239" s="2" t="inlineStr">
        <is>
          <t>ME01: Mega Evolution</t>
        </is>
      </c>
      <c r="I239" s="3" t="n"/>
      <c r="J239" s="3" t="n">
        <v>1951.79</v>
      </c>
      <c r="K239" s="3" t="n">
        <v>1994.98</v>
      </c>
      <c r="L239" s="3" t="n">
        <v>1892</v>
      </c>
      <c r="M239" s="2" t="inlineStr">
        <is>
          <t>TCGplayer</t>
        </is>
      </c>
      <c r="O239" s="4" t="inlineStr">
        <is>
          <t>https://www.tcgplayer.com/product/644731</t>
        </is>
      </c>
    </row>
    <row r="240">
      <c r="A240" s="2" t="inlineStr">
        <is>
          <t>Mega Evolution Booster Bundle Case</t>
        </is>
      </c>
      <c r="B240" s="3">
        <f>IF(I240&lt;&gt;"",I240,IF(J240&lt;&gt;"",J240,IF(K240&lt;&gt;"",K240,L240)))</f>
        <v>1349.31</v>
      </c>
      <c r="C240" s="3">
        <f>MEDIAN(I240:L240)</f>
        <v>1699.0</v>
      </c>
      <c r="D240" s="3">
        <f>ROUND(C240*(1-Settings!$B$2),2)</f>
        <v>1189.3</v>
      </c>
      <c r="E240" s="3">
        <f>ROUND(C240*(1-Settings!$B$3),2)</f>
        <v>1189.3</v>
      </c>
      <c r="F240" s="2" t="inlineStr">
        <is>
          <t>Pokemon</t>
        </is>
      </c>
      <c r="G240" s="2" t="inlineStr">
        <is>
          <t>Case/Display</t>
        </is>
      </c>
      <c r="H240" s="2" t="inlineStr">
        <is>
          <t>ME01: Mega Evolution</t>
        </is>
      </c>
      <c r="I240" s="3" t="n"/>
      <c r="J240" s="3" t="n">
        <v>1349.31</v>
      </c>
      <c r="K240" s="3" t="n">
        <v>1719.5</v>
      </c>
      <c r="L240" s="3" t="n">
        <v>1699</v>
      </c>
      <c r="M240" s="2" t="inlineStr">
        <is>
          <t>TCGplayer</t>
        </is>
      </c>
      <c r="O240" s="4" t="inlineStr">
        <is>
          <t>https://www.tcgplayer.com/product/644730</t>
        </is>
      </c>
    </row>
    <row r="241">
      <c r="A241" s="2" t="inlineStr">
        <is>
          <t>Mega Evolution Build &amp; Battle Box Display</t>
        </is>
      </c>
      <c r="B241" s="3">
        <f>IF(I241&lt;&gt;"",I241,IF(J241&lt;&gt;"",J241,IF(K241&lt;&gt;"",K241,L241)))</f>
        <v>482.63</v>
      </c>
      <c r="C241" s="3">
        <f>MEDIAN(I241:L241)</f>
        <v>999.99</v>
      </c>
      <c r="D241" s="3">
        <f>ROUND(C241*(1-Settings!$B$2),2)</f>
        <v>699.99</v>
      </c>
      <c r="E241" s="3">
        <f>ROUND(C241*(1-Settings!$B$3),2)</f>
        <v>699.99</v>
      </c>
      <c r="F241" s="2" t="inlineStr">
        <is>
          <t>Pokemon</t>
        </is>
      </c>
      <c r="G241" s="2" t="inlineStr">
        <is>
          <t>Case/Display</t>
        </is>
      </c>
      <c r="H241" s="2" t="inlineStr">
        <is>
          <t>ME01: Mega Evolution</t>
        </is>
      </c>
      <c r="I241" s="3" t="n"/>
      <c r="J241" s="3" t="n">
        <v>482.63</v>
      </c>
      <c r="K241" s="3" t="n">
        <v>999.99</v>
      </c>
      <c r="L241" s="3" t="n">
        <v>999.99</v>
      </c>
      <c r="M241" s="2" t="inlineStr">
        <is>
          <t>TCGplayer</t>
        </is>
      </c>
      <c r="O241" s="4" t="inlineStr">
        <is>
          <t>https://www.tcgplayer.com/product/644733</t>
        </is>
      </c>
    </row>
    <row r="242">
      <c r="A242" s="2" t="inlineStr">
        <is>
          <t>Mega Evolution Elite Trainer Box Case</t>
        </is>
      </c>
      <c r="B242" s="3">
        <f>IF(I242&lt;&gt;"",I242,IF(J242&lt;&gt;"",J242,IF(K242&lt;&gt;"",K242,L242)))</f>
        <v>1152.58</v>
      </c>
      <c r="C242" s="3">
        <f>MEDIAN(I242:L242)</f>
        <v>1199.19</v>
      </c>
      <c r="D242" s="3">
        <f>ROUND(C242*(1-Settings!$B$2),2)</f>
        <v>839.43</v>
      </c>
      <c r="E242" s="3">
        <f>ROUND(C242*(1-Settings!$B$3),2)</f>
        <v>839.43</v>
      </c>
      <c r="F242" s="2" t="inlineStr">
        <is>
          <t>Pokemon</t>
        </is>
      </c>
      <c r="G242" s="2" t="inlineStr">
        <is>
          <t>Case/Display</t>
        </is>
      </c>
      <c r="H242" s="2" t="inlineStr">
        <is>
          <t>ME01: Mega Evolution</t>
        </is>
      </c>
      <c r="I242" s="3" t="n"/>
      <c r="J242" s="3" t="n">
        <v>1152.58</v>
      </c>
      <c r="K242" s="3" t="n">
        <v>1362</v>
      </c>
      <c r="L242" s="3" t="n">
        <v>1199.19</v>
      </c>
      <c r="M242" s="2" t="inlineStr">
        <is>
          <t>TCGplayer</t>
        </is>
      </c>
      <c r="O242" s="4" t="inlineStr">
        <is>
          <t>https://www.tcgplayer.com/product/644727</t>
        </is>
      </c>
    </row>
    <row r="243">
      <c r="A243" s="2" t="inlineStr">
        <is>
          <t>Mega Evolution Enhanced Booster Case</t>
        </is>
      </c>
      <c r="B243" s="3">
        <f>IF(I243&lt;&gt;"",I243,IF(J243&lt;&gt;"",J243,IF(K243&lt;&gt;"",K243,L243)))</f>
        <v>1811.44</v>
      </c>
      <c r="C243" s="3">
        <f>MEDIAN(I243:L243)</f>
        <v>1811.44</v>
      </c>
      <c r="D243" s="3">
        <f>ROUND(C243*(1-Settings!$B$2),2)</f>
        <v>1268.01</v>
      </c>
      <c r="E243" s="3">
        <f>ROUND(C243*(1-Settings!$B$3),2)</f>
        <v>1268.01</v>
      </c>
      <c r="F243" s="2" t="inlineStr">
        <is>
          <t>Pokemon</t>
        </is>
      </c>
      <c r="G243" s="2" t="inlineStr">
        <is>
          <t>Case/Display</t>
        </is>
      </c>
      <c r="H243" s="2" t="inlineStr">
        <is>
          <t>ME01: Mega Evolution</t>
        </is>
      </c>
      <c r="I243" s="3" t="n"/>
      <c r="J243" s="3" t="n">
        <v>1811.44</v>
      </c>
      <c r="K243" s="3" t="n">
        <v>1899.99</v>
      </c>
      <c r="L243" s="3" t="n">
        <v>1727</v>
      </c>
      <c r="M243" s="2" t="inlineStr">
        <is>
          <t>TCGplayer</t>
        </is>
      </c>
      <c r="O243" s="4" t="inlineStr">
        <is>
          <t>https://www.tcgplayer.com/product/646173</t>
        </is>
      </c>
    </row>
    <row r="244">
      <c r="A244" s="2" t="inlineStr">
        <is>
          <t>Mega Heroes Mini Tin Display</t>
        </is>
      </c>
      <c r="B244" s="3">
        <f>IF(I244&lt;&gt;"",I244,IF(J244&lt;&gt;"",J244,IF(K244&lt;&gt;"",K244,L244)))</f>
        <v>275.45</v>
      </c>
      <c r="C244" s="3">
        <f>MEDIAN(I244:L244)</f>
        <v>260.0</v>
      </c>
      <c r="D244" s="3">
        <f>ROUND(C244*(1-Settings!$B$2),2)</f>
        <v>182.0</v>
      </c>
      <c r="E244" s="3">
        <f>ROUND(C244*(1-Settings!$B$3),2)</f>
        <v>182.0</v>
      </c>
      <c r="F244" s="2" t="inlineStr">
        <is>
          <t>Pokemon</t>
        </is>
      </c>
      <c r="G244" s="2" t="inlineStr">
        <is>
          <t>Case/Display</t>
        </is>
      </c>
      <c r="H244" s="2" t="inlineStr">
        <is>
          <t>ME01: Mega Evolution</t>
        </is>
      </c>
      <c r="I244" s="3" t="n"/>
      <c r="J244" s="3" t="n">
        <v>275.45</v>
      </c>
      <c r="K244" s="3" t="n">
        <v>260</v>
      </c>
      <c r="L244" s="3" t="n">
        <v>209.95</v>
      </c>
      <c r="M244" s="2" t="inlineStr">
        <is>
          <t>TCGplayer</t>
        </is>
      </c>
      <c r="O244" s="4" t="inlineStr">
        <is>
          <t>https://www.tcgplayer.com/product/649392</t>
        </is>
      </c>
    </row>
    <row r="245">
      <c r="A245" s="2" t="inlineStr">
        <is>
          <t>Phantasmal Flames 3-Pack Blister Case</t>
        </is>
      </c>
      <c r="B245" s="3">
        <f>IF(I245&lt;&gt;"",I245,IF(J245&lt;&gt;"",J245,IF(K245&lt;&gt;"",K245,L245)))</f>
        <v>1435.0</v>
      </c>
      <c r="C245" s="3">
        <f>MEDIAN(I245:L245)</f>
        <v>1227.5</v>
      </c>
      <c r="D245" s="3">
        <f>ROUND(C245*(1-Settings!$B$2),2)</f>
        <v>859.25</v>
      </c>
      <c r="E245" s="3">
        <f>ROUND(C245*(1-Settings!$B$3),2)</f>
        <v>859.25</v>
      </c>
      <c r="F245" s="2" t="inlineStr">
        <is>
          <t>Pokemon</t>
        </is>
      </c>
      <c r="G245" s="2" t="inlineStr">
        <is>
          <t>Case/Display</t>
        </is>
      </c>
      <c r="H245" s="2" t="inlineStr">
        <is>
          <t>ME02: Phantasmal Flames</t>
        </is>
      </c>
      <c r="I245" s="3" t="n"/>
      <c r="J245" s="3" t="n"/>
      <c r="K245" s="3" t="n">
        <v>1435</v>
      </c>
      <c r="L245" s="3" t="n">
        <v>1020</v>
      </c>
      <c r="M245" s="2" t="inlineStr">
        <is>
          <t>TCGplayer</t>
        </is>
      </c>
      <c r="O245" s="4" t="inlineStr">
        <is>
          <t>https://www.tcgplayer.com/product/685215</t>
        </is>
      </c>
    </row>
    <row r="246">
      <c r="A246" s="2" t="inlineStr">
        <is>
          <t>Phantasmal Flames Booster Box Case</t>
        </is>
      </c>
      <c r="B246" s="3">
        <f>IF(I246&lt;&gt;"",I246,IF(J246&lt;&gt;"",J246,IF(K246&lt;&gt;"",K246,L246)))</f>
        <v>2222.02</v>
      </c>
      <c r="C246" s="3">
        <f>MEDIAN(I246:L246)</f>
        <v>2222.02</v>
      </c>
      <c r="D246" s="3">
        <f>ROUND(C246*(1-Settings!$B$2),2)</f>
        <v>1555.41</v>
      </c>
      <c r="E246" s="3">
        <f>ROUND(C246*(1-Settings!$B$3),2)</f>
        <v>1555.41</v>
      </c>
      <c r="F246" s="2" t="inlineStr">
        <is>
          <t>Pokemon</t>
        </is>
      </c>
      <c r="G246" s="2" t="inlineStr">
        <is>
          <t>Case/Display</t>
        </is>
      </c>
      <c r="H246" s="2" t="inlineStr">
        <is>
          <t>ME02: Phantasmal Flames</t>
        </is>
      </c>
      <c r="I246" s="3" t="n"/>
      <c r="J246" s="3" t="n">
        <v>2222.02</v>
      </c>
      <c r="K246" s="3" t="n">
        <v>2597.47</v>
      </c>
      <c r="L246" s="3" t="n">
        <v>2130</v>
      </c>
      <c r="M246" s="2" t="inlineStr">
        <is>
          <t>TCGplayer</t>
        </is>
      </c>
      <c r="O246" s="4" t="inlineStr">
        <is>
          <t>https://www.tcgplayer.com/product/655281</t>
        </is>
      </c>
    </row>
    <row r="247">
      <c r="A247" s="2" t="inlineStr">
        <is>
          <t>Phantasmal Flames Booster Bundle Case</t>
        </is>
      </c>
      <c r="B247" s="3">
        <f>IF(I247&lt;&gt;"",I247,IF(J247&lt;&gt;"",J247,IF(K247&lt;&gt;"",K247,L247)))</f>
        <v>1875.0</v>
      </c>
      <c r="C247" s="3">
        <f>MEDIAN(I247:L247)</f>
        <v>2200.9</v>
      </c>
      <c r="D247" s="3">
        <f>ROUND(C247*(1-Settings!$B$2),2)</f>
        <v>1540.63</v>
      </c>
      <c r="E247" s="3">
        <f>ROUND(C247*(1-Settings!$B$3),2)</f>
        <v>1540.63</v>
      </c>
      <c r="F247" s="2" t="inlineStr">
        <is>
          <t>Pokemon</t>
        </is>
      </c>
      <c r="G247" s="2" t="inlineStr">
        <is>
          <t>Case/Display</t>
        </is>
      </c>
      <c r="H247" s="2" t="inlineStr">
        <is>
          <t>ME02: Phantasmal Flames</t>
        </is>
      </c>
      <c r="I247" s="3" t="n"/>
      <c r="J247" s="3" t="n">
        <v>1875</v>
      </c>
      <c r="K247" s="3" t="n">
        <v>2409.99</v>
      </c>
      <c r="L247" s="3" t="n">
        <v>2200.9</v>
      </c>
      <c r="M247" s="2" t="inlineStr">
        <is>
          <t>TCGplayer</t>
        </is>
      </c>
      <c r="O247" s="4" t="inlineStr">
        <is>
          <t>https://www.tcgplayer.com/product/654162</t>
        </is>
      </c>
    </row>
    <row r="248">
      <c r="A248" s="2" t="inlineStr">
        <is>
          <t>Phantasmal Flames Elite Trainer Box Case</t>
        </is>
      </c>
      <c r="B248" s="3">
        <f>IF(I248&lt;&gt;"",I248,IF(J248&lt;&gt;"",J248,IF(K248&lt;&gt;"",K248,L248)))</f>
        <v>1477.81</v>
      </c>
      <c r="C248" s="3">
        <f>MEDIAN(I248:L248)</f>
        <v>1550.0</v>
      </c>
      <c r="D248" s="3">
        <f>ROUND(C248*(1-Settings!$B$2),2)</f>
        <v>1085.0</v>
      </c>
      <c r="E248" s="3">
        <f>ROUND(C248*(1-Settings!$B$3),2)</f>
        <v>1085.0</v>
      </c>
      <c r="F248" s="2" t="inlineStr">
        <is>
          <t>Pokemon</t>
        </is>
      </c>
      <c r="G248" s="2" t="inlineStr">
        <is>
          <t>Case/Display</t>
        </is>
      </c>
      <c r="H248" s="2" t="inlineStr">
        <is>
          <t>ME02: Phantasmal Flames</t>
        </is>
      </c>
      <c r="I248" s="3" t="n"/>
      <c r="J248" s="3" t="n">
        <v>1477.81</v>
      </c>
      <c r="K248" s="3" t="n">
        <v>1650</v>
      </c>
      <c r="L248" s="3" t="n">
        <v>1550</v>
      </c>
      <c r="M248" s="2" t="inlineStr">
        <is>
          <t>TCGplayer</t>
        </is>
      </c>
      <c r="O248" s="4" t="inlineStr">
        <is>
          <t>https://www.tcgplayer.com/product/654170</t>
        </is>
      </c>
    </row>
    <row r="249">
      <c r="A249" s="2" t="inlineStr">
        <is>
          <t>Phantasmal Flames Sleeved Booster Case</t>
        </is>
      </c>
      <c r="B249" s="3">
        <f>IF(I249&lt;&gt;"",I249,IF(J249&lt;&gt;"",J249,IF(K249&lt;&gt;"",K249,L249)))</f>
        <v>1704.22</v>
      </c>
      <c r="C249" s="3">
        <f>MEDIAN(I249:L249)</f>
        <v>1739.94</v>
      </c>
      <c r="D249" s="3">
        <f>ROUND(C249*(1-Settings!$B$2),2)</f>
        <v>1217.96</v>
      </c>
      <c r="E249" s="3">
        <f>ROUND(C249*(1-Settings!$B$3),2)</f>
        <v>1217.96</v>
      </c>
      <c r="F249" s="2" t="inlineStr">
        <is>
          <t>Pokemon</t>
        </is>
      </c>
      <c r="G249" s="2" t="inlineStr">
        <is>
          <t>Case/Display</t>
        </is>
      </c>
      <c r="H249" s="2" t="inlineStr">
        <is>
          <t>ME02: Phantasmal Flames</t>
        </is>
      </c>
      <c r="I249" s="3" t="n"/>
      <c r="J249" s="3" t="n">
        <v>1704.22</v>
      </c>
      <c r="K249" s="3" t="n">
        <v>1745.92</v>
      </c>
      <c r="L249" s="3" t="n">
        <v>1739.94</v>
      </c>
      <c r="M249" s="2" t="inlineStr">
        <is>
          <t>TCGplayer</t>
        </is>
      </c>
      <c r="O249" s="4" t="inlineStr">
        <is>
          <t>https://www.tcgplayer.com/product/655282</t>
        </is>
      </c>
    </row>
    <row r="250">
      <c r="A250" s="2" t="inlineStr">
        <is>
          <t>Perfect Order 3 Pack Blister Case [Chikorita]</t>
        </is>
      </c>
      <c r="B250" s="3">
        <f>IF(I250&lt;&gt;"",I250,IF(J250&lt;&gt;"",J250,IF(K250&lt;&gt;"",K250,L250)))</f>
        <v>598.95</v>
      </c>
      <c r="C250" s="3">
        <f>MEDIAN(I250:L250)</f>
        <v>598.95</v>
      </c>
      <c r="D250" s="3">
        <f>ROUND(C250*(1-Settings!$B$2),2)</f>
        <v>419.27</v>
      </c>
      <c r="E250" s="3">
        <f>ROUND(C250*(1-Settings!$B$3),2)</f>
        <v>419.27</v>
      </c>
      <c r="F250" s="2" t="inlineStr">
        <is>
          <t>Pokemon</t>
        </is>
      </c>
      <c r="G250" s="2" t="inlineStr">
        <is>
          <t>Case/Display</t>
        </is>
      </c>
      <c r="H250" s="2" t="inlineStr">
        <is>
          <t>ME03: Perfect Order</t>
        </is>
      </c>
      <c r="I250" s="3" t="n"/>
      <c r="J250" s="3" t="n"/>
      <c r="K250" s="3" t="n">
        <v>598.95</v>
      </c>
      <c r="L250" s="3" t="n">
        <v>598.95</v>
      </c>
      <c r="M250" s="2" t="inlineStr">
        <is>
          <t>TCGplayer</t>
        </is>
      </c>
      <c r="O250" s="4" t="inlineStr">
        <is>
          <t>https://www.tcgplayer.com/product/706309</t>
        </is>
      </c>
    </row>
    <row r="251">
      <c r="A251" s="2" t="inlineStr">
        <is>
          <t>Perfect Order Booster Box Case</t>
        </is>
      </c>
      <c r="B251" s="3">
        <f>IF(I251&lt;&gt;"",I251,IF(J251&lt;&gt;"",J251,IF(K251&lt;&gt;"",K251,L251)))</f>
        <v>1006.34</v>
      </c>
      <c r="C251" s="3">
        <f>MEDIAN(I251:L251)</f>
        <v>1049.99</v>
      </c>
      <c r="D251" s="3">
        <f>ROUND(C251*(1-Settings!$B$2),2)</f>
        <v>734.99</v>
      </c>
      <c r="E251" s="3">
        <f>ROUND(C251*(1-Settings!$B$3),2)</f>
        <v>734.99</v>
      </c>
      <c r="F251" s="2" t="inlineStr">
        <is>
          <t>Pokemon</t>
        </is>
      </c>
      <c r="G251" s="2" t="inlineStr">
        <is>
          <t>Case/Display</t>
        </is>
      </c>
      <c r="H251" s="2" t="inlineStr">
        <is>
          <t>ME03: Perfect Order</t>
        </is>
      </c>
      <c r="I251" s="3" t="n"/>
      <c r="J251" s="3" t="n">
        <v>1006.34</v>
      </c>
      <c r="K251" s="3" t="n">
        <v>1199.99</v>
      </c>
      <c r="L251" s="3" t="n">
        <v>1049.99</v>
      </c>
      <c r="M251" s="2" t="inlineStr">
        <is>
          <t>TCGplayer</t>
        </is>
      </c>
      <c r="O251" s="4" t="inlineStr">
        <is>
          <t>https://www.tcgplayer.com/product/672395</t>
        </is>
      </c>
    </row>
    <row r="252">
      <c r="A252" s="2" t="inlineStr">
        <is>
          <t>Perfect Order Booster Bundle Case</t>
        </is>
      </c>
      <c r="B252" s="3">
        <f>IF(I252&lt;&gt;"",I252,IF(J252&lt;&gt;"",J252,IF(K252&lt;&gt;"",K252,L252)))</f>
        <v>919.58</v>
      </c>
      <c r="C252" s="3">
        <f>MEDIAN(I252:L252)</f>
        <v>919.58</v>
      </c>
      <c r="D252" s="3">
        <f>ROUND(C252*(1-Settings!$B$2),2)</f>
        <v>643.71</v>
      </c>
      <c r="E252" s="3">
        <f>ROUND(C252*(1-Settings!$B$3),2)</f>
        <v>643.71</v>
      </c>
      <c r="F252" s="2" t="inlineStr">
        <is>
          <t>Pokemon</t>
        </is>
      </c>
      <c r="G252" s="2" t="inlineStr">
        <is>
          <t>Case/Display</t>
        </is>
      </c>
      <c r="H252" s="2" t="inlineStr">
        <is>
          <t>ME03: Perfect Order</t>
        </is>
      </c>
      <c r="I252" s="3" t="n"/>
      <c r="J252" s="3" t="n">
        <v>919.58</v>
      </c>
      <c r="K252" s="3" t="n">
        <v>949.99</v>
      </c>
      <c r="L252" s="3" t="n">
        <v>899</v>
      </c>
      <c r="M252" s="2" t="inlineStr">
        <is>
          <t>TCGplayer</t>
        </is>
      </c>
      <c r="O252" s="4" t="inlineStr">
        <is>
          <t>https://www.tcgplayer.com/product/672397</t>
        </is>
      </c>
    </row>
    <row r="253">
      <c r="A253" s="2" t="inlineStr">
        <is>
          <t>Perfect Order Build &amp; Battle Box Display</t>
        </is>
      </c>
      <c r="B253" s="3">
        <f>IF(I253&lt;&gt;"",I253,IF(J253&lt;&gt;"",J253,IF(K253&lt;&gt;"",K253,L253)))</f>
        <v>314.37</v>
      </c>
      <c r="C253" s="3">
        <f>MEDIAN(I253:L253)</f>
        <v>339.99</v>
      </c>
      <c r="D253" s="3">
        <f>ROUND(C253*(1-Settings!$B$2),2)</f>
        <v>237.99</v>
      </c>
      <c r="E253" s="3">
        <f>ROUND(C253*(1-Settings!$B$3),2)</f>
        <v>237.99</v>
      </c>
      <c r="F253" s="2" t="inlineStr">
        <is>
          <t>Pokemon</t>
        </is>
      </c>
      <c r="G253" s="2" t="inlineStr">
        <is>
          <t>Case/Display</t>
        </is>
      </c>
      <c r="H253" s="2" t="inlineStr">
        <is>
          <t>ME03: Perfect Order</t>
        </is>
      </c>
      <c r="I253" s="3" t="n"/>
      <c r="J253" s="3" t="n">
        <v>314.37</v>
      </c>
      <c r="K253" s="3" t="n">
        <v>374.95</v>
      </c>
      <c r="L253" s="3" t="n">
        <v>339.99</v>
      </c>
      <c r="M253" s="2" t="inlineStr">
        <is>
          <t>TCGplayer</t>
        </is>
      </c>
      <c r="O253" s="4" t="inlineStr">
        <is>
          <t>https://www.tcgplayer.com/product/690172</t>
        </is>
      </c>
    </row>
    <row r="254">
      <c r="A254" s="2" t="inlineStr">
        <is>
          <t>Perfect Order Elite Trainer Box Case</t>
        </is>
      </c>
      <c r="B254" s="3">
        <f>IF(I254&lt;&gt;"",I254,IF(J254&lt;&gt;"",J254,IF(K254&lt;&gt;"",K254,L254)))</f>
        <v>666.66</v>
      </c>
      <c r="C254" s="3">
        <f>MEDIAN(I254:L254)</f>
        <v>666.66</v>
      </c>
      <c r="D254" s="3">
        <f>ROUND(C254*(1-Settings!$B$2),2)</f>
        <v>466.66</v>
      </c>
      <c r="E254" s="3">
        <f>ROUND(C254*(1-Settings!$B$3),2)</f>
        <v>466.66</v>
      </c>
      <c r="F254" s="2" t="inlineStr">
        <is>
          <t>Pokemon</t>
        </is>
      </c>
      <c r="G254" s="2" t="inlineStr">
        <is>
          <t>Case/Display</t>
        </is>
      </c>
      <c r="H254" s="2" t="inlineStr">
        <is>
          <t>ME03: Perfect Order</t>
        </is>
      </c>
      <c r="I254" s="3" t="n"/>
      <c r="J254" s="3" t="n">
        <v>666.66</v>
      </c>
      <c r="K254" s="3" t="n">
        <v>739.99</v>
      </c>
      <c r="L254" s="3" t="n">
        <v>500</v>
      </c>
      <c r="M254" s="2" t="inlineStr">
        <is>
          <t>TCGplayer</t>
        </is>
      </c>
      <c r="O254" s="4" t="inlineStr">
        <is>
          <t>https://www.tcgplayer.com/product/672402</t>
        </is>
      </c>
    </row>
    <row r="255">
      <c r="A255" s="2" t="inlineStr">
        <is>
          <t>Perfect Order Sleeved Booster Case</t>
        </is>
      </c>
      <c r="B255" s="3">
        <f>IF(I255&lt;&gt;"",I255,IF(J255&lt;&gt;"",J255,IF(K255&lt;&gt;"",K255,L255)))</f>
        <v>906.14</v>
      </c>
      <c r="C255" s="3">
        <f>MEDIAN(I255:L255)</f>
        <v>899.99</v>
      </c>
      <c r="D255" s="3">
        <f>ROUND(C255*(1-Settings!$B$2),2)</f>
        <v>629.99</v>
      </c>
      <c r="E255" s="3">
        <f>ROUND(C255*(1-Settings!$B$3),2)</f>
        <v>629.99</v>
      </c>
      <c r="F255" s="2" t="inlineStr">
        <is>
          <t>Pokemon</t>
        </is>
      </c>
      <c r="G255" s="2" t="inlineStr">
        <is>
          <t>Case/Display</t>
        </is>
      </c>
      <c r="H255" s="2" t="inlineStr">
        <is>
          <t>ME03: Perfect Order</t>
        </is>
      </c>
      <c r="I255" s="3" t="n"/>
      <c r="J255" s="3" t="n">
        <v>906.14</v>
      </c>
      <c r="K255" s="3" t="n">
        <v>899.99</v>
      </c>
      <c r="L255" s="3" t="n">
        <v>872.89</v>
      </c>
      <c r="M255" s="2" t="inlineStr">
        <is>
          <t>TCGplayer</t>
        </is>
      </c>
      <c r="O255" s="4" t="inlineStr">
        <is>
          <t>https://www.tcgplayer.com/product/672411</t>
        </is>
      </c>
    </row>
    <row r="256">
      <c r="A256" s="2" t="inlineStr">
        <is>
          <t>Chaos Rising 3-Pack Blister Case</t>
        </is>
      </c>
      <c r="B256" s="3">
        <f>IF(I256&lt;&gt;"",I256,IF(J256&lt;&gt;"",J256,IF(K256&lt;&gt;"",K256,L256)))</f>
        <v>599.93</v>
      </c>
      <c r="C256" s="3">
        <f>MEDIAN(I256:L256)</f>
        <v>549.92</v>
      </c>
      <c r="D256" s="3">
        <f>ROUND(C256*(1-Settings!$B$2),2)</f>
        <v>384.94</v>
      </c>
      <c r="E256" s="3">
        <f>ROUND(C256*(1-Settings!$B$3),2)</f>
        <v>384.94</v>
      </c>
      <c r="F256" s="2" t="inlineStr">
        <is>
          <t>Pokemon</t>
        </is>
      </c>
      <c r="G256" s="2" t="inlineStr">
        <is>
          <t>Case/Display</t>
        </is>
      </c>
      <c r="H256" s="2" t="inlineStr">
        <is>
          <t>ME04: Chaos Rising</t>
        </is>
      </c>
      <c r="I256" s="3" t="n"/>
      <c r="J256" s="3" t="n">
        <v>599.9299999999999</v>
      </c>
      <c r="K256" s="3" t="n">
        <v>549.92</v>
      </c>
      <c r="L256" s="3" t="n">
        <v>529.9400000000001</v>
      </c>
      <c r="M256" s="2" t="inlineStr">
        <is>
          <t>TCGplayer</t>
        </is>
      </c>
      <c r="O256" s="4" t="inlineStr">
        <is>
          <t>https://www.tcgplayer.com/product/695118</t>
        </is>
      </c>
    </row>
    <row r="257">
      <c r="A257" s="2" t="inlineStr">
        <is>
          <t>Chaos Rising Booster Box Case</t>
        </is>
      </c>
      <c r="B257" s="3">
        <f>IF(I257&lt;&gt;"",I257,IF(J257&lt;&gt;"",J257,IF(K257&lt;&gt;"",K257,L257)))</f>
        <v>1094.24</v>
      </c>
      <c r="C257" s="3">
        <f>MEDIAN(I257:L257)</f>
        <v>1094.24</v>
      </c>
      <c r="D257" s="3">
        <f>ROUND(C257*(1-Settings!$B$2),2)</f>
        <v>765.97</v>
      </c>
      <c r="E257" s="3">
        <f>ROUND(C257*(1-Settings!$B$3),2)</f>
        <v>765.97</v>
      </c>
      <c r="F257" s="2" t="inlineStr">
        <is>
          <t>Pokemon</t>
        </is>
      </c>
      <c r="G257" s="2" t="inlineStr">
        <is>
          <t>Case/Display</t>
        </is>
      </c>
      <c r="H257" s="2" t="inlineStr">
        <is>
          <t>ME04: Chaos Rising</t>
        </is>
      </c>
      <c r="I257" s="3" t="n"/>
      <c r="J257" s="3" t="n">
        <v>1094.24</v>
      </c>
      <c r="K257" s="3" t="n">
        <v>1199.45</v>
      </c>
      <c r="L257" s="3" t="n">
        <v>1035.01</v>
      </c>
      <c r="M257" s="2" t="inlineStr">
        <is>
          <t>TCGplayer</t>
        </is>
      </c>
      <c r="O257" s="4" t="inlineStr">
        <is>
          <t>https://www.tcgplayer.com/product/684445</t>
        </is>
      </c>
    </row>
    <row r="258">
      <c r="A258" s="2" t="inlineStr">
        <is>
          <t>Chaos Rising Booster Bundle Case</t>
        </is>
      </c>
      <c r="B258" s="3">
        <f>IF(I258&lt;&gt;"",I258,IF(J258&lt;&gt;"",J258,IF(K258&lt;&gt;"",K258,L258)))</f>
        <v>883.59</v>
      </c>
      <c r="C258" s="3">
        <f>MEDIAN(I258:L258)</f>
        <v>883.59</v>
      </c>
      <c r="D258" s="3">
        <f>ROUND(C258*(1-Settings!$B$2),2)</f>
        <v>618.51</v>
      </c>
      <c r="E258" s="3">
        <f>ROUND(C258*(1-Settings!$B$3),2)</f>
        <v>618.51</v>
      </c>
      <c r="F258" s="2" t="inlineStr">
        <is>
          <t>Pokemon</t>
        </is>
      </c>
      <c r="G258" s="2" t="inlineStr">
        <is>
          <t>Case/Display</t>
        </is>
      </c>
      <c r="H258" s="2" t="inlineStr">
        <is>
          <t>ME04: Chaos Rising</t>
        </is>
      </c>
      <c r="I258" s="3" t="n"/>
      <c r="J258" s="3" t="n">
        <v>883.59</v>
      </c>
      <c r="K258" s="3" t="n">
        <v>972.49</v>
      </c>
      <c r="L258" s="3" t="n">
        <v>839.95</v>
      </c>
      <c r="M258" s="2" t="inlineStr">
        <is>
          <t>TCGplayer</t>
        </is>
      </c>
      <c r="O258" s="4" t="inlineStr">
        <is>
          <t>https://www.tcgplayer.com/product/688949</t>
        </is>
      </c>
    </row>
    <row r="259">
      <c r="A259" s="2" t="inlineStr">
        <is>
          <t>Chaos Rising Elite Trainer Box Case</t>
        </is>
      </c>
      <c r="B259" s="3">
        <f>IF(I259&lt;&gt;"",I259,IF(J259&lt;&gt;"",J259,IF(K259&lt;&gt;"",K259,L259)))</f>
        <v>693.05</v>
      </c>
      <c r="C259" s="3">
        <f>MEDIAN(I259:L259)</f>
        <v>738.95</v>
      </c>
      <c r="D259" s="3">
        <f>ROUND(C259*(1-Settings!$B$2),2)</f>
        <v>517.27</v>
      </c>
      <c r="E259" s="3">
        <f>ROUND(C259*(1-Settings!$B$3),2)</f>
        <v>517.27</v>
      </c>
      <c r="F259" s="2" t="inlineStr">
        <is>
          <t>Pokemon</t>
        </is>
      </c>
      <c r="G259" s="2" t="inlineStr">
        <is>
          <t>Case/Display</t>
        </is>
      </c>
      <c r="H259" s="2" t="inlineStr">
        <is>
          <t>ME04: Chaos Rising</t>
        </is>
      </c>
      <c r="I259" s="3" t="n"/>
      <c r="J259" s="3" t="n">
        <v>693.05</v>
      </c>
      <c r="K259" s="3" t="n">
        <v>899.99</v>
      </c>
      <c r="L259" s="3" t="n">
        <v>738.95</v>
      </c>
      <c r="M259" s="2" t="inlineStr">
        <is>
          <t>TCGplayer</t>
        </is>
      </c>
      <c r="O259" s="4" t="inlineStr">
        <is>
          <t>https://www.tcgplayer.com/product/684451</t>
        </is>
      </c>
    </row>
    <row r="260">
      <c r="A260" s="2" t="inlineStr">
        <is>
          <t>Chaos Rising Sleeved Booster Case</t>
        </is>
      </c>
      <c r="B260" s="3">
        <f>IF(I260&lt;&gt;"",I260,IF(J260&lt;&gt;"",J260,IF(K260&lt;&gt;"",K260,L260)))</f>
        <v>863.44</v>
      </c>
      <c r="C260" s="3">
        <f>MEDIAN(I260:L260)</f>
        <v>732.99</v>
      </c>
      <c r="D260" s="3">
        <f>ROUND(C260*(1-Settings!$B$2),2)</f>
        <v>513.09</v>
      </c>
      <c r="E260" s="3">
        <f>ROUND(C260*(1-Settings!$B$3),2)</f>
        <v>513.09</v>
      </c>
      <c r="F260" s="2" t="inlineStr">
        <is>
          <t>Pokemon</t>
        </is>
      </c>
      <c r="G260" s="2" t="inlineStr">
        <is>
          <t>Case/Display</t>
        </is>
      </c>
      <c r="H260" s="2" t="inlineStr">
        <is>
          <t>ME04: Chaos Rising</t>
        </is>
      </c>
      <c r="I260" s="3" t="n"/>
      <c r="J260" s="3" t="n">
        <v>863.4400000000001</v>
      </c>
      <c r="K260" s="3" t="n">
        <v>732.99</v>
      </c>
      <c r="L260" s="3" t="n">
        <v>699.99</v>
      </c>
      <c r="M260" s="2" t="inlineStr">
        <is>
          <t>TCGplayer</t>
        </is>
      </c>
      <c r="O260" s="4" t="inlineStr">
        <is>
          <t>https://www.tcgplayer.com/product/690684</t>
        </is>
      </c>
    </row>
    <row r="261">
      <c r="A261" s="2" t="inlineStr">
        <is>
          <t>Pitch Black 3-Pack Blister Case</t>
        </is>
      </c>
      <c r="B261" s="3">
        <f>IF(I261&lt;&gt;"",I261,IF(J261&lt;&gt;"",J261,IF(K261&lt;&gt;"",K261,L261)))</f>
        <v>524.09</v>
      </c>
      <c r="C261" s="3">
        <f>MEDIAN(I261:L261)</f>
        <v>522.49</v>
      </c>
      <c r="D261" s="3">
        <f>ROUND(C261*(1-Settings!$B$2),2)</f>
        <v>365.74</v>
      </c>
      <c r="E261" s="3">
        <f>ROUND(C261*(1-Settings!$B$3),2)</f>
        <v>365.74</v>
      </c>
      <c r="F261" s="2" t="inlineStr">
        <is>
          <t>Pokemon</t>
        </is>
      </c>
      <c r="G261" s="2" t="inlineStr">
        <is>
          <t>Case/Display</t>
        </is>
      </c>
      <c r="H261" s="2" t="inlineStr">
        <is>
          <t>ME05: Pitch Black</t>
        </is>
      </c>
      <c r="I261" s="3" t="n"/>
      <c r="J261" s="3" t="n">
        <v>524.09</v>
      </c>
      <c r="K261" s="3" t="n">
        <v>522.49</v>
      </c>
      <c r="L261" s="3" t="n">
        <v>379.95</v>
      </c>
      <c r="M261" s="2" t="inlineStr">
        <is>
          <t>TCGplayer</t>
        </is>
      </c>
      <c r="O261" s="4" t="inlineStr">
        <is>
          <t>https://www.tcgplayer.com/product/693589</t>
        </is>
      </c>
    </row>
    <row r="262">
      <c r="A262" s="2" t="inlineStr">
        <is>
          <t>Pitch Black Booster Box Case</t>
        </is>
      </c>
      <c r="B262" s="3">
        <f>IF(I262&lt;&gt;"",I262,IF(J262&lt;&gt;"",J262,IF(K262&lt;&gt;"",K262,L262)))</f>
        <v>1109.95</v>
      </c>
      <c r="C262" s="3">
        <f>MEDIAN(I262:L262)</f>
        <v>1109.95</v>
      </c>
      <c r="D262" s="3">
        <f>ROUND(C262*(1-Settings!$B$2),2)</f>
        <v>776.97</v>
      </c>
      <c r="E262" s="3">
        <f>ROUND(C262*(1-Settings!$B$3),2)</f>
        <v>776.97</v>
      </c>
      <c r="F262" s="2" t="inlineStr">
        <is>
          <t>Pokemon</t>
        </is>
      </c>
      <c r="G262" s="2" t="inlineStr">
        <is>
          <t>Case/Display</t>
        </is>
      </c>
      <c r="H262" s="2" t="inlineStr">
        <is>
          <t>ME05: Pitch Black</t>
        </is>
      </c>
      <c r="I262" s="3" t="n"/>
      <c r="J262" s="3" t="n">
        <v>1109.95</v>
      </c>
      <c r="K262" s="3" t="n">
        <v>1224.97</v>
      </c>
      <c r="L262" s="3" t="n">
        <v>999.95</v>
      </c>
      <c r="M262" s="2" t="inlineStr">
        <is>
          <t>TCGplayer</t>
        </is>
      </c>
      <c r="O262" s="4" t="inlineStr">
        <is>
          <t>https://www.tcgplayer.com/product/692941</t>
        </is>
      </c>
    </row>
    <row r="263">
      <c r="A263" s="2" t="inlineStr">
        <is>
          <t>Pitch Black Build &amp; Battle Box Display</t>
        </is>
      </c>
      <c r="B263" s="3">
        <f>IF(I263&lt;&gt;"",I263,IF(J263&lt;&gt;"",J263,IF(K263&lt;&gt;"",K263,L263)))</f>
        <v>300.59</v>
      </c>
      <c r="C263" s="3">
        <f>MEDIAN(I263:L263)</f>
        <v>300.59</v>
      </c>
      <c r="D263" s="3">
        <f>ROUND(C263*(1-Settings!$B$2),2)</f>
        <v>210.41</v>
      </c>
      <c r="E263" s="3">
        <f>ROUND(C263*(1-Settings!$B$3),2)</f>
        <v>210.41</v>
      </c>
      <c r="F263" s="2" t="inlineStr">
        <is>
          <t>Pokemon</t>
        </is>
      </c>
      <c r="G263" s="2" t="inlineStr">
        <is>
          <t>Case/Display</t>
        </is>
      </c>
      <c r="H263" s="2" t="inlineStr">
        <is>
          <t>ME05: Pitch Black</t>
        </is>
      </c>
      <c r="I263" s="3" t="n"/>
      <c r="J263" s="3" t="n">
        <v>300.59</v>
      </c>
      <c r="K263" s="3" t="n">
        <v>369.99</v>
      </c>
      <c r="L263" s="3" t="n">
        <v>297</v>
      </c>
      <c r="M263" s="2" t="inlineStr">
        <is>
          <t>TCGplayer</t>
        </is>
      </c>
      <c r="O263" s="4" t="inlineStr">
        <is>
          <t>https://www.tcgplayer.com/product/693586</t>
        </is>
      </c>
    </row>
    <row r="264">
      <c r="A264" s="2" t="inlineStr">
        <is>
          <t>Pitch Black Elite Trainer Box Case</t>
        </is>
      </c>
      <c r="B264" s="3">
        <f>IF(I264&lt;&gt;"",I264,IF(J264&lt;&gt;"",J264,IF(K264&lt;&gt;"",K264,L264)))</f>
        <v>748.48</v>
      </c>
      <c r="C264" s="3">
        <f>MEDIAN(I264:L264)</f>
        <v>769.0</v>
      </c>
      <c r="D264" s="3">
        <f>ROUND(C264*(1-Settings!$B$2),2)</f>
        <v>538.3</v>
      </c>
      <c r="E264" s="3">
        <f>ROUND(C264*(1-Settings!$B$3),2)</f>
        <v>538.3</v>
      </c>
      <c r="F264" s="2" t="inlineStr">
        <is>
          <t>Pokemon</t>
        </is>
      </c>
      <c r="G264" s="2" t="inlineStr">
        <is>
          <t>Case/Display</t>
        </is>
      </c>
      <c r="H264" s="2" t="inlineStr">
        <is>
          <t>ME05: Pitch Black</t>
        </is>
      </c>
      <c r="I264" s="3" t="n"/>
      <c r="J264" s="3" t="n">
        <v>748.48</v>
      </c>
      <c r="K264" s="3" t="n">
        <v>820</v>
      </c>
      <c r="L264" s="3" t="n">
        <v>769</v>
      </c>
      <c r="M264" s="2" t="inlineStr">
        <is>
          <t>TCGplayer</t>
        </is>
      </c>
      <c r="O264" s="4" t="inlineStr">
        <is>
          <t>https://www.tcgplayer.com/product/692948</t>
        </is>
      </c>
    </row>
    <row r="265">
      <c r="A265" s="2" t="inlineStr">
        <is>
          <t>Pitch Black Pokemon Center Elite Trainer Box Case (Exclusive)</t>
        </is>
      </c>
      <c r="B265" s="3">
        <f>IF(I265&lt;&gt;"",I265,IF(J265&lt;&gt;"",J265,IF(K265&lt;&gt;"",K265,L265)))</f>
        <v>400.0</v>
      </c>
      <c r="C265" s="3">
        <f>MEDIAN(I265:L265)</f>
        <v>350.0</v>
      </c>
      <c r="D265" s="3">
        <f>ROUND(C265*(1-Settings!$B$2),2)</f>
        <v>245.0</v>
      </c>
      <c r="E265" s="3">
        <f>ROUND(C265*(1-Settings!$B$3),2)</f>
        <v>245.0</v>
      </c>
      <c r="F265" s="2" t="inlineStr">
        <is>
          <t>Pokemon</t>
        </is>
      </c>
      <c r="G265" s="2" t="inlineStr">
        <is>
          <t>Case/Display</t>
        </is>
      </c>
      <c r="H265" s="2" t="inlineStr">
        <is>
          <t>ME05: Pitch Black</t>
        </is>
      </c>
      <c r="I265" s="3" t="n"/>
      <c r="J265" s="3" t="n"/>
      <c r="K265" s="3" t="n">
        <v>400</v>
      </c>
      <c r="L265" s="3" t="n">
        <v>300</v>
      </c>
      <c r="M265" s="2" t="inlineStr">
        <is>
          <t>TCGplayer</t>
        </is>
      </c>
      <c r="O265" s="4" t="inlineStr">
        <is>
          <t>https://www.tcgplayer.com/product/692950</t>
        </is>
      </c>
    </row>
    <row r="266">
      <c r="A266" s="2" t="inlineStr">
        <is>
          <t>Pitch Black Sleeved Booster Case</t>
        </is>
      </c>
      <c r="B266" s="3">
        <f>IF(I266&lt;&gt;"",I266,IF(J266&lt;&gt;"",J266,IF(K266&lt;&gt;"",K266,L266)))</f>
        <v>793.7</v>
      </c>
      <c r="C266" s="3">
        <f>MEDIAN(I266:L266)</f>
        <v>793.7</v>
      </c>
      <c r="D266" s="3">
        <f>ROUND(C266*(1-Settings!$B$2),2)</f>
        <v>555.59</v>
      </c>
      <c r="E266" s="3">
        <f>ROUND(C266*(1-Settings!$B$3),2)</f>
        <v>555.59</v>
      </c>
      <c r="F266" s="2" t="inlineStr">
        <is>
          <t>Pokemon</t>
        </is>
      </c>
      <c r="G266" s="2" t="inlineStr">
        <is>
          <t>Case/Display</t>
        </is>
      </c>
      <c r="H266" s="2" t="inlineStr">
        <is>
          <t>ME05: Pitch Black</t>
        </is>
      </c>
      <c r="I266" s="3" t="n"/>
      <c r="J266" s="3" t="n">
        <v>793.7</v>
      </c>
      <c r="K266" s="3" t="n">
        <v>850.45</v>
      </c>
      <c r="L266" s="3" t="n">
        <v>755.96</v>
      </c>
      <c r="M266" s="2" t="inlineStr">
        <is>
          <t>TCGplayer</t>
        </is>
      </c>
      <c r="O266" s="4" t="inlineStr">
        <is>
          <t>https://www.tcgplayer.com/product/692956</t>
        </is>
      </c>
    </row>
    <row r="267">
      <c r="A267" s="2" t="inlineStr">
        <is>
          <t>Delta Reign Booster Box Case</t>
        </is>
      </c>
      <c r="B267" s="3">
        <f>IF(I267&lt;&gt;"",I267,IF(J267&lt;&gt;"",J267,IF(K267&lt;&gt;"",K267,L267)))</f>
        <v>1611.88</v>
      </c>
      <c r="C267" s="3">
        <f>MEDIAN(I267:L267)</f>
        <v>1548.97</v>
      </c>
      <c r="D267" s="3">
        <f>ROUND(C267*(1-Settings!$B$2),2)</f>
        <v>1084.28</v>
      </c>
      <c r="E267" s="3">
        <f>ROUND(C267*(1-Settings!$B$3),2)</f>
        <v>1084.28</v>
      </c>
      <c r="F267" s="2" t="inlineStr">
        <is>
          <t>Pokemon</t>
        </is>
      </c>
      <c r="G267" s="2" t="inlineStr">
        <is>
          <t>Case/Display</t>
        </is>
      </c>
      <c r="H267" s="2" t="inlineStr">
        <is>
          <t>ME06: Delta Reign</t>
        </is>
      </c>
      <c r="I267" s="3" t="n"/>
      <c r="J267" s="3" t="n">
        <v>1611.88</v>
      </c>
      <c r="K267" s="3" t="n">
        <v>1548.97</v>
      </c>
      <c r="L267" s="3" t="n">
        <v>1479.94</v>
      </c>
      <c r="M267" s="2" t="inlineStr">
        <is>
          <t>TCGplayer</t>
        </is>
      </c>
      <c r="O267" s="4" t="inlineStr">
        <is>
          <t>https://www.tcgplayer.com/product/712096</t>
        </is>
      </c>
    </row>
    <row r="268">
      <c r="A268" s="2" t="inlineStr">
        <is>
          <t>Delta Reign Booster Bundle Case</t>
        </is>
      </c>
      <c r="B268" s="3">
        <f>IF(I268&lt;&gt;"",I268,IF(J268&lt;&gt;"",J268,IF(K268&lt;&gt;"",K268,L268)))</f>
        <v>1530.98</v>
      </c>
      <c r="C268" s="3">
        <f>MEDIAN(I268:L268)</f>
        <v>1530.98</v>
      </c>
      <c r="D268" s="3">
        <f>ROUND(C268*(1-Settings!$B$2),2)</f>
        <v>1071.69</v>
      </c>
      <c r="E268" s="3">
        <f>ROUND(C268*(1-Settings!$B$3),2)</f>
        <v>1071.69</v>
      </c>
      <c r="F268" s="2" t="inlineStr">
        <is>
          <t>Pokemon</t>
        </is>
      </c>
      <c r="G268" s="2" t="inlineStr">
        <is>
          <t>Case/Display</t>
        </is>
      </c>
      <c r="H268" s="2" t="inlineStr">
        <is>
          <t>ME06: Delta Reign</t>
        </is>
      </c>
      <c r="I268" s="3" t="n"/>
      <c r="J268" s="3" t="n">
        <v>1530.98</v>
      </c>
      <c r="K268" s="3" t="n">
        <v>1530.99</v>
      </c>
      <c r="L268" s="3" t="n">
        <v>1526.96</v>
      </c>
      <c r="M268" s="2" t="inlineStr">
        <is>
          <t>TCGplayer</t>
        </is>
      </c>
      <c r="O268" s="4" t="inlineStr">
        <is>
          <t>https://www.tcgplayer.com/product/712098</t>
        </is>
      </c>
    </row>
    <row r="269">
      <c r="A269" s="2" t="inlineStr">
        <is>
          <t>Delta Reign Elite Trainer Box Case</t>
        </is>
      </c>
      <c r="B269" s="3">
        <f>IF(I269&lt;&gt;"",I269,IF(J269&lt;&gt;"",J269,IF(K269&lt;&gt;"",K269,L269)))</f>
        <v>1211.81</v>
      </c>
      <c r="C269" s="3">
        <f>MEDIAN(I269:L269)</f>
        <v>1153.19</v>
      </c>
      <c r="D269" s="3">
        <f>ROUND(C269*(1-Settings!$B$2),2)</f>
        <v>807.23</v>
      </c>
      <c r="E269" s="3">
        <f>ROUND(C269*(1-Settings!$B$3),2)</f>
        <v>807.23</v>
      </c>
      <c r="F269" s="2" t="inlineStr">
        <is>
          <t>Pokemon</t>
        </is>
      </c>
      <c r="G269" s="2" t="inlineStr">
        <is>
          <t>Case/Display</t>
        </is>
      </c>
      <c r="H269" s="2" t="inlineStr">
        <is>
          <t>ME06: Delta Reign</t>
        </is>
      </c>
      <c r="I269" s="3" t="n"/>
      <c r="J269" s="3" t="n">
        <v>1211.81</v>
      </c>
      <c r="K269" s="3" t="n">
        <v>1153.19</v>
      </c>
      <c r="L269" s="3" t="n">
        <v>1099.88</v>
      </c>
      <c r="M269" s="2" t="inlineStr">
        <is>
          <t>TCGplayer</t>
        </is>
      </c>
      <c r="O269" s="4" t="inlineStr">
        <is>
          <t>https://www.tcgplayer.com/product/712103</t>
        </is>
      </c>
    </row>
    <row r="270">
      <c r="A270" s="2" t="inlineStr">
        <is>
          <t>Delta Reign Sleeved Booster Case</t>
        </is>
      </c>
      <c r="B270" s="3">
        <f>IF(I270&lt;&gt;"",I270,IF(J270&lt;&gt;"",J270,IF(K270&lt;&gt;"",K270,L270)))</f>
        <v>1196.09</v>
      </c>
      <c r="C270" s="3">
        <f>MEDIAN(I270:L270)</f>
        <v>1192.9</v>
      </c>
      <c r="D270" s="3">
        <f>ROUND(C270*(1-Settings!$B$2),2)</f>
        <v>835.03</v>
      </c>
      <c r="E270" s="3">
        <f>ROUND(C270*(1-Settings!$B$3),2)</f>
        <v>835.03</v>
      </c>
      <c r="F270" s="2" t="inlineStr">
        <is>
          <t>Pokemon</t>
        </is>
      </c>
      <c r="G270" s="2" t="inlineStr">
        <is>
          <t>Case/Display</t>
        </is>
      </c>
      <c r="H270" s="2" t="inlineStr">
        <is>
          <t>ME06: Delta Reign</t>
        </is>
      </c>
      <c r="I270" s="3" t="n"/>
      <c r="J270" s="3" t="n">
        <v>1196.09</v>
      </c>
      <c r="K270" s="3" t="n">
        <v>1192.9</v>
      </c>
      <c r="L270" s="3" t="n">
        <v>1192.66</v>
      </c>
      <c r="M270" s="2" t="inlineStr">
        <is>
          <t>TCGplayer</t>
        </is>
      </c>
      <c r="O270" s="4" t="inlineStr">
        <is>
          <t>https://www.tcgplayer.com/product/712111</t>
        </is>
      </c>
    </row>
    <row r="271">
      <c r="A271" s="2" t="inlineStr">
        <is>
          <t>30th Celebration Battle Deck Case</t>
        </is>
      </c>
      <c r="B271" s="3">
        <f>IF(I271&lt;&gt;"",I271,IF(J271&lt;&gt;"",J271,IF(K271&lt;&gt;"",K271,L271)))</f>
        <v>278.39</v>
      </c>
      <c r="C271" s="3">
        <f>MEDIAN(I271:L271)</f>
        <v>276.68</v>
      </c>
      <c r="D271" s="3">
        <f>ROUND(C271*(1-Settings!$B$2),2)</f>
        <v>193.68</v>
      </c>
      <c r="E271" s="3">
        <f>ROUND(C271*(1-Settings!$B$3),2)</f>
        <v>193.68</v>
      </c>
      <c r="F271" s="2" t="inlineStr">
        <is>
          <t>Pokemon</t>
        </is>
      </c>
      <c r="G271" s="2" t="inlineStr">
        <is>
          <t>Case/Display</t>
        </is>
      </c>
      <c r="H271" s="2" t="inlineStr">
        <is>
          <t>ME: 30th Celebration</t>
        </is>
      </c>
      <c r="I271" s="3" t="n"/>
      <c r="J271" s="3" t="n">
        <v>278.39</v>
      </c>
      <c r="K271" s="3" t="n">
        <v>276.68</v>
      </c>
      <c r="L271" s="3" t="n">
        <v>274.66</v>
      </c>
      <c r="M271" s="2" t="inlineStr">
        <is>
          <t>TCGplayer</t>
        </is>
      </c>
      <c r="O271" s="4" t="inlineStr">
        <is>
          <t>https://www.tcgplayer.com/product/709016</t>
        </is>
      </c>
    </row>
    <row r="272">
      <c r="A272" s="2" t="inlineStr">
        <is>
          <t>30th Celebration Binder Collection Case</t>
        </is>
      </c>
      <c r="B272" s="3">
        <f>IF(I272&lt;&gt;"",I272,IF(J272&lt;&gt;"",J272,IF(K272&lt;&gt;"",K272,L272)))</f>
        <v>455.92</v>
      </c>
      <c r="C272" s="3">
        <f>MEDIAN(I272:L272)</f>
        <v>994.98</v>
      </c>
      <c r="D272" s="3">
        <f>ROUND(C272*(1-Settings!$B$2),2)</f>
        <v>696.49</v>
      </c>
      <c r="E272" s="3">
        <f>ROUND(C272*(1-Settings!$B$3),2)</f>
        <v>696.49</v>
      </c>
      <c r="F272" s="2" t="inlineStr">
        <is>
          <t>Pokemon</t>
        </is>
      </c>
      <c r="G272" s="2" t="inlineStr">
        <is>
          <t>Case/Display</t>
        </is>
      </c>
      <c r="H272" s="2" t="inlineStr">
        <is>
          <t>ME: 30th Celebration</t>
        </is>
      </c>
      <c r="I272" s="3" t="n"/>
      <c r="J272" s="3" t="n">
        <v>455.92</v>
      </c>
      <c r="K272" s="3" t="n">
        <v>995</v>
      </c>
      <c r="L272" s="3" t="n">
        <v>994.98</v>
      </c>
      <c r="M272" s="2" t="inlineStr">
        <is>
          <t>TCGplayer</t>
        </is>
      </c>
      <c r="O272" s="4" t="inlineStr">
        <is>
          <t>https://www.tcgplayer.com/product/709032</t>
        </is>
      </c>
    </row>
    <row r="273">
      <c r="A273" s="2" t="inlineStr">
        <is>
          <t>30th Celebration Booster Bundle Case</t>
        </is>
      </c>
      <c r="B273" s="3">
        <f>IF(I273&lt;&gt;"",I273,IF(J273&lt;&gt;"",J273,IF(K273&lt;&gt;"",K273,L273)))</f>
        <v>1856.33</v>
      </c>
      <c r="C273" s="3">
        <f>MEDIAN(I273:L273)</f>
        <v>1856.33</v>
      </c>
      <c r="D273" s="3">
        <f>ROUND(C273*(1-Settings!$B$2),2)</f>
        <v>1299.43</v>
      </c>
      <c r="E273" s="3">
        <f>ROUND(C273*(1-Settings!$B$3),2)</f>
        <v>1299.43</v>
      </c>
      <c r="F273" s="2" t="inlineStr">
        <is>
          <t>Pokemon</t>
        </is>
      </c>
      <c r="G273" s="2" t="inlineStr">
        <is>
          <t>Case/Display</t>
        </is>
      </c>
      <c r="H273" s="2" t="inlineStr">
        <is>
          <t>ME: 30th Celebration</t>
        </is>
      </c>
      <c r="I273" s="3" t="n"/>
      <c r="J273" s="3" t="n">
        <v>1856.33</v>
      </c>
      <c r="K273" s="3" t="n">
        <v>1867.99</v>
      </c>
      <c r="L273" s="3" t="n">
        <v>1803.86</v>
      </c>
      <c r="M273" s="2" t="inlineStr">
        <is>
          <t>TCGplayer</t>
        </is>
      </c>
      <c r="O273" s="4" t="inlineStr">
        <is>
          <t>https://www.tcgplayer.com/product/709017</t>
        </is>
      </c>
    </row>
    <row r="274">
      <c r="A274" s="2" t="inlineStr">
        <is>
          <t>30th Celebration Ditto Premium Collection Case</t>
        </is>
      </c>
      <c r="B274" s="3">
        <f>IF(I274&lt;&gt;"",I274,IF(J274&lt;&gt;"",J274,IF(K274&lt;&gt;"",K274,L274)))</f>
        <v>1219.44</v>
      </c>
      <c r="C274" s="3">
        <f>MEDIAN(I274:L274)</f>
        <v>1044.0</v>
      </c>
      <c r="D274" s="3">
        <f>ROUND(C274*(1-Settings!$B$2),2)</f>
        <v>730.8</v>
      </c>
      <c r="E274" s="3">
        <f>ROUND(C274*(1-Settings!$B$3),2)</f>
        <v>730.8</v>
      </c>
      <c r="F274" s="2" t="inlineStr">
        <is>
          <t>Pokemon</t>
        </is>
      </c>
      <c r="G274" s="2" t="inlineStr">
        <is>
          <t>Case/Display</t>
        </is>
      </c>
      <c r="H274" s="2" t="inlineStr">
        <is>
          <t>ME: 30th Celebration</t>
        </is>
      </c>
      <c r="I274" s="3" t="n"/>
      <c r="J274" s="3" t="n">
        <v>1219.44</v>
      </c>
      <c r="K274" s="3" t="n">
        <v>1044</v>
      </c>
      <c r="L274" s="3" t="n">
        <v>1043.97</v>
      </c>
      <c r="M274" s="2" t="inlineStr">
        <is>
          <t>TCGplayer</t>
        </is>
      </c>
      <c r="O274" s="4" t="inlineStr">
        <is>
          <t>https://www.tcgplayer.com/product/709018</t>
        </is>
      </c>
    </row>
    <row r="275">
      <c r="A275" s="2" t="inlineStr">
        <is>
          <t>30th Celebration Elite Trainer Box Case</t>
        </is>
      </c>
      <c r="B275" s="3">
        <f>IF(I275&lt;&gt;"",I275,IF(J275&lt;&gt;"",J275,IF(K275&lt;&gt;"",K275,L275)))</f>
        <v>1557.01</v>
      </c>
      <c r="C275" s="3">
        <f>MEDIAN(I275:L275)</f>
        <v>1557.01</v>
      </c>
      <c r="D275" s="3">
        <f>ROUND(C275*(1-Settings!$B$2),2)</f>
        <v>1089.91</v>
      </c>
      <c r="E275" s="3">
        <f>ROUND(C275*(1-Settings!$B$3),2)</f>
        <v>1089.91</v>
      </c>
      <c r="F275" s="2" t="inlineStr">
        <is>
          <t>Pokemon</t>
        </is>
      </c>
      <c r="G275" s="2" t="inlineStr">
        <is>
          <t>Case/Display</t>
        </is>
      </c>
      <c r="H275" s="2" t="inlineStr">
        <is>
          <t>ME: 30th Celebration</t>
        </is>
      </c>
      <c r="I275" s="3" t="n"/>
      <c r="J275" s="3" t="n">
        <v>1557.01</v>
      </c>
      <c r="K275" s="3" t="n">
        <v>1619.45</v>
      </c>
      <c r="L275" s="3" t="n">
        <v>1400</v>
      </c>
      <c r="M275" s="2" t="inlineStr">
        <is>
          <t>TCGplayer</t>
        </is>
      </c>
      <c r="O275" s="4" t="inlineStr">
        <is>
          <t>https://www.tcgplayer.com/product/709036</t>
        </is>
      </c>
    </row>
    <row r="276">
      <c r="A276" s="2" t="inlineStr">
        <is>
          <t>30th Celebration ex Box Case</t>
        </is>
      </c>
      <c r="B276" s="3">
        <f>IF(I276&lt;&gt;"",I276,IF(J276&lt;&gt;"",J276,IF(K276&lt;&gt;"",K276,L276)))</f>
        <v>353.67</v>
      </c>
      <c r="C276" s="3">
        <f>MEDIAN(I276:L276)</f>
        <v>353.67</v>
      </c>
      <c r="D276" s="3">
        <f>ROUND(C276*(1-Settings!$B$2),2)</f>
        <v>247.57</v>
      </c>
      <c r="E276" s="3">
        <f>ROUND(C276*(1-Settings!$B$3),2)</f>
        <v>247.57</v>
      </c>
      <c r="F276" s="2" t="inlineStr">
        <is>
          <t>Pokemon</t>
        </is>
      </c>
      <c r="G276" s="2" t="inlineStr">
        <is>
          <t>Case/Display</t>
        </is>
      </c>
      <c r="H276" s="2" t="inlineStr">
        <is>
          <t>ME: 30th Celebration</t>
        </is>
      </c>
      <c r="I276" s="3" t="n"/>
      <c r="J276" s="3" t="n">
        <v>353.67</v>
      </c>
      <c r="K276" s="3" t="n">
        <v>358.5</v>
      </c>
      <c r="L276" s="3" t="n">
        <v>318.9</v>
      </c>
      <c r="M276" s="2" t="inlineStr">
        <is>
          <t>TCGplayer</t>
        </is>
      </c>
      <c r="O276" s="4" t="inlineStr">
        <is>
          <t>https://www.tcgplayer.com/product/709037</t>
        </is>
      </c>
    </row>
    <row r="277">
      <c r="A277" s="2" t="inlineStr">
        <is>
          <t>30th Celebration ex Tin Case (International Version)</t>
        </is>
      </c>
      <c r="B277" s="3">
        <f>IF(I277&lt;&gt;"",I277,IF(J277&lt;&gt;"",J277,IF(K277&lt;&gt;"",K277,L277)))</f>
        <v>448.8</v>
      </c>
      <c r="C277" s="3">
        <f>MEDIAN(I277:L277)</f>
        <v>448.5</v>
      </c>
      <c r="D277" s="3">
        <f>ROUND(C277*(1-Settings!$B$2),2)</f>
        <v>313.95</v>
      </c>
      <c r="E277" s="3">
        <f>ROUND(C277*(1-Settings!$B$3),2)</f>
        <v>313.95</v>
      </c>
      <c r="F277" s="2" t="inlineStr">
        <is>
          <t>Pokemon</t>
        </is>
      </c>
      <c r="G277" s="2" t="inlineStr">
        <is>
          <t>Case/Display</t>
        </is>
      </c>
      <c r="H277" s="2" t="inlineStr">
        <is>
          <t>ME: 30th Celebration</t>
        </is>
      </c>
      <c r="I277" s="3" t="n"/>
      <c r="J277" s="3" t="n">
        <v>448.8</v>
      </c>
      <c r="K277" s="3" t="n">
        <v>448.5</v>
      </c>
      <c r="L277" s="3" t="n">
        <v>448.49</v>
      </c>
      <c r="M277" s="2" t="inlineStr">
        <is>
          <t>TCGplayer</t>
        </is>
      </c>
      <c r="O277" s="4" t="inlineStr">
        <is>
          <t>https://www.tcgplayer.com/product/709031</t>
        </is>
      </c>
    </row>
    <row r="278">
      <c r="A278" s="2" t="inlineStr">
        <is>
          <t>30th Celebration Figure Collection Case</t>
        </is>
      </c>
      <c r="B278" s="3">
        <f>IF(I278&lt;&gt;"",I278,IF(J278&lt;&gt;"",J278,IF(K278&lt;&gt;"",K278,L278)))</f>
        <v>666.28</v>
      </c>
      <c r="C278" s="3">
        <f>MEDIAN(I278:L278)</f>
        <v>1184.78</v>
      </c>
      <c r="D278" s="3">
        <f>ROUND(C278*(1-Settings!$B$2),2)</f>
        <v>829.35</v>
      </c>
      <c r="E278" s="3">
        <f>ROUND(C278*(1-Settings!$B$3),2)</f>
        <v>829.35</v>
      </c>
      <c r="F278" s="2" t="inlineStr">
        <is>
          <t>Pokemon</t>
        </is>
      </c>
      <c r="G278" s="2" t="inlineStr">
        <is>
          <t>Case/Display</t>
        </is>
      </c>
      <c r="H278" s="2" t="inlineStr">
        <is>
          <t>ME: 30th Celebration</t>
        </is>
      </c>
      <c r="I278" s="3" t="n"/>
      <c r="J278" s="3" t="n">
        <v>666.28</v>
      </c>
      <c r="K278" s="3" t="n">
        <v>1199.68</v>
      </c>
      <c r="L278" s="3" t="n">
        <v>1184.78</v>
      </c>
      <c r="M278" s="2" t="inlineStr">
        <is>
          <t>TCGplayer</t>
        </is>
      </c>
      <c r="O278" s="4" t="inlineStr">
        <is>
          <t>https://www.tcgplayer.com/product/709019</t>
        </is>
      </c>
    </row>
    <row r="279">
      <c r="A279" s="2" t="inlineStr">
        <is>
          <t>30th Celebration Knock Out Collection Case</t>
        </is>
      </c>
      <c r="B279" s="3">
        <f>IF(I279&lt;&gt;"",I279,IF(J279&lt;&gt;"",J279,IF(K279&lt;&gt;"",K279,L279)))</f>
        <v>764.13</v>
      </c>
      <c r="C279" s="3">
        <f>MEDIAN(I279:L279)</f>
        <v>764.13</v>
      </c>
      <c r="D279" s="3">
        <f>ROUND(C279*(1-Settings!$B$2),2)</f>
        <v>534.89</v>
      </c>
      <c r="E279" s="3">
        <f>ROUND(C279*(1-Settings!$B$3),2)</f>
        <v>534.89</v>
      </c>
      <c r="F279" s="2" t="inlineStr">
        <is>
          <t>Pokemon</t>
        </is>
      </c>
      <c r="G279" s="2" t="inlineStr">
        <is>
          <t>Case/Display</t>
        </is>
      </c>
      <c r="H279" s="2" t="inlineStr">
        <is>
          <t>ME: 30th Celebration</t>
        </is>
      </c>
      <c r="I279" s="3" t="n"/>
      <c r="J279" s="3" t="n">
        <v>764.13</v>
      </c>
      <c r="K279" s="3" t="n">
        <v>986</v>
      </c>
      <c r="L279" s="3" t="n">
        <v>750</v>
      </c>
      <c r="M279" s="2" t="inlineStr">
        <is>
          <t>TCGplayer</t>
        </is>
      </c>
      <c r="O279" s="4" t="inlineStr">
        <is>
          <t>https://www.tcgplayer.com/product/709035</t>
        </is>
      </c>
    </row>
    <row r="280">
      <c r="A280" s="2" t="inlineStr">
        <is>
          <t>30th Celebration Mini Tin Display</t>
        </is>
      </c>
      <c r="B280" s="3">
        <f>IF(I280&lt;&gt;"",I280,IF(J280&lt;&gt;"",J280,IF(K280&lt;&gt;"",K280,L280)))</f>
        <v>256.47</v>
      </c>
      <c r="C280" s="3">
        <f>MEDIAN(I280:L280)</f>
        <v>237.38</v>
      </c>
      <c r="D280" s="3">
        <f>ROUND(C280*(1-Settings!$B$2),2)</f>
        <v>166.17</v>
      </c>
      <c r="E280" s="3">
        <f>ROUND(C280*(1-Settings!$B$3),2)</f>
        <v>166.17</v>
      </c>
      <c r="F280" s="2" t="inlineStr">
        <is>
          <t>Pokemon</t>
        </is>
      </c>
      <c r="G280" s="2" t="inlineStr">
        <is>
          <t>Case/Display</t>
        </is>
      </c>
      <c r="H280" s="2" t="inlineStr">
        <is>
          <t>ME: 30th Celebration</t>
        </is>
      </c>
      <c r="I280" s="3" t="n">
        <v>256.47</v>
      </c>
      <c r="J280" s="3" t="n">
        <v>224.77</v>
      </c>
      <c r="K280" s="3" t="n">
        <v>249.99</v>
      </c>
      <c r="L280" s="3" t="n">
        <v>42</v>
      </c>
      <c r="M280" s="2" t="inlineStr">
        <is>
          <t>PriceCharting + TCGplayer</t>
        </is>
      </c>
      <c r="N280" s="4" t="inlineStr">
        <is>
          <t>https://www.pricecharting.com/game/pokemon-30th-celebration/mini-tin-display</t>
        </is>
      </c>
      <c r="O280" s="4" t="inlineStr">
        <is>
          <t>https://www.tcgplayer.com/product/704186</t>
        </is>
      </c>
    </row>
    <row r="281">
      <c r="A281" s="2" t="inlineStr">
        <is>
          <t>30th Celebration Mini Tin Display Case</t>
        </is>
      </c>
      <c r="B281" s="3">
        <f>IF(I281&lt;&gt;"",I281,IF(J281&lt;&gt;"",J281,IF(K281&lt;&gt;"",K281,L281)))</f>
        <v>1233.28</v>
      </c>
      <c r="C281" s="3">
        <f>MEDIAN(I281:L281)</f>
        <v>1099.91</v>
      </c>
      <c r="D281" s="3">
        <f>ROUND(C281*(1-Settings!$B$2),2)</f>
        <v>769.94</v>
      </c>
      <c r="E281" s="3">
        <f>ROUND(C281*(1-Settings!$B$3),2)</f>
        <v>769.94</v>
      </c>
      <c r="F281" s="2" t="inlineStr">
        <is>
          <t>Pokemon</t>
        </is>
      </c>
      <c r="G281" s="2" t="inlineStr">
        <is>
          <t>Case/Display</t>
        </is>
      </c>
      <c r="H281" s="2" t="inlineStr">
        <is>
          <t>ME: 30th Celebration</t>
        </is>
      </c>
      <c r="I281" s="3" t="n"/>
      <c r="J281" s="3" t="n">
        <v>1233.28</v>
      </c>
      <c r="K281" s="3" t="n">
        <v>1099.91</v>
      </c>
      <c r="L281" s="3" t="n">
        <v>990.85</v>
      </c>
      <c r="M281" s="2" t="inlineStr">
        <is>
          <t>TCGplayer</t>
        </is>
      </c>
      <c r="O281" s="4" t="inlineStr">
        <is>
          <t>https://www.tcgplayer.com/product/709030</t>
        </is>
      </c>
    </row>
    <row r="282">
      <c r="A282" s="2" t="inlineStr">
        <is>
          <t>30th Celebration Poster Collection Case</t>
        </is>
      </c>
      <c r="B282" s="3">
        <f>IF(I282&lt;&gt;"",I282,IF(J282&lt;&gt;"",J282,IF(K282&lt;&gt;"",K282,L282)))</f>
        <v>249.81</v>
      </c>
      <c r="C282" s="3">
        <f>MEDIAN(I282:L282)</f>
        <v>242.99</v>
      </c>
      <c r="D282" s="3">
        <f>ROUND(C282*(1-Settings!$B$2),2)</f>
        <v>170.09</v>
      </c>
      <c r="E282" s="3">
        <f>ROUND(C282*(1-Settings!$B$3),2)</f>
        <v>170.09</v>
      </c>
      <c r="F282" s="2" t="inlineStr">
        <is>
          <t>Pokemon</t>
        </is>
      </c>
      <c r="G282" s="2" t="inlineStr">
        <is>
          <t>Case/Display</t>
        </is>
      </c>
      <c r="H282" s="2" t="inlineStr">
        <is>
          <t>ME: 30th Celebration</t>
        </is>
      </c>
      <c r="I282" s="3" t="n"/>
      <c r="J282" s="3" t="n">
        <v>249.81</v>
      </c>
      <c r="K282" s="3" t="n">
        <v>242.99</v>
      </c>
      <c r="L282" s="3" t="n">
        <v>222</v>
      </c>
      <c r="M282" s="2" t="inlineStr">
        <is>
          <t>TCGplayer</t>
        </is>
      </c>
      <c r="O282" s="4" t="inlineStr">
        <is>
          <t>https://www.tcgplayer.com/product/709033</t>
        </is>
      </c>
    </row>
    <row r="283">
      <c r="A283" s="2" t="inlineStr">
        <is>
          <t>30th Celebration Tech Sticker Collection Case</t>
        </is>
      </c>
      <c r="B283" s="3">
        <f>IF(I283&lt;&gt;"",I283,IF(J283&lt;&gt;"",J283,IF(K283&lt;&gt;"",K283,L283)))</f>
        <v>495.73</v>
      </c>
      <c r="C283" s="3">
        <f>MEDIAN(I283:L283)</f>
        <v>443.84</v>
      </c>
      <c r="D283" s="3">
        <f>ROUND(C283*(1-Settings!$B$2),2)</f>
        <v>310.69</v>
      </c>
      <c r="E283" s="3">
        <f>ROUND(C283*(1-Settings!$B$3),2)</f>
        <v>310.69</v>
      </c>
      <c r="F283" s="2" t="inlineStr">
        <is>
          <t>Pokemon</t>
        </is>
      </c>
      <c r="G283" s="2" t="inlineStr">
        <is>
          <t>Case/Display</t>
        </is>
      </c>
      <c r="H283" s="2" t="inlineStr">
        <is>
          <t>ME: 30th Celebration</t>
        </is>
      </c>
      <c r="I283" s="3" t="n"/>
      <c r="J283" s="3" t="n">
        <v>495.73</v>
      </c>
      <c r="K283" s="3" t="n">
        <v>443.84</v>
      </c>
      <c r="L283" s="3" t="n">
        <v>299.99</v>
      </c>
      <c r="M283" s="2" t="inlineStr">
        <is>
          <t>TCGplayer</t>
        </is>
      </c>
      <c r="O283" s="4" t="inlineStr">
        <is>
          <t>https://www.tcgplayer.com/product/709034</t>
        </is>
      </c>
    </row>
    <row r="284">
      <c r="A284" s="2" t="inlineStr">
        <is>
          <t>30th Celebration Ultra-Premium Collection Case</t>
        </is>
      </c>
      <c r="B284" s="3">
        <f>IF(I284&lt;&gt;"",I284,IF(J284&lt;&gt;"",J284,IF(K284&lt;&gt;"",K284,L284)))</f>
        <v>2350.05</v>
      </c>
      <c r="C284" s="3">
        <f>MEDIAN(I284:L284)</f>
        <v>2350.05</v>
      </c>
      <c r="D284" s="3">
        <f>ROUND(C284*(1-Settings!$B$2),2)</f>
        <v>1645.04</v>
      </c>
      <c r="E284" s="3">
        <f>ROUND(C284*(1-Settings!$B$3),2)</f>
        <v>1645.04</v>
      </c>
      <c r="F284" s="2" t="inlineStr">
        <is>
          <t>Pokemon</t>
        </is>
      </c>
      <c r="G284" s="2" t="inlineStr">
        <is>
          <t>Case/Display</t>
        </is>
      </c>
      <c r="H284" s="2" t="inlineStr">
        <is>
          <t>ME: 30th Celebration</t>
        </is>
      </c>
      <c r="I284" s="3" t="n"/>
      <c r="J284" s="3" t="n">
        <v>2350.05</v>
      </c>
      <c r="K284" s="3" t="n">
        <v>2379.77</v>
      </c>
      <c r="L284" s="3" t="n">
        <v>2349.99</v>
      </c>
      <c r="M284" s="2" t="inlineStr">
        <is>
          <t>TCGplayer</t>
        </is>
      </c>
      <c r="O284" s="4" t="inlineStr">
        <is>
          <t>https://www.tcgplayer.com/product/709029</t>
        </is>
      </c>
    </row>
    <row r="285">
      <c r="A285" s="2" t="inlineStr">
        <is>
          <t>Ascended Heroes Booster Bundle Case</t>
        </is>
      </c>
      <c r="B285" s="3">
        <f>IF(I285&lt;&gt;"",I285,IF(J285&lt;&gt;"",J285,IF(K285&lt;&gt;"",K285,L285)))</f>
        <v>2243.2</v>
      </c>
      <c r="C285" s="3">
        <f>MEDIAN(I285:L285)</f>
        <v>2243.2</v>
      </c>
      <c r="D285" s="3">
        <f>ROUND(C285*(1-Settings!$B$2),2)</f>
        <v>1570.24</v>
      </c>
      <c r="E285" s="3">
        <f>ROUND(C285*(1-Settings!$B$3),2)</f>
        <v>1570.24</v>
      </c>
      <c r="F285" s="2" t="inlineStr">
        <is>
          <t>Pokemon</t>
        </is>
      </c>
      <c r="G285" s="2" t="inlineStr">
        <is>
          <t>Case/Display</t>
        </is>
      </c>
      <c r="H285" s="2" t="inlineStr">
        <is>
          <t>ME: Ascended Heroes</t>
        </is>
      </c>
      <c r="I285" s="3" t="n"/>
      <c r="J285" s="3" t="n">
        <v>2243.2</v>
      </c>
      <c r="K285" s="3" t="n">
        <v>2252.3</v>
      </c>
      <c r="L285" s="3" t="n">
        <v>2167.67</v>
      </c>
      <c r="M285" s="2" t="inlineStr">
        <is>
          <t>TCGplayer</t>
        </is>
      </c>
      <c r="O285" s="4" t="inlineStr">
        <is>
          <t>https://www.tcgplayer.com/product/681339</t>
        </is>
      </c>
    </row>
    <row r="286">
      <c r="A286" s="2" t="inlineStr">
        <is>
          <t>Ascended Heroes Booster Bundle Display</t>
        </is>
      </c>
      <c r="B286" s="3">
        <f>IF(I286&lt;&gt;"",I286,IF(J286&lt;&gt;"",J286,IF(K286&lt;&gt;"",K286,L286)))</f>
        <v>2254.99</v>
      </c>
      <c r="C286" s="3">
        <f>MEDIAN(I286:L286)</f>
        <v>2199.88</v>
      </c>
      <c r="D286" s="3">
        <f>ROUND(C286*(1-Settings!$B$2),2)</f>
        <v>1539.92</v>
      </c>
      <c r="E286" s="3">
        <f>ROUND(C286*(1-Settings!$B$3),2)</f>
        <v>1539.92</v>
      </c>
      <c r="F286" s="2" t="inlineStr">
        <is>
          <t>Pokemon</t>
        </is>
      </c>
      <c r="G286" s="2" t="inlineStr">
        <is>
          <t>Case/Display</t>
        </is>
      </c>
      <c r="H286" s="2" t="inlineStr">
        <is>
          <t>ME: Ascended Heroes</t>
        </is>
      </c>
      <c r="I286" s="3" t="n"/>
      <c r="J286" s="3" t="n">
        <v>2254.99</v>
      </c>
      <c r="K286" s="3" t="n">
        <v>2199.88</v>
      </c>
      <c r="L286" s="3" t="n">
        <v>1735.99</v>
      </c>
      <c r="M286" s="2" t="inlineStr">
        <is>
          <t>TCGplayer</t>
        </is>
      </c>
      <c r="O286" s="4" t="inlineStr">
        <is>
          <t>https://www.tcgplayer.com/product/692362</t>
        </is>
      </c>
    </row>
    <row r="287">
      <c r="A287" s="2" t="inlineStr">
        <is>
          <t>Ascended Heroes Elite Trainer Box Case</t>
        </is>
      </c>
      <c r="B287" s="3">
        <f>IF(I287&lt;&gt;"",I287,IF(J287&lt;&gt;"",J287,IF(K287&lt;&gt;"",K287,L287)))</f>
        <v>1642.65</v>
      </c>
      <c r="C287" s="3">
        <f>MEDIAN(I287:L287)</f>
        <v>1642.65</v>
      </c>
      <c r="D287" s="3">
        <f>ROUND(C287*(1-Settings!$B$2),2)</f>
        <v>1149.86</v>
      </c>
      <c r="E287" s="3">
        <f>ROUND(C287*(1-Settings!$B$3),2)</f>
        <v>1149.86</v>
      </c>
      <c r="F287" s="2" t="inlineStr">
        <is>
          <t>Pokemon</t>
        </is>
      </c>
      <c r="G287" s="2" t="inlineStr">
        <is>
          <t>Case/Display</t>
        </is>
      </c>
      <c r="H287" s="2" t="inlineStr">
        <is>
          <t>ME: Ascended Heroes</t>
        </is>
      </c>
      <c r="I287" s="3" t="n"/>
      <c r="J287" s="3" t="n">
        <v>1642.65</v>
      </c>
      <c r="K287" s="3" t="n">
        <v>1949.89</v>
      </c>
      <c r="L287" s="3" t="n">
        <v>1568.01</v>
      </c>
      <c r="M287" s="2" t="inlineStr">
        <is>
          <t>TCGplayer</t>
        </is>
      </c>
      <c r="O287" s="4" t="inlineStr">
        <is>
          <t>https://www.tcgplayer.com/product/679558</t>
        </is>
      </c>
    </row>
    <row r="288">
      <c r="A288" s="2" t="inlineStr">
        <is>
          <t>Ascended Heroes First Partners Deluxe Pin Collection Case</t>
        </is>
      </c>
      <c r="B288" s="3">
        <f>IF(I288&lt;&gt;"",I288,IF(J288&lt;&gt;"",J288,IF(K288&lt;&gt;"",K288,L288)))</f>
        <v>431.12</v>
      </c>
      <c r="C288" s="3">
        <f>MEDIAN(I288:L288)</f>
        <v>431.12</v>
      </c>
      <c r="D288" s="3">
        <f>ROUND(C288*(1-Settings!$B$2),2)</f>
        <v>301.78</v>
      </c>
      <c r="E288" s="3">
        <f>ROUND(C288*(1-Settings!$B$3),2)</f>
        <v>301.78</v>
      </c>
      <c r="F288" s="2" t="inlineStr">
        <is>
          <t>Pokemon</t>
        </is>
      </c>
      <c r="G288" s="2" t="inlineStr">
        <is>
          <t>Case/Display</t>
        </is>
      </c>
      <c r="H288" s="2" t="inlineStr">
        <is>
          <t>ME: Ascended Heroes</t>
        </is>
      </c>
      <c r="I288" s="3" t="n"/>
      <c r="J288" s="3" t="n">
        <v>431.12</v>
      </c>
      <c r="K288" s="3" t="n">
        <v>600</v>
      </c>
      <c r="L288" s="3" t="n">
        <v>404.99</v>
      </c>
      <c r="M288" s="2" t="inlineStr">
        <is>
          <t>TCGplayer</t>
        </is>
      </c>
      <c r="O288" s="4" t="inlineStr">
        <is>
          <t>https://www.tcgplayer.com/product/672392</t>
        </is>
      </c>
    </row>
    <row r="289">
      <c r="A289" s="2" t="inlineStr">
        <is>
          <t>Ascended Heroes Mega ex Boxes Case</t>
        </is>
      </c>
      <c r="B289" s="3">
        <f>IF(I289&lt;&gt;"",I289,IF(J289&lt;&gt;"",J289,IF(K289&lt;&gt;"",K289,L289)))</f>
        <v>357.13</v>
      </c>
      <c r="C289" s="3">
        <f>MEDIAN(I289:L289)</f>
        <v>357.13</v>
      </c>
      <c r="D289" s="3">
        <f>ROUND(C289*(1-Settings!$B$2),2)</f>
        <v>249.99</v>
      </c>
      <c r="E289" s="3">
        <f>ROUND(C289*(1-Settings!$B$3),2)</f>
        <v>249.99</v>
      </c>
      <c r="F289" s="2" t="inlineStr">
        <is>
          <t>Pokemon</t>
        </is>
      </c>
      <c r="G289" s="2" t="inlineStr">
        <is>
          <t>Case/Display</t>
        </is>
      </c>
      <c r="H289" s="2" t="inlineStr">
        <is>
          <t>ME: Ascended Heroes</t>
        </is>
      </c>
      <c r="I289" s="3" t="n"/>
      <c r="J289" s="3" t="n">
        <v>357.13</v>
      </c>
      <c r="K289" s="3" t="n">
        <v>389.96</v>
      </c>
      <c r="L289" s="3" t="n">
        <v>324.98</v>
      </c>
      <c r="M289" s="2" t="inlineStr">
        <is>
          <t>TCGplayer</t>
        </is>
      </c>
      <c r="O289" s="4" t="inlineStr">
        <is>
          <t>https://www.tcgplayer.com/product/672737</t>
        </is>
      </c>
    </row>
    <row r="290">
      <c r="A290" s="2" t="inlineStr">
        <is>
          <t>Ascended Heroes Mini Tin Display</t>
        </is>
      </c>
      <c r="B290" s="3">
        <f>IF(I290&lt;&gt;"",I290,IF(J290&lt;&gt;"",J290,IF(K290&lt;&gt;"",K290,L290)))</f>
        <v>292.87</v>
      </c>
      <c r="C290" s="3">
        <f>MEDIAN(I290:L290)</f>
        <v>293.065</v>
      </c>
      <c r="D290" s="3">
        <f>ROUND(C290*(1-Settings!$B$2),2)</f>
        <v>205.15</v>
      </c>
      <c r="E290" s="3">
        <f>ROUND(C290*(1-Settings!$B$3),2)</f>
        <v>205.15</v>
      </c>
      <c r="F290" s="2" t="inlineStr">
        <is>
          <t>Pokemon</t>
        </is>
      </c>
      <c r="G290" s="2" t="inlineStr">
        <is>
          <t>Case/Display</t>
        </is>
      </c>
      <c r="H290" s="2" t="inlineStr">
        <is>
          <t>ME: Ascended Heroes</t>
        </is>
      </c>
      <c r="I290" s="3" t="n">
        <v>292.87</v>
      </c>
      <c r="J290" s="3" t="n">
        <v>293.26</v>
      </c>
      <c r="K290" s="3" t="n">
        <v>325</v>
      </c>
      <c r="L290" s="3" t="n">
        <v>225.96</v>
      </c>
      <c r="M290" s="2" t="inlineStr">
        <is>
          <t>PriceCharting + TCGplayer</t>
        </is>
      </c>
      <c r="N290" s="4" t="inlineStr">
        <is>
          <t>https://www.pricecharting.com/game/pokemon-ascended-heroes/mini-tin-display</t>
        </is>
      </c>
      <c r="O290" s="4" t="inlineStr">
        <is>
          <t>https://www.tcgplayer.com/product/679556</t>
        </is>
      </c>
    </row>
    <row r="291">
      <c r="A291" s="2" t="inlineStr">
        <is>
          <t>Ascended Heroes Mini Tin Display Case</t>
        </is>
      </c>
      <c r="B291" s="3">
        <f>IF(I291&lt;&gt;"",I291,IF(J291&lt;&gt;"",J291,IF(K291&lt;&gt;"",K291,L291)))</f>
        <v>1270.2</v>
      </c>
      <c r="C291" s="3">
        <f>MEDIAN(I291:L291)</f>
        <v>1299.99</v>
      </c>
      <c r="D291" s="3">
        <f>ROUND(C291*(1-Settings!$B$2),2)</f>
        <v>909.99</v>
      </c>
      <c r="E291" s="3">
        <f>ROUND(C291*(1-Settings!$B$3),2)</f>
        <v>909.99</v>
      </c>
      <c r="F291" s="2" t="inlineStr">
        <is>
          <t>Pokemon</t>
        </is>
      </c>
      <c r="G291" s="2" t="inlineStr">
        <is>
          <t>Case/Display</t>
        </is>
      </c>
      <c r="H291" s="2" t="inlineStr">
        <is>
          <t>ME: Ascended Heroes</t>
        </is>
      </c>
      <c r="I291" s="3" t="n"/>
      <c r="J291" s="3" t="n">
        <v>1270.2</v>
      </c>
      <c r="K291" s="3" t="n">
        <v>1499.99</v>
      </c>
      <c r="L291" s="3" t="n">
        <v>1299.99</v>
      </c>
      <c r="M291" s="2" t="inlineStr">
        <is>
          <t>TCGplayer</t>
        </is>
      </c>
      <c r="O291" s="4" t="inlineStr">
        <is>
          <t>https://www.tcgplayer.com/product/689031</t>
        </is>
      </c>
    </row>
    <row r="292">
      <c r="A292" s="2" t="inlineStr">
        <is>
          <t>Ascended Heroes Tin Case</t>
        </is>
      </c>
      <c r="B292" s="3">
        <f>IF(I292&lt;&gt;"",I292,IF(J292&lt;&gt;"",J292,IF(K292&lt;&gt;"",K292,L292)))</f>
        <v>285.43</v>
      </c>
      <c r="C292" s="3">
        <f>MEDIAN(I292:L292)</f>
        <v>285.43</v>
      </c>
      <c r="D292" s="3">
        <f>ROUND(C292*(1-Settings!$B$2),2)</f>
        <v>199.8</v>
      </c>
      <c r="E292" s="3">
        <f>ROUND(C292*(1-Settings!$B$3),2)</f>
        <v>199.8</v>
      </c>
      <c r="F292" s="2" t="inlineStr">
        <is>
          <t>Pokemon</t>
        </is>
      </c>
      <c r="G292" s="2" t="inlineStr">
        <is>
          <t>Case/Display</t>
        </is>
      </c>
      <c r="H292" s="2" t="inlineStr">
        <is>
          <t>ME: Ascended Heroes</t>
        </is>
      </c>
      <c r="I292" s="3" t="n"/>
      <c r="J292" s="3" t="n">
        <v>285.43</v>
      </c>
      <c r="K292" s="3" t="n">
        <v>294.88</v>
      </c>
      <c r="L292" s="3" t="n">
        <v>271</v>
      </c>
      <c r="M292" s="2" t="inlineStr">
        <is>
          <t>TCGplayer</t>
        </is>
      </c>
      <c r="O292" s="4" t="inlineStr">
        <is>
          <t>https://www.tcgplayer.com/product/702501</t>
        </is>
      </c>
    </row>
    <row r="293">
      <c r="A293" s="2" t="inlineStr">
        <is>
          <t>Mega Evolution: Ascended Heroes Collection case</t>
        </is>
      </c>
      <c r="B293" s="3">
        <f>IF(I293&lt;&gt;"",I293,IF(J293&lt;&gt;"",J293,IF(K293&lt;&gt;"",K293,L293)))</f>
        <v>709.48</v>
      </c>
      <c r="C293" s="3">
        <f>MEDIAN(I293:L293)</f>
        <v>715.0</v>
      </c>
      <c r="D293" s="3">
        <f>ROUND(C293*(1-Settings!$B$2),2)</f>
        <v>500.5</v>
      </c>
      <c r="E293" s="3">
        <f>ROUND(C293*(1-Settings!$B$3),2)</f>
        <v>500.5</v>
      </c>
      <c r="F293" s="2" t="inlineStr">
        <is>
          <t>Pokemon</t>
        </is>
      </c>
      <c r="G293" s="2" t="inlineStr">
        <is>
          <t>Case/Display</t>
        </is>
      </c>
      <c r="H293" s="2" t="inlineStr">
        <is>
          <t>ME: Ascended Heroes</t>
        </is>
      </c>
      <c r="I293" s="3" t="n"/>
      <c r="J293" s="3" t="n">
        <v>709.48</v>
      </c>
      <c r="K293" s="3" t="n">
        <v>800</v>
      </c>
      <c r="L293" s="3" t="n">
        <v>715</v>
      </c>
      <c r="M293" s="2" t="inlineStr">
        <is>
          <t>TCGplayer</t>
        </is>
      </c>
      <c r="O293" s="4" t="inlineStr">
        <is>
          <t>https://www.tcgplayer.com/product/685195</t>
        </is>
      </c>
    </row>
    <row r="294">
      <c r="A294" s="2" t="inlineStr">
        <is>
          <t>Mega Evolution: Ascended Heroes Tech Sticker Collection Case</t>
        </is>
      </c>
      <c r="B294" s="3">
        <f>IF(I294&lt;&gt;"",I294,IF(J294&lt;&gt;"",J294,IF(K294&lt;&gt;"",K294,L294)))</f>
        <v>634.33</v>
      </c>
      <c r="C294" s="3">
        <f>MEDIAN(I294:L294)</f>
        <v>729.97</v>
      </c>
      <c r="D294" s="3">
        <f>ROUND(C294*(1-Settings!$B$2),2)</f>
        <v>510.98</v>
      </c>
      <c r="E294" s="3">
        <f>ROUND(C294*(1-Settings!$B$3),2)</f>
        <v>510.98</v>
      </c>
      <c r="F294" s="2" t="inlineStr">
        <is>
          <t>Pokemon</t>
        </is>
      </c>
      <c r="G294" s="2" t="inlineStr">
        <is>
          <t>Case/Display</t>
        </is>
      </c>
      <c r="H294" s="2" t="inlineStr">
        <is>
          <t>ME: Ascended Heroes</t>
        </is>
      </c>
      <c r="I294" s="3" t="n"/>
      <c r="J294" s="3" t="n">
        <v>634.33</v>
      </c>
      <c r="K294" s="3" t="n">
        <v>735</v>
      </c>
      <c r="L294" s="3" t="n">
        <v>729.97</v>
      </c>
      <c r="M294" s="2" t="inlineStr">
        <is>
          <t>TCGplayer</t>
        </is>
      </c>
      <c r="O294" s="4" t="inlineStr">
        <is>
          <t>https://www.tcgplayer.com/product/681333</t>
        </is>
      </c>
    </row>
    <row r="295">
      <c r="A295" s="2" t="inlineStr">
        <is>
          <t>Premium Poster Collection Case</t>
        </is>
      </c>
      <c r="B295" s="3">
        <f>IF(I295&lt;&gt;"",I295,IF(J295&lt;&gt;"",J295,IF(K295&lt;&gt;"",K295,L295)))</f>
        <v>975.73</v>
      </c>
      <c r="C295" s="3">
        <f>MEDIAN(I295:L295)</f>
        <v>975.73</v>
      </c>
      <c r="D295" s="3">
        <f>ROUND(C295*(1-Settings!$B$2),2)</f>
        <v>683.01</v>
      </c>
      <c r="E295" s="3">
        <f>ROUND(C295*(1-Settings!$B$3),2)</f>
        <v>683.01</v>
      </c>
      <c r="F295" s="2" t="inlineStr">
        <is>
          <t>Pokemon</t>
        </is>
      </c>
      <c r="G295" s="2" t="inlineStr">
        <is>
          <t>Case/Display</t>
        </is>
      </c>
      <c r="H295" s="2" t="inlineStr">
        <is>
          <t>ME: Ascended Heroes</t>
        </is>
      </c>
      <c r="I295" s="3" t="n"/>
      <c r="J295" s="3" t="n">
        <v>975.73</v>
      </c>
      <c r="K295" s="3" t="n">
        <v>1014.92</v>
      </c>
      <c r="L295" s="3" t="n">
        <v>919.99</v>
      </c>
      <c r="M295" s="2" t="inlineStr">
        <is>
          <t>TCGplayer</t>
        </is>
      </c>
      <c r="O295" s="4" t="inlineStr">
        <is>
          <t>https://www.tcgplayer.com/product/685000</t>
        </is>
      </c>
    </row>
    <row r="296">
      <c r="A296" s="2" t="inlineStr">
        <is>
          <t>Mega Evolution Mini Tin Display</t>
        </is>
      </c>
      <c r="B296" s="3">
        <f>IF(I296&lt;&gt;"",I296,IF(J296&lt;&gt;"",J296,IF(K296&lt;&gt;"",K296,L296)))</f>
        <v>207.78</v>
      </c>
      <c r="C296" s="3">
        <f>MEDIAN(I296:L296)</f>
        <v>207.78</v>
      </c>
      <c r="D296" s="3">
        <f>ROUND(C296*(1-Settings!$B$2),2)</f>
        <v>145.45</v>
      </c>
      <c r="E296" s="3">
        <f>ROUND(C296*(1-Settings!$B$3),2)</f>
        <v>145.45</v>
      </c>
      <c r="F296" s="2" t="inlineStr">
        <is>
          <t>Pokemon</t>
        </is>
      </c>
      <c r="G296" s="2" t="inlineStr">
        <is>
          <t>Case/Display</t>
        </is>
      </c>
      <c r="H296" s="2" t="inlineStr">
        <is>
          <t>Mega Evolution</t>
        </is>
      </c>
      <c r="I296" s="3" t="n">
        <v>207.78</v>
      </c>
      <c r="J296" s="3" t="n"/>
      <c r="K296" s="3" t="n"/>
      <c r="L296" s="3" t="n"/>
      <c r="M296" s="2" t="inlineStr">
        <is>
          <t>PriceCharting</t>
        </is>
      </c>
      <c r="N296" s="4" t="inlineStr">
        <is>
          <t>https://www.pricecharting.com/game/pokemon-mega-evolution/mini-tin-display</t>
        </is>
      </c>
    </row>
    <row r="297">
      <c r="A297" s="2" t="inlineStr">
        <is>
          <t>Charizard ex Premium Collection Case</t>
        </is>
      </c>
      <c r="B297" s="3">
        <f>IF(I297&lt;&gt;"",I297,IF(J297&lt;&gt;"",J297,IF(K297&lt;&gt;"",K297,L297)))</f>
        <v>566.95</v>
      </c>
      <c r="C297" s="3">
        <f>MEDIAN(I297:L297)</f>
        <v>928.95</v>
      </c>
      <c r="D297" s="3">
        <f>ROUND(C297*(1-Settings!$B$2),2)</f>
        <v>650.27</v>
      </c>
      <c r="E297" s="3">
        <f>ROUND(C297*(1-Settings!$B$3),2)</f>
        <v>650.27</v>
      </c>
      <c r="F297" s="2" t="inlineStr">
        <is>
          <t>Pokemon</t>
        </is>
      </c>
      <c r="G297" s="2" t="inlineStr">
        <is>
          <t>Case/Display</t>
        </is>
      </c>
      <c r="H297" s="2" t="inlineStr">
        <is>
          <t>Miscellaneous Cards &amp; Products</t>
        </is>
      </c>
      <c r="I297" s="3" t="n"/>
      <c r="J297" s="3" t="n">
        <v>566.95</v>
      </c>
      <c r="K297" s="3" t="n">
        <v>930</v>
      </c>
      <c r="L297" s="3" t="n">
        <v>928.95</v>
      </c>
      <c r="M297" s="2" t="inlineStr">
        <is>
          <t>TCGplayer</t>
        </is>
      </c>
      <c r="O297" s="4" t="inlineStr">
        <is>
          <t>https://www.tcgplayer.com/product/523954</t>
        </is>
      </c>
    </row>
    <row r="298">
      <c r="A298" s="2" t="inlineStr">
        <is>
          <t>Charizard ex Special Collection Case</t>
        </is>
      </c>
      <c r="B298" s="3">
        <f>IF(I298&lt;&gt;"",I298,IF(J298&lt;&gt;"",J298,IF(K298&lt;&gt;"",K298,L298)))</f>
        <v>750.0</v>
      </c>
      <c r="C298" s="3">
        <f>MEDIAN(I298:L298)</f>
        <v>625.0</v>
      </c>
      <c r="D298" s="3">
        <f>ROUND(C298*(1-Settings!$B$2),2)</f>
        <v>437.5</v>
      </c>
      <c r="E298" s="3">
        <f>ROUND(C298*(1-Settings!$B$3),2)</f>
        <v>437.5</v>
      </c>
      <c r="F298" s="2" t="inlineStr">
        <is>
          <t>Pokemon</t>
        </is>
      </c>
      <c r="G298" s="2" t="inlineStr">
        <is>
          <t>Case/Display</t>
        </is>
      </c>
      <c r="H298" s="2" t="inlineStr">
        <is>
          <t>Miscellaneous Cards &amp; Products</t>
        </is>
      </c>
      <c r="I298" s="3" t="n"/>
      <c r="J298" s="3" t="n"/>
      <c r="K298" s="3" t="n">
        <v>750</v>
      </c>
      <c r="L298" s="3" t="n">
        <v>500</v>
      </c>
      <c r="M298" s="2" t="inlineStr">
        <is>
          <t>TCGplayer</t>
        </is>
      </c>
      <c r="O298" s="4" t="inlineStr">
        <is>
          <t>https://www.tcgplayer.com/product/639446</t>
        </is>
      </c>
    </row>
    <row r="299">
      <c r="A299" s="2" t="inlineStr">
        <is>
          <t>Cyrus/Klara Premium Tournament Collection Display</t>
        </is>
      </c>
      <c r="B299" s="3">
        <f>IF(I299&lt;&gt;"",I299,IF(J299&lt;&gt;"",J299,IF(K299&lt;&gt;"",K299,L299)))</f>
        <v>333.25</v>
      </c>
      <c r="C299" s="3">
        <f>MEDIAN(I299:L299)</f>
        <v>399.98</v>
      </c>
      <c r="D299" s="3">
        <f>ROUND(C299*(1-Settings!$B$2),2)</f>
        <v>279.99</v>
      </c>
      <c r="E299" s="3">
        <f>ROUND(C299*(1-Settings!$B$3),2)</f>
        <v>279.99</v>
      </c>
      <c r="F299" s="2" t="inlineStr">
        <is>
          <t>Pokemon</t>
        </is>
      </c>
      <c r="G299" s="2" t="inlineStr">
        <is>
          <t>Case/Display</t>
        </is>
      </c>
      <c r="H299" s="2" t="inlineStr">
        <is>
          <t>Miscellaneous Cards &amp; Products</t>
        </is>
      </c>
      <c r="I299" s="3" t="n"/>
      <c r="J299" s="3" t="n">
        <v>333.25</v>
      </c>
      <c r="K299" s="3" t="n">
        <v>449.99</v>
      </c>
      <c r="L299" s="3" t="n">
        <v>399.98</v>
      </c>
      <c r="M299" s="2" t="inlineStr">
        <is>
          <t>TCGplayer</t>
        </is>
      </c>
      <c r="O299" s="4" t="inlineStr">
        <is>
          <t>https://www.tcgplayer.com/product/477289</t>
        </is>
      </c>
    </row>
    <row r="300">
      <c r="A300" s="2" t="inlineStr">
        <is>
          <t>Eevee Evolution VMAX Premium Collection Case</t>
        </is>
      </c>
      <c r="B300" s="3">
        <f>IF(I300&lt;&gt;"",I300,IF(J300&lt;&gt;"",J300,IF(K300&lt;&gt;"",K300,L300)))</f>
        <v>2174.5</v>
      </c>
      <c r="C300" s="3">
        <f>MEDIAN(I300:L300)</f>
        <v>4000.0</v>
      </c>
      <c r="D300" s="3">
        <f>ROUND(C300*(1-Settings!$B$2),2)</f>
        <v>2800.0</v>
      </c>
      <c r="E300" s="3">
        <f>ROUND(C300*(1-Settings!$B$3),2)</f>
        <v>2800.0</v>
      </c>
      <c r="F300" s="2" t="inlineStr">
        <is>
          <t>Pokemon</t>
        </is>
      </c>
      <c r="G300" s="2" t="inlineStr">
        <is>
          <t>Case/Display</t>
        </is>
      </c>
      <c r="H300" s="2" t="inlineStr">
        <is>
          <t>Miscellaneous Cards &amp; Products</t>
        </is>
      </c>
      <c r="I300" s="3" t="n"/>
      <c r="J300" s="3" t="n">
        <v>2174.5</v>
      </c>
      <c r="K300" s="3" t="n">
        <v>4000</v>
      </c>
      <c r="L300" s="3" t="n">
        <v>4000</v>
      </c>
      <c r="M300" s="2" t="inlineStr">
        <is>
          <t>TCGplayer</t>
        </is>
      </c>
      <c r="O300" s="4" t="inlineStr">
        <is>
          <t>https://www.tcgplayer.com/product/604240</t>
        </is>
      </c>
    </row>
    <row r="301">
      <c r="A301" s="2" t="inlineStr">
        <is>
          <t>Eevee Evolutions Tin Case</t>
        </is>
      </c>
      <c r="B301" s="3">
        <f>IF(I301&lt;&gt;"",I301,IF(J301&lt;&gt;"",J301,IF(K301&lt;&gt;"",K301,L301)))</f>
        <v>549.99</v>
      </c>
      <c r="C301" s="3">
        <f>MEDIAN(I301:L301)</f>
        <v>650.0</v>
      </c>
      <c r="D301" s="3">
        <f>ROUND(C301*(1-Settings!$B$2),2)</f>
        <v>455.0</v>
      </c>
      <c r="E301" s="3">
        <f>ROUND(C301*(1-Settings!$B$3),2)</f>
        <v>455.0</v>
      </c>
      <c r="F301" s="2" t="inlineStr">
        <is>
          <t>Pokemon</t>
        </is>
      </c>
      <c r="G301" s="2" t="inlineStr">
        <is>
          <t>Case/Display</t>
        </is>
      </c>
      <c r="H301" s="2" t="inlineStr">
        <is>
          <t>Miscellaneous Cards &amp; Products</t>
        </is>
      </c>
      <c r="I301" s="3" t="n"/>
      <c r="J301" s="3" t="n">
        <v>549.99</v>
      </c>
      <c r="K301" s="3" t="n">
        <v>653.49</v>
      </c>
      <c r="L301" s="3" t="n">
        <v>650</v>
      </c>
      <c r="M301" s="2" t="inlineStr">
        <is>
          <t>TCGplayer</t>
        </is>
      </c>
      <c r="O301" s="4" t="inlineStr">
        <is>
          <t>https://www.tcgplayer.com/product/243573</t>
        </is>
      </c>
    </row>
    <row r="302">
      <c r="A302" s="2" t="inlineStr">
        <is>
          <t>Galar Pal Mini Tin Display</t>
        </is>
      </c>
      <c r="B302" s="3">
        <f>IF(I302&lt;&gt;"",I302,IF(J302&lt;&gt;"",J302,IF(K302&lt;&gt;"",K302,L302)))</f>
        <v>530.0</v>
      </c>
      <c r="C302" s="3">
        <f>MEDIAN(I302:L302)</f>
        <v>529.995</v>
      </c>
      <c r="D302" s="3">
        <f>ROUND(C302*(1-Settings!$B$2),2)</f>
        <v>371.0</v>
      </c>
      <c r="E302" s="3">
        <f>ROUND(C302*(1-Settings!$B$3),2)</f>
        <v>371.0</v>
      </c>
      <c r="F302" s="2" t="inlineStr">
        <is>
          <t>Pokemon</t>
        </is>
      </c>
      <c r="G302" s="2" t="inlineStr">
        <is>
          <t>Case/Display</t>
        </is>
      </c>
      <c r="H302" s="2" t="inlineStr">
        <is>
          <t>Miscellaneous Cards &amp; Products</t>
        </is>
      </c>
      <c r="I302" s="3" t="n"/>
      <c r="J302" s="3" t="n"/>
      <c r="K302" s="3" t="n">
        <v>530</v>
      </c>
      <c r="L302" s="3" t="n">
        <v>529.99</v>
      </c>
      <c r="M302" s="2" t="inlineStr">
        <is>
          <t>TCGplayer</t>
        </is>
      </c>
      <c r="O302" s="4" t="inlineStr">
        <is>
          <t>https://www.tcgplayer.com/product/207991</t>
        </is>
      </c>
    </row>
    <row r="303">
      <c r="A303" s="2" t="inlineStr">
        <is>
          <t>Galar Power Mini Tin Display</t>
        </is>
      </c>
      <c r="B303" s="3">
        <f>IF(I303&lt;&gt;"",I303,IF(J303&lt;&gt;"",J303,IF(K303&lt;&gt;"",K303,L303)))</f>
        <v>289.0</v>
      </c>
      <c r="C303" s="3">
        <f>MEDIAN(I303:L303)</f>
        <v>450.0</v>
      </c>
      <c r="D303" s="3">
        <f>ROUND(C303*(1-Settings!$B$2),2)</f>
        <v>315.0</v>
      </c>
      <c r="E303" s="3">
        <f>ROUND(C303*(1-Settings!$B$3),2)</f>
        <v>315.0</v>
      </c>
      <c r="F303" s="2" t="inlineStr">
        <is>
          <t>Pokemon</t>
        </is>
      </c>
      <c r="G303" s="2" t="inlineStr">
        <is>
          <t>Case/Display</t>
        </is>
      </c>
      <c r="H303" s="2" t="inlineStr">
        <is>
          <t>Miscellaneous Cards &amp; Products</t>
        </is>
      </c>
      <c r="I303" s="3" t="n"/>
      <c r="J303" s="3" t="n">
        <v>289</v>
      </c>
      <c r="K303" s="3" t="n">
        <v>450</v>
      </c>
      <c r="L303" s="3" t="n">
        <v>450</v>
      </c>
      <c r="M303" s="2" t="inlineStr">
        <is>
          <t>TCGplayer</t>
        </is>
      </c>
      <c r="O303" s="4" t="inlineStr">
        <is>
          <t>https://www.tcgplayer.com/product/218853</t>
        </is>
      </c>
    </row>
    <row r="304">
      <c r="A304" s="2" t="inlineStr">
        <is>
          <t>Holiday Calendar 2025 Case</t>
        </is>
      </c>
      <c r="B304" s="3">
        <f>IF(I304&lt;&gt;"",I304,IF(J304&lt;&gt;"",J304,IF(K304&lt;&gt;"",K304,L304)))</f>
        <v>399.99</v>
      </c>
      <c r="C304" s="3">
        <f>MEDIAN(I304:L304)</f>
        <v>425.0</v>
      </c>
      <c r="D304" s="3">
        <f>ROUND(C304*(1-Settings!$B$2),2)</f>
        <v>297.5</v>
      </c>
      <c r="E304" s="3">
        <f>ROUND(C304*(1-Settings!$B$3),2)</f>
        <v>297.5</v>
      </c>
      <c r="F304" s="2" t="inlineStr">
        <is>
          <t>Pokemon</t>
        </is>
      </c>
      <c r="G304" s="2" t="inlineStr">
        <is>
          <t>Case/Display</t>
        </is>
      </c>
      <c r="H304" s="2" t="inlineStr">
        <is>
          <t>Miscellaneous Cards &amp; Products</t>
        </is>
      </c>
      <c r="I304" s="3" t="n"/>
      <c r="J304" s="3" t="n">
        <v>399.99</v>
      </c>
      <c r="K304" s="3" t="n">
        <v>444.99</v>
      </c>
      <c r="L304" s="3" t="n">
        <v>425</v>
      </c>
      <c r="M304" s="2" t="inlineStr">
        <is>
          <t>TCGplayer</t>
        </is>
      </c>
      <c r="O304" s="4" t="inlineStr">
        <is>
          <t>https://www.tcgplayer.com/product/639830</t>
        </is>
      </c>
    </row>
    <row r="305">
      <c r="A305" s="2" t="inlineStr">
        <is>
          <t>Iono Premium Tournament Collection Display</t>
        </is>
      </c>
      <c r="B305" s="3">
        <f>IF(I305&lt;&gt;"",I305,IF(J305&lt;&gt;"",J305,IF(K305&lt;&gt;"",K305,L305)))</f>
        <v>340.9</v>
      </c>
      <c r="C305" s="3">
        <f>MEDIAN(I305:L305)</f>
        <v>377.0</v>
      </c>
      <c r="D305" s="3">
        <f>ROUND(C305*(1-Settings!$B$2),2)</f>
        <v>263.9</v>
      </c>
      <c r="E305" s="3">
        <f>ROUND(C305*(1-Settings!$B$3),2)</f>
        <v>263.9</v>
      </c>
      <c r="F305" s="2" t="inlineStr">
        <is>
          <t>Pokemon</t>
        </is>
      </c>
      <c r="G305" s="2" t="inlineStr">
        <is>
          <t>Case/Display</t>
        </is>
      </c>
      <c r="H305" s="2" t="inlineStr">
        <is>
          <t>Miscellaneous Cards &amp; Products</t>
        </is>
      </c>
      <c r="I305" s="3" t="n"/>
      <c r="J305" s="3" t="n">
        <v>340.9</v>
      </c>
      <c r="K305" s="3" t="n">
        <v>383.5</v>
      </c>
      <c r="L305" s="3" t="n">
        <v>377</v>
      </c>
      <c r="M305" s="2" t="inlineStr">
        <is>
          <t>TCGplayer</t>
        </is>
      </c>
      <c r="O305" s="4" t="inlineStr">
        <is>
          <t>https://www.tcgplayer.com/product/545404</t>
        </is>
      </c>
    </row>
    <row r="306">
      <c r="A306" s="2" t="inlineStr">
        <is>
          <t>Kanto Friends Mini Tin Display</t>
        </is>
      </c>
      <c r="B306" s="3">
        <f>IF(I306&lt;&gt;"",I306,IF(J306&lt;&gt;"",J306,IF(K306&lt;&gt;"",K306,L306)))</f>
        <v>240.0</v>
      </c>
      <c r="C306" s="3">
        <f>MEDIAN(I306:L306)</f>
        <v>700.0</v>
      </c>
      <c r="D306" s="3">
        <f>ROUND(C306*(1-Settings!$B$2),2)</f>
        <v>490.0</v>
      </c>
      <c r="E306" s="3">
        <f>ROUND(C306*(1-Settings!$B$3),2)</f>
        <v>490.0</v>
      </c>
      <c r="F306" s="2" t="inlineStr">
        <is>
          <t>Pokemon</t>
        </is>
      </c>
      <c r="G306" s="2" t="inlineStr">
        <is>
          <t>Case/Display</t>
        </is>
      </c>
      <c r="H306" s="2" t="inlineStr">
        <is>
          <t>Miscellaneous Cards &amp; Products</t>
        </is>
      </c>
      <c r="I306" s="3" t="n"/>
      <c r="J306" s="3" t="n">
        <v>240</v>
      </c>
      <c r="K306" s="3" t="n">
        <v>707.49</v>
      </c>
      <c r="L306" s="3" t="n">
        <v>700</v>
      </c>
      <c r="M306" s="2" t="inlineStr">
        <is>
          <t>TCGplayer</t>
        </is>
      </c>
      <c r="O306" s="4" t="inlineStr">
        <is>
          <t>https://www.tcgplayer.com/product/224742</t>
        </is>
      </c>
    </row>
    <row r="307">
      <c r="A307" s="2" t="inlineStr">
        <is>
          <t>Kanto Power Mini Tin Display</t>
        </is>
      </c>
      <c r="B307" s="3">
        <f>IF(I307&lt;&gt;"",I307,IF(J307&lt;&gt;"",J307,IF(K307&lt;&gt;"",K307,L307)))</f>
        <v>321.45</v>
      </c>
      <c r="C307" s="3">
        <f>MEDIAN(I307:L307)</f>
        <v>360.0</v>
      </c>
      <c r="D307" s="3">
        <f>ROUND(C307*(1-Settings!$B$2),2)</f>
        <v>252.0</v>
      </c>
      <c r="E307" s="3">
        <f>ROUND(C307*(1-Settings!$B$3),2)</f>
        <v>252.0</v>
      </c>
      <c r="F307" s="2" t="inlineStr">
        <is>
          <t>Pokemon</t>
        </is>
      </c>
      <c r="G307" s="2" t="inlineStr">
        <is>
          <t>Case/Display</t>
        </is>
      </c>
      <c r="H307" s="2" t="inlineStr">
        <is>
          <t>Miscellaneous Cards &amp; Products</t>
        </is>
      </c>
      <c r="I307" s="3" t="n"/>
      <c r="J307" s="3" t="n">
        <v>321.45</v>
      </c>
      <c r="K307" s="3" t="n">
        <v>437.23</v>
      </c>
      <c r="L307" s="3" t="n">
        <v>360</v>
      </c>
      <c r="M307" s="2" t="inlineStr">
        <is>
          <t>TCGplayer</t>
        </is>
      </c>
      <c r="O307" s="4" t="inlineStr">
        <is>
          <t>https://www.tcgplayer.com/product/224741</t>
        </is>
      </c>
    </row>
    <row r="308">
      <c r="A308" s="2" t="inlineStr">
        <is>
          <t>League Battle Deck Case [Mega Greninja ex]</t>
        </is>
      </c>
      <c r="B308" s="3">
        <f>IF(I308&lt;&gt;"",I308,IF(J308&lt;&gt;"",J308,IF(K308&lt;&gt;"",K308,L308)))</f>
        <v>210.0</v>
      </c>
      <c r="C308" s="3">
        <f>MEDIAN(I308:L308)</f>
        <v>210.0</v>
      </c>
      <c r="D308" s="3">
        <f>ROUND(C308*(1-Settings!$B$2),2)</f>
        <v>147.0</v>
      </c>
      <c r="E308" s="3">
        <f>ROUND(C308*(1-Settings!$B$3),2)</f>
        <v>147.0</v>
      </c>
      <c r="F308" s="2" t="inlineStr">
        <is>
          <t>Pokemon</t>
        </is>
      </c>
      <c r="G308" s="2" t="inlineStr">
        <is>
          <t>Case/Display</t>
        </is>
      </c>
      <c r="H308" s="2" t="inlineStr">
        <is>
          <t>Miscellaneous Cards &amp; Products</t>
        </is>
      </c>
      <c r="I308" s="3" t="n"/>
      <c r="J308" s="3" t="n"/>
      <c r="K308" s="3" t="n">
        <v>210</v>
      </c>
      <c r="L308" s="3" t="n">
        <v>210</v>
      </c>
      <c r="M308" s="2" t="inlineStr">
        <is>
          <t>TCGplayer</t>
        </is>
      </c>
      <c r="O308" s="4" t="inlineStr">
        <is>
          <t>https://www.tcgplayer.com/product/718644</t>
        </is>
      </c>
    </row>
    <row r="309">
      <c r="A309" s="2" t="inlineStr">
        <is>
          <t>League Battle Deck Case [Mega Lucario ex]</t>
        </is>
      </c>
      <c r="B309" s="3">
        <f>IF(I309&lt;&gt;"",I309,IF(J309&lt;&gt;"",J309,IF(K309&lt;&gt;"",K309,L309)))</f>
        <v>56.97</v>
      </c>
      <c r="C309" s="3">
        <f>MEDIAN(I309:L309)</f>
        <v>56.97</v>
      </c>
      <c r="D309" s="3">
        <f>ROUND(C309*(1-Settings!$B$2),2)</f>
        <v>39.88</v>
      </c>
      <c r="E309" s="3">
        <f>ROUND(C309*(1-Settings!$B$3),2)</f>
        <v>39.88</v>
      </c>
      <c r="F309" s="2" t="inlineStr">
        <is>
          <t>Pokemon</t>
        </is>
      </c>
      <c r="G309" s="2" t="inlineStr">
        <is>
          <t>Case/Display</t>
        </is>
      </c>
      <c r="H309" s="2" t="inlineStr">
        <is>
          <t>Miscellaneous Cards &amp; Products</t>
        </is>
      </c>
      <c r="I309" s="3" t="n"/>
      <c r="J309" s="3" t="n">
        <v>56.97</v>
      </c>
      <c r="K309" s="3" t="n">
        <v>73</v>
      </c>
      <c r="L309" s="3" t="n">
        <v>54.99</v>
      </c>
      <c r="M309" s="2" t="inlineStr">
        <is>
          <t>TCGplayer</t>
        </is>
      </c>
      <c r="O309" s="4" t="inlineStr">
        <is>
          <t>https://www.tcgplayer.com/product/684107</t>
        </is>
      </c>
    </row>
    <row r="310">
      <c r="A310" s="2" t="inlineStr">
        <is>
          <t>League Battle Deck Display [Shadow Rider/Ice Rider Calyrex VMAX]</t>
        </is>
      </c>
      <c r="B310" s="3">
        <f>IF(I310&lt;&gt;"",I310,IF(J310&lt;&gt;"",J310,IF(K310&lt;&gt;"",K310,L310)))</f>
        <v>90.0</v>
      </c>
      <c r="C310" s="3">
        <f>MEDIAN(I310:L310)</f>
        <v>150.0</v>
      </c>
      <c r="D310" s="3">
        <f>ROUND(C310*(1-Settings!$B$2),2)</f>
        <v>105.0</v>
      </c>
      <c r="E310" s="3">
        <f>ROUND(C310*(1-Settings!$B$3),2)</f>
        <v>105.0</v>
      </c>
      <c r="F310" s="2" t="inlineStr">
        <is>
          <t>Pokemon</t>
        </is>
      </c>
      <c r="G310" s="2" t="inlineStr">
        <is>
          <t>Case/Display</t>
        </is>
      </c>
      <c r="H310" s="2" t="inlineStr">
        <is>
          <t>Miscellaneous Cards &amp; Products</t>
        </is>
      </c>
      <c r="I310" s="3" t="n"/>
      <c r="J310" s="3" t="n">
        <v>90</v>
      </c>
      <c r="K310" s="3" t="n">
        <v>150</v>
      </c>
      <c r="L310" s="3" t="n">
        <v>150</v>
      </c>
      <c r="M310" s="2" t="inlineStr">
        <is>
          <t>TCGplayer</t>
        </is>
      </c>
      <c r="O310" s="4" t="inlineStr">
        <is>
          <t>https://www.tcgplayer.com/product/271998</t>
        </is>
      </c>
    </row>
    <row r="311">
      <c r="A311" s="2" t="inlineStr">
        <is>
          <t>Lillie Premium Tournament Collection Box Case</t>
        </is>
      </c>
      <c r="B311" s="3">
        <f>IF(I311&lt;&gt;"",I311,IF(J311&lt;&gt;"",J311,IF(K311&lt;&gt;"",K311,L311)))</f>
        <v>349.5</v>
      </c>
      <c r="C311" s="3">
        <f>MEDIAN(I311:L311)</f>
        <v>324.77</v>
      </c>
      <c r="D311" s="3">
        <f>ROUND(C311*(1-Settings!$B$2),2)</f>
        <v>227.34</v>
      </c>
      <c r="E311" s="3">
        <f>ROUND(C311*(1-Settings!$B$3),2)</f>
        <v>227.34</v>
      </c>
      <c r="F311" s="2" t="inlineStr">
        <is>
          <t>Pokemon</t>
        </is>
      </c>
      <c r="G311" s="2" t="inlineStr">
        <is>
          <t>Case/Display</t>
        </is>
      </c>
      <c r="H311" s="2" t="inlineStr">
        <is>
          <t>Miscellaneous Cards &amp; Products</t>
        </is>
      </c>
      <c r="I311" s="3" t="n"/>
      <c r="J311" s="3" t="n">
        <v>349.5</v>
      </c>
      <c r="K311" s="3" t="n">
        <v>324.77</v>
      </c>
      <c r="L311" s="3" t="n">
        <v>298</v>
      </c>
      <c r="M311" s="2" t="inlineStr">
        <is>
          <t>TCGplayer</t>
        </is>
      </c>
      <c r="O311" s="4" t="inlineStr">
        <is>
          <t>https://www.tcgplayer.com/product/657111</t>
        </is>
      </c>
    </row>
    <row r="312">
      <c r="A312" s="2" t="inlineStr">
        <is>
          <t>Lumiose City Mini Tin Display</t>
        </is>
      </c>
      <c r="B312" s="3">
        <f>IF(I312&lt;&gt;"",I312,IF(J312&lt;&gt;"",J312,IF(K312&lt;&gt;"",K312,L312)))</f>
        <v>114.78</v>
      </c>
      <c r="C312" s="3">
        <f>MEDIAN(I312:L312)</f>
        <v>114.78</v>
      </c>
      <c r="D312" s="3">
        <f>ROUND(C312*(1-Settings!$B$2),2)</f>
        <v>80.35</v>
      </c>
      <c r="E312" s="3">
        <f>ROUND(C312*(1-Settings!$B$3),2)</f>
        <v>80.35</v>
      </c>
      <c r="F312" s="2" t="inlineStr">
        <is>
          <t>Pokemon</t>
        </is>
      </c>
      <c r="G312" s="2" t="inlineStr">
        <is>
          <t>Case/Display</t>
        </is>
      </c>
      <c r="H312" s="2" t="inlineStr">
        <is>
          <t>Miscellaneous Cards &amp; Products</t>
        </is>
      </c>
      <c r="I312" s="3" t="n"/>
      <c r="J312" s="3" t="n">
        <v>114.78</v>
      </c>
      <c r="K312" s="3" t="n">
        <v>126.97</v>
      </c>
      <c r="L312" s="3" t="n">
        <v>89.98999999999999</v>
      </c>
      <c r="M312" s="2" t="inlineStr">
        <is>
          <t>TCGplayer</t>
        </is>
      </c>
      <c r="O312" s="4" t="inlineStr">
        <is>
          <t>https://www.tcgplayer.com/product/685574</t>
        </is>
      </c>
    </row>
    <row r="313">
      <c r="A313" s="2" t="inlineStr">
        <is>
          <t>Lumiose City Mini Tin Display Case</t>
        </is>
      </c>
      <c r="B313" s="3">
        <f>IF(I313&lt;&gt;"",I313,IF(J313&lt;&gt;"",J313,IF(K313&lt;&gt;"",K313,L313)))</f>
        <v>447.94</v>
      </c>
      <c r="C313" s="3">
        <f>MEDIAN(I313:L313)</f>
        <v>447.94</v>
      </c>
      <c r="D313" s="3">
        <f>ROUND(C313*(1-Settings!$B$2),2)</f>
        <v>313.56</v>
      </c>
      <c r="E313" s="3">
        <f>ROUND(C313*(1-Settings!$B$3),2)</f>
        <v>313.56</v>
      </c>
      <c r="F313" s="2" t="inlineStr">
        <is>
          <t>Pokemon</t>
        </is>
      </c>
      <c r="G313" s="2" t="inlineStr">
        <is>
          <t>Case/Display</t>
        </is>
      </c>
      <c r="H313" s="2" t="inlineStr">
        <is>
          <t>Miscellaneous Cards &amp; Products</t>
        </is>
      </c>
      <c r="I313" s="3" t="n"/>
      <c r="J313" s="3" t="n">
        <v>447.94</v>
      </c>
      <c r="K313" s="3" t="n">
        <v>449.44</v>
      </c>
      <c r="L313" s="3" t="n">
        <v>429.95</v>
      </c>
      <c r="M313" s="2" t="inlineStr">
        <is>
          <t>TCGplayer</t>
        </is>
      </c>
      <c r="O313" s="4" t="inlineStr">
        <is>
          <t>https://www.tcgplayer.com/product/685581</t>
        </is>
      </c>
    </row>
    <row r="314">
      <c r="A314" s="2" t="inlineStr">
        <is>
          <t>Mabosstiff ex Box Case</t>
        </is>
      </c>
      <c r="B314" s="3">
        <f>IF(I314&lt;&gt;"",I314,IF(J314&lt;&gt;"",J314,IF(K314&lt;&gt;"",K314,L314)))</f>
        <v>210.0</v>
      </c>
      <c r="C314" s="3">
        <f>MEDIAN(I314:L314)</f>
        <v>210.0</v>
      </c>
      <c r="D314" s="3">
        <f>ROUND(C314*(1-Settings!$B$2),2)</f>
        <v>147.0</v>
      </c>
      <c r="E314" s="3">
        <f>ROUND(C314*(1-Settings!$B$3),2)</f>
        <v>147.0</v>
      </c>
      <c r="F314" s="2" t="inlineStr">
        <is>
          <t>Pokemon</t>
        </is>
      </c>
      <c r="G314" s="2" t="inlineStr">
        <is>
          <t>Case/Display</t>
        </is>
      </c>
      <c r="H314" s="2" t="inlineStr">
        <is>
          <t>Miscellaneous Cards &amp; Products</t>
        </is>
      </c>
      <c r="I314" s="3" t="n"/>
      <c r="J314" s="3" t="n">
        <v>210</v>
      </c>
      <c r="K314" s="3" t="n"/>
      <c r="L314" s="3" t="n"/>
      <c r="M314" s="2" t="inlineStr">
        <is>
          <t>TCGplayer</t>
        </is>
      </c>
      <c r="O314" s="4" t="inlineStr">
        <is>
          <t>https://www.tcgplayer.com/product/532404</t>
        </is>
      </c>
    </row>
    <row r="315">
      <c r="A315" s="2" t="inlineStr">
        <is>
          <t>Mega Charizard Tin Case</t>
        </is>
      </c>
      <c r="B315" s="3">
        <f>IF(I315&lt;&gt;"",I315,IF(J315&lt;&gt;"",J315,IF(K315&lt;&gt;"",K315,L315)))</f>
        <v>230.49</v>
      </c>
      <c r="C315" s="3">
        <f>MEDIAN(I315:L315)</f>
        <v>230.49</v>
      </c>
      <c r="D315" s="3">
        <f>ROUND(C315*(1-Settings!$B$2),2)</f>
        <v>161.34</v>
      </c>
      <c r="E315" s="3">
        <f>ROUND(C315*(1-Settings!$B$3),2)</f>
        <v>161.34</v>
      </c>
      <c r="F315" s="2" t="inlineStr">
        <is>
          <t>Pokemon</t>
        </is>
      </c>
      <c r="G315" s="2" t="inlineStr">
        <is>
          <t>Case/Display</t>
        </is>
      </c>
      <c r="H315" s="2" t="inlineStr">
        <is>
          <t>Miscellaneous Cards &amp; Products</t>
        </is>
      </c>
      <c r="I315" s="3" t="n"/>
      <c r="J315" s="3" t="n">
        <v>230.49</v>
      </c>
      <c r="K315" s="3" t="n">
        <v>232.41</v>
      </c>
      <c r="L315" s="3" t="n">
        <v>210</v>
      </c>
      <c r="M315" s="2" t="inlineStr">
        <is>
          <t>TCGplayer</t>
        </is>
      </c>
      <c r="O315" s="4" t="inlineStr">
        <is>
          <t>https://www.tcgplayer.com/product/679554</t>
        </is>
      </c>
    </row>
    <row r="316">
      <c r="A316" s="2" t="inlineStr">
        <is>
          <t>Mega Charizard X ex Ultra Premium Collection Case</t>
        </is>
      </c>
      <c r="B316" s="3">
        <f>IF(I316&lt;&gt;"",I316,IF(J316&lt;&gt;"",J316,IF(K316&lt;&gt;"",K316,L316)))</f>
        <v>944.27</v>
      </c>
      <c r="C316" s="3">
        <f>MEDIAN(I316:L316)</f>
        <v>944.27</v>
      </c>
      <c r="D316" s="3">
        <f>ROUND(C316*(1-Settings!$B$2),2)</f>
        <v>660.99</v>
      </c>
      <c r="E316" s="3">
        <f>ROUND(C316*(1-Settings!$B$3),2)</f>
        <v>660.99</v>
      </c>
      <c r="F316" s="2" t="inlineStr">
        <is>
          <t>Pokemon</t>
        </is>
      </c>
      <c r="G316" s="2" t="inlineStr">
        <is>
          <t>Case/Display</t>
        </is>
      </c>
      <c r="H316" s="2" t="inlineStr">
        <is>
          <t>Miscellaneous Cards &amp; Products</t>
        </is>
      </c>
      <c r="I316" s="3" t="n"/>
      <c r="J316" s="3" t="n">
        <v>944.27</v>
      </c>
      <c r="K316" s="3" t="n">
        <v>1020</v>
      </c>
      <c r="L316" s="3" t="n">
        <v>880</v>
      </c>
      <c r="M316" s="2" t="inlineStr">
        <is>
          <t>TCGplayer</t>
        </is>
      </c>
      <c r="O316" s="4" t="inlineStr">
        <is>
          <t>https://www.tcgplayer.com/product/664895</t>
        </is>
      </c>
    </row>
    <row r="317">
      <c r="A317" s="2" t="inlineStr">
        <is>
          <t>Mega Forces Tin Case</t>
        </is>
      </c>
      <c r="B317" s="3">
        <f>IF(I317&lt;&gt;"",I317,IF(J317&lt;&gt;"",J317,IF(K317&lt;&gt;"",K317,L317)))</f>
        <v>199.99</v>
      </c>
      <c r="C317" s="3">
        <f>MEDIAN(I317:L317)</f>
        <v>329.99</v>
      </c>
      <c r="D317" s="3">
        <f>ROUND(C317*(1-Settings!$B$2),2)</f>
        <v>230.99</v>
      </c>
      <c r="E317" s="3">
        <f>ROUND(C317*(1-Settings!$B$3),2)</f>
        <v>230.99</v>
      </c>
      <c r="F317" s="2" t="inlineStr">
        <is>
          <t>Pokemon</t>
        </is>
      </c>
      <c r="G317" s="2" t="inlineStr">
        <is>
          <t>Case/Display</t>
        </is>
      </c>
      <c r="H317" s="2" t="inlineStr">
        <is>
          <t>Miscellaneous Cards &amp; Products</t>
        </is>
      </c>
      <c r="I317" s="3" t="n"/>
      <c r="J317" s="3" t="n">
        <v>199.99</v>
      </c>
      <c r="K317" s="3" t="n">
        <v>329.99</v>
      </c>
      <c r="L317" s="3" t="n">
        <v>329.99</v>
      </c>
      <c r="M317" s="2" t="inlineStr">
        <is>
          <t>TCGplayer</t>
        </is>
      </c>
      <c r="O317" s="4" t="inlineStr">
        <is>
          <t>https://www.tcgplayer.com/product/702509</t>
        </is>
      </c>
    </row>
    <row r="318">
      <c r="A318" s="2" t="inlineStr">
        <is>
          <t>Mega Greninja ex Premium Collection Case</t>
        </is>
      </c>
      <c r="B318" s="3">
        <f>IF(I318&lt;&gt;"",I318,IF(J318&lt;&gt;"",J318,IF(K318&lt;&gt;"",K318,L318)))</f>
        <v>225.52</v>
      </c>
      <c r="C318" s="3">
        <f>MEDIAN(I318:L318)</f>
        <v>225.52</v>
      </c>
      <c r="D318" s="3">
        <f>ROUND(C318*(1-Settings!$B$2),2)</f>
        <v>157.86</v>
      </c>
      <c r="E318" s="3">
        <f>ROUND(C318*(1-Settings!$B$3),2)</f>
        <v>157.86</v>
      </c>
      <c r="F318" s="2" t="inlineStr">
        <is>
          <t>Pokemon</t>
        </is>
      </c>
      <c r="G318" s="2" t="inlineStr">
        <is>
          <t>Case/Display</t>
        </is>
      </c>
      <c r="H318" s="2" t="inlineStr">
        <is>
          <t>Miscellaneous Cards &amp; Products</t>
        </is>
      </c>
      <c r="I318" s="3" t="n"/>
      <c r="J318" s="3" t="n">
        <v>225.52</v>
      </c>
      <c r="K318" s="3" t="n">
        <v>249.99</v>
      </c>
      <c r="L318" s="3" t="n">
        <v>200</v>
      </c>
      <c r="M318" s="2" t="inlineStr">
        <is>
          <t>TCGplayer</t>
        </is>
      </c>
      <c r="O318" s="4" t="inlineStr">
        <is>
          <t>https://www.tcgplayer.com/product/690661</t>
        </is>
      </c>
    </row>
    <row r="319">
      <c r="A319" s="2" t="inlineStr">
        <is>
          <t>Mega Lucario ex Premium Figure Collection Case</t>
        </is>
      </c>
      <c r="B319" s="3">
        <f>IF(I319&lt;&gt;"",I319,IF(J319&lt;&gt;"",J319,IF(K319&lt;&gt;"",K319,L319)))</f>
        <v>599.92</v>
      </c>
      <c r="C319" s="3">
        <f>MEDIAN(I319:L319)</f>
        <v>599.91</v>
      </c>
      <c r="D319" s="3">
        <f>ROUND(C319*(1-Settings!$B$2),2)</f>
        <v>419.94</v>
      </c>
      <c r="E319" s="3">
        <f>ROUND(C319*(1-Settings!$B$3),2)</f>
        <v>419.94</v>
      </c>
      <c r="F319" s="2" t="inlineStr">
        <is>
          <t>Pokemon</t>
        </is>
      </c>
      <c r="G319" s="2" t="inlineStr">
        <is>
          <t>Case/Display</t>
        </is>
      </c>
      <c r="H319" s="2" t="inlineStr">
        <is>
          <t>Miscellaneous Cards &amp; Products</t>
        </is>
      </c>
      <c r="I319" s="3" t="n"/>
      <c r="J319" s="3" t="n"/>
      <c r="K319" s="3" t="n">
        <v>599.92</v>
      </c>
      <c r="L319" s="3" t="n">
        <v>599.9</v>
      </c>
      <c r="M319" s="2" t="inlineStr">
        <is>
          <t>TCGplayer</t>
        </is>
      </c>
      <c r="O319" s="4" t="inlineStr">
        <is>
          <t>https://www.tcgplayer.com/product/656488</t>
        </is>
      </c>
    </row>
    <row r="320">
      <c r="A320" s="2" t="inlineStr">
        <is>
          <t>Mega Moonlit Tin Case</t>
        </is>
      </c>
      <c r="B320" s="3">
        <f>IF(I320&lt;&gt;"",I320,IF(J320&lt;&gt;"",J320,IF(K320&lt;&gt;"",K320,L320)))</f>
        <v>141.12</v>
      </c>
      <c r="C320" s="3">
        <f>MEDIAN(I320:L320)</f>
        <v>155.0</v>
      </c>
      <c r="D320" s="3">
        <f>ROUND(C320*(1-Settings!$B$2),2)</f>
        <v>108.5</v>
      </c>
      <c r="E320" s="3">
        <f>ROUND(C320*(1-Settings!$B$3),2)</f>
        <v>108.5</v>
      </c>
      <c r="F320" s="2" t="inlineStr">
        <is>
          <t>Pokemon</t>
        </is>
      </c>
      <c r="G320" s="2" t="inlineStr">
        <is>
          <t>Case/Display</t>
        </is>
      </c>
      <c r="H320" s="2" t="inlineStr">
        <is>
          <t>Miscellaneous Cards &amp; Products</t>
        </is>
      </c>
      <c r="I320" s="3" t="n"/>
      <c r="J320" s="3" t="n">
        <v>141.12</v>
      </c>
      <c r="K320" s="3" t="n">
        <v>199</v>
      </c>
      <c r="L320" s="3" t="n">
        <v>155</v>
      </c>
      <c r="M320" s="2" t="inlineStr">
        <is>
          <t>TCGplayer</t>
        </is>
      </c>
      <c r="O320" s="4" t="inlineStr">
        <is>
          <t>https://www.tcgplayer.com/product/686439</t>
        </is>
      </c>
    </row>
    <row r="321">
      <c r="A321" s="2" t="inlineStr">
        <is>
          <t>Paldea Adventure Chest Case</t>
        </is>
      </c>
      <c r="B321" s="3">
        <f>IF(I321&lt;&gt;"",I321,IF(J321&lt;&gt;"",J321,IF(K321&lt;&gt;"",K321,L321)))</f>
        <v>587.23</v>
      </c>
      <c r="C321" s="3">
        <f>MEDIAN(I321:L321)</f>
        <v>576.09</v>
      </c>
      <c r="D321" s="3">
        <f>ROUND(C321*(1-Settings!$B$2),2)</f>
        <v>403.26</v>
      </c>
      <c r="E321" s="3">
        <f>ROUND(C321*(1-Settings!$B$3),2)</f>
        <v>403.26</v>
      </c>
      <c r="F321" s="2" t="inlineStr">
        <is>
          <t>Pokemon</t>
        </is>
      </c>
      <c r="G321" s="2" t="inlineStr">
        <is>
          <t>Case/Display</t>
        </is>
      </c>
      <c r="H321" s="2" t="inlineStr">
        <is>
          <t>Miscellaneous Cards &amp; Products</t>
        </is>
      </c>
      <c r="I321" s="3" t="n"/>
      <c r="J321" s="3" t="n"/>
      <c r="K321" s="3" t="n">
        <v>587.23</v>
      </c>
      <c r="L321" s="3" t="n">
        <v>564.95</v>
      </c>
      <c r="M321" s="2" t="inlineStr">
        <is>
          <t>TCGplayer</t>
        </is>
      </c>
      <c r="O321" s="4" t="inlineStr">
        <is>
          <t>https://www.tcgplayer.com/product/621135</t>
        </is>
      </c>
    </row>
    <row r="322">
      <c r="A322" s="2" t="inlineStr">
        <is>
          <t>Paldea Friends Mini Tin Display</t>
        </is>
      </c>
      <c r="B322" s="3">
        <f>IF(I322&lt;&gt;"",I322,IF(J322&lt;&gt;"",J322,IF(K322&lt;&gt;"",K322,L322)))</f>
        <v>249.59</v>
      </c>
      <c r="C322" s="3">
        <f>MEDIAN(I322:L322)</f>
        <v>229.99</v>
      </c>
      <c r="D322" s="3">
        <f>ROUND(C322*(1-Settings!$B$2),2)</f>
        <v>160.99</v>
      </c>
      <c r="E322" s="3">
        <f>ROUND(C322*(1-Settings!$B$3),2)</f>
        <v>160.99</v>
      </c>
      <c r="F322" s="2" t="inlineStr">
        <is>
          <t>Pokemon</t>
        </is>
      </c>
      <c r="G322" s="2" t="inlineStr">
        <is>
          <t>Case/Display</t>
        </is>
      </c>
      <c r="H322" s="2" t="inlineStr">
        <is>
          <t>Miscellaneous Cards &amp; Products</t>
        </is>
      </c>
      <c r="I322" s="3" t="n"/>
      <c r="J322" s="3" t="n">
        <v>249.59</v>
      </c>
      <c r="K322" s="3" t="n">
        <v>229.99</v>
      </c>
      <c r="L322" s="3" t="n">
        <v>229.98</v>
      </c>
      <c r="M322" s="2" t="inlineStr">
        <is>
          <t>TCGplayer</t>
        </is>
      </c>
      <c r="O322" s="4" t="inlineStr">
        <is>
          <t>https://www.tcgplayer.com/product/496018</t>
        </is>
      </c>
    </row>
    <row r="323">
      <c r="A323" s="2" t="inlineStr">
        <is>
          <t>Paldea Friends Mini Tin Display Case</t>
        </is>
      </c>
      <c r="B323" s="3">
        <f>IF(I323&lt;&gt;"",I323,IF(J323&lt;&gt;"",J323,IF(K323&lt;&gt;"",K323,L323)))</f>
        <v>999.99</v>
      </c>
      <c r="C323" s="3">
        <f>MEDIAN(I323:L323)</f>
        <v>999.99</v>
      </c>
      <c r="D323" s="3">
        <f>ROUND(C323*(1-Settings!$B$2),2)</f>
        <v>699.99</v>
      </c>
      <c r="E323" s="3">
        <f>ROUND(C323*(1-Settings!$B$3),2)</f>
        <v>699.99</v>
      </c>
      <c r="F323" s="2" t="inlineStr">
        <is>
          <t>Pokemon</t>
        </is>
      </c>
      <c r="G323" s="2" t="inlineStr">
        <is>
          <t>Case/Display</t>
        </is>
      </c>
      <c r="H323" s="2" t="inlineStr">
        <is>
          <t>Miscellaneous Cards &amp; Products</t>
        </is>
      </c>
      <c r="I323" s="3" t="n"/>
      <c r="J323" s="3" t="n"/>
      <c r="K323" s="3" t="n">
        <v>999.99</v>
      </c>
      <c r="L323" s="3" t="n">
        <v>999.99</v>
      </c>
      <c r="M323" s="2" t="inlineStr">
        <is>
          <t>TCGplayer</t>
        </is>
      </c>
      <c r="O323" s="4" t="inlineStr">
        <is>
          <t>https://www.tcgplayer.com/product/496020</t>
        </is>
      </c>
    </row>
    <row r="324">
      <c r="A324" s="2" t="inlineStr">
        <is>
          <t>Poke Ball Tin Display (Q1 2021)</t>
        </is>
      </c>
      <c r="B324" s="3">
        <f>IF(I324&lt;&gt;"",I324,IF(J324&lt;&gt;"",J324,IF(K324&lt;&gt;"",K324,L324)))</f>
        <v>999.99</v>
      </c>
      <c r="C324" s="3">
        <f>MEDIAN(I324:L324)</f>
        <v>999.99</v>
      </c>
      <c r="D324" s="3">
        <f>ROUND(C324*(1-Settings!$B$2),2)</f>
        <v>699.99</v>
      </c>
      <c r="E324" s="3">
        <f>ROUND(C324*(1-Settings!$B$3),2)</f>
        <v>699.99</v>
      </c>
      <c r="F324" s="2" t="inlineStr">
        <is>
          <t>Pokemon</t>
        </is>
      </c>
      <c r="G324" s="2" t="inlineStr">
        <is>
          <t>Case/Display</t>
        </is>
      </c>
      <c r="H324" s="2" t="inlineStr">
        <is>
          <t>Miscellaneous Cards &amp; Products</t>
        </is>
      </c>
      <c r="I324" s="3" t="n"/>
      <c r="J324" s="3" t="n"/>
      <c r="K324" s="3" t="n">
        <v>999.99</v>
      </c>
      <c r="L324" s="3" t="n">
        <v>999.99</v>
      </c>
      <c r="M324" s="2" t="inlineStr">
        <is>
          <t>TCGplayer</t>
        </is>
      </c>
      <c r="O324" s="4" t="inlineStr">
        <is>
          <t>https://www.tcgplayer.com/product/257717</t>
        </is>
      </c>
    </row>
    <row r="325">
      <c r="A325" s="2" t="inlineStr">
        <is>
          <t>Poke Ball Tin Display (Q2 2022)</t>
        </is>
      </c>
      <c r="B325" s="3">
        <f>IF(I325&lt;&gt;"",I325,IF(J325&lt;&gt;"",J325,IF(K325&lt;&gt;"",K325,L325)))</f>
        <v>998.0</v>
      </c>
      <c r="C325" s="3">
        <f>MEDIAN(I325:L325)</f>
        <v>998.0</v>
      </c>
      <c r="D325" s="3">
        <f>ROUND(C325*(1-Settings!$B$2),2)</f>
        <v>698.6</v>
      </c>
      <c r="E325" s="3">
        <f>ROUND(C325*(1-Settings!$B$3),2)</f>
        <v>698.6</v>
      </c>
      <c r="F325" s="2" t="inlineStr">
        <is>
          <t>Pokemon</t>
        </is>
      </c>
      <c r="G325" s="2" t="inlineStr">
        <is>
          <t>Case/Display</t>
        </is>
      </c>
      <c r="H325" s="2" t="inlineStr">
        <is>
          <t>Miscellaneous Cards &amp; Products</t>
        </is>
      </c>
      <c r="I325" s="3" t="n"/>
      <c r="J325" s="3" t="n"/>
      <c r="K325" s="3" t="n">
        <v>998</v>
      </c>
      <c r="L325" s="3" t="n">
        <v>998</v>
      </c>
      <c r="M325" s="2" t="inlineStr">
        <is>
          <t>TCGplayer</t>
        </is>
      </c>
      <c r="O325" s="4" t="inlineStr">
        <is>
          <t>https://www.tcgplayer.com/product/265250</t>
        </is>
      </c>
    </row>
    <row r="326">
      <c r="A326" s="2" t="inlineStr">
        <is>
          <t>Poke Ball Tin Display (Q3 2023)</t>
        </is>
      </c>
      <c r="B326" s="3">
        <f>IF(I326&lt;&gt;"",I326,IF(J326&lt;&gt;"",J326,IF(K326&lt;&gt;"",K326,L326)))</f>
        <v>349.99</v>
      </c>
      <c r="C326" s="3">
        <f>MEDIAN(I326:L326)</f>
        <v>349.985</v>
      </c>
      <c r="D326" s="3">
        <f>ROUND(C326*(1-Settings!$B$2),2)</f>
        <v>244.99</v>
      </c>
      <c r="E326" s="3">
        <f>ROUND(C326*(1-Settings!$B$3),2)</f>
        <v>244.99</v>
      </c>
      <c r="F326" s="2" t="inlineStr">
        <is>
          <t>Pokemon</t>
        </is>
      </c>
      <c r="G326" s="2" t="inlineStr">
        <is>
          <t>Case/Display</t>
        </is>
      </c>
      <c r="H326" s="2" t="inlineStr">
        <is>
          <t>Miscellaneous Cards &amp; Products</t>
        </is>
      </c>
      <c r="I326" s="3" t="n"/>
      <c r="J326" s="3" t="n"/>
      <c r="K326" s="3" t="n">
        <v>349.99</v>
      </c>
      <c r="L326" s="3" t="n">
        <v>349.98</v>
      </c>
      <c r="M326" s="2" t="inlineStr">
        <is>
          <t>TCGplayer</t>
        </is>
      </c>
      <c r="O326" s="4" t="inlineStr">
        <is>
          <t>https://www.tcgplayer.com/product/516946</t>
        </is>
      </c>
    </row>
    <row r="327">
      <c r="A327" s="2" t="inlineStr">
        <is>
          <t>Poke Ball Tin Display (Q4 2024)</t>
        </is>
      </c>
      <c r="B327" s="3">
        <f>IF(I327&lt;&gt;"",I327,IF(J327&lt;&gt;"",J327,IF(K327&lt;&gt;"",K327,L327)))</f>
        <v>132.89</v>
      </c>
      <c r="C327" s="3">
        <f>MEDIAN(I327:L327)</f>
        <v>139.99</v>
      </c>
      <c r="D327" s="3">
        <f>ROUND(C327*(1-Settings!$B$2),2)</f>
        <v>97.99</v>
      </c>
      <c r="E327" s="3">
        <f>ROUND(C327*(1-Settings!$B$3),2)</f>
        <v>97.99</v>
      </c>
      <c r="F327" s="2" t="inlineStr">
        <is>
          <t>Pokemon</t>
        </is>
      </c>
      <c r="G327" s="2" t="inlineStr">
        <is>
          <t>Case/Display</t>
        </is>
      </c>
      <c r="H327" s="2" t="inlineStr">
        <is>
          <t>Miscellaneous Cards &amp; Products</t>
        </is>
      </c>
      <c r="I327" s="3" t="n"/>
      <c r="J327" s="3" t="n">
        <v>132.89</v>
      </c>
      <c r="K327" s="3" t="n">
        <v>174.94</v>
      </c>
      <c r="L327" s="3" t="n">
        <v>139.99</v>
      </c>
      <c r="M327" s="2" t="inlineStr">
        <is>
          <t>TCGplayer</t>
        </is>
      </c>
      <c r="O327" s="4" t="inlineStr">
        <is>
          <t>https://www.tcgplayer.com/product/564280</t>
        </is>
      </c>
    </row>
    <row r="328">
      <c r="A328" s="2" t="inlineStr">
        <is>
          <t>Poke Ball Tin Display (Q4 2025)</t>
        </is>
      </c>
      <c r="B328" s="3">
        <f>IF(I328&lt;&gt;"",I328,IF(J328&lt;&gt;"",J328,IF(K328&lt;&gt;"",K328,L328)))</f>
        <v>135.74</v>
      </c>
      <c r="C328" s="3">
        <f>MEDIAN(I328:L328)</f>
        <v>135.74</v>
      </c>
      <c r="D328" s="3">
        <f>ROUND(C328*(1-Settings!$B$2),2)</f>
        <v>95.02</v>
      </c>
      <c r="E328" s="3">
        <f>ROUND(C328*(1-Settings!$B$3),2)</f>
        <v>95.02</v>
      </c>
      <c r="F328" s="2" t="inlineStr">
        <is>
          <t>Pokemon</t>
        </is>
      </c>
      <c r="G328" s="2" t="inlineStr">
        <is>
          <t>Case/Display</t>
        </is>
      </c>
      <c r="H328" s="2" t="inlineStr">
        <is>
          <t>Miscellaneous Cards &amp; Products</t>
        </is>
      </c>
      <c r="I328" s="3" t="n"/>
      <c r="J328" s="3" t="n">
        <v>135.74</v>
      </c>
      <c r="K328" s="3" t="n">
        <v>149.5</v>
      </c>
      <c r="L328" s="3" t="n">
        <v>135</v>
      </c>
      <c r="M328" s="2" t="inlineStr">
        <is>
          <t>TCGplayer</t>
        </is>
      </c>
      <c r="O328" s="4" t="inlineStr">
        <is>
          <t>https://www.tcgplayer.com/product/654590</t>
        </is>
      </c>
    </row>
    <row r="329">
      <c r="A329" s="2" t="inlineStr">
        <is>
          <t>Pokemon Day 2026 Collection Case</t>
        </is>
      </c>
      <c r="B329" s="3">
        <f>IF(I329&lt;&gt;"",I329,IF(J329&lt;&gt;"",J329,IF(K329&lt;&gt;"",K329,L329)))</f>
        <v>221.09</v>
      </c>
      <c r="C329" s="3">
        <f>MEDIAN(I329:L329)</f>
        <v>221.09</v>
      </c>
      <c r="D329" s="3">
        <f>ROUND(C329*(1-Settings!$B$2),2)</f>
        <v>154.76</v>
      </c>
      <c r="E329" s="3">
        <f>ROUND(C329*(1-Settings!$B$3),2)</f>
        <v>154.76</v>
      </c>
      <c r="F329" s="2" t="inlineStr">
        <is>
          <t>Pokemon</t>
        </is>
      </c>
      <c r="G329" s="2" t="inlineStr">
        <is>
          <t>Case/Display</t>
        </is>
      </c>
      <c r="H329" s="2" t="inlineStr">
        <is>
          <t>Miscellaneous Cards &amp; Products</t>
        </is>
      </c>
      <c r="I329" s="3" t="n"/>
      <c r="J329" s="3" t="n">
        <v>221.09</v>
      </c>
      <c r="K329" s="3" t="n">
        <v>286.49</v>
      </c>
      <c r="L329" s="3" t="n">
        <v>219.99</v>
      </c>
      <c r="M329" s="2" t="inlineStr">
        <is>
          <t>TCGplayer</t>
        </is>
      </c>
      <c r="O329" s="4" t="inlineStr">
        <is>
          <t>https://www.tcgplayer.com/product/668591</t>
        </is>
      </c>
    </row>
    <row r="330">
      <c r="A330" s="2" t="inlineStr">
        <is>
          <t>Pokemon Stacking Tins: Treasures of Ruin, Paradox Pokemon, Ogerpon Display</t>
        </is>
      </c>
      <c r="B330" s="3">
        <f>IF(I330&lt;&gt;"",I330,IF(J330&lt;&gt;"",J330,IF(K330&lt;&gt;"",K330,L330)))</f>
        <v>248.0</v>
      </c>
      <c r="C330" s="3">
        <f>MEDIAN(I330:L330)</f>
        <v>241.5</v>
      </c>
      <c r="D330" s="3">
        <f>ROUND(C330*(1-Settings!$B$2),2)</f>
        <v>169.05</v>
      </c>
      <c r="E330" s="3">
        <f>ROUND(C330*(1-Settings!$B$3),2)</f>
        <v>169.05</v>
      </c>
      <c r="F330" s="2" t="inlineStr">
        <is>
          <t>Pokemon</t>
        </is>
      </c>
      <c r="G330" s="2" t="inlineStr">
        <is>
          <t>Case/Display</t>
        </is>
      </c>
      <c r="H330" s="2" t="inlineStr">
        <is>
          <t>Miscellaneous Cards &amp; Products</t>
        </is>
      </c>
      <c r="I330" s="3" t="n"/>
      <c r="J330" s="3" t="n"/>
      <c r="K330" s="3" t="n">
        <v>248</v>
      </c>
      <c r="L330" s="3" t="n">
        <v>235</v>
      </c>
      <c r="M330" s="2" t="inlineStr">
        <is>
          <t>TCGplayer</t>
        </is>
      </c>
      <c r="O330" s="4" t="inlineStr">
        <is>
          <t>https://www.tcgplayer.com/product/616298</t>
        </is>
      </c>
    </row>
    <row r="331">
      <c r="A331" s="2" t="inlineStr">
        <is>
          <t>Pokemon TCG: Back to School Pencil Case</t>
        </is>
      </c>
      <c r="B331" s="3">
        <f>IF(I331&lt;&gt;"",I331,IF(J331&lt;&gt;"",J331,IF(K331&lt;&gt;"",K331,L331)))</f>
        <v>36.9</v>
      </c>
      <c r="C331" s="3">
        <f>MEDIAN(I331:L331)</f>
        <v>51.0</v>
      </c>
      <c r="D331" s="3">
        <f>ROUND(C331*(1-Settings!$B$2),2)</f>
        <v>35.7</v>
      </c>
      <c r="E331" s="3">
        <f>ROUND(C331*(1-Settings!$B$3),2)</f>
        <v>35.7</v>
      </c>
      <c r="F331" s="2" t="inlineStr">
        <is>
          <t>Pokemon</t>
        </is>
      </c>
      <c r="G331" s="2" t="inlineStr">
        <is>
          <t>Case/Display</t>
        </is>
      </c>
      <c r="H331" s="2" t="inlineStr">
        <is>
          <t>Miscellaneous Cards &amp; Products</t>
        </is>
      </c>
      <c r="I331" s="3" t="n"/>
      <c r="J331" s="3" t="n">
        <v>36.9</v>
      </c>
      <c r="K331" s="3" t="n">
        <v>51</v>
      </c>
      <c r="L331" s="3" t="n">
        <v>51</v>
      </c>
      <c r="M331" s="2" t="inlineStr">
        <is>
          <t>TCGplayer</t>
        </is>
      </c>
      <c r="O331" s="4" t="inlineStr">
        <is>
          <t>https://www.tcgplayer.com/product/273613</t>
        </is>
      </c>
    </row>
    <row r="332">
      <c r="A332" s="2" t="inlineStr">
        <is>
          <t>Pokemon TCG: Back to School Pencil Case 2023</t>
        </is>
      </c>
      <c r="B332" s="3">
        <f>IF(I332&lt;&gt;"",I332,IF(J332&lt;&gt;"",J332,IF(K332&lt;&gt;"",K332,L332)))</f>
        <v>26.12</v>
      </c>
      <c r="C332" s="3">
        <f>MEDIAN(I332:L332)</f>
        <v>26.12</v>
      </c>
      <c r="D332" s="3">
        <f>ROUND(C332*(1-Settings!$B$2),2)</f>
        <v>18.28</v>
      </c>
      <c r="E332" s="3">
        <f>ROUND(C332*(1-Settings!$B$3),2)</f>
        <v>18.28</v>
      </c>
      <c r="F332" s="2" t="inlineStr">
        <is>
          <t>Pokemon</t>
        </is>
      </c>
      <c r="G332" s="2" t="inlineStr">
        <is>
          <t>Case/Display</t>
        </is>
      </c>
      <c r="H332" s="2" t="inlineStr">
        <is>
          <t>Miscellaneous Cards &amp; Products</t>
        </is>
      </c>
      <c r="I332" s="3" t="n"/>
      <c r="J332" s="3" t="n">
        <v>26.12</v>
      </c>
      <c r="K332" s="3" t="n">
        <v>28.99</v>
      </c>
      <c r="L332" s="3" t="n">
        <v>3.99</v>
      </c>
      <c r="M332" s="2" t="inlineStr">
        <is>
          <t>TCGplayer</t>
        </is>
      </c>
      <c r="O332" s="4" t="inlineStr">
        <is>
          <t>https://www.tcgplayer.com/product/497851</t>
        </is>
      </c>
    </row>
    <row r="333">
      <c r="A333" s="2" t="inlineStr">
        <is>
          <t>Pokemon TCG: Back to School Pencil Case 2024</t>
        </is>
      </c>
      <c r="B333" s="3">
        <f>IF(I333&lt;&gt;"",I333,IF(J333&lt;&gt;"",J333,IF(K333&lt;&gt;"",K333,L333)))</f>
        <v>22.8</v>
      </c>
      <c r="C333" s="3">
        <f>MEDIAN(I333:L333)</f>
        <v>23.99</v>
      </c>
      <c r="D333" s="3">
        <f>ROUND(C333*(1-Settings!$B$2),2)</f>
        <v>16.79</v>
      </c>
      <c r="E333" s="3">
        <f>ROUND(C333*(1-Settings!$B$3),2)</f>
        <v>16.79</v>
      </c>
      <c r="F333" s="2" t="inlineStr">
        <is>
          <t>Pokemon</t>
        </is>
      </c>
      <c r="G333" s="2" t="inlineStr">
        <is>
          <t>Case/Display</t>
        </is>
      </c>
      <c r="H333" s="2" t="inlineStr">
        <is>
          <t>Miscellaneous Cards &amp; Products</t>
        </is>
      </c>
      <c r="I333" s="3" t="n"/>
      <c r="J333" s="3" t="n">
        <v>22.8</v>
      </c>
      <c r="K333" s="3" t="n">
        <v>33.73</v>
      </c>
      <c r="L333" s="3" t="n">
        <v>23.99</v>
      </c>
      <c r="M333" s="2" t="inlineStr">
        <is>
          <t>TCGplayer</t>
        </is>
      </c>
      <c r="O333" s="4" t="inlineStr">
        <is>
          <t>https://www.tcgplayer.com/product/549443</t>
        </is>
      </c>
    </row>
    <row r="334">
      <c r="A334" s="2" t="inlineStr">
        <is>
          <t>Pokemon TCG: Trainer's Toolkit (2021) Case</t>
        </is>
      </c>
      <c r="B334" s="3">
        <f>IF(I334&lt;&gt;"",I334,IF(J334&lt;&gt;"",J334,IF(K334&lt;&gt;"",K334,L334)))</f>
        <v>249.69</v>
      </c>
      <c r="C334" s="3">
        <f>MEDIAN(I334:L334)</f>
        <v>249.69</v>
      </c>
      <c r="D334" s="3">
        <f>ROUND(C334*(1-Settings!$B$2),2)</f>
        <v>174.78</v>
      </c>
      <c r="E334" s="3">
        <f>ROUND(C334*(1-Settings!$B$3),2)</f>
        <v>174.78</v>
      </c>
      <c r="F334" s="2" t="inlineStr">
        <is>
          <t>Pokemon</t>
        </is>
      </c>
      <c r="G334" s="2" t="inlineStr">
        <is>
          <t>Case/Display</t>
        </is>
      </c>
      <c r="H334" s="2" t="inlineStr">
        <is>
          <t>Miscellaneous Cards &amp; Products</t>
        </is>
      </c>
      <c r="I334" s="3" t="n"/>
      <c r="J334" s="3" t="n">
        <v>249.69</v>
      </c>
      <c r="K334" s="3" t="n"/>
      <c r="L334" s="3" t="n"/>
      <c r="M334" s="2" t="inlineStr">
        <is>
          <t>TCGplayer</t>
        </is>
      </c>
      <c r="O334" s="4" t="inlineStr">
        <is>
          <t>https://www.tcgplayer.com/product/277564</t>
        </is>
      </c>
    </row>
    <row r="335">
      <c r="A335" s="2" t="inlineStr">
        <is>
          <t>Professor Juniper Premium Tournament Collection Box Case</t>
        </is>
      </c>
      <c r="B335" s="3">
        <f>IF(I335&lt;&gt;"",I335,IF(J335&lt;&gt;"",J335,IF(K335&lt;&gt;"",K335,L335)))</f>
        <v>426.14</v>
      </c>
      <c r="C335" s="3">
        <f>MEDIAN(I335:L335)</f>
        <v>574.5</v>
      </c>
      <c r="D335" s="3">
        <f>ROUND(C335*(1-Settings!$B$2),2)</f>
        <v>402.15</v>
      </c>
      <c r="E335" s="3">
        <f>ROUND(C335*(1-Settings!$B$3),2)</f>
        <v>402.15</v>
      </c>
      <c r="F335" s="2" t="inlineStr">
        <is>
          <t>Pokemon</t>
        </is>
      </c>
      <c r="G335" s="2" t="inlineStr">
        <is>
          <t>Case/Display</t>
        </is>
      </c>
      <c r="H335" s="2" t="inlineStr">
        <is>
          <t>Miscellaneous Cards &amp; Products</t>
        </is>
      </c>
      <c r="I335" s="3" t="n"/>
      <c r="J335" s="3" t="n">
        <v>426.14</v>
      </c>
      <c r="K335" s="3" t="n">
        <v>575</v>
      </c>
      <c r="L335" s="3" t="n">
        <v>574.5</v>
      </c>
      <c r="M335" s="2" t="inlineStr">
        <is>
          <t>TCGplayer</t>
        </is>
      </c>
      <c r="O335" s="4" t="inlineStr">
        <is>
          <t>https://www.tcgplayer.com/product/278924</t>
        </is>
      </c>
    </row>
    <row r="336">
      <c r="A336" s="2" t="inlineStr">
        <is>
          <t>Sinnoh Star Mini Tin Display</t>
        </is>
      </c>
      <c r="B336" s="3">
        <f>IF(I336&lt;&gt;"",I336,IF(J336&lt;&gt;"",J336,IF(K336&lt;&gt;"",K336,L336)))</f>
        <v>256.46</v>
      </c>
      <c r="C336" s="3">
        <f>MEDIAN(I336:L336)</f>
        <v>269.95</v>
      </c>
      <c r="D336" s="3">
        <f>ROUND(C336*(1-Settings!$B$2),2)</f>
        <v>188.97</v>
      </c>
      <c r="E336" s="3">
        <f>ROUND(C336*(1-Settings!$B$3),2)</f>
        <v>188.97</v>
      </c>
      <c r="F336" s="2" t="inlineStr">
        <is>
          <t>Pokemon</t>
        </is>
      </c>
      <c r="G336" s="2" t="inlineStr">
        <is>
          <t>Case/Display</t>
        </is>
      </c>
      <c r="H336" s="2" t="inlineStr">
        <is>
          <t>Miscellaneous Cards &amp; Products</t>
        </is>
      </c>
      <c r="I336" s="3" t="n"/>
      <c r="J336" s="3" t="n">
        <v>256.46</v>
      </c>
      <c r="K336" s="3" t="n">
        <v>269.96</v>
      </c>
      <c r="L336" s="3" t="n">
        <v>269.95</v>
      </c>
      <c r="M336" s="2" t="inlineStr">
        <is>
          <t>TCGplayer</t>
        </is>
      </c>
      <c r="O336" s="4" t="inlineStr">
        <is>
          <t>https://www.tcgplayer.com/product/263259</t>
        </is>
      </c>
    </row>
    <row r="337">
      <c r="A337" s="2" t="inlineStr">
        <is>
          <t>Team Rocket Tin Case</t>
        </is>
      </c>
      <c r="B337" s="3">
        <f>IF(I337&lt;&gt;"",I337,IF(J337&lt;&gt;"",J337,IF(K337&lt;&gt;"",K337,L337)))</f>
        <v>2124.99</v>
      </c>
      <c r="C337" s="3">
        <f>MEDIAN(I337:L337)</f>
        <v>1412.4899999999998</v>
      </c>
      <c r="D337" s="3">
        <f>ROUND(C337*(1-Settings!$B$2),2)</f>
        <v>988.74</v>
      </c>
      <c r="E337" s="3">
        <f>ROUND(C337*(1-Settings!$B$3),2)</f>
        <v>988.74</v>
      </c>
      <c r="F337" s="2" t="inlineStr">
        <is>
          <t>Pokemon</t>
        </is>
      </c>
      <c r="G337" s="2" t="inlineStr">
        <is>
          <t>Case/Display</t>
        </is>
      </c>
      <c r="H337" s="2" t="inlineStr">
        <is>
          <t>Miscellaneous Cards &amp; Products</t>
        </is>
      </c>
      <c r="I337" s="3" t="n"/>
      <c r="J337" s="3" t="n"/>
      <c r="K337" s="3" t="n">
        <v>2124.99</v>
      </c>
      <c r="L337" s="3" t="n">
        <v>699.99</v>
      </c>
      <c r="M337" s="2" t="inlineStr">
        <is>
          <t>TCGplayer</t>
        </is>
      </c>
      <c r="O337" s="4" t="inlineStr">
        <is>
          <t>https://www.tcgplayer.com/product/692923</t>
        </is>
      </c>
    </row>
    <row r="338">
      <c r="A338" s="2" t="inlineStr">
        <is>
          <t>Team Rocket's Mewtwo ex Box Case</t>
        </is>
      </c>
      <c r="B338" s="3">
        <f>IF(I338&lt;&gt;"",I338,IF(J338&lt;&gt;"",J338,IF(K338&lt;&gt;"",K338,L338)))</f>
        <v>396.31</v>
      </c>
      <c r="C338" s="3">
        <f>MEDIAN(I338:L338)</f>
        <v>396.31</v>
      </c>
      <c r="D338" s="3">
        <f>ROUND(C338*(1-Settings!$B$2),2)</f>
        <v>277.42</v>
      </c>
      <c r="E338" s="3">
        <f>ROUND(C338*(1-Settings!$B$3),2)</f>
        <v>277.42</v>
      </c>
      <c r="F338" s="2" t="inlineStr">
        <is>
          <t>Pokemon</t>
        </is>
      </c>
      <c r="G338" s="2" t="inlineStr">
        <is>
          <t>Case/Display</t>
        </is>
      </c>
      <c r="H338" s="2" t="inlineStr">
        <is>
          <t>Miscellaneous Cards &amp; Products</t>
        </is>
      </c>
      <c r="I338" s="3" t="n"/>
      <c r="J338" s="3" t="n">
        <v>396.31</v>
      </c>
      <c r="K338" s="3" t="n">
        <v>799.97</v>
      </c>
      <c r="L338" s="3" t="n">
        <v>390</v>
      </c>
      <c r="M338" s="2" t="inlineStr">
        <is>
          <t>TCGplayer</t>
        </is>
      </c>
      <c r="O338" s="4" t="inlineStr">
        <is>
          <t>https://www.tcgplayer.com/product/634607</t>
        </is>
      </c>
    </row>
    <row r="339">
      <c r="A339" s="2" t="inlineStr">
        <is>
          <t>Team Rocket’s Moltres ex Ultra-Premium Collection Case</t>
        </is>
      </c>
      <c r="B339" s="3">
        <f>IF(I339&lt;&gt;"",I339,IF(J339&lt;&gt;"",J339,IF(K339&lt;&gt;"",K339,L339)))</f>
        <v>1292.78</v>
      </c>
      <c r="C339" s="3">
        <f>MEDIAN(I339:L339)</f>
        <v>1385.0</v>
      </c>
      <c r="D339" s="3">
        <f>ROUND(C339*(1-Settings!$B$2),2)</f>
        <v>969.5</v>
      </c>
      <c r="E339" s="3">
        <f>ROUND(C339*(1-Settings!$B$3),2)</f>
        <v>969.5</v>
      </c>
      <c r="F339" s="2" t="inlineStr">
        <is>
          <t>Pokemon</t>
        </is>
      </c>
      <c r="G339" s="2" t="inlineStr">
        <is>
          <t>Case/Display</t>
        </is>
      </c>
      <c r="H339" s="2" t="inlineStr">
        <is>
          <t>Miscellaneous Cards &amp; Products</t>
        </is>
      </c>
      <c r="I339" s="3" t="n"/>
      <c r="J339" s="3" t="n">
        <v>1292.78</v>
      </c>
      <c r="K339" s="3" t="n">
        <v>1449.5</v>
      </c>
      <c r="L339" s="3" t="n">
        <v>1385</v>
      </c>
      <c r="M339" s="2" t="inlineStr">
        <is>
          <t>TCGplayer</t>
        </is>
      </c>
      <c r="O339" s="4" t="inlineStr">
        <is>
          <t>https://www.tcgplayer.com/product/664898</t>
        </is>
      </c>
    </row>
    <row r="340">
      <c r="A340" s="2" t="inlineStr">
        <is>
          <t>Terapagos ex Ultra-Premium Collection Case</t>
        </is>
      </c>
      <c r="B340" s="3">
        <f>IF(I340&lt;&gt;"",I340,IF(J340&lt;&gt;"",J340,IF(K340&lt;&gt;"",K340,L340)))</f>
        <v>1236.0</v>
      </c>
      <c r="C340" s="3">
        <f>MEDIAN(I340:L340)</f>
        <v>1236.0</v>
      </c>
      <c r="D340" s="3">
        <f>ROUND(C340*(1-Settings!$B$2),2)</f>
        <v>865.2</v>
      </c>
      <c r="E340" s="3">
        <f>ROUND(C340*(1-Settings!$B$3),2)</f>
        <v>865.2</v>
      </c>
      <c r="F340" s="2" t="inlineStr">
        <is>
          <t>Pokemon</t>
        </is>
      </c>
      <c r="G340" s="2" t="inlineStr">
        <is>
          <t>Case/Display</t>
        </is>
      </c>
      <c r="H340" s="2" t="inlineStr">
        <is>
          <t>Miscellaneous Cards &amp; Products</t>
        </is>
      </c>
      <c r="I340" s="3" t="n"/>
      <c r="J340" s="3" t="n">
        <v>1236</v>
      </c>
      <c r="K340" s="3" t="n"/>
      <c r="L340" s="3" t="n"/>
      <c r="M340" s="2" t="inlineStr">
        <is>
          <t>TCGplayer</t>
        </is>
      </c>
      <c r="O340" s="4" t="inlineStr">
        <is>
          <t>https://www.tcgplayer.com/product/696827</t>
        </is>
      </c>
    </row>
    <row r="341">
      <c r="A341" s="2" t="inlineStr">
        <is>
          <t>Triple Whammy Tin Case</t>
        </is>
      </c>
      <c r="B341" s="3">
        <f>IF(I341&lt;&gt;"",I341,IF(J341&lt;&gt;"",J341,IF(K341&lt;&gt;"",K341,L341)))</f>
        <v>150.0</v>
      </c>
      <c r="C341" s="3">
        <f>MEDIAN(I341:L341)</f>
        <v>149.995</v>
      </c>
      <c r="D341" s="3">
        <f>ROUND(C341*(1-Settings!$B$2),2)</f>
        <v>105.0</v>
      </c>
      <c r="E341" s="3">
        <f>ROUND(C341*(1-Settings!$B$3),2)</f>
        <v>105.0</v>
      </c>
      <c r="F341" s="2" t="inlineStr">
        <is>
          <t>Pokemon</t>
        </is>
      </c>
      <c r="G341" s="2" t="inlineStr">
        <is>
          <t>Case/Display</t>
        </is>
      </c>
      <c r="H341" s="2" t="inlineStr">
        <is>
          <t>Miscellaneous Cards &amp; Products</t>
        </is>
      </c>
      <c r="I341" s="3" t="n"/>
      <c r="J341" s="3" t="n"/>
      <c r="K341" s="3" t="n">
        <v>150</v>
      </c>
      <c r="L341" s="3" t="n">
        <v>149.99</v>
      </c>
      <c r="M341" s="2" t="inlineStr">
        <is>
          <t>TCGplayer</t>
        </is>
      </c>
      <c r="O341" s="4" t="inlineStr">
        <is>
          <t>https://www.tcgplayer.com/product/692924</t>
        </is>
      </c>
    </row>
    <row r="342">
      <c r="A342" s="2" t="inlineStr">
        <is>
          <t>V Battle Deck Display [Venusaur V/Blastoise V]</t>
        </is>
      </c>
      <c r="B342" s="3">
        <f>IF(I342&lt;&gt;"",I342,IF(J342&lt;&gt;"",J342,IF(K342&lt;&gt;"",K342,L342)))</f>
        <v>158.95</v>
      </c>
      <c r="C342" s="3">
        <f>MEDIAN(I342:L342)</f>
        <v>399.99</v>
      </c>
      <c r="D342" s="3">
        <f>ROUND(C342*(1-Settings!$B$2),2)</f>
        <v>279.99</v>
      </c>
      <c r="E342" s="3">
        <f>ROUND(C342*(1-Settings!$B$3),2)</f>
        <v>279.99</v>
      </c>
      <c r="F342" s="2" t="inlineStr">
        <is>
          <t>Pokemon</t>
        </is>
      </c>
      <c r="G342" s="2" t="inlineStr">
        <is>
          <t>Case/Display</t>
        </is>
      </c>
      <c r="H342" s="2" t="inlineStr">
        <is>
          <t>Miscellaneous Cards &amp; Products</t>
        </is>
      </c>
      <c r="I342" s="3" t="n"/>
      <c r="J342" s="3" t="n">
        <v>158.95</v>
      </c>
      <c r="K342" s="3" t="n">
        <v>399.99</v>
      </c>
      <c r="L342" s="3" t="n">
        <v>399.99</v>
      </c>
      <c r="M342" s="2" t="inlineStr">
        <is>
          <t>TCGplayer</t>
        </is>
      </c>
      <c r="O342" s="4" t="inlineStr">
        <is>
          <t>https://www.tcgplayer.com/product/230393</t>
        </is>
      </c>
    </row>
    <row r="343">
      <c r="A343" s="2" t="inlineStr">
        <is>
          <t>V Battle Deck Display [Victini V/Gardevoir V]</t>
        </is>
      </c>
      <c r="B343" s="3">
        <f>IF(I343&lt;&gt;"",I343,IF(J343&lt;&gt;"",J343,IF(K343&lt;&gt;"",K343,L343)))</f>
        <v>259.99</v>
      </c>
      <c r="C343" s="3">
        <f>MEDIAN(I343:L343)</f>
        <v>259.99</v>
      </c>
      <c r="D343" s="3">
        <f>ROUND(C343*(1-Settings!$B$2),2)</f>
        <v>181.99</v>
      </c>
      <c r="E343" s="3">
        <f>ROUND(C343*(1-Settings!$B$3),2)</f>
        <v>181.99</v>
      </c>
      <c r="F343" s="2" t="inlineStr">
        <is>
          <t>Pokemon</t>
        </is>
      </c>
      <c r="G343" s="2" t="inlineStr">
        <is>
          <t>Case/Display</t>
        </is>
      </c>
      <c r="H343" s="2" t="inlineStr">
        <is>
          <t>Miscellaneous Cards &amp; Products</t>
        </is>
      </c>
      <c r="I343" s="3" t="n"/>
      <c r="J343" s="3" t="n"/>
      <c r="K343" s="3" t="n">
        <v>259.99</v>
      </c>
      <c r="L343" s="3" t="n">
        <v>259.99</v>
      </c>
      <c r="M343" s="2" t="inlineStr">
        <is>
          <t>TCGplayer</t>
        </is>
      </c>
      <c r="O343" s="4" t="inlineStr">
        <is>
          <t>https://www.tcgplayer.com/product/233355</t>
        </is>
      </c>
    </row>
    <row r="344">
      <c r="A344" s="2" t="inlineStr">
        <is>
          <t>Vibrant Paldea Mini Tin Collection Display</t>
        </is>
      </c>
      <c r="B344" s="3">
        <f>IF(I344&lt;&gt;"",I344,IF(J344&lt;&gt;"",J344,IF(K344&lt;&gt;"",K344,L344)))</f>
        <v>246.22</v>
      </c>
      <c r="C344" s="3">
        <f>MEDIAN(I344:L344)</f>
        <v>270.0</v>
      </c>
      <c r="D344" s="3">
        <f>ROUND(C344*(1-Settings!$B$2),2)</f>
        <v>189.0</v>
      </c>
      <c r="E344" s="3">
        <f>ROUND(C344*(1-Settings!$B$3),2)</f>
        <v>189.0</v>
      </c>
      <c r="F344" s="2" t="inlineStr">
        <is>
          <t>Pokemon</t>
        </is>
      </c>
      <c r="G344" s="2" t="inlineStr">
        <is>
          <t>Case/Display</t>
        </is>
      </c>
      <c r="H344" s="2" t="inlineStr">
        <is>
          <t>Miscellaneous Cards &amp; Products</t>
        </is>
      </c>
      <c r="I344" s="3" t="n"/>
      <c r="J344" s="3" t="n">
        <v>246.22</v>
      </c>
      <c r="K344" s="3" t="n">
        <v>349.99</v>
      </c>
      <c r="L344" s="3" t="n">
        <v>270</v>
      </c>
      <c r="M344" s="2" t="inlineStr">
        <is>
          <t>TCGplayer</t>
        </is>
      </c>
      <c r="O344" s="4" t="inlineStr">
        <is>
          <t>https://www.tcgplayer.com/product/554175</t>
        </is>
      </c>
    </row>
    <row r="345">
      <c r="A345" s="2" t="inlineStr">
        <is>
          <t>Paldean Fates Tech Sticker Collection Display</t>
        </is>
      </c>
      <c r="B345" s="3">
        <f>IF(I345&lt;&gt;"",I345,IF(J345&lt;&gt;"",J345,IF(K345&lt;&gt;"",K345,L345)))</f>
        <v>813.0</v>
      </c>
      <c r="C345" s="3">
        <f>MEDIAN(I345:L345)</f>
        <v>813.0</v>
      </c>
      <c r="D345" s="3">
        <f>ROUND(C345*(1-Settings!$B$2),2)</f>
        <v>569.1</v>
      </c>
      <c r="E345" s="3">
        <f>ROUND(C345*(1-Settings!$B$3),2)</f>
        <v>569.1</v>
      </c>
      <c r="F345" s="2" t="inlineStr">
        <is>
          <t>Pokemon</t>
        </is>
      </c>
      <c r="G345" s="2" t="inlineStr">
        <is>
          <t>Case/Display</t>
        </is>
      </c>
      <c r="H345" s="2" t="inlineStr">
        <is>
          <t>Paldean Fates</t>
        </is>
      </c>
      <c r="I345" s="3" t="n">
        <v>813</v>
      </c>
      <c r="J345" s="3" t="n"/>
      <c r="K345" s="3" t="n"/>
      <c r="L345" s="3" t="n"/>
      <c r="M345" s="2" t="inlineStr">
        <is>
          <t>PriceCharting</t>
        </is>
      </c>
      <c r="N345" s="4" t="inlineStr">
        <is>
          <t>https://www.pricecharting.com/game/pokemon-paldean-fates/tech-sticker-collection-display</t>
        </is>
      </c>
    </row>
    <row r="346">
      <c r="A346" s="2" t="inlineStr">
        <is>
          <t>Pokemon GO Elite Trainer Box Case</t>
        </is>
      </c>
      <c r="B346" s="3">
        <f>IF(I346&lt;&gt;"",I346,IF(J346&lt;&gt;"",J346,IF(K346&lt;&gt;"",K346,L346)))</f>
        <v>1418.29</v>
      </c>
      <c r="C346" s="3">
        <f>MEDIAN(I346:L346)</f>
        <v>2150.0</v>
      </c>
      <c r="D346" s="3">
        <f>ROUND(C346*(1-Settings!$B$2),2)</f>
        <v>1505.0</v>
      </c>
      <c r="E346" s="3">
        <f>ROUND(C346*(1-Settings!$B$3),2)</f>
        <v>1505.0</v>
      </c>
      <c r="F346" s="2" t="inlineStr">
        <is>
          <t>Pokemon</t>
        </is>
      </c>
      <c r="G346" s="2" t="inlineStr">
        <is>
          <t>Case/Display</t>
        </is>
      </c>
      <c r="H346" s="2" t="inlineStr">
        <is>
          <t>Pokemon GO</t>
        </is>
      </c>
      <c r="I346" s="3" t="n"/>
      <c r="J346" s="3" t="n">
        <v>1418.29</v>
      </c>
      <c r="K346" s="3" t="n">
        <v>2150</v>
      </c>
      <c r="L346" s="3" t="n">
        <v>2150</v>
      </c>
      <c r="M346" s="2" t="inlineStr">
        <is>
          <t>TCGplayer</t>
        </is>
      </c>
      <c r="O346" s="4" t="inlineStr">
        <is>
          <t>https://www.tcgplayer.com/product/271513</t>
        </is>
      </c>
    </row>
    <row r="347">
      <c r="A347" s="2" t="inlineStr">
        <is>
          <t>Pokemon GO Pin Collection Case</t>
        </is>
      </c>
      <c r="B347" s="3">
        <f>IF(I347&lt;&gt;"",I347,IF(J347&lt;&gt;"",J347,IF(K347&lt;&gt;"",K347,L347)))</f>
        <v>599.95</v>
      </c>
      <c r="C347" s="3">
        <f>MEDIAN(I347:L347)</f>
        <v>599.945</v>
      </c>
      <c r="D347" s="3">
        <f>ROUND(C347*(1-Settings!$B$2),2)</f>
        <v>419.96</v>
      </c>
      <c r="E347" s="3">
        <f>ROUND(C347*(1-Settings!$B$3),2)</f>
        <v>419.96</v>
      </c>
      <c r="F347" s="2" t="inlineStr">
        <is>
          <t>Pokemon</t>
        </is>
      </c>
      <c r="G347" s="2" t="inlineStr">
        <is>
          <t>Case/Display</t>
        </is>
      </c>
      <c r="H347" s="2" t="inlineStr">
        <is>
          <t>Pokemon GO</t>
        </is>
      </c>
      <c r="I347" s="3" t="n"/>
      <c r="J347" s="3" t="n"/>
      <c r="K347" s="3" t="n">
        <v>599.95</v>
      </c>
      <c r="L347" s="3" t="n">
        <v>599.9400000000001</v>
      </c>
      <c r="M347" s="2" t="inlineStr">
        <is>
          <t>TCGplayer</t>
        </is>
      </c>
      <c r="O347" s="4" t="inlineStr">
        <is>
          <t>https://www.tcgplayer.com/product/692922</t>
        </is>
      </c>
    </row>
    <row r="348">
      <c r="A348" s="2" t="inlineStr">
        <is>
          <t>Pokemon GO Poke Ball Tin Display</t>
        </is>
      </c>
      <c r="B348" s="3">
        <f>IF(I348&lt;&gt;"",I348,IF(J348&lt;&gt;"",J348,IF(K348&lt;&gt;"",K348,L348)))</f>
        <v>275.0</v>
      </c>
      <c r="C348" s="3">
        <f>MEDIAN(I348:L348)</f>
        <v>398.93</v>
      </c>
      <c r="D348" s="3">
        <f>ROUND(C348*(1-Settings!$B$2),2)</f>
        <v>279.25</v>
      </c>
      <c r="E348" s="3">
        <f>ROUND(C348*(1-Settings!$B$3),2)</f>
        <v>279.25</v>
      </c>
      <c r="F348" s="2" t="inlineStr">
        <is>
          <t>Pokemon</t>
        </is>
      </c>
      <c r="G348" s="2" t="inlineStr">
        <is>
          <t>Case/Display</t>
        </is>
      </c>
      <c r="H348" s="2" t="inlineStr">
        <is>
          <t>Pokemon GO</t>
        </is>
      </c>
      <c r="I348" s="3" t="n"/>
      <c r="J348" s="3" t="n">
        <v>275</v>
      </c>
      <c r="K348" s="3" t="n">
        <v>398.96</v>
      </c>
      <c r="L348" s="3" t="n">
        <v>398.93</v>
      </c>
      <c r="M348" s="2" t="inlineStr">
        <is>
          <t>TCGplayer</t>
        </is>
      </c>
      <c r="O348" s="4" t="inlineStr">
        <is>
          <t>https://www.tcgplayer.com/product/271511</t>
        </is>
      </c>
    </row>
    <row r="349">
      <c r="A349" s="2" t="inlineStr">
        <is>
          <t>Pokemon Go Pokemon Center Elite Trainer Box Plus Case (Exclusive)</t>
        </is>
      </c>
      <c r="B349" s="3">
        <f>IF(I349&lt;&gt;"",I349,IF(J349&lt;&gt;"",J349,IF(K349&lt;&gt;"",K349,L349)))</f>
        <v>900.0</v>
      </c>
      <c r="C349" s="3">
        <f>MEDIAN(I349:L349)</f>
        <v>1299.95</v>
      </c>
      <c r="D349" s="3">
        <f>ROUND(C349*(1-Settings!$B$2),2)</f>
        <v>909.97</v>
      </c>
      <c r="E349" s="3">
        <f>ROUND(C349*(1-Settings!$B$3),2)</f>
        <v>909.97</v>
      </c>
      <c r="F349" s="2" t="inlineStr">
        <is>
          <t>Pokemon</t>
        </is>
      </c>
      <c r="G349" s="2" t="inlineStr">
        <is>
          <t>Case/Display</t>
        </is>
      </c>
      <c r="H349" s="2" t="inlineStr">
        <is>
          <t>Pokemon GO</t>
        </is>
      </c>
      <c r="I349" s="3" t="n"/>
      <c r="J349" s="3" t="n">
        <v>900</v>
      </c>
      <c r="K349" s="3" t="n">
        <v>1349.95</v>
      </c>
      <c r="L349" s="3" t="n">
        <v>1299.95</v>
      </c>
      <c r="M349" s="2" t="inlineStr">
        <is>
          <t>TCGplayer</t>
        </is>
      </c>
      <c r="O349" s="4" t="inlineStr">
        <is>
          <t>https://www.tcgplayer.com/product/630089</t>
        </is>
      </c>
    </row>
    <row r="350">
      <c r="A350" s="2" t="inlineStr">
        <is>
          <t>Promo Back To School Pencil Case 2024</t>
        </is>
      </c>
      <c r="B350" s="3">
        <f>IF(I350&lt;&gt;"",I350,IF(J350&lt;&gt;"",J350,IF(K350&lt;&gt;"",K350,L350)))</f>
        <v>30.49</v>
      </c>
      <c r="C350" s="3">
        <f>MEDIAN(I350:L350)</f>
        <v>30.49</v>
      </c>
      <c r="D350" s="3">
        <f>ROUND(C350*(1-Settings!$B$2),2)</f>
        <v>21.34</v>
      </c>
      <c r="E350" s="3">
        <f>ROUND(C350*(1-Settings!$B$3),2)</f>
        <v>21.34</v>
      </c>
      <c r="F350" s="2" t="inlineStr">
        <is>
          <t>Pokemon</t>
        </is>
      </c>
      <c r="G350" s="2" t="inlineStr">
        <is>
          <t>Case/Display</t>
        </is>
      </c>
      <c r="H350" s="2" t="inlineStr">
        <is>
          <t>Promo</t>
        </is>
      </c>
      <c r="I350" s="3" t="n">
        <v>30.49</v>
      </c>
      <c r="J350" s="3" t="n"/>
      <c r="K350" s="3" t="n"/>
      <c r="L350" s="3" t="n"/>
      <c r="M350" s="2" t="inlineStr">
        <is>
          <t>PriceCharting</t>
        </is>
      </c>
      <c r="N350" s="4" t="inlineStr">
        <is>
          <t>https://www.pricecharting.com/game/pokemon-promo/back-to-school-pencil-case-2024</t>
        </is>
      </c>
    </row>
    <row r="351">
      <c r="A351" s="2" t="inlineStr">
        <is>
          <t>Promo Collector's Chest Plus Pencil Case</t>
        </is>
      </c>
      <c r="B351" s="3">
        <f>IF(I351&lt;&gt;"",I351,IF(J351&lt;&gt;"",J351,IF(K351&lt;&gt;"",K351,L351)))</f>
        <v>78.37</v>
      </c>
      <c r="C351" s="3">
        <f>MEDIAN(I351:L351)</f>
        <v>78.37</v>
      </c>
      <c r="D351" s="3">
        <f>ROUND(C351*(1-Settings!$B$2),2)</f>
        <v>54.86</v>
      </c>
      <c r="E351" s="3">
        <f>ROUND(C351*(1-Settings!$B$3),2)</f>
        <v>54.86</v>
      </c>
      <c r="F351" s="2" t="inlineStr">
        <is>
          <t>Pokemon</t>
        </is>
      </c>
      <c r="G351" s="2" t="inlineStr">
        <is>
          <t>Case/Display</t>
        </is>
      </c>
      <c r="H351" s="2" t="inlineStr">
        <is>
          <t>Promo</t>
        </is>
      </c>
      <c r="I351" s="3" t="n">
        <v>78.37</v>
      </c>
      <c r="J351" s="3" t="n"/>
      <c r="K351" s="3" t="n"/>
      <c r="L351" s="3" t="n"/>
      <c r="M351" s="2" t="inlineStr">
        <is>
          <t>PriceCharting</t>
        </is>
      </c>
      <c r="N351" s="4" t="inlineStr">
        <is>
          <t>https://www.pricecharting.com/game/pokemon-promo/collector's-chest-plus-pencil-case</t>
        </is>
      </c>
    </row>
    <row r="352">
      <c r="A352" s="2" t="inlineStr">
        <is>
          <t>Promo Lumiose City Mini Tin Display</t>
        </is>
      </c>
      <c r="B352" s="3">
        <f>IF(I352&lt;&gt;"",I352,IF(J352&lt;&gt;"",J352,IF(K352&lt;&gt;"",K352,L352)))</f>
        <v>113.77</v>
      </c>
      <c r="C352" s="3">
        <f>MEDIAN(I352:L352)</f>
        <v>113.77</v>
      </c>
      <c r="D352" s="3">
        <f>ROUND(C352*(1-Settings!$B$2),2)</f>
        <v>79.64</v>
      </c>
      <c r="E352" s="3">
        <f>ROUND(C352*(1-Settings!$B$3),2)</f>
        <v>79.64</v>
      </c>
      <c r="F352" s="2" t="inlineStr">
        <is>
          <t>Pokemon</t>
        </is>
      </c>
      <c r="G352" s="2" t="inlineStr">
        <is>
          <t>Case/Display</t>
        </is>
      </c>
      <c r="H352" s="2" t="inlineStr">
        <is>
          <t>Promo</t>
        </is>
      </c>
      <c r="I352" s="3" t="n">
        <v>113.77</v>
      </c>
      <c r="J352" s="3" t="n"/>
      <c r="K352" s="3" t="n"/>
      <c r="L352" s="3" t="n"/>
      <c r="M352" s="2" t="inlineStr">
        <is>
          <t>PriceCharting</t>
        </is>
      </c>
      <c r="N352" s="4" t="inlineStr">
        <is>
          <t>https://www.pricecharting.com/game/pokemon-promo/lumiose-city-mini-tin-display</t>
        </is>
      </c>
    </row>
    <row r="353">
      <c r="A353" s="2" t="inlineStr">
        <is>
          <t>Promo Poke Ball Tin Display [Q1 2019]</t>
        </is>
      </c>
      <c r="B353" s="3">
        <f>IF(I353&lt;&gt;"",I353,IF(J353&lt;&gt;"",J353,IF(K353&lt;&gt;"",K353,L353)))</f>
        <v>624.99</v>
      </c>
      <c r="C353" s="3">
        <f>MEDIAN(I353:L353)</f>
        <v>624.99</v>
      </c>
      <c r="D353" s="3">
        <f>ROUND(C353*(1-Settings!$B$2),2)</f>
        <v>437.49</v>
      </c>
      <c r="E353" s="3">
        <f>ROUND(C353*(1-Settings!$B$3),2)</f>
        <v>437.49</v>
      </c>
      <c r="F353" s="2" t="inlineStr">
        <is>
          <t>Pokemon</t>
        </is>
      </c>
      <c r="G353" s="2" t="inlineStr">
        <is>
          <t>Case/Display</t>
        </is>
      </c>
      <c r="H353" s="2" t="inlineStr">
        <is>
          <t>Promo</t>
        </is>
      </c>
      <c r="I353" s="3" t="n">
        <v>624.99</v>
      </c>
      <c r="J353" s="3" t="n"/>
      <c r="K353" s="3" t="n"/>
      <c r="L353" s="3" t="n"/>
      <c r="M353" s="2" t="inlineStr">
        <is>
          <t>PriceCharting</t>
        </is>
      </c>
      <c r="N353" s="4" t="inlineStr">
        <is>
          <t>https://www.pricecharting.com/game/pokemon-promo/poke-ball-tin-display-q1-2019</t>
        </is>
      </c>
    </row>
    <row r="354">
      <c r="A354" s="2" t="inlineStr">
        <is>
          <t>Promo Poke Ball Tin Display [Q1 2020]</t>
        </is>
      </c>
      <c r="B354" s="3">
        <f>IF(I354&lt;&gt;"",I354,IF(J354&lt;&gt;"",J354,IF(K354&lt;&gt;"",K354,L354)))</f>
        <v>340.0</v>
      </c>
      <c r="C354" s="3">
        <f>MEDIAN(I354:L354)</f>
        <v>340.0</v>
      </c>
      <c r="D354" s="3">
        <f>ROUND(C354*(1-Settings!$B$2),2)</f>
        <v>238.0</v>
      </c>
      <c r="E354" s="3">
        <f>ROUND(C354*(1-Settings!$B$3),2)</f>
        <v>238.0</v>
      </c>
      <c r="F354" s="2" t="inlineStr">
        <is>
          <t>Pokemon</t>
        </is>
      </c>
      <c r="G354" s="2" t="inlineStr">
        <is>
          <t>Case/Display</t>
        </is>
      </c>
      <c r="H354" s="2" t="inlineStr">
        <is>
          <t>Promo</t>
        </is>
      </c>
      <c r="I354" s="3" t="n">
        <v>340</v>
      </c>
      <c r="J354" s="3" t="n"/>
      <c r="K354" s="3" t="n"/>
      <c r="L354" s="3" t="n"/>
      <c r="M354" s="2" t="inlineStr">
        <is>
          <t>PriceCharting</t>
        </is>
      </c>
      <c r="N354" s="4" t="inlineStr">
        <is>
          <t>https://www.pricecharting.com/game/pokemon-promo/poke-ball-tin-display-q1-2020</t>
        </is>
      </c>
    </row>
    <row r="355">
      <c r="A355" s="2" t="inlineStr">
        <is>
          <t>Promo Poke Ball Tin Display [Q2 2020]</t>
        </is>
      </c>
      <c r="B355" s="3">
        <f>IF(I355&lt;&gt;"",I355,IF(J355&lt;&gt;"",J355,IF(K355&lt;&gt;"",K355,L355)))</f>
        <v>500.0</v>
      </c>
      <c r="C355" s="3">
        <f>MEDIAN(I355:L355)</f>
        <v>500.0</v>
      </c>
      <c r="D355" s="3">
        <f>ROUND(C355*(1-Settings!$B$2),2)</f>
        <v>350.0</v>
      </c>
      <c r="E355" s="3">
        <f>ROUND(C355*(1-Settings!$B$3),2)</f>
        <v>350.0</v>
      </c>
      <c r="F355" s="2" t="inlineStr">
        <is>
          <t>Pokemon</t>
        </is>
      </c>
      <c r="G355" s="2" t="inlineStr">
        <is>
          <t>Case/Display</t>
        </is>
      </c>
      <c r="H355" s="2" t="inlineStr">
        <is>
          <t>Promo</t>
        </is>
      </c>
      <c r="I355" s="3" t="n">
        <v>500</v>
      </c>
      <c r="J355" s="3" t="n"/>
      <c r="K355" s="3" t="n"/>
      <c r="L355" s="3" t="n"/>
      <c r="M355" s="2" t="inlineStr">
        <is>
          <t>PriceCharting</t>
        </is>
      </c>
      <c r="N355" s="4" t="inlineStr">
        <is>
          <t>https://www.pricecharting.com/game/pokemon-promo/poke-ball-tin-display-q2-2020</t>
        </is>
      </c>
    </row>
    <row r="356">
      <c r="A356" s="2" t="inlineStr">
        <is>
          <t>Promo Poke Ball Tin Display [Q2 2022]</t>
        </is>
      </c>
      <c r="B356" s="3">
        <f>IF(I356&lt;&gt;"",I356,IF(J356&lt;&gt;"",J356,IF(K356&lt;&gt;"",K356,L356)))</f>
        <v>324.99</v>
      </c>
      <c r="C356" s="3">
        <f>MEDIAN(I356:L356)</f>
        <v>324.99</v>
      </c>
      <c r="D356" s="3">
        <f>ROUND(C356*(1-Settings!$B$2),2)</f>
        <v>227.49</v>
      </c>
      <c r="E356" s="3">
        <f>ROUND(C356*(1-Settings!$B$3),2)</f>
        <v>227.49</v>
      </c>
      <c r="F356" s="2" t="inlineStr">
        <is>
          <t>Pokemon</t>
        </is>
      </c>
      <c r="G356" s="2" t="inlineStr">
        <is>
          <t>Case/Display</t>
        </is>
      </c>
      <c r="H356" s="2" t="inlineStr">
        <is>
          <t>Promo</t>
        </is>
      </c>
      <c r="I356" s="3" t="n">
        <v>324.99</v>
      </c>
      <c r="J356" s="3" t="n"/>
      <c r="K356" s="3" t="n"/>
      <c r="L356" s="3" t="n"/>
      <c r="M356" s="2" t="inlineStr">
        <is>
          <t>PriceCharting</t>
        </is>
      </c>
      <c r="N356" s="4" t="inlineStr">
        <is>
          <t>https://www.pricecharting.com/game/pokemon-promo/poke-ball-tin-display-q2-2022</t>
        </is>
      </c>
    </row>
    <row r="357">
      <c r="A357" s="2" t="inlineStr">
        <is>
          <t>Promo Poke Ball Tin Display [Q2 2026]</t>
        </is>
      </c>
      <c r="B357" s="3">
        <f>IF(I357&lt;&gt;"",I357,IF(J357&lt;&gt;"",J357,IF(K357&lt;&gt;"",K357,L357)))</f>
        <v>125.0</v>
      </c>
      <c r="C357" s="3">
        <f>MEDIAN(I357:L357)</f>
        <v>125.0</v>
      </c>
      <c r="D357" s="3">
        <f>ROUND(C357*(1-Settings!$B$2),2)</f>
        <v>87.5</v>
      </c>
      <c r="E357" s="3">
        <f>ROUND(C357*(1-Settings!$B$3),2)</f>
        <v>87.5</v>
      </c>
      <c r="F357" s="2" t="inlineStr">
        <is>
          <t>Pokemon</t>
        </is>
      </c>
      <c r="G357" s="2" t="inlineStr">
        <is>
          <t>Case/Display</t>
        </is>
      </c>
      <c r="H357" s="2" t="inlineStr">
        <is>
          <t>Promo</t>
        </is>
      </c>
      <c r="I357" s="3" t="n">
        <v>125</v>
      </c>
      <c r="J357" s="3" t="n"/>
      <c r="K357" s="3" t="n"/>
      <c r="L357" s="3" t="n"/>
      <c r="M357" s="2" t="inlineStr">
        <is>
          <t>PriceCharting</t>
        </is>
      </c>
      <c r="N357" s="4" t="inlineStr">
        <is>
          <t>https://www.pricecharting.com/game/pokemon-promo/poke-ball-tin-display-q2-2026</t>
        </is>
      </c>
    </row>
    <row r="358">
      <c r="A358" s="2" t="inlineStr">
        <is>
          <t>Promo Poke Ball Tin Display [Q3 2023]</t>
        </is>
      </c>
      <c r="B358" s="3">
        <f>IF(I358&lt;&gt;"",I358,IF(J358&lt;&gt;"",J358,IF(K358&lt;&gt;"",K358,L358)))</f>
        <v>149.99</v>
      </c>
      <c r="C358" s="3">
        <f>MEDIAN(I358:L358)</f>
        <v>149.99</v>
      </c>
      <c r="D358" s="3">
        <f>ROUND(C358*(1-Settings!$B$2),2)</f>
        <v>104.99</v>
      </c>
      <c r="E358" s="3">
        <f>ROUND(C358*(1-Settings!$B$3),2)</f>
        <v>104.99</v>
      </c>
      <c r="F358" s="2" t="inlineStr">
        <is>
          <t>Pokemon</t>
        </is>
      </c>
      <c r="G358" s="2" t="inlineStr">
        <is>
          <t>Case/Display</t>
        </is>
      </c>
      <c r="H358" s="2" t="inlineStr">
        <is>
          <t>Promo</t>
        </is>
      </c>
      <c r="I358" s="3" t="n">
        <v>149.99</v>
      </c>
      <c r="J358" s="3" t="n"/>
      <c r="K358" s="3" t="n"/>
      <c r="L358" s="3" t="n"/>
      <c r="M358" s="2" t="inlineStr">
        <is>
          <t>PriceCharting</t>
        </is>
      </c>
      <c r="N358" s="4" t="inlineStr">
        <is>
          <t>https://www.pricecharting.com/game/pokemon-promo/poke-ball-tin-display-q3-2023</t>
        </is>
      </c>
    </row>
    <row r="359">
      <c r="A359" s="2" t="inlineStr">
        <is>
          <t>Promo Poke Ball Tin Display [Q4 2021]</t>
        </is>
      </c>
      <c r="B359" s="3">
        <f>IF(I359&lt;&gt;"",I359,IF(J359&lt;&gt;"",J359,IF(K359&lt;&gt;"",K359,L359)))</f>
        <v>308.75</v>
      </c>
      <c r="C359" s="3">
        <f>MEDIAN(I359:L359)</f>
        <v>308.75</v>
      </c>
      <c r="D359" s="3">
        <f>ROUND(C359*(1-Settings!$B$2),2)</f>
        <v>216.13</v>
      </c>
      <c r="E359" s="3">
        <f>ROUND(C359*(1-Settings!$B$3),2)</f>
        <v>216.13</v>
      </c>
      <c r="F359" s="2" t="inlineStr">
        <is>
          <t>Pokemon</t>
        </is>
      </c>
      <c r="G359" s="2" t="inlineStr">
        <is>
          <t>Case/Display</t>
        </is>
      </c>
      <c r="H359" s="2" t="inlineStr">
        <is>
          <t>Promo</t>
        </is>
      </c>
      <c r="I359" s="3" t="n">
        <v>308.75</v>
      </c>
      <c r="J359" s="3" t="n"/>
      <c r="K359" s="3" t="n"/>
      <c r="L359" s="3" t="n"/>
      <c r="M359" s="2" t="inlineStr">
        <is>
          <t>PriceCharting</t>
        </is>
      </c>
      <c r="N359" s="4" t="inlineStr">
        <is>
          <t>https://www.pricecharting.com/game/pokemon-promo/poke-ball-tin-display-q4-2021</t>
        </is>
      </c>
    </row>
    <row r="360">
      <c r="A360" s="2" t="inlineStr">
        <is>
          <t>Promo Poke Ball Tin Display [Q4 2024]</t>
        </is>
      </c>
      <c r="B360" s="3">
        <f>IF(I360&lt;&gt;"",I360,IF(J360&lt;&gt;"",J360,IF(K360&lt;&gt;"",K360,L360)))</f>
        <v>155.5</v>
      </c>
      <c r="C360" s="3">
        <f>MEDIAN(I360:L360)</f>
        <v>155.5</v>
      </c>
      <c r="D360" s="3">
        <f>ROUND(C360*(1-Settings!$B$2),2)</f>
        <v>108.85</v>
      </c>
      <c r="E360" s="3">
        <f>ROUND(C360*(1-Settings!$B$3),2)</f>
        <v>108.85</v>
      </c>
      <c r="F360" s="2" t="inlineStr">
        <is>
          <t>Pokemon</t>
        </is>
      </c>
      <c r="G360" s="2" t="inlineStr">
        <is>
          <t>Case/Display</t>
        </is>
      </c>
      <c r="H360" s="2" t="inlineStr">
        <is>
          <t>Promo</t>
        </is>
      </c>
      <c r="I360" s="3" t="n">
        <v>155.5</v>
      </c>
      <c r="J360" s="3" t="n"/>
      <c r="K360" s="3" t="n"/>
      <c r="L360" s="3" t="n"/>
      <c r="M360" s="2" t="inlineStr">
        <is>
          <t>PriceCharting</t>
        </is>
      </c>
      <c r="N360" s="4" t="inlineStr">
        <is>
          <t>https://www.pricecharting.com/game/pokemon-promo/poke-ball-tin-display-q4-2024</t>
        </is>
      </c>
    </row>
    <row r="361">
      <c r="A361" s="2" t="inlineStr">
        <is>
          <t>Promo Stacking Tin Display</t>
        </is>
      </c>
      <c r="B361" s="3">
        <f>IF(I361&lt;&gt;"",I361,IF(J361&lt;&gt;"",J361,IF(K361&lt;&gt;"",K361,L361)))</f>
        <v>123.12</v>
      </c>
      <c r="C361" s="3">
        <f>MEDIAN(I361:L361)</f>
        <v>123.12</v>
      </c>
      <c r="D361" s="3">
        <f>ROUND(C361*(1-Settings!$B$2),2)</f>
        <v>86.18</v>
      </c>
      <c r="E361" s="3">
        <f>ROUND(C361*(1-Settings!$B$3),2)</f>
        <v>86.18</v>
      </c>
      <c r="F361" s="2" t="inlineStr">
        <is>
          <t>Pokemon</t>
        </is>
      </c>
      <c r="G361" s="2" t="inlineStr">
        <is>
          <t>Case/Display</t>
        </is>
      </c>
      <c r="H361" s="2" t="inlineStr">
        <is>
          <t>Promo</t>
        </is>
      </c>
      <c r="I361" s="3" t="n">
        <v>123.12</v>
      </c>
      <c r="J361" s="3" t="n"/>
      <c r="K361" s="3" t="n"/>
      <c r="L361" s="3" t="n"/>
      <c r="M361" s="2" t="inlineStr">
        <is>
          <t>PriceCharting</t>
        </is>
      </c>
      <c r="N361" s="4" t="inlineStr">
        <is>
          <t>https://www.pricecharting.com/game/pokemon-promo/stacking-tin-display</t>
        </is>
      </c>
    </row>
    <row r="362">
      <c r="A362" s="2" t="inlineStr">
        <is>
          <t>Shining Fates Collection Pikachu V Case</t>
        </is>
      </c>
      <c r="B362" s="3">
        <f>IF(I362&lt;&gt;"",I362,IF(J362&lt;&gt;"",J362,IF(K362&lt;&gt;"",K362,L362)))</f>
        <v>403.31</v>
      </c>
      <c r="C362" s="3">
        <f>MEDIAN(I362:L362)</f>
        <v>403.31</v>
      </c>
      <c r="D362" s="3">
        <f>ROUND(C362*(1-Settings!$B$2),2)</f>
        <v>282.32</v>
      </c>
      <c r="E362" s="3">
        <f>ROUND(C362*(1-Settings!$B$3),2)</f>
        <v>282.32</v>
      </c>
      <c r="F362" s="2" t="inlineStr">
        <is>
          <t>Pokemon</t>
        </is>
      </c>
      <c r="G362" s="2" t="inlineStr">
        <is>
          <t>Case/Display</t>
        </is>
      </c>
      <c r="H362" s="2" t="inlineStr">
        <is>
          <t>Shining Fates</t>
        </is>
      </c>
      <c r="I362" s="3" t="n"/>
      <c r="J362" s="3" t="n">
        <v>403.31</v>
      </c>
      <c r="K362" s="3" t="n">
        <v>479.95</v>
      </c>
      <c r="L362" s="3" t="n">
        <v>70</v>
      </c>
      <c r="M362" s="2" t="inlineStr">
        <is>
          <t>TCGplayer</t>
        </is>
      </c>
      <c r="O362" s="4" t="inlineStr">
        <is>
          <t>https://www.tcgplayer.com/product/268484</t>
        </is>
      </c>
    </row>
    <row r="363">
      <c r="A363" s="2" t="inlineStr">
        <is>
          <t>Shining Fates Elite Trainer Box Case</t>
        </is>
      </c>
      <c r="B363" s="3">
        <f>IF(I363&lt;&gt;"",I363,IF(J363&lt;&gt;"",J363,IF(K363&lt;&gt;"",K363,L363)))</f>
        <v>1441.78</v>
      </c>
      <c r="C363" s="3">
        <f>MEDIAN(I363:L363)</f>
        <v>1599.95</v>
      </c>
      <c r="D363" s="3">
        <f>ROUND(C363*(1-Settings!$B$2),2)</f>
        <v>1119.97</v>
      </c>
      <c r="E363" s="3">
        <f>ROUND(C363*(1-Settings!$B$3),2)</f>
        <v>1119.97</v>
      </c>
      <c r="F363" s="2" t="inlineStr">
        <is>
          <t>Pokemon</t>
        </is>
      </c>
      <c r="G363" s="2" t="inlineStr">
        <is>
          <t>Case/Display</t>
        </is>
      </c>
      <c r="H363" s="2" t="inlineStr">
        <is>
          <t>Shining Fates</t>
        </is>
      </c>
      <c r="I363" s="3" t="n"/>
      <c r="J363" s="3" t="n">
        <v>1441.78</v>
      </c>
      <c r="K363" s="3" t="n">
        <v>1599.95</v>
      </c>
      <c r="L363" s="3" t="n">
        <v>1599.95</v>
      </c>
      <c r="M363" s="2" t="inlineStr">
        <is>
          <t>TCGplayer</t>
        </is>
      </c>
      <c r="O363" s="4" t="inlineStr">
        <is>
          <t>https://www.tcgplayer.com/product/266962</t>
        </is>
      </c>
    </row>
    <row r="364">
      <c r="A364" s="2" t="inlineStr">
        <is>
          <t>Shining Fates Mad Party Pin Collection Display</t>
        </is>
      </c>
      <c r="B364" s="3">
        <f>IF(I364&lt;&gt;"",I364,IF(J364&lt;&gt;"",J364,IF(K364&lt;&gt;"",K364,L364)))</f>
        <v>287.8</v>
      </c>
      <c r="C364" s="3">
        <f>MEDIAN(I364:L364)</f>
        <v>448.995</v>
      </c>
      <c r="D364" s="3">
        <f>ROUND(C364*(1-Settings!$B$2),2)</f>
        <v>314.3</v>
      </c>
      <c r="E364" s="3">
        <f>ROUND(C364*(1-Settings!$B$3),2)</f>
        <v>314.3</v>
      </c>
      <c r="F364" s="2" t="inlineStr">
        <is>
          <t>Pokemon</t>
        </is>
      </c>
      <c r="G364" s="2" t="inlineStr">
        <is>
          <t>Case/Display</t>
        </is>
      </c>
      <c r="H364" s="2" t="inlineStr">
        <is>
          <t>Shining Fates</t>
        </is>
      </c>
      <c r="I364" s="3" t="n">
        <v>287.8</v>
      </c>
      <c r="J364" s="3" t="n">
        <v>449</v>
      </c>
      <c r="K364" s="3" t="n">
        <v>472</v>
      </c>
      <c r="L364" s="3" t="n">
        <v>448.99</v>
      </c>
      <c r="M364" s="2" t="inlineStr">
        <is>
          <t>PriceCharting + TCGplayer</t>
        </is>
      </c>
      <c r="N364" s="4" t="inlineStr">
        <is>
          <t>https://www.pricecharting.com/game/pokemon-shining-fates/mad-party-pin-collection-display</t>
        </is>
      </c>
      <c r="O364" s="4" t="inlineStr">
        <is>
          <t>https://www.tcgplayer.com/product/233315</t>
        </is>
      </c>
    </row>
    <row r="365">
      <c r="A365" s="2" t="inlineStr">
        <is>
          <t>Shining Fates V Tin Case</t>
        </is>
      </c>
      <c r="B365" s="3">
        <f>IF(I365&lt;&gt;"",I365,IF(J365&lt;&gt;"",J365,IF(K365&lt;&gt;"",K365,L365)))</f>
        <v>500.5</v>
      </c>
      <c r="C365" s="3">
        <f>MEDIAN(I365:L365)</f>
        <v>499.75</v>
      </c>
      <c r="D365" s="3">
        <f>ROUND(C365*(1-Settings!$B$2),2)</f>
        <v>349.83</v>
      </c>
      <c r="E365" s="3">
        <f>ROUND(C365*(1-Settings!$B$3),2)</f>
        <v>349.83</v>
      </c>
      <c r="F365" s="2" t="inlineStr">
        <is>
          <t>Pokemon</t>
        </is>
      </c>
      <c r="G365" s="2" t="inlineStr">
        <is>
          <t>Case/Display</t>
        </is>
      </c>
      <c r="H365" s="2" t="inlineStr">
        <is>
          <t>Shining Fates</t>
        </is>
      </c>
      <c r="I365" s="3" t="n"/>
      <c r="J365" s="3" t="n"/>
      <c r="K365" s="3" t="n">
        <v>500.5</v>
      </c>
      <c r="L365" s="3" t="n">
        <v>499</v>
      </c>
      <c r="M365" s="2" t="inlineStr">
        <is>
          <t>TCGplayer</t>
        </is>
      </c>
      <c r="O365" s="4" t="inlineStr">
        <is>
          <t>https://www.tcgplayer.com/product/268482</t>
        </is>
      </c>
    </row>
    <row r="366">
      <c r="A366" s="2" t="inlineStr">
        <is>
          <t>Start Deck 100 Display</t>
        </is>
      </c>
      <c r="B366" s="3">
        <f>IF(I366&lt;&gt;"",I366,IF(J366&lt;&gt;"",J366,IF(K366&lt;&gt;"",K366,L366)))</f>
        <v>599.99</v>
      </c>
      <c r="C366" s="3">
        <f>MEDIAN(I366:L366)</f>
        <v>599.99</v>
      </c>
      <c r="D366" s="3">
        <f>ROUND(C366*(1-Settings!$B$2),2)</f>
        <v>419.99</v>
      </c>
      <c r="E366" s="3">
        <f>ROUND(C366*(1-Settings!$B$3),2)</f>
        <v>419.99</v>
      </c>
      <c r="F366" s="2" t="inlineStr">
        <is>
          <t>Pokemon</t>
        </is>
      </c>
      <c r="G366" s="2" t="inlineStr">
        <is>
          <t>Case/Display</t>
        </is>
      </c>
      <c r="H366" s="2" t="inlineStr">
        <is>
          <t>SI: Start Deck 100</t>
        </is>
      </c>
      <c r="I366" s="3" t="n"/>
      <c r="J366" s="3" t="n"/>
      <c r="K366" s="3" t="n"/>
      <c r="L366" s="3" t="n">
        <v>599.99</v>
      </c>
      <c r="M366" s="2" t="inlineStr">
        <is>
          <t>TCGplayer</t>
        </is>
      </c>
      <c r="O366" s="4" t="inlineStr">
        <is>
          <t>https://www.tcgplayer.com/product/644826</t>
        </is>
      </c>
    </row>
    <row r="367">
      <c r="A367" s="2" t="inlineStr">
        <is>
          <t>Burning Shadows Booster Box Case</t>
        </is>
      </c>
      <c r="B367" s="3">
        <f>IF(I367&lt;&gt;"",I367,IF(J367&lt;&gt;"",J367,IF(K367&lt;&gt;"",K367,L367)))</f>
        <v>188888.88</v>
      </c>
      <c r="C367" s="3">
        <f>MEDIAN(I367:L367)</f>
        <v>188888.88</v>
      </c>
      <c r="D367" s="3">
        <f>ROUND(C367*(1-Settings!$B$2),2)</f>
        <v>132222.22</v>
      </c>
      <c r="E367" s="3">
        <f>ROUND(C367*(1-Settings!$B$3),2)</f>
        <v>132222.22</v>
      </c>
      <c r="F367" s="2" t="inlineStr">
        <is>
          <t>Pokemon</t>
        </is>
      </c>
      <c r="G367" s="2" t="inlineStr">
        <is>
          <t>Case/Display</t>
        </is>
      </c>
      <c r="H367" s="2" t="inlineStr">
        <is>
          <t>SM - Burning Shadows</t>
        </is>
      </c>
      <c r="I367" s="3" t="n"/>
      <c r="J367" s="3" t="n"/>
      <c r="K367" s="3" t="n">
        <v>188888.88</v>
      </c>
      <c r="L367" s="3" t="n">
        <v>188888.88</v>
      </c>
      <c r="M367" s="2" t="inlineStr">
        <is>
          <t>TCGplayer</t>
        </is>
      </c>
      <c r="O367" s="4" t="inlineStr">
        <is>
          <t>https://www.tcgplayer.com/product/475436</t>
        </is>
      </c>
    </row>
    <row r="368">
      <c r="A368" s="2" t="inlineStr">
        <is>
          <t>Celestial Storm Build &amp; Battle Box Display</t>
        </is>
      </c>
      <c r="B368" s="3">
        <f>IF(I368&lt;&gt;"",I368,IF(J368&lt;&gt;"",J368,IF(K368&lt;&gt;"",K368,L368)))</f>
        <v>2169.69</v>
      </c>
      <c r="C368" s="3">
        <f>MEDIAN(I368:L368)</f>
        <v>2169.69</v>
      </c>
      <c r="D368" s="3">
        <f>ROUND(C368*(1-Settings!$B$2),2)</f>
        <v>1518.78</v>
      </c>
      <c r="E368" s="3">
        <f>ROUND(C368*(1-Settings!$B$3),2)</f>
        <v>1518.78</v>
      </c>
      <c r="F368" s="2" t="inlineStr">
        <is>
          <t>Pokemon</t>
        </is>
      </c>
      <c r="G368" s="2" t="inlineStr">
        <is>
          <t>Case/Display</t>
        </is>
      </c>
      <c r="H368" s="2" t="inlineStr">
        <is>
          <t>SM - Celestial Storm</t>
        </is>
      </c>
      <c r="I368" s="3" t="n"/>
      <c r="J368" s="3" t="n"/>
      <c r="K368" s="3" t="n"/>
      <c r="L368" s="3" t="n">
        <v>2169.69</v>
      </c>
      <c r="M368" s="2" t="inlineStr">
        <is>
          <t>TCGplayer</t>
        </is>
      </c>
      <c r="O368" s="4" t="inlineStr">
        <is>
          <t>https://www.tcgplayer.com/product/451149</t>
        </is>
      </c>
    </row>
    <row r="369">
      <c r="A369" s="2" t="inlineStr">
        <is>
          <t>Cosmic Eclipse Sleeved Booster Case</t>
        </is>
      </c>
      <c r="B369" s="3">
        <f>IF(I369&lt;&gt;"",I369,IF(J369&lt;&gt;"",J369,IF(K369&lt;&gt;"",K369,L369)))</f>
        <v>29999.95</v>
      </c>
      <c r="C369" s="3">
        <f>MEDIAN(I369:L369)</f>
        <v>29999.95</v>
      </c>
      <c r="D369" s="3">
        <f>ROUND(C369*(1-Settings!$B$2),2)</f>
        <v>20999.97</v>
      </c>
      <c r="E369" s="3">
        <f>ROUND(C369*(1-Settings!$B$3),2)</f>
        <v>20999.97</v>
      </c>
      <c r="F369" s="2" t="inlineStr">
        <is>
          <t>Pokemon</t>
        </is>
      </c>
      <c r="G369" s="2" t="inlineStr">
        <is>
          <t>Case/Display</t>
        </is>
      </c>
      <c r="H369" s="2" t="inlineStr">
        <is>
          <t>SM - Cosmic Eclipse</t>
        </is>
      </c>
      <c r="I369" s="3" t="n"/>
      <c r="J369" s="3" t="n"/>
      <c r="K369" s="3" t="n">
        <v>29999.95</v>
      </c>
      <c r="L369" s="3" t="n">
        <v>29999.95</v>
      </c>
      <c r="M369" s="2" t="inlineStr">
        <is>
          <t>TCGplayer</t>
        </is>
      </c>
      <c r="O369" s="4" t="inlineStr">
        <is>
          <t>https://www.tcgplayer.com/product/656706</t>
        </is>
      </c>
    </row>
    <row r="370">
      <c r="A370" s="2" t="inlineStr">
        <is>
          <t>Forbidden Light Prerelease Kit Display</t>
        </is>
      </c>
      <c r="B370" s="3">
        <f>IF(I370&lt;&gt;"",I370,IF(J370&lt;&gt;"",J370,IF(K370&lt;&gt;"",K370,L370)))</f>
        <v>1500.0</v>
      </c>
      <c r="C370" s="3">
        <f>MEDIAN(I370:L370)</f>
        <v>1500.0</v>
      </c>
      <c r="D370" s="3">
        <f>ROUND(C370*(1-Settings!$B$2),2)</f>
        <v>1050.0</v>
      </c>
      <c r="E370" s="3">
        <f>ROUND(C370*(1-Settings!$B$3),2)</f>
        <v>1050.0</v>
      </c>
      <c r="F370" s="2" t="inlineStr">
        <is>
          <t>Pokemon</t>
        </is>
      </c>
      <c r="G370" s="2" t="inlineStr">
        <is>
          <t>Case/Display</t>
        </is>
      </c>
      <c r="H370" s="2" t="inlineStr">
        <is>
          <t>SM - Forbidden Light</t>
        </is>
      </c>
      <c r="I370" s="3" t="n"/>
      <c r="J370" s="3" t="n"/>
      <c r="K370" s="3" t="n">
        <v>1500</v>
      </c>
      <c r="L370" s="3" t="n">
        <v>1500</v>
      </c>
      <c r="M370" s="2" t="inlineStr">
        <is>
          <t>TCGplayer</t>
        </is>
      </c>
      <c r="O370" s="4" t="inlineStr">
        <is>
          <t>https://www.tcgplayer.com/product/591049</t>
        </is>
      </c>
    </row>
    <row r="371">
      <c r="A371" s="2" t="inlineStr">
        <is>
          <t>Ultra Prism Theme Deck Display</t>
        </is>
      </c>
      <c r="B371" s="3">
        <f>IF(I371&lt;&gt;"",I371,IF(J371&lt;&gt;"",J371,IF(K371&lt;&gt;"",K371,L371)))</f>
        <v>299.0</v>
      </c>
      <c r="C371" s="3">
        <f>MEDIAN(I371:L371)</f>
        <v>299.0</v>
      </c>
      <c r="D371" s="3">
        <f>ROUND(C371*(1-Settings!$B$2),2)</f>
        <v>209.3</v>
      </c>
      <c r="E371" s="3">
        <f>ROUND(C371*(1-Settings!$B$3),2)</f>
        <v>209.3</v>
      </c>
      <c r="F371" s="2" t="inlineStr">
        <is>
          <t>Pokemon</t>
        </is>
      </c>
      <c r="G371" s="2" t="inlineStr">
        <is>
          <t>Case/Display</t>
        </is>
      </c>
      <c r="H371" s="2" t="inlineStr">
        <is>
          <t>SM - Ultra Prism</t>
        </is>
      </c>
      <c r="I371" s="3" t="n"/>
      <c r="J371" s="3" t="n"/>
      <c r="K371" s="3" t="n"/>
      <c r="L371" s="3" t="n">
        <v>299</v>
      </c>
      <c r="M371" s="2" t="inlineStr">
        <is>
          <t>TCGplayer</t>
        </is>
      </c>
      <c r="O371" s="4" t="inlineStr">
        <is>
          <t>https://www.tcgplayer.com/product/450311</t>
        </is>
      </c>
    </row>
    <row r="372">
      <c r="A372" s="2" t="inlineStr">
        <is>
          <t>Unbroken Bonds Sleeved Booster Case</t>
        </is>
      </c>
      <c r="B372" s="3">
        <f>IF(I372&lt;&gt;"",I372,IF(J372&lt;&gt;"",J372,IF(K372&lt;&gt;"",K372,L372)))</f>
        <v>26000.0</v>
      </c>
      <c r="C372" s="3">
        <f>MEDIAN(I372:L372)</f>
        <v>26000.0</v>
      </c>
      <c r="D372" s="3">
        <f>ROUND(C372*(1-Settings!$B$2),2)</f>
        <v>18200.0</v>
      </c>
      <c r="E372" s="3">
        <f>ROUND(C372*(1-Settings!$B$3),2)</f>
        <v>18200.0</v>
      </c>
      <c r="F372" s="2" t="inlineStr">
        <is>
          <t>Pokemon</t>
        </is>
      </c>
      <c r="G372" s="2" t="inlineStr">
        <is>
          <t>Case/Display</t>
        </is>
      </c>
      <c r="H372" s="2" t="inlineStr">
        <is>
          <t>SM - Unbroken Bonds</t>
        </is>
      </c>
      <c r="I372" s="3" t="n"/>
      <c r="J372" s="3" t="n"/>
      <c r="K372" s="3" t="n">
        <v>26000</v>
      </c>
      <c r="L372" s="3" t="n">
        <v>26000</v>
      </c>
      <c r="M372" s="2" t="inlineStr">
        <is>
          <t>TCGplayer</t>
        </is>
      </c>
      <c r="O372" s="4" t="inlineStr">
        <is>
          <t>https://www.tcgplayer.com/product/656707</t>
        </is>
      </c>
    </row>
    <row r="373">
      <c r="A373" s="2" t="inlineStr">
        <is>
          <t>Sun &amp; Moon Elite Trainer Box Case</t>
        </is>
      </c>
      <c r="B373" s="3">
        <f>IF(I373&lt;&gt;"",I373,IF(J373&lt;&gt;"",J373,IF(K373&lt;&gt;"",K373,L373)))</f>
        <v>2999.99</v>
      </c>
      <c r="C373" s="3">
        <f>MEDIAN(I373:L373)</f>
        <v>4997.97</v>
      </c>
      <c r="D373" s="3">
        <f>ROUND(C373*(1-Settings!$B$2),2)</f>
        <v>3498.58</v>
      </c>
      <c r="E373" s="3">
        <f>ROUND(C373*(1-Settings!$B$3),2)</f>
        <v>3498.58</v>
      </c>
      <c r="F373" s="2" t="inlineStr">
        <is>
          <t>Pokemon</t>
        </is>
      </c>
      <c r="G373" s="2" t="inlineStr">
        <is>
          <t>Case/Display</t>
        </is>
      </c>
      <c r="H373" s="2" t="inlineStr">
        <is>
          <t>SM Base Set</t>
        </is>
      </c>
      <c r="I373" s="3" t="n"/>
      <c r="J373" s="3" t="n">
        <v>2999.99</v>
      </c>
      <c r="K373" s="3" t="n">
        <v>4997.97</v>
      </c>
      <c r="L373" s="3" t="n">
        <v>4997.97</v>
      </c>
      <c r="M373" s="2" t="inlineStr">
        <is>
          <t>TCGplayer</t>
        </is>
      </c>
      <c r="O373" s="4" t="inlineStr">
        <is>
          <t>https://www.tcgplayer.com/product/243052</t>
        </is>
      </c>
    </row>
    <row r="374">
      <c r="A374" s="2" t="inlineStr">
        <is>
          <t>Sun &amp; Moon Trainer Kit: Alolan Sandslash &amp; Alolan Ninetales Display</t>
        </is>
      </c>
      <c r="B374" s="3">
        <f>IF(I374&lt;&gt;"",I374,IF(J374&lt;&gt;"",J374,IF(K374&lt;&gt;"",K374,L374)))</f>
        <v>220.0</v>
      </c>
      <c r="C374" s="3">
        <f>MEDIAN(I374:L374)</f>
        <v>220.0</v>
      </c>
      <c r="D374" s="3">
        <f>ROUND(C374*(1-Settings!$B$2),2)</f>
        <v>154.0</v>
      </c>
      <c r="E374" s="3">
        <f>ROUND(C374*(1-Settings!$B$3),2)</f>
        <v>154.0</v>
      </c>
      <c r="F374" s="2" t="inlineStr">
        <is>
          <t>Pokemon</t>
        </is>
      </c>
      <c r="G374" s="2" t="inlineStr">
        <is>
          <t>Case/Display</t>
        </is>
      </c>
      <c r="H374" s="2" t="inlineStr">
        <is>
          <t>SM Trainer Kit: Alolan Sandslash &amp; Alolan Ninetales</t>
        </is>
      </c>
      <c r="I374" s="3" t="n"/>
      <c r="J374" s="3" t="n">
        <v>220</v>
      </c>
      <c r="K374" s="3" t="n"/>
      <c r="L374" s="3" t="n"/>
      <c r="M374" s="2" t="inlineStr">
        <is>
          <t>TCGplayer</t>
        </is>
      </c>
      <c r="O374" s="4" t="inlineStr">
        <is>
          <t>https://www.tcgplayer.com/product/253837</t>
        </is>
      </c>
    </row>
    <row r="375">
      <c r="A375" s="2" t="inlineStr">
        <is>
          <t>Scarlet &amp; Violet Booster Box Case</t>
        </is>
      </c>
      <c r="B375" s="3">
        <f>IF(I375&lt;&gt;"",I375,IF(J375&lt;&gt;"",J375,IF(K375&lt;&gt;"",K375,L375)))</f>
        <v>1710.62</v>
      </c>
      <c r="C375" s="3">
        <f>MEDIAN(I375:L375)</f>
        <v>1849.64</v>
      </c>
      <c r="D375" s="3">
        <f>ROUND(C375*(1-Settings!$B$2),2)</f>
        <v>1294.75</v>
      </c>
      <c r="E375" s="3">
        <f>ROUND(C375*(1-Settings!$B$3),2)</f>
        <v>1294.75</v>
      </c>
      <c r="F375" s="2" t="inlineStr">
        <is>
          <t>Pokemon</t>
        </is>
      </c>
      <c r="G375" s="2" t="inlineStr">
        <is>
          <t>Case/Display</t>
        </is>
      </c>
      <c r="H375" s="2" t="inlineStr">
        <is>
          <t>SV01: Scarlet &amp; Violet Base Set</t>
        </is>
      </c>
      <c r="I375" s="3" t="n"/>
      <c r="J375" s="3" t="n">
        <v>1710.62</v>
      </c>
      <c r="K375" s="3" t="n">
        <v>2161.97</v>
      </c>
      <c r="L375" s="3" t="n">
        <v>1849.64</v>
      </c>
      <c r="M375" s="2" t="inlineStr">
        <is>
          <t>TCGplayer</t>
        </is>
      </c>
      <c r="O375" s="4" t="inlineStr">
        <is>
          <t>https://www.tcgplayer.com/product/476453</t>
        </is>
      </c>
    </row>
    <row r="376">
      <c r="A376" s="2" t="inlineStr">
        <is>
          <t>Scarlet &amp; Violet Build &amp; Battle Box Display</t>
        </is>
      </c>
      <c r="B376" s="3">
        <f>IF(I376&lt;&gt;"",I376,IF(J376&lt;&gt;"",J376,IF(K376&lt;&gt;"",K376,L376)))</f>
        <v>389.9</v>
      </c>
      <c r="C376" s="3">
        <f>MEDIAN(I376:L376)</f>
        <v>388.91</v>
      </c>
      <c r="D376" s="3">
        <f>ROUND(C376*(1-Settings!$B$2),2)</f>
        <v>272.24</v>
      </c>
      <c r="E376" s="3">
        <f>ROUND(C376*(1-Settings!$B$3),2)</f>
        <v>272.24</v>
      </c>
      <c r="F376" s="2" t="inlineStr">
        <is>
          <t>Pokemon</t>
        </is>
      </c>
      <c r="G376" s="2" t="inlineStr">
        <is>
          <t>Case/Display</t>
        </is>
      </c>
      <c r="H376" s="2" t="inlineStr">
        <is>
          <t>SV01: Scarlet &amp; Violet Base Set</t>
        </is>
      </c>
      <c r="I376" s="3" t="n"/>
      <c r="J376" s="3" t="n">
        <v>389.9</v>
      </c>
      <c r="K376" s="3" t="n">
        <v>388.91</v>
      </c>
      <c r="L376" s="3" t="n">
        <v>370</v>
      </c>
      <c r="M376" s="2" t="inlineStr">
        <is>
          <t>TCGplayer</t>
        </is>
      </c>
      <c r="O376" s="4" t="inlineStr">
        <is>
          <t>https://www.tcgplayer.com/product/478254</t>
        </is>
      </c>
    </row>
    <row r="377">
      <c r="A377" s="2" t="inlineStr">
        <is>
          <t>Scarlet &amp; Violet Elite Trainer Box Case</t>
        </is>
      </c>
      <c r="B377" s="3">
        <f>IF(I377&lt;&gt;"",I377,IF(J377&lt;&gt;"",J377,IF(K377&lt;&gt;"",K377,L377)))</f>
        <v>1399.49</v>
      </c>
      <c r="C377" s="3">
        <f>MEDIAN(I377:L377)</f>
        <v>2000.0</v>
      </c>
      <c r="D377" s="3">
        <f>ROUND(C377*(1-Settings!$B$2),2)</f>
        <v>1400.0</v>
      </c>
      <c r="E377" s="3">
        <f>ROUND(C377*(1-Settings!$B$3),2)</f>
        <v>1400.0</v>
      </c>
      <c r="F377" s="2" t="inlineStr">
        <is>
          <t>Pokemon</t>
        </is>
      </c>
      <c r="G377" s="2" t="inlineStr">
        <is>
          <t>Case/Display</t>
        </is>
      </c>
      <c r="H377" s="2" t="inlineStr">
        <is>
          <t>SV01: Scarlet &amp; Violet Base Set</t>
        </is>
      </c>
      <c r="I377" s="3" t="n"/>
      <c r="J377" s="3" t="n">
        <v>1399.49</v>
      </c>
      <c r="K377" s="3" t="n">
        <v>2497</v>
      </c>
      <c r="L377" s="3" t="n">
        <v>2000</v>
      </c>
      <c r="M377" s="2" t="inlineStr">
        <is>
          <t>TCGplayer</t>
        </is>
      </c>
      <c r="O377" s="4" t="inlineStr">
        <is>
          <t>https://www.tcgplayer.com/product/488776</t>
        </is>
      </c>
    </row>
    <row r="378">
      <c r="A378" s="2" t="inlineStr">
        <is>
          <t>Scarlet &amp; Violet Sleeved Booster Case</t>
        </is>
      </c>
      <c r="B378" s="3">
        <f>IF(I378&lt;&gt;"",I378,IF(J378&lt;&gt;"",J378,IF(K378&lt;&gt;"",K378,L378)))</f>
        <v>1431.49</v>
      </c>
      <c r="C378" s="3">
        <f>MEDIAN(I378:L378)</f>
        <v>1489.97</v>
      </c>
      <c r="D378" s="3">
        <f>ROUND(C378*(1-Settings!$B$2),2)</f>
        <v>1042.98</v>
      </c>
      <c r="E378" s="3">
        <f>ROUND(C378*(1-Settings!$B$3),2)</f>
        <v>1042.98</v>
      </c>
      <c r="F378" s="2" t="inlineStr">
        <is>
          <t>Pokemon</t>
        </is>
      </c>
      <c r="G378" s="2" t="inlineStr">
        <is>
          <t>Case/Display</t>
        </is>
      </c>
      <c r="H378" s="2" t="inlineStr">
        <is>
          <t>SV01: Scarlet &amp; Violet Base Set</t>
        </is>
      </c>
      <c r="I378" s="3" t="n"/>
      <c r="J378" s="3" t="n">
        <v>1431.49</v>
      </c>
      <c r="K378" s="3" t="n">
        <v>1494.96</v>
      </c>
      <c r="L378" s="3" t="n">
        <v>1489.97</v>
      </c>
      <c r="M378" s="2" t="inlineStr">
        <is>
          <t>TCGplayer</t>
        </is>
      </c>
      <c r="O378" s="4" t="inlineStr">
        <is>
          <t>https://www.tcgplayer.com/product/600076</t>
        </is>
      </c>
    </row>
    <row r="379">
      <c r="A379" s="2" t="inlineStr">
        <is>
          <t>Paldea Evolved Booster Box Case</t>
        </is>
      </c>
      <c r="B379" s="3">
        <f>IF(I379&lt;&gt;"",I379,IF(J379&lt;&gt;"",J379,IF(K379&lt;&gt;"",K379,L379)))</f>
        <v>2840.99</v>
      </c>
      <c r="C379" s="3">
        <f>MEDIAN(I379:L379)</f>
        <v>2840.99</v>
      </c>
      <c r="D379" s="3">
        <f>ROUND(C379*(1-Settings!$B$2),2)</f>
        <v>1988.69</v>
      </c>
      <c r="E379" s="3">
        <f>ROUND(C379*(1-Settings!$B$3),2)</f>
        <v>1988.69</v>
      </c>
      <c r="F379" s="2" t="inlineStr">
        <is>
          <t>Pokemon</t>
        </is>
      </c>
      <c r="G379" s="2" t="inlineStr">
        <is>
          <t>Case/Display</t>
        </is>
      </c>
      <c r="H379" s="2" t="inlineStr">
        <is>
          <t>SV02: Paldea Evolved</t>
        </is>
      </c>
      <c r="I379" s="3" t="n"/>
      <c r="J379" s="3" t="n">
        <v>2840.99</v>
      </c>
      <c r="K379" s="3" t="n">
        <v>3333.33</v>
      </c>
      <c r="L379" s="3" t="n">
        <v>2739</v>
      </c>
      <c r="M379" s="2" t="inlineStr">
        <is>
          <t>TCGplayer</t>
        </is>
      </c>
      <c r="O379" s="4" t="inlineStr">
        <is>
          <t>https://www.tcgplayer.com/product/496905</t>
        </is>
      </c>
    </row>
    <row r="380">
      <c r="A380" s="2" t="inlineStr">
        <is>
          <t>Paldea Evolved Booster Bundle Case</t>
        </is>
      </c>
      <c r="B380" s="3">
        <f>IF(I380&lt;&gt;"",I380,IF(J380&lt;&gt;"",J380,IF(K380&lt;&gt;"",K380,L380)))</f>
        <v>3250.0</v>
      </c>
      <c r="C380" s="3">
        <f>MEDIAN(I380:L380)</f>
        <v>3250.0</v>
      </c>
      <c r="D380" s="3">
        <f>ROUND(C380*(1-Settings!$B$2),2)</f>
        <v>2275.0</v>
      </c>
      <c r="E380" s="3">
        <f>ROUND(C380*(1-Settings!$B$3),2)</f>
        <v>2275.0</v>
      </c>
      <c r="F380" s="2" t="inlineStr">
        <is>
          <t>Pokemon</t>
        </is>
      </c>
      <c r="G380" s="2" t="inlineStr">
        <is>
          <t>Case/Display</t>
        </is>
      </c>
      <c r="H380" s="2" t="inlineStr">
        <is>
          <t>SV02: Paldea Evolved</t>
        </is>
      </c>
      <c r="I380" s="3" t="n"/>
      <c r="J380" s="3" t="n"/>
      <c r="K380" s="3" t="n">
        <v>3250</v>
      </c>
      <c r="L380" s="3" t="n">
        <v>3250</v>
      </c>
      <c r="M380" s="2" t="inlineStr">
        <is>
          <t>TCGplayer</t>
        </is>
      </c>
      <c r="O380" s="4" t="inlineStr">
        <is>
          <t>https://www.tcgplayer.com/product/656928</t>
        </is>
      </c>
    </row>
    <row r="381">
      <c r="A381" s="2" t="inlineStr">
        <is>
          <t>Paldea Evolved Elite Trainer Box Case</t>
        </is>
      </c>
      <c r="B381" s="3">
        <f>IF(I381&lt;&gt;"",I381,IF(J381&lt;&gt;"",J381,IF(K381&lt;&gt;"",K381,L381)))</f>
        <v>2096.49</v>
      </c>
      <c r="C381" s="3">
        <f>MEDIAN(I381:L381)</f>
        <v>2299.0</v>
      </c>
      <c r="D381" s="3">
        <f>ROUND(C381*(1-Settings!$B$2),2)</f>
        <v>1609.3</v>
      </c>
      <c r="E381" s="3">
        <f>ROUND(C381*(1-Settings!$B$3),2)</f>
        <v>1609.3</v>
      </c>
      <c r="F381" s="2" t="inlineStr">
        <is>
          <t>Pokemon</t>
        </is>
      </c>
      <c r="G381" s="2" t="inlineStr">
        <is>
          <t>Case/Display</t>
        </is>
      </c>
      <c r="H381" s="2" t="inlineStr">
        <is>
          <t>SV02: Paldea Evolved</t>
        </is>
      </c>
      <c r="I381" s="3" t="n"/>
      <c r="J381" s="3" t="n">
        <v>2096.49</v>
      </c>
      <c r="K381" s="3" t="n">
        <v>2299</v>
      </c>
      <c r="L381" s="3" t="n">
        <v>2299</v>
      </c>
      <c r="M381" s="2" t="inlineStr">
        <is>
          <t>TCGplayer</t>
        </is>
      </c>
      <c r="O381" s="4" t="inlineStr">
        <is>
          <t>https://www.tcgplayer.com/product/496911</t>
        </is>
      </c>
    </row>
    <row r="382">
      <c r="A382" s="2" t="inlineStr">
        <is>
          <t>Paldea Evolved Pokemon Center Elite Trainer Box (Exclusive) Case</t>
        </is>
      </c>
      <c r="B382" s="3">
        <f>IF(I382&lt;&gt;"",I382,IF(J382&lt;&gt;"",J382,IF(K382&lt;&gt;"",K382,L382)))</f>
        <v>2999.99</v>
      </c>
      <c r="C382" s="3">
        <f>MEDIAN(I382:L382)</f>
        <v>2874.97</v>
      </c>
      <c r="D382" s="3">
        <f>ROUND(C382*(1-Settings!$B$2),2)</f>
        <v>2012.48</v>
      </c>
      <c r="E382" s="3">
        <f>ROUND(C382*(1-Settings!$B$3),2)</f>
        <v>2012.48</v>
      </c>
      <c r="F382" s="2" t="inlineStr">
        <is>
          <t>Pokemon</t>
        </is>
      </c>
      <c r="G382" s="2" t="inlineStr">
        <is>
          <t>Case/Display</t>
        </is>
      </c>
      <c r="H382" s="2" t="inlineStr">
        <is>
          <t>SV02: Paldea Evolved</t>
        </is>
      </c>
      <c r="I382" s="3" t="n"/>
      <c r="J382" s="3" t="n"/>
      <c r="K382" s="3" t="n">
        <v>2999.99</v>
      </c>
      <c r="L382" s="3" t="n">
        <v>2749.95</v>
      </c>
      <c r="M382" s="2" t="inlineStr">
        <is>
          <t>TCGplayer</t>
        </is>
      </c>
      <c r="O382" s="4" t="inlineStr">
        <is>
          <t>https://www.tcgplayer.com/product/537410</t>
        </is>
      </c>
    </row>
    <row r="383">
      <c r="A383" s="2" t="inlineStr">
        <is>
          <t>Paldea Evolved Sleeved Booster Case</t>
        </is>
      </c>
      <c r="B383" s="3">
        <f>IF(I383&lt;&gt;"",I383,IF(J383&lt;&gt;"",J383,IF(K383&lt;&gt;"",K383,L383)))</f>
        <v>2079.78</v>
      </c>
      <c r="C383" s="3">
        <f>MEDIAN(I383:L383)</f>
        <v>2299.99</v>
      </c>
      <c r="D383" s="3">
        <f>ROUND(C383*(1-Settings!$B$2),2)</f>
        <v>1609.99</v>
      </c>
      <c r="E383" s="3">
        <f>ROUND(C383*(1-Settings!$B$3),2)</f>
        <v>1609.99</v>
      </c>
      <c r="F383" s="2" t="inlineStr">
        <is>
          <t>Pokemon</t>
        </is>
      </c>
      <c r="G383" s="2" t="inlineStr">
        <is>
          <t>Case/Display</t>
        </is>
      </c>
      <c r="H383" s="2" t="inlineStr">
        <is>
          <t>SV02: Paldea Evolved</t>
        </is>
      </c>
      <c r="I383" s="3" t="n"/>
      <c r="J383" s="3" t="n">
        <v>2079.78</v>
      </c>
      <c r="K383" s="3" t="n">
        <v>2379.97</v>
      </c>
      <c r="L383" s="3" t="n">
        <v>2299.99</v>
      </c>
      <c r="M383" s="2" t="inlineStr">
        <is>
          <t>TCGplayer</t>
        </is>
      </c>
      <c r="O383" s="4" t="inlineStr">
        <is>
          <t>https://www.tcgplayer.com/product/609027</t>
        </is>
      </c>
    </row>
    <row r="384">
      <c r="A384" s="2" t="inlineStr">
        <is>
          <t>Obsidian Flames Build &amp; Battle Box Display</t>
        </is>
      </c>
      <c r="B384" s="3">
        <f>IF(I384&lt;&gt;"",I384,IF(J384&lt;&gt;"",J384,IF(K384&lt;&gt;"",K384,L384)))</f>
        <v>391.56</v>
      </c>
      <c r="C384" s="3">
        <f>MEDIAN(I384:L384)</f>
        <v>475.0</v>
      </c>
      <c r="D384" s="3">
        <f>ROUND(C384*(1-Settings!$B$2),2)</f>
        <v>332.5</v>
      </c>
      <c r="E384" s="3">
        <f>ROUND(C384*(1-Settings!$B$3),2)</f>
        <v>332.5</v>
      </c>
      <c r="F384" s="2" t="inlineStr">
        <is>
          <t>Pokemon</t>
        </is>
      </c>
      <c r="G384" s="2" t="inlineStr">
        <is>
          <t>Case/Display</t>
        </is>
      </c>
      <c r="H384" s="2" t="inlineStr">
        <is>
          <t>SV03: Obsidian Flames</t>
        </is>
      </c>
      <c r="I384" s="3" t="n"/>
      <c r="J384" s="3" t="n">
        <v>391.56</v>
      </c>
      <c r="K384" s="3" t="n">
        <v>570</v>
      </c>
      <c r="L384" s="3" t="n">
        <v>475</v>
      </c>
      <c r="M384" s="2" t="inlineStr">
        <is>
          <t>TCGplayer</t>
        </is>
      </c>
      <c r="O384" s="4" t="inlineStr">
        <is>
          <t>https://www.tcgplayer.com/product/514193</t>
        </is>
      </c>
    </row>
    <row r="385">
      <c r="A385" s="2" t="inlineStr">
        <is>
          <t>Obsidian Flames Pokemon Center Elite Trainer Box Case (Exclusive)</t>
        </is>
      </c>
      <c r="B385" s="3">
        <f>IF(I385&lt;&gt;"",I385,IF(J385&lt;&gt;"",J385,IF(K385&lt;&gt;"",K385,L385)))</f>
        <v>3175.0</v>
      </c>
      <c r="C385" s="3">
        <f>MEDIAN(I385:L385)</f>
        <v>3087.5</v>
      </c>
      <c r="D385" s="3">
        <f>ROUND(C385*(1-Settings!$B$2),2)</f>
        <v>2161.25</v>
      </c>
      <c r="E385" s="3">
        <f>ROUND(C385*(1-Settings!$B$3),2)</f>
        <v>2161.25</v>
      </c>
      <c r="F385" s="2" t="inlineStr">
        <is>
          <t>Pokemon</t>
        </is>
      </c>
      <c r="G385" s="2" t="inlineStr">
        <is>
          <t>Case/Display</t>
        </is>
      </c>
      <c r="H385" s="2" t="inlineStr">
        <is>
          <t>SV03: Obsidian Flames</t>
        </is>
      </c>
      <c r="I385" s="3" t="n"/>
      <c r="J385" s="3" t="n"/>
      <c r="K385" s="3" t="n">
        <v>3175</v>
      </c>
      <c r="L385" s="3" t="n">
        <v>3000</v>
      </c>
      <c r="M385" s="2" t="inlineStr">
        <is>
          <t>TCGplayer</t>
        </is>
      </c>
      <c r="O385" s="4" t="inlineStr">
        <is>
          <t>https://www.tcgplayer.com/product/618341</t>
        </is>
      </c>
    </row>
    <row r="386">
      <c r="A386" s="2" t="inlineStr">
        <is>
          <t>Paradox Rift Booster Box Case</t>
        </is>
      </c>
      <c r="B386" s="3">
        <f>IF(I386&lt;&gt;"",I386,IF(J386&lt;&gt;"",J386,IF(K386&lt;&gt;"",K386,L386)))</f>
        <v>1849.68</v>
      </c>
      <c r="C386" s="3">
        <f>MEDIAN(I386:L386)</f>
        <v>1799.99</v>
      </c>
      <c r="D386" s="3">
        <f>ROUND(C386*(1-Settings!$B$2),2)</f>
        <v>1259.99</v>
      </c>
      <c r="E386" s="3">
        <f>ROUND(C386*(1-Settings!$B$3),2)</f>
        <v>1259.99</v>
      </c>
      <c r="F386" s="2" t="inlineStr">
        <is>
          <t>Pokemon</t>
        </is>
      </c>
      <c r="G386" s="2" t="inlineStr">
        <is>
          <t>Case/Display</t>
        </is>
      </c>
      <c r="H386" s="2" t="inlineStr">
        <is>
          <t>SV04: Paradox Rift</t>
        </is>
      </c>
      <c r="I386" s="3" t="n"/>
      <c r="J386" s="3" t="n">
        <v>1849.68</v>
      </c>
      <c r="K386" s="3" t="n">
        <v>1799.99</v>
      </c>
      <c r="L386" s="3" t="n">
        <v>1588</v>
      </c>
      <c r="M386" s="2" t="inlineStr">
        <is>
          <t>TCGplayer</t>
        </is>
      </c>
      <c r="O386" s="4" t="inlineStr">
        <is>
          <t>https://www.tcgplayer.com/product/512828</t>
        </is>
      </c>
    </row>
    <row r="387">
      <c r="A387" s="2" t="inlineStr">
        <is>
          <t>Paradox Rift Build &amp; Battle Box Display</t>
        </is>
      </c>
      <c r="B387" s="3">
        <f>IF(I387&lt;&gt;"",I387,IF(J387&lt;&gt;"",J387,IF(K387&lt;&gt;"",K387,L387)))</f>
        <v>374.69</v>
      </c>
      <c r="C387" s="3">
        <f>MEDIAN(I387:L387)</f>
        <v>374.69</v>
      </c>
      <c r="D387" s="3">
        <f>ROUND(C387*(1-Settings!$B$2),2)</f>
        <v>262.28</v>
      </c>
      <c r="E387" s="3">
        <f>ROUND(C387*(1-Settings!$B$3),2)</f>
        <v>262.28</v>
      </c>
      <c r="F387" s="2" t="inlineStr">
        <is>
          <t>Pokemon</t>
        </is>
      </c>
      <c r="G387" s="2" t="inlineStr">
        <is>
          <t>Case/Display</t>
        </is>
      </c>
      <c r="H387" s="2" t="inlineStr">
        <is>
          <t>SV04: Paradox Rift</t>
        </is>
      </c>
      <c r="I387" s="3" t="n"/>
      <c r="J387" s="3" t="n">
        <v>374.69</v>
      </c>
      <c r="K387" s="3" t="n">
        <v>399.99</v>
      </c>
      <c r="L387" s="3" t="n">
        <v>366.7</v>
      </c>
      <c r="M387" s="2" t="inlineStr">
        <is>
          <t>TCGplayer</t>
        </is>
      </c>
      <c r="O387" s="4" t="inlineStr">
        <is>
          <t>https://www.tcgplayer.com/product/514069</t>
        </is>
      </c>
    </row>
    <row r="388">
      <c r="A388" s="2" t="inlineStr">
        <is>
          <t>Paradox Rift Build &amp; Battle Stadium Case</t>
        </is>
      </c>
      <c r="B388" s="3">
        <f>IF(I388&lt;&gt;"",I388,IF(J388&lt;&gt;"",J388,IF(K388&lt;&gt;"",K388,L388)))</f>
        <v>720.0</v>
      </c>
      <c r="C388" s="3">
        <f>MEDIAN(I388:L388)</f>
        <v>720.0</v>
      </c>
      <c r="D388" s="3">
        <f>ROUND(C388*(1-Settings!$B$2),2)</f>
        <v>504.0</v>
      </c>
      <c r="E388" s="3">
        <f>ROUND(C388*(1-Settings!$B$3),2)</f>
        <v>504.0</v>
      </c>
      <c r="F388" s="2" t="inlineStr">
        <is>
          <t>Pokemon</t>
        </is>
      </c>
      <c r="G388" s="2" t="inlineStr">
        <is>
          <t>Case/Display</t>
        </is>
      </c>
      <c r="H388" s="2" t="inlineStr">
        <is>
          <t>SV04: Paradox Rift</t>
        </is>
      </c>
      <c r="I388" s="3" t="n"/>
      <c r="J388" s="3" t="n"/>
      <c r="K388" s="3" t="n">
        <v>720</v>
      </c>
      <c r="L388" s="3" t="n">
        <v>720</v>
      </c>
      <c r="M388" s="2" t="inlineStr">
        <is>
          <t>TCGplayer</t>
        </is>
      </c>
      <c r="O388" s="4" t="inlineStr">
        <is>
          <t>https://www.tcgplayer.com/product/514071</t>
        </is>
      </c>
    </row>
    <row r="389">
      <c r="A389" s="2" t="inlineStr">
        <is>
          <t>Paradox Rift Pokemon Center Elite Trainer Box (Exclusive) Case [Iron Valiant]</t>
        </is>
      </c>
      <c r="B389" s="3">
        <f>IF(I389&lt;&gt;"",I389,IF(J389&lt;&gt;"",J389,IF(K389&lt;&gt;"",K389,L389)))</f>
        <v>1400.0</v>
      </c>
      <c r="C389" s="3">
        <f>MEDIAN(I389:L389)</f>
        <v>1400.0</v>
      </c>
      <c r="D389" s="3">
        <f>ROUND(C389*(1-Settings!$B$2),2)</f>
        <v>980.0</v>
      </c>
      <c r="E389" s="3">
        <f>ROUND(C389*(1-Settings!$B$3),2)</f>
        <v>980.0</v>
      </c>
      <c r="F389" s="2" t="inlineStr">
        <is>
          <t>Pokemon</t>
        </is>
      </c>
      <c r="G389" s="2" t="inlineStr">
        <is>
          <t>Case/Display</t>
        </is>
      </c>
      <c r="H389" s="2" t="inlineStr">
        <is>
          <t>SV04: Paradox Rift</t>
        </is>
      </c>
      <c r="I389" s="3" t="n"/>
      <c r="J389" s="3" t="n"/>
      <c r="K389" s="3" t="n">
        <v>1400</v>
      </c>
      <c r="L389" s="3" t="n">
        <v>1400</v>
      </c>
      <c r="M389" s="2" t="inlineStr">
        <is>
          <t>TCGplayer</t>
        </is>
      </c>
      <c r="O389" s="4" t="inlineStr">
        <is>
          <t>https://www.tcgplayer.com/product/657210</t>
        </is>
      </c>
    </row>
    <row r="390">
      <c r="A390" s="2" t="inlineStr">
        <is>
          <t>Temporal Forces 3 Pack Blister Display</t>
        </is>
      </c>
      <c r="B390" s="3">
        <f>IF(I390&lt;&gt;"",I390,IF(J390&lt;&gt;"",J390,IF(K390&lt;&gt;"",K390,L390)))</f>
        <v>495.0</v>
      </c>
      <c r="C390" s="3">
        <f>MEDIAN(I390:L390)</f>
        <v>495.0</v>
      </c>
      <c r="D390" s="3">
        <f>ROUND(C390*(1-Settings!$B$2),2)</f>
        <v>346.5</v>
      </c>
      <c r="E390" s="3">
        <f>ROUND(C390*(1-Settings!$B$3),2)</f>
        <v>346.5</v>
      </c>
      <c r="F390" s="2" t="inlineStr">
        <is>
          <t>Pokemon</t>
        </is>
      </c>
      <c r="G390" s="2" t="inlineStr">
        <is>
          <t>Case/Display</t>
        </is>
      </c>
      <c r="H390" s="2" t="inlineStr">
        <is>
          <t>SV05: Temporal Forces</t>
        </is>
      </c>
      <c r="I390" s="3" t="n"/>
      <c r="J390" s="3" t="n"/>
      <c r="K390" s="3" t="n">
        <v>495</v>
      </c>
      <c r="L390" s="3" t="n">
        <v>495</v>
      </c>
      <c r="M390" s="2" t="inlineStr">
        <is>
          <t>TCGplayer</t>
        </is>
      </c>
      <c r="O390" s="4" t="inlineStr">
        <is>
          <t>https://www.tcgplayer.com/product/680963</t>
        </is>
      </c>
    </row>
    <row r="391">
      <c r="A391" s="2" t="inlineStr">
        <is>
          <t>Temporal Forces Booster Box Case</t>
        </is>
      </c>
      <c r="B391" s="3">
        <f>IF(I391&lt;&gt;"",I391,IF(J391&lt;&gt;"",J391,IF(K391&lt;&gt;"",K391,L391)))</f>
        <v>2276.63</v>
      </c>
      <c r="C391" s="3">
        <f>MEDIAN(I391:L391)</f>
        <v>2089.5</v>
      </c>
      <c r="D391" s="3">
        <f>ROUND(C391*(1-Settings!$B$2),2)</f>
        <v>1462.65</v>
      </c>
      <c r="E391" s="3">
        <f>ROUND(C391*(1-Settings!$B$3),2)</f>
        <v>1462.65</v>
      </c>
      <c r="F391" s="2" t="inlineStr">
        <is>
          <t>Pokemon</t>
        </is>
      </c>
      <c r="G391" s="2" t="inlineStr">
        <is>
          <t>Case/Display</t>
        </is>
      </c>
      <c r="H391" s="2" t="inlineStr">
        <is>
          <t>SV05: Temporal Forces</t>
        </is>
      </c>
      <c r="I391" s="3" t="n"/>
      <c r="J391" s="3" t="n">
        <v>2276.63</v>
      </c>
      <c r="K391" s="3" t="n">
        <v>2089.5</v>
      </c>
      <c r="L391" s="3" t="n">
        <v>1968.51</v>
      </c>
      <c r="M391" s="2" t="inlineStr">
        <is>
          <t>TCGplayer</t>
        </is>
      </c>
      <c r="O391" s="4" t="inlineStr">
        <is>
          <t>https://www.tcgplayer.com/product/537417</t>
        </is>
      </c>
    </row>
    <row r="392">
      <c r="A392" s="2" t="inlineStr">
        <is>
          <t>Temporal Forces Build &amp; Battle Box Display</t>
        </is>
      </c>
      <c r="B392" s="3">
        <f>IF(I392&lt;&gt;"",I392,IF(J392&lt;&gt;"",J392,IF(K392&lt;&gt;"",K392,L392)))</f>
        <v>362.9</v>
      </c>
      <c r="C392" s="3">
        <f>MEDIAN(I392:L392)</f>
        <v>499.95</v>
      </c>
      <c r="D392" s="3">
        <f>ROUND(C392*(1-Settings!$B$2),2)</f>
        <v>349.97</v>
      </c>
      <c r="E392" s="3">
        <f>ROUND(C392*(1-Settings!$B$3),2)</f>
        <v>349.97</v>
      </c>
      <c r="F392" s="2" t="inlineStr">
        <is>
          <t>Pokemon</t>
        </is>
      </c>
      <c r="G392" s="2" t="inlineStr">
        <is>
          <t>Case/Display</t>
        </is>
      </c>
      <c r="H392" s="2" t="inlineStr">
        <is>
          <t>SV05: Temporal Forces</t>
        </is>
      </c>
      <c r="I392" s="3" t="n"/>
      <c r="J392" s="3" t="n">
        <v>362.9</v>
      </c>
      <c r="K392" s="3" t="n">
        <v>499.95</v>
      </c>
      <c r="L392" s="3" t="n">
        <v>499.95</v>
      </c>
      <c r="M392" s="2" t="inlineStr">
        <is>
          <t>TCGplayer</t>
        </is>
      </c>
      <c r="O392" s="4" t="inlineStr">
        <is>
          <t>https://www.tcgplayer.com/product/537409</t>
        </is>
      </c>
    </row>
    <row r="393">
      <c r="A393" s="2" t="inlineStr">
        <is>
          <t>Temporal Forces Elite Trainer Box Case</t>
        </is>
      </c>
      <c r="B393" s="3">
        <f>IF(I393&lt;&gt;"",I393,IF(J393&lt;&gt;"",J393,IF(K393&lt;&gt;"",K393,L393)))</f>
        <v>1950.0</v>
      </c>
      <c r="C393" s="3">
        <f>MEDIAN(I393:L393)</f>
        <v>1764.98</v>
      </c>
      <c r="D393" s="3">
        <f>ROUND(C393*(1-Settings!$B$2),2)</f>
        <v>1235.49</v>
      </c>
      <c r="E393" s="3">
        <f>ROUND(C393*(1-Settings!$B$3),2)</f>
        <v>1235.49</v>
      </c>
      <c r="F393" s="2" t="inlineStr">
        <is>
          <t>Pokemon</t>
        </is>
      </c>
      <c r="G393" s="2" t="inlineStr">
        <is>
          <t>Case/Display</t>
        </is>
      </c>
      <c r="H393" s="2" t="inlineStr">
        <is>
          <t>SV05: Temporal Forces</t>
        </is>
      </c>
      <c r="I393" s="3" t="n"/>
      <c r="J393" s="3" t="n">
        <v>1950</v>
      </c>
      <c r="K393" s="3" t="n">
        <v>1764.98</v>
      </c>
      <c r="L393" s="3" t="n">
        <v>1750</v>
      </c>
      <c r="M393" s="2" t="inlineStr">
        <is>
          <t>TCGplayer</t>
        </is>
      </c>
      <c r="O393" s="4" t="inlineStr">
        <is>
          <t>https://www.tcgplayer.com/product/537418</t>
        </is>
      </c>
    </row>
    <row r="394">
      <c r="A394" s="2" t="inlineStr">
        <is>
          <t>Temporal Forces Pokemon Center Elite Trainer Box Case (Exclusive) [Iron Leaves]</t>
        </is>
      </c>
      <c r="B394" s="3">
        <f>IF(I394&lt;&gt;"",I394,IF(J394&lt;&gt;"",J394,IF(K394&lt;&gt;"",K394,L394)))</f>
        <v>1347.99</v>
      </c>
      <c r="C394" s="3">
        <f>MEDIAN(I394:L394)</f>
        <v>1321.97</v>
      </c>
      <c r="D394" s="3">
        <f>ROUND(C394*(1-Settings!$B$2),2)</f>
        <v>925.38</v>
      </c>
      <c r="E394" s="3">
        <f>ROUND(C394*(1-Settings!$B$3),2)</f>
        <v>925.38</v>
      </c>
      <c r="F394" s="2" t="inlineStr">
        <is>
          <t>Pokemon</t>
        </is>
      </c>
      <c r="G394" s="2" t="inlineStr">
        <is>
          <t>Case/Display</t>
        </is>
      </c>
      <c r="H394" s="2" t="inlineStr">
        <is>
          <t>SV05: Temporal Forces</t>
        </is>
      </c>
      <c r="I394" s="3" t="n"/>
      <c r="J394" s="3" t="n"/>
      <c r="K394" s="3" t="n">
        <v>1347.99</v>
      </c>
      <c r="L394" s="3" t="n">
        <v>1295.95</v>
      </c>
      <c r="M394" s="2" t="inlineStr">
        <is>
          <t>TCGplayer</t>
        </is>
      </c>
      <c r="O394" s="4" t="inlineStr">
        <is>
          <t>https://www.tcgplayer.com/product/550822</t>
        </is>
      </c>
    </row>
    <row r="395">
      <c r="A395" s="2" t="inlineStr">
        <is>
          <t>Temporal Forces Pokemon Center Elite Trainer Box Case (Exclusive) [Walking Wake]</t>
        </is>
      </c>
      <c r="B395" s="3">
        <f>IF(I395&lt;&gt;"",I395,IF(J395&lt;&gt;"",J395,IF(K395&lt;&gt;"",K395,L395)))</f>
        <v>1434.95</v>
      </c>
      <c r="C395" s="3">
        <f>MEDIAN(I395:L395)</f>
        <v>967.475</v>
      </c>
      <c r="D395" s="3">
        <f>ROUND(C395*(1-Settings!$B$2),2)</f>
        <v>677.23</v>
      </c>
      <c r="E395" s="3">
        <f>ROUND(C395*(1-Settings!$B$3),2)</f>
        <v>677.23</v>
      </c>
      <c r="F395" s="2" t="inlineStr">
        <is>
          <t>Pokemon</t>
        </is>
      </c>
      <c r="G395" s="2" t="inlineStr">
        <is>
          <t>Case/Display</t>
        </is>
      </c>
      <c r="H395" s="2" t="inlineStr">
        <is>
          <t>SV05: Temporal Forces</t>
        </is>
      </c>
      <c r="I395" s="3" t="n"/>
      <c r="J395" s="3" t="n"/>
      <c r="K395" s="3" t="n">
        <v>1434.95</v>
      </c>
      <c r="L395" s="3" t="n">
        <v>500</v>
      </c>
      <c r="M395" s="2" t="inlineStr">
        <is>
          <t>TCGplayer</t>
        </is>
      </c>
      <c r="O395" s="4" t="inlineStr">
        <is>
          <t>https://www.tcgplayer.com/product/550823</t>
        </is>
      </c>
    </row>
    <row r="396">
      <c r="A396" s="2" t="inlineStr">
        <is>
          <t>Twilight Masquerade Build &amp; Battle Box Display</t>
        </is>
      </c>
      <c r="B396" s="3">
        <f>IF(I396&lt;&gt;"",I396,IF(J396&lt;&gt;"",J396,IF(K396&lt;&gt;"",K396,L396)))</f>
        <v>397.95</v>
      </c>
      <c r="C396" s="3">
        <f>MEDIAN(I396:L396)</f>
        <v>589.0</v>
      </c>
      <c r="D396" s="3">
        <f>ROUND(C396*(1-Settings!$B$2),2)</f>
        <v>412.3</v>
      </c>
      <c r="E396" s="3">
        <f>ROUND(C396*(1-Settings!$B$3),2)</f>
        <v>412.3</v>
      </c>
      <c r="F396" s="2" t="inlineStr">
        <is>
          <t>Pokemon</t>
        </is>
      </c>
      <c r="G396" s="2" t="inlineStr">
        <is>
          <t>Case/Display</t>
        </is>
      </c>
      <c r="H396" s="2" t="inlineStr">
        <is>
          <t>SV06: Twilight Masquerade</t>
        </is>
      </c>
      <c r="I396" s="3" t="n"/>
      <c r="J396" s="3" t="n">
        <v>397.95</v>
      </c>
      <c r="K396" s="3" t="n">
        <v>644.5</v>
      </c>
      <c r="L396" s="3" t="n">
        <v>589</v>
      </c>
      <c r="M396" s="2" t="inlineStr">
        <is>
          <t>TCGplayer</t>
        </is>
      </c>
      <c r="O396" s="4" t="inlineStr">
        <is>
          <t>https://www.tcgplayer.com/product/549489</t>
        </is>
      </c>
    </row>
    <row r="397">
      <c r="A397" s="2" t="inlineStr">
        <is>
          <t>Twilight Masquerade Elite Trainer Box Case</t>
        </is>
      </c>
      <c r="B397" s="3">
        <f>IF(I397&lt;&gt;"",I397,IF(J397&lt;&gt;"",J397,IF(K397&lt;&gt;"",K397,L397)))</f>
        <v>1217.71</v>
      </c>
      <c r="C397" s="3">
        <f>MEDIAN(I397:L397)</f>
        <v>1217.71</v>
      </c>
      <c r="D397" s="3">
        <f>ROUND(C397*(1-Settings!$B$2),2)</f>
        <v>852.4</v>
      </c>
      <c r="E397" s="3">
        <f>ROUND(C397*(1-Settings!$B$3),2)</f>
        <v>852.4</v>
      </c>
      <c r="F397" s="2" t="inlineStr">
        <is>
          <t>Pokemon</t>
        </is>
      </c>
      <c r="G397" s="2" t="inlineStr">
        <is>
          <t>Case/Display</t>
        </is>
      </c>
      <c r="H397" s="2" t="inlineStr">
        <is>
          <t>SV06: Twilight Masquerade</t>
        </is>
      </c>
      <c r="I397" s="3" t="n"/>
      <c r="J397" s="3" t="n">
        <v>1217.71</v>
      </c>
      <c r="K397" s="3" t="n">
        <v>1320</v>
      </c>
      <c r="L397" s="3" t="n">
        <v>1134.9</v>
      </c>
      <c r="M397" s="2" t="inlineStr">
        <is>
          <t>TCGplayer</t>
        </is>
      </c>
      <c r="O397" s="4" t="inlineStr">
        <is>
          <t>https://www.tcgplayer.com/product/544385</t>
        </is>
      </c>
    </row>
    <row r="398">
      <c r="A398" s="2" t="inlineStr">
        <is>
          <t>Twilight Masquerade Pokemon Center Elite Trainer Box (Exclusive) Case</t>
        </is>
      </c>
      <c r="B398" s="3">
        <f>IF(I398&lt;&gt;"",I398,IF(J398&lt;&gt;"",J398,IF(K398&lt;&gt;"",K398,L398)))</f>
        <v>782.59</v>
      </c>
      <c r="C398" s="3">
        <f>MEDIAN(I398:L398)</f>
        <v>759.99</v>
      </c>
      <c r="D398" s="3">
        <f>ROUND(C398*(1-Settings!$B$2),2)</f>
        <v>531.99</v>
      </c>
      <c r="E398" s="3">
        <f>ROUND(C398*(1-Settings!$B$3),2)</f>
        <v>531.99</v>
      </c>
      <c r="F398" s="2" t="inlineStr">
        <is>
          <t>Pokemon</t>
        </is>
      </c>
      <c r="G398" s="2" t="inlineStr">
        <is>
          <t>Case/Display</t>
        </is>
      </c>
      <c r="H398" s="2" t="inlineStr">
        <is>
          <t>SV06: Twilight Masquerade</t>
        </is>
      </c>
      <c r="I398" s="3" t="n"/>
      <c r="J398" s="3" t="n">
        <v>782.59</v>
      </c>
      <c r="K398" s="3" t="n">
        <v>759.99</v>
      </c>
      <c r="L398" s="3" t="n">
        <v>719.99</v>
      </c>
      <c r="M398" s="2" t="inlineStr">
        <is>
          <t>TCGplayer</t>
        </is>
      </c>
      <c r="O398" s="4" t="inlineStr">
        <is>
          <t>https://www.tcgplayer.com/product/549491</t>
        </is>
      </c>
    </row>
    <row r="399">
      <c r="A399" s="2" t="inlineStr">
        <is>
          <t>Twilight Masquerade Sleeved Booster Pack Case</t>
        </is>
      </c>
      <c r="B399" s="3">
        <f>IF(I399&lt;&gt;"",I399,IF(J399&lt;&gt;"",J399,IF(K399&lt;&gt;"",K399,L399)))</f>
        <v>1459.98</v>
      </c>
      <c r="C399" s="3">
        <f>MEDIAN(I399:L399)</f>
        <v>1459.98</v>
      </c>
      <c r="D399" s="3">
        <f>ROUND(C399*(1-Settings!$B$2),2)</f>
        <v>1021.99</v>
      </c>
      <c r="E399" s="3">
        <f>ROUND(C399*(1-Settings!$B$3),2)</f>
        <v>1021.99</v>
      </c>
      <c r="F399" s="2" t="inlineStr">
        <is>
          <t>Pokemon</t>
        </is>
      </c>
      <c r="G399" s="2" t="inlineStr">
        <is>
          <t>Case/Display</t>
        </is>
      </c>
      <c r="H399" s="2" t="inlineStr">
        <is>
          <t>SV06: Twilight Masquerade</t>
        </is>
      </c>
      <c r="I399" s="3" t="n"/>
      <c r="J399" s="3" t="n">
        <v>1459.98</v>
      </c>
      <c r="K399" s="3" t="n">
        <v>1464.46</v>
      </c>
      <c r="L399" s="3" t="n">
        <v>1458.93</v>
      </c>
      <c r="M399" s="2" t="inlineStr">
        <is>
          <t>TCGplayer</t>
        </is>
      </c>
      <c r="O399" s="4" t="inlineStr">
        <is>
          <t>https://www.tcgplayer.com/product/593672</t>
        </is>
      </c>
    </row>
    <row r="400">
      <c r="A400" s="2" t="inlineStr">
        <is>
          <t>Stellar Crown Booster Box Case</t>
        </is>
      </c>
      <c r="B400" s="3">
        <f>IF(I400&lt;&gt;"",I400,IF(J400&lt;&gt;"",J400,IF(K400&lt;&gt;"",K400,L400)))</f>
        <v>1871.06</v>
      </c>
      <c r="C400" s="3">
        <f>MEDIAN(I400:L400)</f>
        <v>1871.06</v>
      </c>
      <c r="D400" s="3">
        <f>ROUND(C400*(1-Settings!$B$2),2)</f>
        <v>1309.74</v>
      </c>
      <c r="E400" s="3">
        <f>ROUND(C400*(1-Settings!$B$3),2)</f>
        <v>1309.74</v>
      </c>
      <c r="F400" s="2" t="inlineStr">
        <is>
          <t>Pokemon</t>
        </is>
      </c>
      <c r="G400" s="2" t="inlineStr">
        <is>
          <t>Case/Display</t>
        </is>
      </c>
      <c r="H400" s="2" t="inlineStr">
        <is>
          <t>SV07: Stellar Crown</t>
        </is>
      </c>
      <c r="I400" s="3" t="n"/>
      <c r="J400" s="3" t="n">
        <v>1871.06</v>
      </c>
      <c r="K400" s="3" t="n">
        <v>1954.78</v>
      </c>
      <c r="L400" s="3" t="n">
        <v>1169.69</v>
      </c>
      <c r="M400" s="2" t="inlineStr">
        <is>
          <t>TCGplayer</t>
        </is>
      </c>
      <c r="O400" s="4" t="inlineStr">
        <is>
          <t>https://www.tcgplayer.com/product/557365</t>
        </is>
      </c>
    </row>
    <row r="401">
      <c r="A401" s="2" t="inlineStr">
        <is>
          <t>Stellar Crown Elite Trainer Box Case</t>
        </is>
      </c>
      <c r="B401" s="3">
        <f>IF(I401&lt;&gt;"",I401,IF(J401&lt;&gt;"",J401,IF(K401&lt;&gt;"",K401,L401)))</f>
        <v>1489.98</v>
      </c>
      <c r="C401" s="3">
        <f>MEDIAN(I401:L401)</f>
        <v>1679.97</v>
      </c>
      <c r="D401" s="3">
        <f>ROUND(C401*(1-Settings!$B$2),2)</f>
        <v>1175.98</v>
      </c>
      <c r="E401" s="3">
        <f>ROUND(C401*(1-Settings!$B$3),2)</f>
        <v>1175.98</v>
      </c>
      <c r="F401" s="2" t="inlineStr">
        <is>
          <t>Pokemon</t>
        </is>
      </c>
      <c r="G401" s="2" t="inlineStr">
        <is>
          <t>Case/Display</t>
        </is>
      </c>
      <c r="H401" s="2" t="inlineStr">
        <is>
          <t>SV07: Stellar Crown</t>
        </is>
      </c>
      <c r="I401" s="3" t="n"/>
      <c r="J401" s="3" t="n">
        <v>1489.98</v>
      </c>
      <c r="K401" s="3" t="n">
        <v>1699.96</v>
      </c>
      <c r="L401" s="3" t="n">
        <v>1679.97</v>
      </c>
      <c r="M401" s="2" t="inlineStr">
        <is>
          <t>TCGplayer</t>
        </is>
      </c>
      <c r="O401" s="4" t="inlineStr">
        <is>
          <t>https://www.tcgplayer.com/product/559102</t>
        </is>
      </c>
    </row>
    <row r="402">
      <c r="A402" s="2" t="inlineStr">
        <is>
          <t>Stellar Crown Pokemon Center Elite Trainer Box (Exclusive) Case</t>
        </is>
      </c>
      <c r="B402" s="3">
        <f>IF(I402&lt;&gt;"",I402,IF(J402&lt;&gt;"",J402,IF(K402&lt;&gt;"",K402,L402)))</f>
        <v>1398.99</v>
      </c>
      <c r="C402" s="3">
        <f>MEDIAN(I402:L402)</f>
        <v>1289.49</v>
      </c>
      <c r="D402" s="3">
        <f>ROUND(C402*(1-Settings!$B$2),2)</f>
        <v>902.64</v>
      </c>
      <c r="E402" s="3">
        <f>ROUND(C402*(1-Settings!$B$3),2)</f>
        <v>902.64</v>
      </c>
      <c r="F402" s="2" t="inlineStr">
        <is>
          <t>Pokemon</t>
        </is>
      </c>
      <c r="G402" s="2" t="inlineStr">
        <is>
          <t>Case/Display</t>
        </is>
      </c>
      <c r="H402" s="2" t="inlineStr">
        <is>
          <t>SV07: Stellar Crown</t>
        </is>
      </c>
      <c r="I402" s="3" t="n"/>
      <c r="J402" s="3" t="n"/>
      <c r="K402" s="3" t="n">
        <v>1398.99</v>
      </c>
      <c r="L402" s="3" t="n">
        <v>1179.99</v>
      </c>
      <c r="M402" s="2" t="inlineStr">
        <is>
          <t>TCGplayer</t>
        </is>
      </c>
      <c r="O402" s="4" t="inlineStr">
        <is>
          <t>https://www.tcgplayer.com/product/557363</t>
        </is>
      </c>
    </row>
    <row r="403">
      <c r="A403" s="2" t="inlineStr">
        <is>
          <t>Stellar Crown Sleeved Booster Master Carton</t>
        </is>
      </c>
      <c r="B403" s="3">
        <f>IF(I403&lt;&gt;"",I403,IF(J403&lt;&gt;"",J403,IF(K403&lt;&gt;"",K403,L403)))</f>
        <v>1152.03</v>
      </c>
      <c r="C403" s="3">
        <f>MEDIAN(I403:L403)</f>
        <v>1229.97</v>
      </c>
      <c r="D403" s="3">
        <f>ROUND(C403*(1-Settings!$B$2),2)</f>
        <v>860.98</v>
      </c>
      <c r="E403" s="3">
        <f>ROUND(C403*(1-Settings!$B$3),2)</f>
        <v>860.98</v>
      </c>
      <c r="F403" s="2" t="inlineStr">
        <is>
          <t>Pokemon</t>
        </is>
      </c>
      <c r="G403" s="2" t="inlineStr">
        <is>
          <t>Case/Display</t>
        </is>
      </c>
      <c r="H403" s="2" t="inlineStr">
        <is>
          <t>SV07: Stellar Crown</t>
        </is>
      </c>
      <c r="I403" s="3" t="n"/>
      <c r="J403" s="3" t="n">
        <v>1152.03</v>
      </c>
      <c r="K403" s="3" t="n">
        <v>1259.98</v>
      </c>
      <c r="L403" s="3" t="n">
        <v>1229.97</v>
      </c>
      <c r="M403" s="2" t="inlineStr">
        <is>
          <t>TCGplayer</t>
        </is>
      </c>
      <c r="O403" s="4" t="inlineStr">
        <is>
          <t>https://www.tcgplayer.com/product/559530</t>
        </is>
      </c>
    </row>
    <row r="404">
      <c r="A404" s="2" t="inlineStr">
        <is>
          <t>Surging Sparks 3 Pack Blisters Case</t>
        </is>
      </c>
      <c r="B404" s="3">
        <f>IF(I404&lt;&gt;"",I404,IF(J404&lt;&gt;"",J404,IF(K404&lt;&gt;"",K404,L404)))</f>
        <v>1500.0</v>
      </c>
      <c r="C404" s="3">
        <f>MEDIAN(I404:L404)</f>
        <v>1500.0</v>
      </c>
      <c r="D404" s="3">
        <f>ROUND(C404*(1-Settings!$B$2),2)</f>
        <v>1050.0</v>
      </c>
      <c r="E404" s="3">
        <f>ROUND(C404*(1-Settings!$B$3),2)</f>
        <v>1050.0</v>
      </c>
      <c r="F404" s="2" t="inlineStr">
        <is>
          <t>Pokemon</t>
        </is>
      </c>
      <c r="G404" s="2" t="inlineStr">
        <is>
          <t>Case/Display</t>
        </is>
      </c>
      <c r="H404" s="2" t="inlineStr">
        <is>
          <t>SV08: Surging Sparks</t>
        </is>
      </c>
      <c r="I404" s="3" t="n"/>
      <c r="J404" s="3" t="n"/>
      <c r="K404" s="3" t="n">
        <v>1500</v>
      </c>
      <c r="L404" s="3" t="n">
        <v>1500</v>
      </c>
      <c r="M404" s="2" t="inlineStr">
        <is>
          <t>TCGplayer</t>
        </is>
      </c>
      <c r="O404" s="4" t="inlineStr">
        <is>
          <t>https://www.tcgplayer.com/product/711388</t>
        </is>
      </c>
    </row>
    <row r="405">
      <c r="A405" s="2" t="inlineStr">
        <is>
          <t>Surging Sparks Booster Box Case</t>
        </is>
      </c>
      <c r="B405" s="3">
        <f>IF(I405&lt;&gt;"",I405,IF(J405&lt;&gt;"",J405,IF(K405&lt;&gt;"",K405,L405)))</f>
        <v>1988.43</v>
      </c>
      <c r="C405" s="3">
        <f>MEDIAN(I405:L405)</f>
        <v>1988.43</v>
      </c>
      <c r="D405" s="3">
        <f>ROUND(C405*(1-Settings!$B$2),2)</f>
        <v>1391.9</v>
      </c>
      <c r="E405" s="3">
        <f>ROUND(C405*(1-Settings!$B$3),2)</f>
        <v>1391.9</v>
      </c>
      <c r="F405" s="2" t="inlineStr">
        <is>
          <t>Pokemon</t>
        </is>
      </c>
      <c r="G405" s="2" t="inlineStr">
        <is>
          <t>Case/Display</t>
        </is>
      </c>
      <c r="H405" s="2" t="inlineStr">
        <is>
          <t>SV08: Surging Sparks</t>
        </is>
      </c>
      <c r="I405" s="3" t="n"/>
      <c r="J405" s="3" t="n">
        <v>1988.43</v>
      </c>
      <c r="K405" s="3" t="n">
        <v>2152.5</v>
      </c>
      <c r="L405" s="3" t="n">
        <v>1825</v>
      </c>
      <c r="M405" s="2" t="inlineStr">
        <is>
          <t>TCGplayer</t>
        </is>
      </c>
      <c r="O405" s="4" t="inlineStr">
        <is>
          <t>https://www.tcgplayer.com/product/580708</t>
        </is>
      </c>
    </row>
    <row r="406">
      <c r="A406" s="2" t="inlineStr">
        <is>
          <t>Surging Sparks Booster Bundle Case (LGS)</t>
        </is>
      </c>
      <c r="B406" s="3">
        <f>IF(I406&lt;&gt;"",I406,IF(J406&lt;&gt;"",J406,IF(K406&lt;&gt;"",K406,L406)))</f>
        <v>1208.8</v>
      </c>
      <c r="C406" s="3">
        <f>MEDIAN(I406:L406)</f>
        <v>1399.99</v>
      </c>
      <c r="D406" s="3">
        <f>ROUND(C406*(1-Settings!$B$2),2)</f>
        <v>979.99</v>
      </c>
      <c r="E406" s="3">
        <f>ROUND(C406*(1-Settings!$B$3),2)</f>
        <v>979.99</v>
      </c>
      <c r="F406" s="2" t="inlineStr">
        <is>
          <t>Pokemon</t>
        </is>
      </c>
      <c r="G406" s="2" t="inlineStr">
        <is>
          <t>Case/Display</t>
        </is>
      </c>
      <c r="H406" s="2" t="inlineStr">
        <is>
          <t>SV08: Surging Sparks</t>
        </is>
      </c>
      <c r="I406" s="3" t="n"/>
      <c r="J406" s="3" t="n">
        <v>1208.8</v>
      </c>
      <c r="K406" s="3" t="n">
        <v>1404</v>
      </c>
      <c r="L406" s="3" t="n">
        <v>1399.99</v>
      </c>
      <c r="M406" s="2" t="inlineStr">
        <is>
          <t>TCGplayer</t>
        </is>
      </c>
      <c r="O406" s="4" t="inlineStr">
        <is>
          <t>https://www.tcgplayer.com/product/594269</t>
        </is>
      </c>
    </row>
    <row r="407">
      <c r="A407" s="2" t="inlineStr">
        <is>
          <t>Surging Sparks Build &amp; Battle Box Display</t>
        </is>
      </c>
      <c r="B407" s="3">
        <f>IF(I407&lt;&gt;"",I407,IF(J407&lt;&gt;"",J407,IF(K407&lt;&gt;"",K407,L407)))</f>
        <v>494.98</v>
      </c>
      <c r="C407" s="3">
        <f>MEDIAN(I407:L407)</f>
        <v>625.0</v>
      </c>
      <c r="D407" s="3">
        <f>ROUND(C407*(1-Settings!$B$2),2)</f>
        <v>437.5</v>
      </c>
      <c r="E407" s="3">
        <f>ROUND(C407*(1-Settings!$B$3),2)</f>
        <v>437.5</v>
      </c>
      <c r="F407" s="2" t="inlineStr">
        <is>
          <t>Pokemon</t>
        </is>
      </c>
      <c r="G407" s="2" t="inlineStr">
        <is>
          <t>Case/Display</t>
        </is>
      </c>
      <c r="H407" s="2" t="inlineStr">
        <is>
          <t>SV08: Surging Sparks</t>
        </is>
      </c>
      <c r="I407" s="3" t="n"/>
      <c r="J407" s="3" t="n">
        <v>494.98</v>
      </c>
      <c r="K407" s="3" t="n">
        <v>687.47</v>
      </c>
      <c r="L407" s="3" t="n">
        <v>625</v>
      </c>
      <c r="M407" s="2" t="inlineStr">
        <is>
          <t>TCGplayer</t>
        </is>
      </c>
      <c r="O407" s="4" t="inlineStr">
        <is>
          <t>https://www.tcgplayer.com/product/565600</t>
        </is>
      </c>
    </row>
    <row r="408">
      <c r="A408" s="2" t="inlineStr">
        <is>
          <t>Surging Sparks Elite Trainer Box Case</t>
        </is>
      </c>
      <c r="B408" s="3">
        <f>IF(I408&lt;&gt;"",I408,IF(J408&lt;&gt;"",J408,IF(K408&lt;&gt;"",K408,L408)))</f>
        <v>1298.68</v>
      </c>
      <c r="C408" s="3">
        <f>MEDIAN(I408:L408)</f>
        <v>1319.0</v>
      </c>
      <c r="D408" s="3">
        <f>ROUND(C408*(1-Settings!$B$2),2)</f>
        <v>923.3</v>
      </c>
      <c r="E408" s="3">
        <f>ROUND(C408*(1-Settings!$B$3),2)</f>
        <v>923.3</v>
      </c>
      <c r="F408" s="2" t="inlineStr">
        <is>
          <t>Pokemon</t>
        </is>
      </c>
      <c r="G408" s="2" t="inlineStr">
        <is>
          <t>Case/Display</t>
        </is>
      </c>
      <c r="H408" s="2" t="inlineStr">
        <is>
          <t>SV08: Surging Sparks</t>
        </is>
      </c>
      <c r="I408" s="3" t="n"/>
      <c r="J408" s="3" t="n">
        <v>1298.68</v>
      </c>
      <c r="K408" s="3" t="n">
        <v>1453.99</v>
      </c>
      <c r="L408" s="3" t="n">
        <v>1319</v>
      </c>
      <c r="M408" s="2" t="inlineStr">
        <is>
          <t>TCGplayer</t>
        </is>
      </c>
      <c r="O408" s="4" t="inlineStr">
        <is>
          <t>https://www.tcgplayer.com/product/565631</t>
        </is>
      </c>
    </row>
    <row r="409">
      <c r="A409" s="2" t="inlineStr">
        <is>
          <t>Surging Sparks Pokemon Center Elite Trainer Box (Exclusive) Case</t>
        </is>
      </c>
      <c r="B409" s="3">
        <f>IF(I409&lt;&gt;"",I409,IF(J409&lt;&gt;"",J409,IF(K409&lt;&gt;"",K409,L409)))</f>
        <v>1199.73</v>
      </c>
      <c r="C409" s="3">
        <f>MEDIAN(I409:L409)</f>
        <v>1199.73</v>
      </c>
      <c r="D409" s="3">
        <f>ROUND(C409*(1-Settings!$B$2),2)</f>
        <v>839.81</v>
      </c>
      <c r="E409" s="3">
        <f>ROUND(C409*(1-Settings!$B$3),2)</f>
        <v>839.81</v>
      </c>
      <c r="F409" s="2" t="inlineStr">
        <is>
          <t>Pokemon</t>
        </is>
      </c>
      <c r="G409" s="2" t="inlineStr">
        <is>
          <t>Case/Display</t>
        </is>
      </c>
      <c r="H409" s="2" t="inlineStr">
        <is>
          <t>SV08: Surging Sparks</t>
        </is>
      </c>
      <c r="I409" s="3" t="n"/>
      <c r="J409" s="3" t="n">
        <v>1199.73</v>
      </c>
      <c r="K409" s="3" t="n">
        <v>1593.42</v>
      </c>
      <c r="L409" s="3" t="n">
        <v>1100</v>
      </c>
      <c r="M409" s="2" t="inlineStr">
        <is>
          <t>TCGplayer</t>
        </is>
      </c>
      <c r="O409" s="4" t="inlineStr">
        <is>
          <t>https://www.tcgplayer.com/product/565633</t>
        </is>
      </c>
    </row>
    <row r="410">
      <c r="A410" s="2" t="inlineStr">
        <is>
          <t>Surging Sparks Sleeved Booster Pack Case</t>
        </is>
      </c>
      <c r="B410" s="3">
        <f>IF(I410&lt;&gt;"",I410,IF(J410&lt;&gt;"",J410,IF(K410&lt;&gt;"",K410,L410)))</f>
        <v>1486.08</v>
      </c>
      <c r="C410" s="3">
        <f>MEDIAN(I410:L410)</f>
        <v>1499.99</v>
      </c>
      <c r="D410" s="3">
        <f>ROUND(C410*(1-Settings!$B$2),2)</f>
        <v>1049.99</v>
      </c>
      <c r="E410" s="3">
        <f>ROUND(C410*(1-Settings!$B$3),2)</f>
        <v>1049.99</v>
      </c>
      <c r="F410" s="2" t="inlineStr">
        <is>
          <t>Pokemon</t>
        </is>
      </c>
      <c r="G410" s="2" t="inlineStr">
        <is>
          <t>Case/Display</t>
        </is>
      </c>
      <c r="H410" s="2" t="inlineStr">
        <is>
          <t>SV08: Surging Sparks</t>
        </is>
      </c>
      <c r="I410" s="3" t="n"/>
      <c r="J410" s="3" t="n">
        <v>1486.08</v>
      </c>
      <c r="K410" s="3" t="n">
        <v>1799.99</v>
      </c>
      <c r="L410" s="3" t="n">
        <v>1499.99</v>
      </c>
      <c r="M410" s="2" t="inlineStr">
        <is>
          <t>TCGplayer</t>
        </is>
      </c>
      <c r="O410" s="4" t="inlineStr">
        <is>
          <t>https://www.tcgplayer.com/product/593687</t>
        </is>
      </c>
    </row>
    <row r="411">
      <c r="A411" s="2" t="inlineStr">
        <is>
          <t>Journey Together Booster Box Case</t>
        </is>
      </c>
      <c r="B411" s="3">
        <f>IF(I411&lt;&gt;"",I411,IF(J411&lt;&gt;"",J411,IF(K411&lt;&gt;"",K411,L411)))</f>
        <v>1381.2</v>
      </c>
      <c r="C411" s="3">
        <f>MEDIAN(I411:L411)</f>
        <v>1381.2</v>
      </c>
      <c r="D411" s="3">
        <f>ROUND(C411*(1-Settings!$B$2),2)</f>
        <v>966.84</v>
      </c>
      <c r="E411" s="3">
        <f>ROUND(C411*(1-Settings!$B$3),2)</f>
        <v>966.84</v>
      </c>
      <c r="F411" s="2" t="inlineStr">
        <is>
          <t>Pokemon</t>
        </is>
      </c>
      <c r="G411" s="2" t="inlineStr">
        <is>
          <t>Case/Display</t>
        </is>
      </c>
      <c r="H411" s="2" t="inlineStr">
        <is>
          <t>SV09: Journey Together</t>
        </is>
      </c>
      <c r="I411" s="3" t="n"/>
      <c r="J411" s="3" t="n">
        <v>1381.2</v>
      </c>
      <c r="K411" s="3" t="n">
        <v>1448.5</v>
      </c>
      <c r="L411" s="3" t="n">
        <v>1189.99</v>
      </c>
      <c r="M411" s="2" t="inlineStr">
        <is>
          <t>TCGplayer</t>
        </is>
      </c>
      <c r="O411" s="4" t="inlineStr">
        <is>
          <t>https://www.tcgplayer.com/product/614449</t>
        </is>
      </c>
    </row>
    <row r="412">
      <c r="A412" s="2" t="inlineStr">
        <is>
          <t>Journey Together Booster Bundle Case</t>
        </is>
      </c>
      <c r="B412" s="3">
        <f>IF(I412&lt;&gt;"",I412,IF(J412&lt;&gt;"",J412,IF(K412&lt;&gt;"",K412,L412)))</f>
        <v>1035.15</v>
      </c>
      <c r="C412" s="3">
        <f>MEDIAN(I412:L412)</f>
        <v>1035.15</v>
      </c>
      <c r="D412" s="3">
        <f>ROUND(C412*(1-Settings!$B$2),2)</f>
        <v>724.61</v>
      </c>
      <c r="E412" s="3">
        <f>ROUND(C412*(1-Settings!$B$3),2)</f>
        <v>724.61</v>
      </c>
      <c r="F412" s="2" t="inlineStr">
        <is>
          <t>Pokemon</t>
        </is>
      </c>
      <c r="G412" s="2" t="inlineStr">
        <is>
          <t>Case/Display</t>
        </is>
      </c>
      <c r="H412" s="2" t="inlineStr">
        <is>
          <t>SV09: Journey Together</t>
        </is>
      </c>
      <c r="I412" s="3" t="n"/>
      <c r="J412" s="3" t="n">
        <v>1035.15</v>
      </c>
      <c r="K412" s="3" t="n">
        <v>1099.99</v>
      </c>
      <c r="L412" s="3" t="n">
        <v>995</v>
      </c>
      <c r="M412" s="2" t="inlineStr">
        <is>
          <t>TCGplayer</t>
        </is>
      </c>
      <c r="O412" s="4" t="inlineStr">
        <is>
          <t>https://www.tcgplayer.com/product/625584</t>
        </is>
      </c>
    </row>
    <row r="413">
      <c r="A413" s="2" t="inlineStr">
        <is>
          <t>Journey Together Build &amp; Battle Box Display</t>
        </is>
      </c>
      <c r="B413" s="3">
        <f>IF(I413&lt;&gt;"",I413,IF(J413&lt;&gt;"",J413,IF(K413&lt;&gt;"",K413,L413)))</f>
        <v>320.35</v>
      </c>
      <c r="C413" s="3">
        <f>MEDIAN(I413:L413)</f>
        <v>329.0</v>
      </c>
      <c r="D413" s="3">
        <f>ROUND(C413*(1-Settings!$B$2),2)</f>
        <v>230.3</v>
      </c>
      <c r="E413" s="3">
        <f>ROUND(C413*(1-Settings!$B$3),2)</f>
        <v>230.3</v>
      </c>
      <c r="F413" s="2" t="inlineStr">
        <is>
          <t>Pokemon</t>
        </is>
      </c>
      <c r="G413" s="2" t="inlineStr">
        <is>
          <t>Case/Display</t>
        </is>
      </c>
      <c r="H413" s="2" t="inlineStr">
        <is>
          <t>SV09: Journey Together</t>
        </is>
      </c>
      <c r="I413" s="3" t="n"/>
      <c r="J413" s="3" t="n">
        <v>320.35</v>
      </c>
      <c r="K413" s="3" t="n">
        <v>349.96</v>
      </c>
      <c r="L413" s="3" t="n">
        <v>329</v>
      </c>
      <c r="M413" s="2" t="inlineStr">
        <is>
          <t>TCGplayer</t>
        </is>
      </c>
      <c r="O413" s="4" t="inlineStr">
        <is>
          <t>https://www.tcgplayer.com/product/629568</t>
        </is>
      </c>
    </row>
    <row r="414">
      <c r="A414" s="2" t="inlineStr">
        <is>
          <t>Journey Together Elite Trainer Box Case</t>
        </is>
      </c>
      <c r="B414" s="3">
        <f>IF(I414&lt;&gt;"",I414,IF(J414&lt;&gt;"",J414,IF(K414&lt;&gt;"",K414,L414)))</f>
        <v>1343.3</v>
      </c>
      <c r="C414" s="3">
        <f>MEDIAN(I414:L414)</f>
        <v>1479.97</v>
      </c>
      <c r="D414" s="3">
        <f>ROUND(C414*(1-Settings!$B$2),2)</f>
        <v>1035.98</v>
      </c>
      <c r="E414" s="3">
        <f>ROUND(C414*(1-Settings!$B$3),2)</f>
        <v>1035.98</v>
      </c>
      <c r="F414" s="2" t="inlineStr">
        <is>
          <t>Pokemon</t>
        </is>
      </c>
      <c r="G414" s="2" t="inlineStr">
        <is>
          <t>Case/Display</t>
        </is>
      </c>
      <c r="H414" s="2" t="inlineStr">
        <is>
          <t>SV09: Journey Together</t>
        </is>
      </c>
      <c r="I414" s="3" t="n"/>
      <c r="J414" s="3" t="n">
        <v>1343.3</v>
      </c>
      <c r="K414" s="3" t="n">
        <v>1499.96</v>
      </c>
      <c r="L414" s="3" t="n">
        <v>1479.97</v>
      </c>
      <c r="M414" s="2" t="inlineStr">
        <is>
          <t>TCGplayer</t>
        </is>
      </c>
      <c r="O414" s="4" t="inlineStr">
        <is>
          <t>https://www.tcgplayer.com/product/614450</t>
        </is>
      </c>
    </row>
    <row r="415">
      <c r="A415" s="2" t="inlineStr">
        <is>
          <t>Journey Together Enhanced Booster Box Case</t>
        </is>
      </c>
      <c r="B415" s="3">
        <f>IF(I415&lt;&gt;"",I415,IF(J415&lt;&gt;"",J415,IF(K415&lt;&gt;"",K415,L415)))</f>
        <v>1590.74</v>
      </c>
      <c r="C415" s="3">
        <f>MEDIAN(I415:L415)</f>
        <v>1555.75</v>
      </c>
      <c r="D415" s="3">
        <f>ROUND(C415*(1-Settings!$B$2),2)</f>
        <v>1089.03</v>
      </c>
      <c r="E415" s="3">
        <f>ROUND(C415*(1-Settings!$B$3),2)</f>
        <v>1089.03</v>
      </c>
      <c r="F415" s="2" t="inlineStr">
        <is>
          <t>Pokemon</t>
        </is>
      </c>
      <c r="G415" s="2" t="inlineStr">
        <is>
          <t>Case/Display</t>
        </is>
      </c>
      <c r="H415" s="2" t="inlineStr">
        <is>
          <t>SV09: Journey Together</t>
        </is>
      </c>
      <c r="I415" s="3" t="n"/>
      <c r="J415" s="3" t="n">
        <v>1590.74</v>
      </c>
      <c r="K415" s="3" t="n">
        <v>1555.75</v>
      </c>
      <c r="L415" s="3" t="n">
        <v>1424.9</v>
      </c>
      <c r="M415" s="2" t="inlineStr">
        <is>
          <t>TCGplayer</t>
        </is>
      </c>
      <c r="O415" s="4" t="inlineStr">
        <is>
          <t>https://www.tcgplayer.com/product/625583</t>
        </is>
      </c>
    </row>
    <row r="416">
      <c r="A416" s="2" t="inlineStr">
        <is>
          <t>Journey Together Sleeved Booster Case</t>
        </is>
      </c>
      <c r="B416" s="3">
        <f>IF(I416&lt;&gt;"",I416,IF(J416&lt;&gt;"",J416,IF(K416&lt;&gt;"",K416,L416)))</f>
        <v>1088.72</v>
      </c>
      <c r="C416" s="3">
        <f>MEDIAN(I416:L416)</f>
        <v>1179.84</v>
      </c>
      <c r="D416" s="3">
        <f>ROUND(C416*(1-Settings!$B$2),2)</f>
        <v>825.89</v>
      </c>
      <c r="E416" s="3">
        <f>ROUND(C416*(1-Settings!$B$3),2)</f>
        <v>825.89</v>
      </c>
      <c r="F416" s="2" t="inlineStr">
        <is>
          <t>Pokemon</t>
        </is>
      </c>
      <c r="G416" s="2" t="inlineStr">
        <is>
          <t>Case/Display</t>
        </is>
      </c>
      <c r="H416" s="2" t="inlineStr">
        <is>
          <t>SV09: Journey Together</t>
        </is>
      </c>
      <c r="I416" s="3" t="n"/>
      <c r="J416" s="3" t="n">
        <v>1088.72</v>
      </c>
      <c r="K416" s="3" t="n">
        <v>1199.85</v>
      </c>
      <c r="L416" s="3" t="n">
        <v>1179.84</v>
      </c>
      <c r="M416" s="2" t="inlineStr">
        <is>
          <t>TCGplayer</t>
        </is>
      </c>
      <c r="O416" s="4" t="inlineStr">
        <is>
          <t>https://www.tcgplayer.com/product/624925</t>
        </is>
      </c>
    </row>
    <row r="417">
      <c r="A417" s="2" t="inlineStr">
        <is>
          <t>Destined Rivals Booster Box Case</t>
        </is>
      </c>
      <c r="B417" s="3">
        <f>IF(I417&lt;&gt;"",I417,IF(J417&lt;&gt;"",J417,IF(K417&lt;&gt;"",K417,L417)))</f>
        <v>2515.5</v>
      </c>
      <c r="C417" s="3">
        <f>MEDIAN(I417:L417)</f>
        <v>2515.5</v>
      </c>
      <c r="D417" s="3">
        <f>ROUND(C417*(1-Settings!$B$2),2)</f>
        <v>1760.85</v>
      </c>
      <c r="E417" s="3">
        <f>ROUND(C417*(1-Settings!$B$3),2)</f>
        <v>1760.85</v>
      </c>
      <c r="F417" s="2" t="inlineStr">
        <is>
          <t>Pokemon</t>
        </is>
      </c>
      <c r="G417" s="2" t="inlineStr">
        <is>
          <t>Case/Display</t>
        </is>
      </c>
      <c r="H417" s="2" t="inlineStr">
        <is>
          <t>SV10: Destined Rivals</t>
        </is>
      </c>
      <c r="I417" s="3" t="n"/>
      <c r="J417" s="3" t="n">
        <v>2515.5</v>
      </c>
      <c r="K417" s="3" t="n">
        <v>2979.94</v>
      </c>
      <c r="L417" s="3" t="n">
        <v>2299.99</v>
      </c>
      <c r="M417" s="2" t="inlineStr">
        <is>
          <t>TCGplayer</t>
        </is>
      </c>
      <c r="O417" s="4" t="inlineStr">
        <is>
          <t>https://www.tcgplayer.com/product/624678</t>
        </is>
      </c>
    </row>
    <row r="418">
      <c r="A418" s="2" t="inlineStr">
        <is>
          <t>Destined Rivals Booster Bundle Case</t>
        </is>
      </c>
      <c r="B418" s="3">
        <f>IF(I418&lt;&gt;"",I418,IF(J418&lt;&gt;"",J418,IF(K418&lt;&gt;"",K418,L418)))</f>
        <v>1802.28</v>
      </c>
      <c r="C418" s="3">
        <f>MEDIAN(I418:L418)</f>
        <v>1802.28</v>
      </c>
      <c r="D418" s="3">
        <f>ROUND(C418*(1-Settings!$B$2),2)</f>
        <v>1261.6</v>
      </c>
      <c r="E418" s="3">
        <f>ROUND(C418*(1-Settings!$B$3),2)</f>
        <v>1261.6</v>
      </c>
      <c r="F418" s="2" t="inlineStr">
        <is>
          <t>Pokemon</t>
        </is>
      </c>
      <c r="G418" s="2" t="inlineStr">
        <is>
          <t>Case/Display</t>
        </is>
      </c>
      <c r="H418" s="2" t="inlineStr">
        <is>
          <t>SV10: Destined Rivals</t>
        </is>
      </c>
      <c r="I418" s="3" t="n"/>
      <c r="J418" s="3" t="n">
        <v>1802.28</v>
      </c>
      <c r="K418" s="3" t="n">
        <v>1999.35</v>
      </c>
      <c r="L418" s="3" t="n">
        <v>1779.99</v>
      </c>
      <c r="M418" s="2" t="inlineStr">
        <is>
          <t>TCGplayer</t>
        </is>
      </c>
      <c r="O418" s="4" t="inlineStr">
        <is>
          <t>https://www.tcgplayer.com/product/628428</t>
        </is>
      </c>
    </row>
    <row r="419">
      <c r="A419" s="2" t="inlineStr">
        <is>
          <t>Destined Rivals Build &amp; Battle Box Display</t>
        </is>
      </c>
      <c r="B419" s="3">
        <f>IF(I419&lt;&gt;"",I419,IF(J419&lt;&gt;"",J419,IF(K419&lt;&gt;"",K419,L419)))</f>
        <v>569.81</v>
      </c>
      <c r="C419" s="3">
        <f>MEDIAN(I419:L419)</f>
        <v>594.0</v>
      </c>
      <c r="D419" s="3">
        <f>ROUND(C419*(1-Settings!$B$2),2)</f>
        <v>415.8</v>
      </c>
      <c r="E419" s="3">
        <f>ROUND(C419*(1-Settings!$B$3),2)</f>
        <v>415.8</v>
      </c>
      <c r="F419" s="2" t="inlineStr">
        <is>
          <t>Pokemon</t>
        </is>
      </c>
      <c r="G419" s="2" t="inlineStr">
        <is>
          <t>Case/Display</t>
        </is>
      </c>
      <c r="H419" s="2" t="inlineStr">
        <is>
          <t>SV10: Destined Rivals</t>
        </is>
      </c>
      <c r="I419" s="3" t="n"/>
      <c r="J419" s="3" t="n">
        <v>569.8099999999999</v>
      </c>
      <c r="K419" s="3" t="n">
        <v>629.5</v>
      </c>
      <c r="L419" s="3" t="n">
        <v>594</v>
      </c>
      <c r="M419" s="2" t="inlineStr">
        <is>
          <t>TCGplayer</t>
        </is>
      </c>
      <c r="O419" s="4" t="inlineStr">
        <is>
          <t>https://www.tcgplayer.com/product/634383</t>
        </is>
      </c>
    </row>
    <row r="420">
      <c r="A420" s="2" t="inlineStr">
        <is>
          <t>Destined Rivals Elite Trainer Box Case</t>
        </is>
      </c>
      <c r="B420" s="3">
        <f>IF(I420&lt;&gt;"",I420,IF(J420&lt;&gt;"",J420,IF(K420&lt;&gt;"",K420,L420)))</f>
        <v>1216.96</v>
      </c>
      <c r="C420" s="3">
        <f>MEDIAN(I420:L420)</f>
        <v>1216.96</v>
      </c>
      <c r="D420" s="3">
        <f>ROUND(C420*(1-Settings!$B$2),2)</f>
        <v>851.87</v>
      </c>
      <c r="E420" s="3">
        <f>ROUND(C420*(1-Settings!$B$3),2)</f>
        <v>851.87</v>
      </c>
      <c r="F420" s="2" t="inlineStr">
        <is>
          <t>Pokemon</t>
        </is>
      </c>
      <c r="G420" s="2" t="inlineStr">
        <is>
          <t>Case/Display</t>
        </is>
      </c>
      <c r="H420" s="2" t="inlineStr">
        <is>
          <t>SV10: Destined Rivals</t>
        </is>
      </c>
      <c r="I420" s="3" t="n"/>
      <c r="J420" s="3" t="n">
        <v>1216.96</v>
      </c>
      <c r="K420" s="3" t="n">
        <v>1369.94</v>
      </c>
      <c r="L420" s="3" t="n">
        <v>1191</v>
      </c>
      <c r="M420" s="2" t="inlineStr">
        <is>
          <t>TCGplayer</t>
        </is>
      </c>
      <c r="O420" s="4" t="inlineStr">
        <is>
          <t>https://www.tcgplayer.com/product/628398</t>
        </is>
      </c>
    </row>
    <row r="421">
      <c r="A421" s="2" t="inlineStr">
        <is>
          <t>Destined Rivals Sleeved Booster Case</t>
        </is>
      </c>
      <c r="B421" s="3">
        <f>IF(I421&lt;&gt;"",I421,IF(J421&lt;&gt;"",J421,IF(K421&lt;&gt;"",K421,L421)))</f>
        <v>1597.57</v>
      </c>
      <c r="C421" s="3">
        <f>MEDIAN(I421:L421)</f>
        <v>1597.57</v>
      </c>
      <c r="D421" s="3">
        <f>ROUND(C421*(1-Settings!$B$2),2)</f>
        <v>1118.3</v>
      </c>
      <c r="E421" s="3">
        <f>ROUND(C421*(1-Settings!$B$3),2)</f>
        <v>1118.3</v>
      </c>
      <c r="F421" s="2" t="inlineStr">
        <is>
          <t>Pokemon</t>
        </is>
      </c>
      <c r="G421" s="2" t="inlineStr">
        <is>
          <t>Case/Display</t>
        </is>
      </c>
      <c r="H421" s="2" t="inlineStr">
        <is>
          <t>SV10: Destined Rivals</t>
        </is>
      </c>
      <c r="I421" s="3" t="n"/>
      <c r="J421" s="3" t="n">
        <v>1597.57</v>
      </c>
      <c r="K421" s="3" t="n">
        <v>1657.18</v>
      </c>
      <c r="L421" s="3" t="n">
        <v>1344.96</v>
      </c>
      <c r="M421" s="2" t="inlineStr">
        <is>
          <t>TCGplayer</t>
        </is>
      </c>
      <c r="O421" s="4" t="inlineStr">
        <is>
          <t>https://www.tcgplayer.com/product/628413</t>
        </is>
      </c>
    </row>
    <row r="422">
      <c r="A422" s="2" t="inlineStr">
        <is>
          <t>Crimson Haze Booster Box Case</t>
        </is>
      </c>
      <c r="B422" s="3">
        <f>IF(I422&lt;&gt;"",I422,IF(J422&lt;&gt;"",J422,IF(K422&lt;&gt;"",K422,L422)))</f>
        <v>1399.0</v>
      </c>
      <c r="C422" s="3">
        <f>MEDIAN(I422:L422)</f>
        <v>1399.0</v>
      </c>
      <c r="D422" s="3">
        <f>ROUND(C422*(1-Settings!$B$2),2)</f>
        <v>979.3</v>
      </c>
      <c r="E422" s="3">
        <f>ROUND(C422*(1-Settings!$B$3),2)</f>
        <v>979.3</v>
      </c>
      <c r="F422" s="2" t="inlineStr">
        <is>
          <t>Pokemon</t>
        </is>
      </c>
      <c r="G422" s="2" t="inlineStr">
        <is>
          <t>Case/Display</t>
        </is>
      </c>
      <c r="H422" s="2" t="inlineStr">
        <is>
          <t>SV5a: Crimson Haze</t>
        </is>
      </c>
      <c r="I422" s="3" t="n"/>
      <c r="J422" s="3" t="n"/>
      <c r="K422" s="3" t="n"/>
      <c r="L422" s="3" t="n">
        <v>1399</v>
      </c>
      <c r="M422" s="2" t="inlineStr">
        <is>
          <t>TCGplayer</t>
        </is>
      </c>
      <c r="O422" s="4" t="inlineStr">
        <is>
          <t>https://www.tcgplayer.com/product/625585</t>
        </is>
      </c>
    </row>
    <row r="423">
      <c r="A423" s="2" t="inlineStr">
        <is>
          <t>Black Bolt  Binder Collection Case</t>
        </is>
      </c>
      <c r="B423" s="3">
        <f>IF(I423&lt;&gt;"",I423,IF(J423&lt;&gt;"",J423,IF(K423&lt;&gt;"",K423,L423)))</f>
        <v>441.5</v>
      </c>
      <c r="C423" s="3">
        <f>MEDIAN(I423:L423)</f>
        <v>540.0</v>
      </c>
      <c r="D423" s="3">
        <f>ROUND(C423*(1-Settings!$B$2),2)</f>
        <v>378.0</v>
      </c>
      <c r="E423" s="3">
        <f>ROUND(C423*(1-Settings!$B$3),2)</f>
        <v>378.0</v>
      </c>
      <c r="F423" s="2" t="inlineStr">
        <is>
          <t>Pokemon</t>
        </is>
      </c>
      <c r="G423" s="2" t="inlineStr">
        <is>
          <t>Case/Display</t>
        </is>
      </c>
      <c r="H423" s="2" t="inlineStr">
        <is>
          <t>SV: Black Bolt</t>
        </is>
      </c>
      <c r="I423" s="3" t="n"/>
      <c r="J423" s="3" t="n">
        <v>441.5</v>
      </c>
      <c r="K423" s="3" t="n">
        <v>540</v>
      </c>
      <c r="L423" s="3" t="n">
        <v>540</v>
      </c>
      <c r="M423" s="2" t="inlineStr">
        <is>
          <t>TCGplayer</t>
        </is>
      </c>
      <c r="O423" s="4" t="inlineStr">
        <is>
          <t>https://www.tcgplayer.com/product/630429</t>
        </is>
      </c>
    </row>
    <row r="424">
      <c r="A424" s="2" t="inlineStr">
        <is>
          <t>Black Bolt Booster Bundle Case</t>
        </is>
      </c>
      <c r="B424" s="3">
        <f>IF(I424&lt;&gt;"",I424,IF(J424&lt;&gt;"",J424,IF(K424&lt;&gt;"",K424,L424)))</f>
        <v>2514.85</v>
      </c>
      <c r="C424" s="3">
        <f>MEDIAN(I424:L424)</f>
        <v>3199.99</v>
      </c>
      <c r="D424" s="3">
        <f>ROUND(C424*(1-Settings!$B$2),2)</f>
        <v>2239.99</v>
      </c>
      <c r="E424" s="3">
        <f>ROUND(C424*(1-Settings!$B$3),2)</f>
        <v>2239.99</v>
      </c>
      <c r="F424" s="2" t="inlineStr">
        <is>
          <t>Pokemon</t>
        </is>
      </c>
      <c r="G424" s="2" t="inlineStr">
        <is>
          <t>Case/Display</t>
        </is>
      </c>
      <c r="H424" s="2" t="inlineStr">
        <is>
          <t>SV: Black Bolt</t>
        </is>
      </c>
      <c r="I424" s="3" t="n"/>
      <c r="J424" s="3" t="n">
        <v>2514.85</v>
      </c>
      <c r="K424" s="3" t="n">
        <v>3260.97</v>
      </c>
      <c r="L424" s="3" t="n">
        <v>3199.99</v>
      </c>
      <c r="M424" s="2" t="inlineStr">
        <is>
          <t>TCGplayer</t>
        </is>
      </c>
      <c r="O424" s="4" t="inlineStr">
        <is>
          <t>https://www.tcgplayer.com/product/630432</t>
        </is>
      </c>
    </row>
    <row r="425">
      <c r="A425" s="2" t="inlineStr">
        <is>
          <t>Black Bolt Booster Bundle Display</t>
        </is>
      </c>
      <c r="B425" s="3">
        <f>IF(I425&lt;&gt;"",I425,IF(J425&lt;&gt;"",J425,IF(K425&lt;&gt;"",K425,L425)))</f>
        <v>1867.69</v>
      </c>
      <c r="C425" s="3">
        <f>MEDIAN(I425:L425)</f>
        <v>1867.69</v>
      </c>
      <c r="D425" s="3">
        <f>ROUND(C425*(1-Settings!$B$2),2)</f>
        <v>1307.38</v>
      </c>
      <c r="E425" s="3">
        <f>ROUND(C425*(1-Settings!$B$3),2)</f>
        <v>1307.38</v>
      </c>
      <c r="F425" s="2" t="inlineStr">
        <is>
          <t>Pokemon</t>
        </is>
      </c>
      <c r="G425" s="2" t="inlineStr">
        <is>
          <t>Case/Display</t>
        </is>
      </c>
      <c r="H425" s="2" t="inlineStr">
        <is>
          <t>SV: Black Bolt</t>
        </is>
      </c>
      <c r="I425" s="3" t="n"/>
      <c r="J425" s="3" t="n">
        <v>1867.69</v>
      </c>
      <c r="K425" s="3" t="n">
        <v>2049.94</v>
      </c>
      <c r="L425" s="3" t="n">
        <v>1824.99</v>
      </c>
      <c r="M425" s="2" t="inlineStr">
        <is>
          <t>TCGplayer</t>
        </is>
      </c>
      <c r="O425" s="4" t="inlineStr">
        <is>
          <t>https://www.tcgplayer.com/product/630433</t>
        </is>
      </c>
    </row>
    <row r="426">
      <c r="A426" s="2" t="inlineStr">
        <is>
          <t>Black Bolt Elite Trainer Box Case</t>
        </is>
      </c>
      <c r="B426" s="3">
        <f>IF(I426&lt;&gt;"",I426,IF(J426&lt;&gt;"",J426,IF(K426&lt;&gt;"",K426,L426)))</f>
        <v>1873.08</v>
      </c>
      <c r="C426" s="3">
        <f>MEDIAN(I426:L426)</f>
        <v>1873.08</v>
      </c>
      <c r="D426" s="3">
        <f>ROUND(C426*(1-Settings!$B$2),2)</f>
        <v>1311.16</v>
      </c>
      <c r="E426" s="3">
        <f>ROUND(C426*(1-Settings!$B$3),2)</f>
        <v>1311.16</v>
      </c>
      <c r="F426" s="2" t="inlineStr">
        <is>
          <t>Pokemon</t>
        </is>
      </c>
      <c r="G426" s="2" t="inlineStr">
        <is>
          <t>Case/Display</t>
        </is>
      </c>
      <c r="H426" s="2" t="inlineStr">
        <is>
          <t>SV: Black Bolt</t>
        </is>
      </c>
      <c r="I426" s="3" t="n"/>
      <c r="J426" s="3" t="n">
        <v>1873.08</v>
      </c>
      <c r="K426" s="3" t="n">
        <v>2098.98</v>
      </c>
      <c r="L426" s="3" t="n">
        <v>1600</v>
      </c>
      <c r="M426" s="2" t="inlineStr">
        <is>
          <t>TCGplayer</t>
        </is>
      </c>
      <c r="O426" s="4" t="inlineStr">
        <is>
          <t>https://www.tcgplayer.com/product/630690</t>
        </is>
      </c>
    </row>
    <row r="427">
      <c r="A427" s="2" t="inlineStr">
        <is>
          <t>Unova Mini Tin Display</t>
        </is>
      </c>
      <c r="B427" s="3">
        <f>IF(I427&lt;&gt;"",I427,IF(J427&lt;&gt;"",J427,IF(K427&lt;&gt;"",K427,L427)))</f>
        <v>251.74</v>
      </c>
      <c r="C427" s="3">
        <f>MEDIAN(I427:L427)</f>
        <v>250.98000000000002</v>
      </c>
      <c r="D427" s="3">
        <f>ROUND(C427*(1-Settings!$B$2),2)</f>
        <v>175.69</v>
      </c>
      <c r="E427" s="3">
        <f>ROUND(C427*(1-Settings!$B$3),2)</f>
        <v>175.69</v>
      </c>
      <c r="F427" s="2" t="inlineStr">
        <is>
          <t>Pokemon</t>
        </is>
      </c>
      <c r="G427" s="2" t="inlineStr">
        <is>
          <t>Case/Display</t>
        </is>
      </c>
      <c r="H427" s="2" t="inlineStr">
        <is>
          <t>SV: Black Bolt</t>
        </is>
      </c>
      <c r="I427" s="3" t="n">
        <v>251.74</v>
      </c>
      <c r="J427" s="3" t="n">
        <v>250.22</v>
      </c>
      <c r="K427" s="3" t="n">
        <v>264.99</v>
      </c>
      <c r="L427" s="3" t="n">
        <v>39.99</v>
      </c>
      <c r="M427" s="2" t="inlineStr">
        <is>
          <t>PriceCharting + TCGplayer</t>
        </is>
      </c>
      <c r="N427" s="4" t="inlineStr">
        <is>
          <t>https://www.pricecharting.com/game/pokemon-black-bolt/unova-mini-tin-display</t>
        </is>
      </c>
      <c r="O427" s="4" t="inlineStr">
        <is>
          <t>https://www.tcgplayer.com/product/630446</t>
        </is>
      </c>
    </row>
    <row r="428">
      <c r="A428" s="2" t="inlineStr">
        <is>
          <t>Unova Mini Tin Display Case</t>
        </is>
      </c>
      <c r="B428" s="3">
        <f>IF(I428&lt;&gt;"",I428,IF(J428&lt;&gt;"",J428,IF(K428&lt;&gt;"",K428,L428)))</f>
        <v>1043.3</v>
      </c>
      <c r="C428" s="3">
        <f>MEDIAN(I428:L428)</f>
        <v>1299.99</v>
      </c>
      <c r="D428" s="3">
        <f>ROUND(C428*(1-Settings!$B$2),2)</f>
        <v>909.99</v>
      </c>
      <c r="E428" s="3">
        <f>ROUND(C428*(1-Settings!$B$3),2)</f>
        <v>909.99</v>
      </c>
      <c r="F428" s="2" t="inlineStr">
        <is>
          <t>Pokemon</t>
        </is>
      </c>
      <c r="G428" s="2" t="inlineStr">
        <is>
          <t>Case/Display</t>
        </is>
      </c>
      <c r="H428" s="2" t="inlineStr">
        <is>
          <t>SV: Black Bolt</t>
        </is>
      </c>
      <c r="I428" s="3" t="n"/>
      <c r="J428" s="3" t="n">
        <v>1043.3</v>
      </c>
      <c r="K428" s="3" t="n">
        <v>1499.97</v>
      </c>
      <c r="L428" s="3" t="n">
        <v>1299.99</v>
      </c>
      <c r="M428" s="2" t="inlineStr">
        <is>
          <t>TCGplayer</t>
        </is>
      </c>
      <c r="O428" s="4" t="inlineStr">
        <is>
          <t>https://www.tcgplayer.com/product/630447</t>
        </is>
      </c>
    </row>
    <row r="429">
      <c r="A429" s="2" t="inlineStr">
        <is>
          <t>Unova Poster Collection Case</t>
        </is>
      </c>
      <c r="B429" s="3">
        <f>IF(I429&lt;&gt;"",I429,IF(J429&lt;&gt;"",J429,IF(K429&lt;&gt;"",K429,L429)))</f>
        <v>293.84</v>
      </c>
      <c r="C429" s="3">
        <f>MEDIAN(I429:L429)</f>
        <v>293.84</v>
      </c>
      <c r="D429" s="3">
        <f>ROUND(C429*(1-Settings!$B$2),2)</f>
        <v>205.69</v>
      </c>
      <c r="E429" s="3">
        <f>ROUND(C429*(1-Settings!$B$3),2)</f>
        <v>205.69</v>
      </c>
      <c r="F429" s="2" t="inlineStr">
        <is>
          <t>Pokemon</t>
        </is>
      </c>
      <c r="G429" s="2" t="inlineStr">
        <is>
          <t>Case/Display</t>
        </is>
      </c>
      <c r="H429" s="2" t="inlineStr">
        <is>
          <t>SV: Black Bolt</t>
        </is>
      </c>
      <c r="I429" s="3" t="n"/>
      <c r="J429" s="3" t="n">
        <v>293.84</v>
      </c>
      <c r="K429" s="3" t="n">
        <v>305</v>
      </c>
      <c r="L429" s="3" t="n">
        <v>289.99</v>
      </c>
      <c r="M429" s="2" t="inlineStr">
        <is>
          <t>TCGplayer</t>
        </is>
      </c>
      <c r="O429" s="4" t="inlineStr">
        <is>
          <t>https://www.tcgplayer.com/product/630613</t>
        </is>
      </c>
    </row>
    <row r="430">
      <c r="A430" s="2" t="inlineStr">
        <is>
          <t>Unova Victini Illustration Collection Case</t>
        </is>
      </c>
      <c r="B430" s="3">
        <f>IF(I430&lt;&gt;"",I430,IF(J430&lt;&gt;"",J430,IF(K430&lt;&gt;"",K430,L430)))</f>
        <v>507.19</v>
      </c>
      <c r="C430" s="3">
        <f>MEDIAN(I430:L430)</f>
        <v>502.5</v>
      </c>
      <c r="D430" s="3">
        <f>ROUND(C430*(1-Settings!$B$2),2)</f>
        <v>351.75</v>
      </c>
      <c r="E430" s="3">
        <f>ROUND(C430*(1-Settings!$B$3),2)</f>
        <v>351.75</v>
      </c>
      <c r="F430" s="2" t="inlineStr">
        <is>
          <t>Pokemon</t>
        </is>
      </c>
      <c r="G430" s="2" t="inlineStr">
        <is>
          <t>Case/Display</t>
        </is>
      </c>
      <c r="H430" s="2" t="inlineStr">
        <is>
          <t>SV: Black Bolt</t>
        </is>
      </c>
      <c r="I430" s="3" t="n"/>
      <c r="J430" s="3" t="n">
        <v>507.19</v>
      </c>
      <c r="K430" s="3" t="n">
        <v>502.5</v>
      </c>
      <c r="L430" s="3" t="n">
        <v>498</v>
      </c>
      <c r="M430" s="2" t="inlineStr">
        <is>
          <t>TCGplayer</t>
        </is>
      </c>
      <c r="O430" s="4" t="inlineStr">
        <is>
          <t>https://www.tcgplayer.com/product/649220</t>
        </is>
      </c>
    </row>
    <row r="431">
      <c r="A431" s="2" t="inlineStr">
        <is>
          <t>Paldean Fates Booster Bundle Display</t>
        </is>
      </c>
      <c r="B431" s="3">
        <f>IF(I431&lt;&gt;"",I431,IF(J431&lt;&gt;"",J431,IF(K431&lt;&gt;"",K431,L431)))</f>
        <v>1627.0</v>
      </c>
      <c r="C431" s="3">
        <f>MEDIAN(I431:L431)</f>
        <v>1594.845</v>
      </c>
      <c r="D431" s="3">
        <f>ROUND(C431*(1-Settings!$B$2),2)</f>
        <v>1116.39</v>
      </c>
      <c r="E431" s="3">
        <f>ROUND(C431*(1-Settings!$B$3),2)</f>
        <v>1116.39</v>
      </c>
      <c r="F431" s="2" t="inlineStr">
        <is>
          <t>Pokemon</t>
        </is>
      </c>
      <c r="G431" s="2" t="inlineStr">
        <is>
          <t>Case/Display</t>
        </is>
      </c>
      <c r="H431" s="2" t="inlineStr">
        <is>
          <t>SV: Paldean Fates</t>
        </is>
      </c>
      <c r="I431" s="3" t="n">
        <v>1627</v>
      </c>
      <c r="J431" s="3" t="n">
        <v>1562.69</v>
      </c>
      <c r="K431" s="3" t="n">
        <v>1825</v>
      </c>
      <c r="L431" s="3" t="n">
        <v>1225.67</v>
      </c>
      <c r="M431" s="2" t="inlineStr">
        <is>
          <t>PriceCharting + TCGplayer</t>
        </is>
      </c>
      <c r="N431" s="4" t="inlineStr">
        <is>
          <t>https://www.pricecharting.com/game/pokemon-paldean-fates/booster-bundle-display</t>
        </is>
      </c>
      <c r="O431" s="4" t="inlineStr">
        <is>
          <t>https://www.tcgplayer.com/product/530704</t>
        </is>
      </c>
    </row>
    <row r="432">
      <c r="A432" s="2" t="inlineStr">
        <is>
          <t>Paldean Fates Elite Trainer Box Case</t>
        </is>
      </c>
      <c r="B432" s="3">
        <f>IF(I432&lt;&gt;"",I432,IF(J432&lt;&gt;"",J432,IF(K432&lt;&gt;"",K432,L432)))</f>
        <v>4064.48</v>
      </c>
      <c r="C432" s="3">
        <f>MEDIAN(I432:L432)</f>
        <v>4994.95</v>
      </c>
      <c r="D432" s="3">
        <f>ROUND(C432*(1-Settings!$B$2),2)</f>
        <v>3496.47</v>
      </c>
      <c r="E432" s="3">
        <f>ROUND(C432*(1-Settings!$B$3),2)</f>
        <v>3496.47</v>
      </c>
      <c r="F432" s="2" t="inlineStr">
        <is>
          <t>Pokemon</t>
        </is>
      </c>
      <c r="G432" s="2" t="inlineStr">
        <is>
          <t>Case/Display</t>
        </is>
      </c>
      <c r="H432" s="2" t="inlineStr">
        <is>
          <t>SV: Paldean Fates</t>
        </is>
      </c>
      <c r="I432" s="3" t="n"/>
      <c r="J432" s="3" t="n">
        <v>4064.48</v>
      </c>
      <c r="K432" s="3" t="n">
        <v>5499.49</v>
      </c>
      <c r="L432" s="3" t="n">
        <v>4994.95</v>
      </c>
      <c r="M432" s="2" t="inlineStr">
        <is>
          <t>TCGplayer</t>
        </is>
      </c>
      <c r="O432" s="4" t="inlineStr">
        <is>
          <t>https://www.tcgplayer.com/product/530700</t>
        </is>
      </c>
    </row>
    <row r="433">
      <c r="A433" s="2" t="inlineStr">
        <is>
          <t>Paldean Fates Mini Tin Display</t>
        </is>
      </c>
      <c r="B433" s="3">
        <f>IF(I433&lt;&gt;"",I433,IF(J433&lt;&gt;"",J433,IF(K433&lt;&gt;"",K433,L433)))</f>
        <v>507.52</v>
      </c>
      <c r="C433" s="3">
        <f>MEDIAN(I433:L433)</f>
        <v>509.99</v>
      </c>
      <c r="D433" s="3">
        <f>ROUND(C433*(1-Settings!$B$2),2)</f>
        <v>356.99</v>
      </c>
      <c r="E433" s="3">
        <f>ROUND(C433*(1-Settings!$B$3),2)</f>
        <v>356.99</v>
      </c>
      <c r="F433" s="2" t="inlineStr">
        <is>
          <t>Pokemon</t>
        </is>
      </c>
      <c r="G433" s="2" t="inlineStr">
        <is>
          <t>Case/Display</t>
        </is>
      </c>
      <c r="H433" s="2" t="inlineStr">
        <is>
          <t>SV: Paldean Fates</t>
        </is>
      </c>
      <c r="I433" s="3" t="n"/>
      <c r="J433" s="3" t="n">
        <v>507.52</v>
      </c>
      <c r="K433" s="3" t="n">
        <v>575</v>
      </c>
      <c r="L433" s="3" t="n">
        <v>509.99</v>
      </c>
      <c r="M433" s="2" t="inlineStr">
        <is>
          <t>TCGplayer</t>
        </is>
      </c>
      <c r="O433" s="4" t="inlineStr">
        <is>
          <t>https://www.tcgplayer.com/product/528047</t>
        </is>
      </c>
    </row>
    <row r="434">
      <c r="A434" s="2" t="inlineStr">
        <is>
          <t>Paldean Fates Mini Tin Display Case</t>
        </is>
      </c>
      <c r="B434" s="3">
        <f>IF(I434&lt;&gt;"",I434,IF(J434&lt;&gt;"",J434,IF(K434&lt;&gt;"",K434,L434)))</f>
        <v>1999.0</v>
      </c>
      <c r="C434" s="3">
        <f>MEDIAN(I434:L434)</f>
        <v>1999.0</v>
      </c>
      <c r="D434" s="3">
        <f>ROUND(C434*(1-Settings!$B$2),2)</f>
        <v>1399.3</v>
      </c>
      <c r="E434" s="3">
        <f>ROUND(C434*(1-Settings!$B$3),2)</f>
        <v>1399.3</v>
      </c>
      <c r="F434" s="2" t="inlineStr">
        <is>
          <t>Pokemon</t>
        </is>
      </c>
      <c r="G434" s="2" t="inlineStr">
        <is>
          <t>Case/Display</t>
        </is>
      </c>
      <c r="H434" s="2" t="inlineStr">
        <is>
          <t>SV: Paldean Fates</t>
        </is>
      </c>
      <c r="I434" s="3" t="n"/>
      <c r="J434" s="3" t="n"/>
      <c r="K434" s="3" t="n">
        <v>1999</v>
      </c>
      <c r="L434" s="3" t="n">
        <v>1999</v>
      </c>
      <c r="M434" s="2" t="inlineStr">
        <is>
          <t>TCGplayer</t>
        </is>
      </c>
      <c r="O434" s="4" t="inlineStr">
        <is>
          <t>https://www.tcgplayer.com/product/693612</t>
        </is>
      </c>
    </row>
    <row r="435">
      <c r="A435" s="2" t="inlineStr">
        <is>
          <t>Paldean Fates Pokemon Center Elite Trainer Box (Exclusive) Case</t>
        </is>
      </c>
      <c r="B435" s="3">
        <f>IF(I435&lt;&gt;"",I435,IF(J435&lt;&gt;"",J435,IF(K435&lt;&gt;"",K435,L435)))</f>
        <v>2715.0</v>
      </c>
      <c r="C435" s="3">
        <f>MEDIAN(I435:L435)</f>
        <v>2715.0</v>
      </c>
      <c r="D435" s="3">
        <f>ROUND(C435*(1-Settings!$B$2),2)</f>
        <v>1900.5</v>
      </c>
      <c r="E435" s="3">
        <f>ROUND(C435*(1-Settings!$B$3),2)</f>
        <v>1900.5</v>
      </c>
      <c r="F435" s="2" t="inlineStr">
        <is>
          <t>Pokemon</t>
        </is>
      </c>
      <c r="G435" s="2" t="inlineStr">
        <is>
          <t>Case/Display</t>
        </is>
      </c>
      <c r="H435" s="2" t="inlineStr">
        <is>
          <t>SV: Paldean Fates</t>
        </is>
      </c>
      <c r="I435" s="3" t="n"/>
      <c r="J435" s="3" t="n">
        <v>2715</v>
      </c>
      <c r="K435" s="3" t="n">
        <v>4994.44</v>
      </c>
      <c r="L435" s="3" t="n">
        <v>2700</v>
      </c>
      <c r="M435" s="2" t="inlineStr">
        <is>
          <t>TCGplayer</t>
        </is>
      </c>
      <c r="O435" s="4" t="inlineStr">
        <is>
          <t>https://www.tcgplayer.com/product/536266</t>
        </is>
      </c>
    </row>
    <row r="436">
      <c r="A436" s="2" t="inlineStr">
        <is>
          <t>Paldean Fates Tech Sticker Collection Case</t>
        </is>
      </c>
      <c r="B436" s="3">
        <f>IF(I436&lt;&gt;"",I436,IF(J436&lt;&gt;"",J436,IF(K436&lt;&gt;"",K436,L436)))</f>
        <v>713.66</v>
      </c>
      <c r="C436" s="3">
        <f>MEDIAN(I436:L436)</f>
        <v>839.95</v>
      </c>
      <c r="D436" s="3">
        <f>ROUND(C436*(1-Settings!$B$2),2)</f>
        <v>587.97</v>
      </c>
      <c r="E436" s="3">
        <f>ROUND(C436*(1-Settings!$B$3),2)</f>
        <v>587.97</v>
      </c>
      <c r="F436" s="2" t="inlineStr">
        <is>
          <t>Pokemon</t>
        </is>
      </c>
      <c r="G436" s="2" t="inlineStr">
        <is>
          <t>Case/Display</t>
        </is>
      </c>
      <c r="H436" s="2" t="inlineStr">
        <is>
          <t>SV: Paldean Fates</t>
        </is>
      </c>
      <c r="I436" s="3" t="n"/>
      <c r="J436" s="3" t="n">
        <v>713.66</v>
      </c>
      <c r="K436" s="3" t="n">
        <v>839.98</v>
      </c>
      <c r="L436" s="3" t="n">
        <v>839.95</v>
      </c>
      <c r="M436" s="2" t="inlineStr">
        <is>
          <t>TCGplayer</t>
        </is>
      </c>
      <c r="O436" s="4" t="inlineStr">
        <is>
          <t>https://www.tcgplayer.com/product/654599</t>
        </is>
      </c>
    </row>
    <row r="437">
      <c r="A437" s="2" t="inlineStr">
        <is>
          <t>Paldean Fates Tin Case</t>
        </is>
      </c>
      <c r="B437" s="3">
        <f>IF(I437&lt;&gt;"",I437,IF(J437&lt;&gt;"",J437,IF(K437&lt;&gt;"",K437,L437)))</f>
        <v>1612.48</v>
      </c>
      <c r="C437" s="3">
        <f>MEDIAN(I437:L437)</f>
        <v>1606.2350000000001</v>
      </c>
      <c r="D437" s="3">
        <f>ROUND(C437*(1-Settings!$B$2),2)</f>
        <v>1124.36</v>
      </c>
      <c r="E437" s="3">
        <f>ROUND(C437*(1-Settings!$B$3),2)</f>
        <v>1124.36</v>
      </c>
      <c r="F437" s="2" t="inlineStr">
        <is>
          <t>Pokemon</t>
        </is>
      </c>
      <c r="G437" s="2" t="inlineStr">
        <is>
          <t>Case/Display</t>
        </is>
      </c>
      <c r="H437" s="2" t="inlineStr">
        <is>
          <t>SV: Paldean Fates</t>
        </is>
      </c>
      <c r="I437" s="3" t="n"/>
      <c r="J437" s="3" t="n"/>
      <c r="K437" s="3" t="n">
        <v>1612.48</v>
      </c>
      <c r="L437" s="3" t="n">
        <v>1599.99</v>
      </c>
      <c r="M437" s="2" t="inlineStr">
        <is>
          <t>TCGplayer</t>
        </is>
      </c>
      <c r="O437" s="4" t="inlineStr">
        <is>
          <t>https://www.tcgplayer.com/product/688258</t>
        </is>
      </c>
    </row>
    <row r="438">
      <c r="A438" s="2" t="inlineStr">
        <is>
          <t>Prismatic Evolution Booster Bundle Display Case</t>
        </is>
      </c>
      <c r="B438" s="3">
        <f>IF(I438&lt;&gt;"",I438,IF(J438&lt;&gt;"",J438,IF(K438&lt;&gt;"",K438,L438)))</f>
        <v>13000.0</v>
      </c>
      <c r="C438" s="3">
        <f>MEDIAN(I438:L438)</f>
        <v>13000.0</v>
      </c>
      <c r="D438" s="3">
        <f>ROUND(C438*(1-Settings!$B$2),2)</f>
        <v>9100.0</v>
      </c>
      <c r="E438" s="3">
        <f>ROUND(C438*(1-Settings!$B$3),2)</f>
        <v>9100.0</v>
      </c>
      <c r="F438" s="2" t="inlineStr">
        <is>
          <t>Pokemon</t>
        </is>
      </c>
      <c r="G438" s="2" t="inlineStr">
        <is>
          <t>Case/Display</t>
        </is>
      </c>
      <c r="H438" s="2" t="inlineStr">
        <is>
          <t>SV: Prismatic Evolutions</t>
        </is>
      </c>
      <c r="I438" s="3" t="n"/>
      <c r="J438" s="3" t="n"/>
      <c r="K438" s="3" t="n">
        <v>13000</v>
      </c>
      <c r="L438" s="3" t="n"/>
      <c r="M438" s="2" t="inlineStr">
        <is>
          <t>TCGplayer</t>
        </is>
      </c>
      <c r="O438" s="4" t="inlineStr">
        <is>
          <t>https://www.tcgplayer.com/product/635011</t>
        </is>
      </c>
    </row>
    <row r="439">
      <c r="A439" s="2" t="inlineStr">
        <is>
          <t>Prismatic Evolutions 2-Pack Blister Case</t>
        </is>
      </c>
      <c r="B439" s="3">
        <f>IF(I439&lt;&gt;"",I439,IF(J439&lt;&gt;"",J439,IF(K439&lt;&gt;"",K439,L439)))</f>
        <v>836.18</v>
      </c>
      <c r="C439" s="3">
        <f>MEDIAN(I439:L439)</f>
        <v>836.18</v>
      </c>
      <c r="D439" s="3">
        <f>ROUND(C439*(1-Settings!$B$2),2)</f>
        <v>585.33</v>
      </c>
      <c r="E439" s="3">
        <f>ROUND(C439*(1-Settings!$B$3),2)</f>
        <v>585.33</v>
      </c>
      <c r="F439" s="2" t="inlineStr">
        <is>
          <t>Pokemon</t>
        </is>
      </c>
      <c r="G439" s="2" t="inlineStr">
        <is>
          <t>Case/Display</t>
        </is>
      </c>
      <c r="H439" s="2" t="inlineStr">
        <is>
          <t>SV: Prismatic Evolutions</t>
        </is>
      </c>
      <c r="I439" s="3" t="n"/>
      <c r="J439" s="3" t="n">
        <v>836.1799999999999</v>
      </c>
      <c r="K439" s="3" t="n">
        <v>930</v>
      </c>
      <c r="L439" s="3" t="n">
        <v>749.98</v>
      </c>
      <c r="M439" s="2" t="inlineStr">
        <is>
          <t>TCGplayer</t>
        </is>
      </c>
      <c r="O439" s="4" t="inlineStr">
        <is>
          <t>https://www.tcgplayer.com/product/620024</t>
        </is>
      </c>
    </row>
    <row r="440">
      <c r="A440" s="2" t="inlineStr">
        <is>
          <t>Prismatic Evolutions Accessory Pouch Special Collection Case</t>
        </is>
      </c>
      <c r="B440" s="3">
        <f>IF(I440&lt;&gt;"",I440,IF(J440&lt;&gt;"",J440,IF(K440&lt;&gt;"",K440,L440)))</f>
        <v>595.0</v>
      </c>
      <c r="C440" s="3">
        <f>MEDIAN(I440:L440)</f>
        <v>595.0</v>
      </c>
      <c r="D440" s="3">
        <f>ROUND(C440*(1-Settings!$B$2),2)</f>
        <v>416.5</v>
      </c>
      <c r="E440" s="3">
        <f>ROUND(C440*(1-Settings!$B$3),2)</f>
        <v>416.5</v>
      </c>
      <c r="F440" s="2" t="inlineStr">
        <is>
          <t>Pokemon</t>
        </is>
      </c>
      <c r="G440" s="2" t="inlineStr">
        <is>
          <t>Case/Display</t>
        </is>
      </c>
      <c r="H440" s="2" t="inlineStr">
        <is>
          <t>SV: Prismatic Evolutions</t>
        </is>
      </c>
      <c r="I440" s="3" t="n"/>
      <c r="J440" s="3" t="n">
        <v>595</v>
      </c>
      <c r="K440" s="3" t="n">
        <v>1000</v>
      </c>
      <c r="L440" s="3" t="n">
        <v>475</v>
      </c>
      <c r="M440" s="2" t="inlineStr">
        <is>
          <t>TCGplayer</t>
        </is>
      </c>
      <c r="O440" s="4" t="inlineStr">
        <is>
          <t>https://www.tcgplayer.com/product/629828</t>
        </is>
      </c>
    </row>
    <row r="441">
      <c r="A441" s="2" t="inlineStr">
        <is>
          <t>Prismatic Evolutions Booster Bundle Case</t>
        </is>
      </c>
      <c r="B441" s="3">
        <f>IF(I441&lt;&gt;"",I441,IF(J441&lt;&gt;"",J441,IF(K441&lt;&gt;"",K441,L441)))</f>
        <v>2254.98</v>
      </c>
      <c r="C441" s="3">
        <f>MEDIAN(I441:L441)</f>
        <v>2254.98</v>
      </c>
      <c r="D441" s="3">
        <f>ROUND(C441*(1-Settings!$B$2),2)</f>
        <v>1578.49</v>
      </c>
      <c r="E441" s="3">
        <f>ROUND(C441*(1-Settings!$B$3),2)</f>
        <v>1578.49</v>
      </c>
      <c r="F441" s="2" t="inlineStr">
        <is>
          <t>Pokemon</t>
        </is>
      </c>
      <c r="G441" s="2" t="inlineStr">
        <is>
          <t>Case/Display</t>
        </is>
      </c>
      <c r="H441" s="2" t="inlineStr">
        <is>
          <t>SV: Prismatic Evolutions</t>
        </is>
      </c>
      <c r="I441" s="3" t="n"/>
      <c r="J441" s="3" t="n">
        <v>2254.98</v>
      </c>
      <c r="K441" s="3" t="n">
        <v>2397.45</v>
      </c>
      <c r="L441" s="3" t="n">
        <v>2220</v>
      </c>
      <c r="M441" s="2" t="inlineStr">
        <is>
          <t>TCGplayer</t>
        </is>
      </c>
      <c r="O441" s="4" t="inlineStr">
        <is>
          <t>https://www.tcgplayer.com/product/615027</t>
        </is>
      </c>
    </row>
    <row r="442">
      <c r="A442" s="2" t="inlineStr">
        <is>
          <t>Prismatic Evolutions Booster Bundle Display</t>
        </is>
      </c>
      <c r="B442" s="3">
        <f>IF(I442&lt;&gt;"",I442,IF(J442&lt;&gt;"",J442,IF(K442&lt;&gt;"",K442,L442)))</f>
        <v>1917.98</v>
      </c>
      <c r="C442" s="3">
        <f>MEDIAN(I442:L442)</f>
        <v>1917.98</v>
      </c>
      <c r="D442" s="3">
        <f>ROUND(C442*(1-Settings!$B$2),2)</f>
        <v>1342.59</v>
      </c>
      <c r="E442" s="3">
        <f>ROUND(C442*(1-Settings!$B$3),2)</f>
        <v>1342.59</v>
      </c>
      <c r="F442" s="2" t="inlineStr">
        <is>
          <t>Pokemon</t>
        </is>
      </c>
      <c r="G442" s="2" t="inlineStr">
        <is>
          <t>Case/Display</t>
        </is>
      </c>
      <c r="H442" s="2" t="inlineStr">
        <is>
          <t>SV: Prismatic Evolutions</t>
        </is>
      </c>
      <c r="I442" s="3" t="n"/>
      <c r="J442" s="3" t="n">
        <v>1917.98</v>
      </c>
      <c r="K442" s="3" t="n">
        <v>2115.49</v>
      </c>
      <c r="L442" s="3" t="n">
        <v>1874.99</v>
      </c>
      <c r="M442" s="2" t="inlineStr">
        <is>
          <t>TCGplayer</t>
        </is>
      </c>
      <c r="O442" s="4" t="inlineStr">
        <is>
          <t>https://www.tcgplayer.com/product/610317</t>
        </is>
      </c>
    </row>
    <row r="443">
      <c r="A443" s="2" t="inlineStr">
        <is>
          <t>Prismatic Evolutions Elite Trainer Box Case</t>
        </is>
      </c>
      <c r="B443" s="3">
        <f>IF(I443&lt;&gt;"",I443,IF(J443&lt;&gt;"",J443,IF(K443&lt;&gt;"",K443,L443)))</f>
        <v>1265.59</v>
      </c>
      <c r="C443" s="3">
        <f>MEDIAN(I443:L443)</f>
        <v>1277.99</v>
      </c>
      <c r="D443" s="3">
        <f>ROUND(C443*(1-Settings!$B$2),2)</f>
        <v>894.59</v>
      </c>
      <c r="E443" s="3">
        <f>ROUND(C443*(1-Settings!$B$3),2)</f>
        <v>894.59</v>
      </c>
      <c r="F443" s="2" t="inlineStr">
        <is>
          <t>Pokemon</t>
        </is>
      </c>
      <c r="G443" s="2" t="inlineStr">
        <is>
          <t>Case/Display</t>
        </is>
      </c>
      <c r="H443" s="2" t="inlineStr">
        <is>
          <t>SV: Prismatic Evolutions</t>
        </is>
      </c>
      <c r="I443" s="3" t="n"/>
      <c r="J443" s="3" t="n">
        <v>1265.59</v>
      </c>
      <c r="K443" s="3" t="n">
        <v>1724.97</v>
      </c>
      <c r="L443" s="3" t="n">
        <v>1277.99</v>
      </c>
      <c r="M443" s="2" t="inlineStr">
        <is>
          <t>TCGplayer</t>
        </is>
      </c>
      <c r="O443" s="4" t="inlineStr">
        <is>
          <t>https://www.tcgplayer.com/product/598487</t>
        </is>
      </c>
    </row>
    <row r="444">
      <c r="A444" s="2" t="inlineStr">
        <is>
          <t>Prismatic Evolutions Elite Trainer Box Case (Dollar General Exclusive)</t>
        </is>
      </c>
      <c r="B444" s="3">
        <f>IF(I444&lt;&gt;"",I444,IF(J444&lt;&gt;"",J444,IF(K444&lt;&gt;"",K444,L444)))</f>
        <v>1875.0</v>
      </c>
      <c r="C444" s="3">
        <f>MEDIAN(I444:L444)</f>
        <v>1362.495</v>
      </c>
      <c r="D444" s="3">
        <f>ROUND(C444*(1-Settings!$B$2),2)</f>
        <v>953.75</v>
      </c>
      <c r="E444" s="3">
        <f>ROUND(C444*(1-Settings!$B$3),2)</f>
        <v>953.75</v>
      </c>
      <c r="F444" s="2" t="inlineStr">
        <is>
          <t>Pokemon</t>
        </is>
      </c>
      <c r="G444" s="2" t="inlineStr">
        <is>
          <t>Case/Display</t>
        </is>
      </c>
      <c r="H444" s="2" t="inlineStr">
        <is>
          <t>SV: Prismatic Evolutions</t>
        </is>
      </c>
      <c r="I444" s="3" t="n"/>
      <c r="J444" s="3" t="n"/>
      <c r="K444" s="3" t="n">
        <v>1875</v>
      </c>
      <c r="L444" s="3" t="n">
        <v>849.99</v>
      </c>
      <c r="M444" s="2" t="inlineStr">
        <is>
          <t>TCGplayer</t>
        </is>
      </c>
      <c r="O444" s="4" t="inlineStr">
        <is>
          <t>https://www.tcgplayer.com/product/670608</t>
        </is>
      </c>
    </row>
    <row r="445">
      <c r="A445" s="2" t="inlineStr">
        <is>
          <t>Prismatic Evolutions Mini Tin Display</t>
        </is>
      </c>
      <c r="B445" s="3">
        <f>IF(I445&lt;&gt;"",I445,IF(J445&lt;&gt;"",J445,IF(K445&lt;&gt;"",K445,L445)))</f>
        <v>235.0</v>
      </c>
      <c r="C445" s="3">
        <f>MEDIAN(I445:L445)</f>
        <v>234.76999999999998</v>
      </c>
      <c r="D445" s="3">
        <f>ROUND(C445*(1-Settings!$B$2),2)</f>
        <v>164.34</v>
      </c>
      <c r="E445" s="3">
        <f>ROUND(C445*(1-Settings!$B$3),2)</f>
        <v>164.34</v>
      </c>
      <c r="F445" s="2" t="inlineStr">
        <is>
          <t>Pokemon</t>
        </is>
      </c>
      <c r="G445" s="2" t="inlineStr">
        <is>
          <t>Case/Display</t>
        </is>
      </c>
      <c r="H445" s="2" t="inlineStr">
        <is>
          <t>SV: Prismatic Evolutions</t>
        </is>
      </c>
      <c r="I445" s="3" t="n">
        <v>235</v>
      </c>
      <c r="J445" s="3" t="n">
        <v>234.54</v>
      </c>
      <c r="K445" s="3" t="n">
        <v>255</v>
      </c>
      <c r="L445" s="3" t="n">
        <v>217.93</v>
      </c>
      <c r="M445" s="2" t="inlineStr">
        <is>
          <t>PriceCharting + TCGplayer</t>
        </is>
      </c>
      <c r="N445" s="4" t="inlineStr">
        <is>
          <t>https://www.pricecharting.com/game/pokemon-prismatic-evolutions/mini-tin-display</t>
        </is>
      </c>
      <c r="O445" s="4" t="inlineStr">
        <is>
          <t>https://www.tcgplayer.com/product/593463</t>
        </is>
      </c>
    </row>
    <row r="446">
      <c r="A446" s="2" t="inlineStr">
        <is>
          <t>Prismatic Evolutions Mini Tin Display Case</t>
        </is>
      </c>
      <c r="B446" s="3">
        <f>IF(I446&lt;&gt;"",I446,IF(J446&lt;&gt;"",J446,IF(K446&lt;&gt;"",K446,L446)))</f>
        <v>1042.97</v>
      </c>
      <c r="C446" s="3">
        <f>MEDIAN(I446:L446)</f>
        <v>1049.99</v>
      </c>
      <c r="D446" s="3">
        <f>ROUND(C446*(1-Settings!$B$2),2)</f>
        <v>734.99</v>
      </c>
      <c r="E446" s="3">
        <f>ROUND(C446*(1-Settings!$B$3),2)</f>
        <v>734.99</v>
      </c>
      <c r="F446" s="2" t="inlineStr">
        <is>
          <t>Pokemon</t>
        </is>
      </c>
      <c r="G446" s="2" t="inlineStr">
        <is>
          <t>Case/Display</t>
        </is>
      </c>
      <c r="H446" s="2" t="inlineStr">
        <is>
          <t>SV: Prismatic Evolutions</t>
        </is>
      </c>
      <c r="I446" s="3" t="n"/>
      <c r="J446" s="3" t="n">
        <v>1042.97</v>
      </c>
      <c r="K446" s="3" t="n">
        <v>1150</v>
      </c>
      <c r="L446" s="3" t="n">
        <v>1049.99</v>
      </c>
      <c r="M446" s="2" t="inlineStr">
        <is>
          <t>TCGplayer</t>
        </is>
      </c>
      <c r="O446" s="4" t="inlineStr">
        <is>
          <t>https://www.tcgplayer.com/product/614356</t>
        </is>
      </c>
    </row>
    <row r="447">
      <c r="A447" s="2" t="inlineStr">
        <is>
          <t>Prismatic Evolutions Pokemon Center Elite Trainer Box (Exclusive) Case</t>
        </is>
      </c>
      <c r="B447" s="3">
        <f>IF(I447&lt;&gt;"",I447,IF(J447&lt;&gt;"",J447,IF(K447&lt;&gt;"",K447,L447)))</f>
        <v>2748.62</v>
      </c>
      <c r="C447" s="3">
        <f>MEDIAN(I447:L447)</f>
        <v>2748.62</v>
      </c>
      <c r="D447" s="3">
        <f>ROUND(C447*(1-Settings!$B$2),2)</f>
        <v>1924.03</v>
      </c>
      <c r="E447" s="3">
        <f>ROUND(C447*(1-Settings!$B$3),2)</f>
        <v>1924.03</v>
      </c>
      <c r="F447" s="2" t="inlineStr">
        <is>
          <t>Pokemon</t>
        </is>
      </c>
      <c r="G447" s="2" t="inlineStr">
        <is>
          <t>Case/Display</t>
        </is>
      </c>
      <c r="H447" s="2" t="inlineStr">
        <is>
          <t>SV: Prismatic Evolutions</t>
        </is>
      </c>
      <c r="I447" s="3" t="n"/>
      <c r="J447" s="3" t="n">
        <v>2748.62</v>
      </c>
      <c r="K447" s="3" t="n">
        <v>3247.49</v>
      </c>
      <c r="L447" s="3" t="n">
        <v>2400</v>
      </c>
      <c r="M447" s="2" t="inlineStr">
        <is>
          <t>TCGplayer</t>
        </is>
      </c>
      <c r="O447" s="4" t="inlineStr">
        <is>
          <t>https://www.tcgplayer.com/product/600697</t>
        </is>
      </c>
    </row>
    <row r="448">
      <c r="A448" s="2" t="inlineStr">
        <is>
          <t>Prismatic Evolutions Poster Collection Case</t>
        </is>
      </c>
      <c r="B448" s="3">
        <f>IF(I448&lt;&gt;"",I448,IF(J448&lt;&gt;"",J448,IF(K448&lt;&gt;"",K448,L448)))</f>
        <v>237.93</v>
      </c>
      <c r="C448" s="3">
        <f>MEDIAN(I448:L448)</f>
        <v>239.53</v>
      </c>
      <c r="D448" s="3">
        <f>ROUND(C448*(1-Settings!$B$2),2)</f>
        <v>167.67</v>
      </c>
      <c r="E448" s="3">
        <f>ROUND(C448*(1-Settings!$B$3),2)</f>
        <v>167.67</v>
      </c>
      <c r="F448" s="2" t="inlineStr">
        <is>
          <t>Pokemon</t>
        </is>
      </c>
      <c r="G448" s="2" t="inlineStr">
        <is>
          <t>Case/Display</t>
        </is>
      </c>
      <c r="H448" s="2" t="inlineStr">
        <is>
          <t>SV: Prismatic Evolutions</t>
        </is>
      </c>
      <c r="I448" s="3" t="n"/>
      <c r="J448" s="3" t="n">
        <v>237.93</v>
      </c>
      <c r="K448" s="3" t="n">
        <v>299.99</v>
      </c>
      <c r="L448" s="3" t="n">
        <v>239.53</v>
      </c>
      <c r="M448" s="2" t="inlineStr">
        <is>
          <t>TCGplayer</t>
        </is>
      </c>
      <c r="O448" s="4" t="inlineStr">
        <is>
          <t>https://www.tcgplayer.com/product/598486</t>
        </is>
      </c>
    </row>
    <row r="449">
      <c r="A449" s="2" t="inlineStr">
        <is>
          <t>Prismatic Evolutions Premium Figure Collection Case</t>
        </is>
      </c>
      <c r="B449" s="3">
        <f>IF(I449&lt;&gt;"",I449,IF(J449&lt;&gt;"",J449,IF(K449&lt;&gt;"",K449,L449)))</f>
        <v>1318.2</v>
      </c>
      <c r="C449" s="3">
        <f>MEDIAN(I449:L449)</f>
        <v>2100.0</v>
      </c>
      <c r="D449" s="3">
        <f>ROUND(C449*(1-Settings!$B$2),2)</f>
        <v>1470.0</v>
      </c>
      <c r="E449" s="3">
        <f>ROUND(C449*(1-Settings!$B$3),2)</f>
        <v>1470.0</v>
      </c>
      <c r="F449" s="2" t="inlineStr">
        <is>
          <t>Pokemon</t>
        </is>
      </c>
      <c r="G449" s="2" t="inlineStr">
        <is>
          <t>Case/Display</t>
        </is>
      </c>
      <c r="H449" s="2" t="inlineStr">
        <is>
          <t>SV: Prismatic Evolutions</t>
        </is>
      </c>
      <c r="I449" s="3" t="n"/>
      <c r="J449" s="3" t="n">
        <v>1318.2</v>
      </c>
      <c r="K449" s="3" t="n">
        <v>2110</v>
      </c>
      <c r="L449" s="3" t="n">
        <v>2100</v>
      </c>
      <c r="M449" s="2" t="inlineStr">
        <is>
          <t>TCGplayer</t>
        </is>
      </c>
      <c r="O449" s="4" t="inlineStr">
        <is>
          <t>https://www.tcgplayer.com/product/650804</t>
        </is>
      </c>
    </row>
    <row r="450">
      <c r="A450" s="2" t="inlineStr">
        <is>
          <t>Prismatic Evolutions Super-Premium Collection Case</t>
        </is>
      </c>
      <c r="B450" s="3">
        <f>IF(I450&lt;&gt;"",I450,IF(J450&lt;&gt;"",J450,IF(K450&lt;&gt;"",K450,L450)))</f>
        <v>1071.78</v>
      </c>
      <c r="C450" s="3">
        <f>MEDIAN(I450:L450)</f>
        <v>1071.78</v>
      </c>
      <c r="D450" s="3">
        <f>ROUND(C450*(1-Settings!$B$2),2)</f>
        <v>750.25</v>
      </c>
      <c r="E450" s="3">
        <f>ROUND(C450*(1-Settings!$B$3),2)</f>
        <v>750.25</v>
      </c>
      <c r="F450" s="2" t="inlineStr">
        <is>
          <t>Pokemon</t>
        </is>
      </c>
      <c r="G450" s="2" t="inlineStr">
        <is>
          <t>Case/Display</t>
        </is>
      </c>
      <c r="H450" s="2" t="inlineStr">
        <is>
          <t>SV: Prismatic Evolutions</t>
        </is>
      </c>
      <c r="I450" s="3" t="n"/>
      <c r="J450" s="3" t="n">
        <v>1071.78</v>
      </c>
      <c r="K450" s="3" t="n">
        <v>1349.95</v>
      </c>
      <c r="L450" s="3" t="n">
        <v>1067</v>
      </c>
      <c r="M450" s="2" t="inlineStr">
        <is>
          <t>TCGplayer</t>
        </is>
      </c>
      <c r="O450" s="4" t="inlineStr">
        <is>
          <t>https://www.tcgplayer.com/product/638058</t>
        </is>
      </c>
    </row>
    <row r="451">
      <c r="A451" s="2" t="inlineStr">
        <is>
          <t>Prismatic Evolutions Surprise Box Case</t>
        </is>
      </c>
      <c r="B451" s="3">
        <f>IF(I451&lt;&gt;"",I451,IF(J451&lt;&gt;"",J451,IF(K451&lt;&gt;"",K451,L451)))</f>
        <v>423.33</v>
      </c>
      <c r="C451" s="3">
        <f>MEDIAN(I451:L451)</f>
        <v>423.33</v>
      </c>
      <c r="D451" s="3">
        <f>ROUND(C451*(1-Settings!$B$2),2)</f>
        <v>296.33</v>
      </c>
      <c r="E451" s="3">
        <f>ROUND(C451*(1-Settings!$B$3),2)</f>
        <v>296.33</v>
      </c>
      <c r="F451" s="2" t="inlineStr">
        <is>
          <t>Pokemon</t>
        </is>
      </c>
      <c r="G451" s="2" t="inlineStr">
        <is>
          <t>Case/Display</t>
        </is>
      </c>
      <c r="H451" s="2" t="inlineStr">
        <is>
          <t>SV: Prismatic Evolutions</t>
        </is>
      </c>
      <c r="I451" s="3" t="n"/>
      <c r="J451" s="3" t="n">
        <v>423.33</v>
      </c>
      <c r="K451" s="3" t="n">
        <v>515</v>
      </c>
      <c r="L451" s="3" t="n">
        <v>420</v>
      </c>
      <c r="M451" s="2" t="inlineStr">
        <is>
          <t>TCGplayer</t>
        </is>
      </c>
      <c r="O451" s="4" t="inlineStr">
        <is>
          <t>https://www.tcgplayer.com/product/598470</t>
        </is>
      </c>
    </row>
    <row r="452">
      <c r="A452" s="2" t="inlineStr">
        <is>
          <t>Prismatic Evolutions Tech Sticker Collection Case</t>
        </is>
      </c>
      <c r="B452" s="3">
        <f>IF(I452&lt;&gt;"",I452,IF(J452&lt;&gt;"",J452,IF(K452&lt;&gt;"",K452,L452)))</f>
        <v>492.23</v>
      </c>
      <c r="C452" s="3">
        <f>MEDIAN(I452:L452)</f>
        <v>535.0</v>
      </c>
      <c r="D452" s="3">
        <f>ROUND(C452*(1-Settings!$B$2),2)</f>
        <v>374.5</v>
      </c>
      <c r="E452" s="3">
        <f>ROUND(C452*(1-Settings!$B$3),2)</f>
        <v>374.5</v>
      </c>
      <c r="F452" s="2" t="inlineStr">
        <is>
          <t>Pokemon</t>
        </is>
      </c>
      <c r="G452" s="2" t="inlineStr">
        <is>
          <t>Case/Display</t>
        </is>
      </c>
      <c r="H452" s="2" t="inlineStr">
        <is>
          <t>SV: Prismatic Evolutions</t>
        </is>
      </c>
      <c r="I452" s="3" t="n"/>
      <c r="J452" s="3" t="n">
        <v>492.23</v>
      </c>
      <c r="K452" s="3" t="n">
        <v>598.99</v>
      </c>
      <c r="L452" s="3" t="n">
        <v>535</v>
      </c>
      <c r="M452" s="2" t="inlineStr">
        <is>
          <t>TCGplayer</t>
        </is>
      </c>
      <c r="O452" s="4" t="inlineStr">
        <is>
          <t>https://www.tcgplayer.com/product/598489</t>
        </is>
      </c>
    </row>
    <row r="453">
      <c r="A453" s="2" t="inlineStr">
        <is>
          <t>151 Binder Collection Case</t>
        </is>
      </c>
      <c r="B453" s="3">
        <f>IF(I453&lt;&gt;"",I453,IF(J453&lt;&gt;"",J453,IF(K453&lt;&gt;"",K453,L453)))</f>
        <v>1239.94</v>
      </c>
      <c r="C453" s="3">
        <f>MEDIAN(I453:L453)</f>
        <v>1239.915</v>
      </c>
      <c r="D453" s="3">
        <f>ROUND(C453*(1-Settings!$B$2),2)</f>
        <v>867.94</v>
      </c>
      <c r="E453" s="3">
        <f>ROUND(C453*(1-Settings!$B$3),2)</f>
        <v>867.94</v>
      </c>
      <c r="F453" s="2" t="inlineStr">
        <is>
          <t>Pokemon</t>
        </is>
      </c>
      <c r="G453" s="2" t="inlineStr">
        <is>
          <t>Case/Display</t>
        </is>
      </c>
      <c r="H453" s="2" t="inlineStr">
        <is>
          <t>SV: Scarlet &amp; Violet 151</t>
        </is>
      </c>
      <c r="I453" s="3" t="n"/>
      <c r="J453" s="3" t="n"/>
      <c r="K453" s="3" t="n">
        <v>1239.94</v>
      </c>
      <c r="L453" s="3" t="n">
        <v>1239.89</v>
      </c>
      <c r="M453" s="2" t="inlineStr">
        <is>
          <t>TCGplayer</t>
        </is>
      </c>
      <c r="O453" s="4" t="inlineStr">
        <is>
          <t>https://www.tcgplayer.com/product/502003</t>
        </is>
      </c>
    </row>
    <row r="454">
      <c r="A454" s="2" t="inlineStr">
        <is>
          <t>151 Booster Bundle Bulk Case</t>
        </is>
      </c>
      <c r="B454" s="3">
        <f>IF(I454&lt;&gt;"",I454,IF(J454&lt;&gt;"",J454,IF(K454&lt;&gt;"",K454,L454)))</f>
        <v>4480.0</v>
      </c>
      <c r="C454" s="3">
        <f>MEDIAN(I454:L454)</f>
        <v>5999.99</v>
      </c>
      <c r="D454" s="3">
        <f>ROUND(C454*(1-Settings!$B$2),2)</f>
        <v>4199.99</v>
      </c>
      <c r="E454" s="3">
        <f>ROUND(C454*(1-Settings!$B$3),2)</f>
        <v>4199.99</v>
      </c>
      <c r="F454" s="2" t="inlineStr">
        <is>
          <t>Pokemon</t>
        </is>
      </c>
      <c r="G454" s="2" t="inlineStr">
        <is>
          <t>Case/Display</t>
        </is>
      </c>
      <c r="H454" s="2" t="inlineStr">
        <is>
          <t>SV: Scarlet &amp; Violet 151</t>
        </is>
      </c>
      <c r="I454" s="3" t="n"/>
      <c r="J454" s="3" t="n">
        <v>4480</v>
      </c>
      <c r="K454" s="3" t="n">
        <v>7999.99</v>
      </c>
      <c r="L454" s="3" t="n">
        <v>5999.99</v>
      </c>
      <c r="M454" s="2" t="inlineStr">
        <is>
          <t>TCGplayer</t>
        </is>
      </c>
      <c r="O454" s="4" t="inlineStr">
        <is>
          <t>https://www.tcgplayer.com/product/530105</t>
        </is>
      </c>
    </row>
    <row r="455">
      <c r="A455" s="2" t="inlineStr">
        <is>
          <t>151 Booster Bundle Display</t>
        </is>
      </c>
      <c r="B455" s="3">
        <f>IF(I455&lt;&gt;"",I455,IF(J455&lt;&gt;"",J455,IF(K455&lt;&gt;"",K455,L455)))</f>
        <v>1866.57</v>
      </c>
      <c r="C455" s="3">
        <f>MEDIAN(I455:L455)</f>
        <v>1866.57</v>
      </c>
      <c r="D455" s="3">
        <f>ROUND(C455*(1-Settings!$B$2),2)</f>
        <v>1306.6</v>
      </c>
      <c r="E455" s="3">
        <f>ROUND(C455*(1-Settings!$B$3),2)</f>
        <v>1306.6</v>
      </c>
      <c r="F455" s="2" t="inlineStr">
        <is>
          <t>Pokemon</t>
        </is>
      </c>
      <c r="G455" s="2" t="inlineStr">
        <is>
          <t>Case/Display</t>
        </is>
      </c>
      <c r="H455" s="2" t="inlineStr">
        <is>
          <t>SV: Scarlet &amp; Violet 151</t>
        </is>
      </c>
      <c r="I455" s="3" t="n"/>
      <c r="J455" s="3" t="n">
        <v>1866.57</v>
      </c>
      <c r="K455" s="3" t="n">
        <v>2015.9</v>
      </c>
      <c r="L455" s="3" t="n">
        <v>71</v>
      </c>
      <c r="M455" s="2" t="inlineStr">
        <is>
          <t>TCGplayer</t>
        </is>
      </c>
      <c r="O455" s="4" t="inlineStr">
        <is>
          <t>https://www.tcgplayer.com/product/513405</t>
        </is>
      </c>
    </row>
    <row r="456">
      <c r="A456" s="2" t="inlineStr">
        <is>
          <t>151 Booster Bundle Display Case</t>
        </is>
      </c>
      <c r="B456" s="3">
        <f>IF(I456&lt;&gt;"",I456,IF(J456&lt;&gt;"",J456,IF(K456&lt;&gt;"",K456,L456)))</f>
        <v>14999.0</v>
      </c>
      <c r="C456" s="3">
        <f>MEDIAN(I456:L456)</f>
        <v>13499.494999999999</v>
      </c>
      <c r="D456" s="3">
        <f>ROUND(C456*(1-Settings!$B$2),2)</f>
        <v>9449.65</v>
      </c>
      <c r="E456" s="3">
        <f>ROUND(C456*(1-Settings!$B$3),2)</f>
        <v>9449.65</v>
      </c>
      <c r="F456" s="2" t="inlineStr">
        <is>
          <t>Pokemon</t>
        </is>
      </c>
      <c r="G456" s="2" t="inlineStr">
        <is>
          <t>Case/Display</t>
        </is>
      </c>
      <c r="H456" s="2" t="inlineStr">
        <is>
          <t>SV: Scarlet &amp; Violet 151</t>
        </is>
      </c>
      <c r="I456" s="3" t="n"/>
      <c r="J456" s="3" t="n"/>
      <c r="K456" s="3" t="n">
        <v>14999</v>
      </c>
      <c r="L456" s="3" t="n">
        <v>11999.99</v>
      </c>
      <c r="M456" s="2" t="inlineStr">
        <is>
          <t>TCGplayer</t>
        </is>
      </c>
      <c r="O456" s="4" t="inlineStr">
        <is>
          <t>https://www.tcgplayer.com/product/513409</t>
        </is>
      </c>
    </row>
    <row r="457">
      <c r="A457" s="2" t="inlineStr">
        <is>
          <t>151 Collection Alakazam ex Case</t>
        </is>
      </c>
      <c r="B457" s="3">
        <f>IF(I457&lt;&gt;"",I457,IF(J457&lt;&gt;"",J457,IF(K457&lt;&gt;"",K457,L457)))</f>
        <v>804.95</v>
      </c>
      <c r="C457" s="3">
        <f>MEDIAN(I457:L457)</f>
        <v>802.4100000000001</v>
      </c>
      <c r="D457" s="3">
        <f>ROUND(C457*(1-Settings!$B$2),2)</f>
        <v>561.69</v>
      </c>
      <c r="E457" s="3">
        <f>ROUND(C457*(1-Settings!$B$3),2)</f>
        <v>561.69</v>
      </c>
      <c r="F457" s="2" t="inlineStr">
        <is>
          <t>Pokemon</t>
        </is>
      </c>
      <c r="G457" s="2" t="inlineStr">
        <is>
          <t>Case/Display</t>
        </is>
      </c>
      <c r="H457" s="2" t="inlineStr">
        <is>
          <t>SV: Scarlet &amp; Violet 151</t>
        </is>
      </c>
      <c r="I457" s="3" t="n"/>
      <c r="J457" s="3" t="n"/>
      <c r="K457" s="3" t="n">
        <v>804.95</v>
      </c>
      <c r="L457" s="3" t="n">
        <v>799.87</v>
      </c>
      <c r="M457" s="2" t="inlineStr">
        <is>
          <t>TCGplayer</t>
        </is>
      </c>
      <c r="O457" s="4" t="inlineStr">
        <is>
          <t>https://www.tcgplayer.com/product/518781</t>
        </is>
      </c>
    </row>
    <row r="458">
      <c r="A458" s="2" t="inlineStr">
        <is>
          <t>151 Collection Zapdos ex Case</t>
        </is>
      </c>
      <c r="B458" s="3">
        <f>IF(I458&lt;&gt;"",I458,IF(J458&lt;&gt;"",J458,IF(K458&lt;&gt;"",K458,L458)))</f>
        <v>1071.14</v>
      </c>
      <c r="C458" s="3">
        <f>MEDIAN(I458:L458)</f>
        <v>1199.99</v>
      </c>
      <c r="D458" s="3">
        <f>ROUND(C458*(1-Settings!$B$2),2)</f>
        <v>839.99</v>
      </c>
      <c r="E458" s="3">
        <f>ROUND(C458*(1-Settings!$B$3),2)</f>
        <v>839.99</v>
      </c>
      <c r="F458" s="2" t="inlineStr">
        <is>
          <t>Pokemon</t>
        </is>
      </c>
      <c r="G458" s="2" t="inlineStr">
        <is>
          <t>Case/Display</t>
        </is>
      </c>
      <c r="H458" s="2" t="inlineStr">
        <is>
          <t>SV: Scarlet &amp; Violet 151</t>
        </is>
      </c>
      <c r="I458" s="3" t="n"/>
      <c r="J458" s="3" t="n">
        <v>1071.14</v>
      </c>
      <c r="K458" s="3" t="n">
        <v>1249.99</v>
      </c>
      <c r="L458" s="3" t="n">
        <v>1199.99</v>
      </c>
      <c r="M458" s="2" t="inlineStr">
        <is>
          <t>TCGplayer</t>
        </is>
      </c>
      <c r="O458" s="4" t="inlineStr">
        <is>
          <t>https://www.tcgplayer.com/product/518782</t>
        </is>
      </c>
    </row>
    <row r="459">
      <c r="A459" s="2" t="inlineStr">
        <is>
          <t>151 Elite Trainer Box Case</t>
        </is>
      </c>
      <c r="B459" s="3">
        <f>IF(I459&lt;&gt;"",I459,IF(J459&lt;&gt;"",J459,IF(K459&lt;&gt;"",K459,L459)))</f>
        <v>6183.33</v>
      </c>
      <c r="C459" s="3">
        <f>MEDIAN(I459:L459)</f>
        <v>6575.0</v>
      </c>
      <c r="D459" s="3">
        <f>ROUND(C459*(1-Settings!$B$2),2)</f>
        <v>4602.5</v>
      </c>
      <c r="E459" s="3">
        <f>ROUND(C459*(1-Settings!$B$3),2)</f>
        <v>4602.5</v>
      </c>
      <c r="F459" s="2" t="inlineStr">
        <is>
          <t>Pokemon</t>
        </is>
      </c>
      <c r="G459" s="2" t="inlineStr">
        <is>
          <t>Case/Display</t>
        </is>
      </c>
      <c r="H459" s="2" t="inlineStr">
        <is>
          <t>SV: Scarlet &amp; Violet 151</t>
        </is>
      </c>
      <c r="I459" s="3" t="n"/>
      <c r="J459" s="3" t="n">
        <v>6183.33</v>
      </c>
      <c r="K459" s="3" t="n">
        <v>7999.99</v>
      </c>
      <c r="L459" s="3" t="n">
        <v>6575</v>
      </c>
      <c r="M459" s="2" t="inlineStr">
        <is>
          <t>TCGplayer</t>
        </is>
      </c>
      <c r="O459" s="4" t="inlineStr">
        <is>
          <t>https://www.tcgplayer.com/product/506640</t>
        </is>
      </c>
    </row>
    <row r="460">
      <c r="A460" s="2" t="inlineStr">
        <is>
          <t>151 Mini Tin Display</t>
        </is>
      </c>
      <c r="B460" s="3">
        <f>IF(I460&lt;&gt;"",I460,IF(J460&lt;&gt;"",J460,IF(K460&lt;&gt;"",K460,L460)))</f>
        <v>536.14</v>
      </c>
      <c r="C460" s="3">
        <f>MEDIAN(I460:L460)</f>
        <v>536.14</v>
      </c>
      <c r="D460" s="3">
        <f>ROUND(C460*(1-Settings!$B$2),2)</f>
        <v>375.3</v>
      </c>
      <c r="E460" s="3">
        <f>ROUND(C460*(1-Settings!$B$3),2)</f>
        <v>375.3</v>
      </c>
      <c r="F460" s="2" t="inlineStr">
        <is>
          <t>Pokemon</t>
        </is>
      </c>
      <c r="G460" s="2" t="inlineStr">
        <is>
          <t>Case/Display</t>
        </is>
      </c>
      <c r="H460" s="2" t="inlineStr">
        <is>
          <t>SV: Scarlet &amp; Violet 151</t>
        </is>
      </c>
      <c r="I460" s="3" t="n"/>
      <c r="J460" s="3" t="n">
        <v>536.14</v>
      </c>
      <c r="K460" s="3" t="n">
        <v>649.99</v>
      </c>
      <c r="L460" s="3" t="n">
        <v>39.5</v>
      </c>
      <c r="M460" s="2" t="inlineStr">
        <is>
          <t>TCGplayer</t>
        </is>
      </c>
      <c r="O460" s="4" t="inlineStr">
        <is>
          <t>https://www.tcgplayer.com/product/502008</t>
        </is>
      </c>
    </row>
    <row r="461">
      <c r="A461" s="2" t="inlineStr">
        <is>
          <t>151 Mini Tin Display Case</t>
        </is>
      </c>
      <c r="B461" s="3">
        <f>IF(I461&lt;&gt;"",I461,IF(J461&lt;&gt;"",J461,IF(K461&lt;&gt;"",K461,L461)))</f>
        <v>2265.93</v>
      </c>
      <c r="C461" s="3">
        <f>MEDIAN(I461:L461)</f>
        <v>2295.95</v>
      </c>
      <c r="D461" s="3">
        <f>ROUND(C461*(1-Settings!$B$2),2)</f>
        <v>1607.17</v>
      </c>
      <c r="E461" s="3">
        <f>ROUND(C461*(1-Settings!$B$3),2)</f>
        <v>1607.17</v>
      </c>
      <c r="F461" s="2" t="inlineStr">
        <is>
          <t>Pokemon</t>
        </is>
      </c>
      <c r="G461" s="2" t="inlineStr">
        <is>
          <t>Case/Display</t>
        </is>
      </c>
      <c r="H461" s="2" t="inlineStr">
        <is>
          <t>SV: Scarlet &amp; Violet 151</t>
        </is>
      </c>
      <c r="I461" s="3" t="n"/>
      <c r="J461" s="3" t="n">
        <v>2265.93</v>
      </c>
      <c r="K461" s="3" t="n">
        <v>2444.01</v>
      </c>
      <c r="L461" s="3" t="n">
        <v>2295.95</v>
      </c>
      <c r="M461" s="2" t="inlineStr">
        <is>
          <t>TCGplayer</t>
        </is>
      </c>
      <c r="O461" s="4" t="inlineStr">
        <is>
          <t>https://www.tcgplayer.com/product/668357</t>
        </is>
      </c>
    </row>
    <row r="462">
      <c r="A462" s="2" t="inlineStr">
        <is>
          <t>151 Pokemon Center Elite Trainer Box (Exclusive) Case</t>
        </is>
      </c>
      <c r="B462" s="3">
        <f>IF(I462&lt;&gt;"",I462,IF(J462&lt;&gt;"",J462,IF(K462&lt;&gt;"",K462,L462)))</f>
        <v>5800.0</v>
      </c>
      <c r="C462" s="3">
        <f>MEDIAN(I462:L462)</f>
        <v>5800.0</v>
      </c>
      <c r="D462" s="3">
        <f>ROUND(C462*(1-Settings!$B$2),2)</f>
        <v>4060.0</v>
      </c>
      <c r="E462" s="3">
        <f>ROUND(C462*(1-Settings!$B$3),2)</f>
        <v>4060.0</v>
      </c>
      <c r="F462" s="2" t="inlineStr">
        <is>
          <t>Pokemon</t>
        </is>
      </c>
      <c r="G462" s="2" t="inlineStr">
        <is>
          <t>Case/Display</t>
        </is>
      </c>
      <c r="H462" s="2" t="inlineStr">
        <is>
          <t>SV: Scarlet &amp; Violet 151</t>
        </is>
      </c>
      <c r="I462" s="3" t="n"/>
      <c r="J462" s="3" t="n">
        <v>5800</v>
      </c>
      <c r="K462" s="3" t="n">
        <v>7434.84</v>
      </c>
      <c r="L462" s="3" t="n">
        <v>5000</v>
      </c>
      <c r="M462" s="2" t="inlineStr">
        <is>
          <t>TCGplayer</t>
        </is>
      </c>
      <c r="O462" s="4" t="inlineStr">
        <is>
          <t>https://www.tcgplayer.com/product/528030</t>
        </is>
      </c>
    </row>
    <row r="463">
      <c r="A463" s="2" t="inlineStr">
        <is>
          <t>151 Poster Collection Case</t>
        </is>
      </c>
      <c r="B463" s="3">
        <f>IF(I463&lt;&gt;"",I463,IF(J463&lt;&gt;"",J463,IF(K463&lt;&gt;"",K463,L463)))</f>
        <v>574.96</v>
      </c>
      <c r="C463" s="3">
        <f>MEDIAN(I463:L463)</f>
        <v>574.96</v>
      </c>
      <c r="D463" s="3">
        <f>ROUND(C463*(1-Settings!$B$2),2)</f>
        <v>402.47</v>
      </c>
      <c r="E463" s="3">
        <f>ROUND(C463*(1-Settings!$B$3),2)</f>
        <v>402.47</v>
      </c>
      <c r="F463" s="2" t="inlineStr">
        <is>
          <t>Pokemon</t>
        </is>
      </c>
      <c r="G463" s="2" t="inlineStr">
        <is>
          <t>Case/Display</t>
        </is>
      </c>
      <c r="H463" s="2" t="inlineStr">
        <is>
          <t>SV: Scarlet &amp; Violet 151</t>
        </is>
      </c>
      <c r="I463" s="3" t="n"/>
      <c r="J463" s="3" t="n">
        <v>574.96</v>
      </c>
      <c r="K463" s="3" t="n">
        <v>749</v>
      </c>
      <c r="L463" s="3" t="n">
        <v>540</v>
      </c>
      <c r="M463" s="2" t="inlineStr">
        <is>
          <t>TCGplayer</t>
        </is>
      </c>
      <c r="O463" s="4" t="inlineStr">
        <is>
          <t>https://www.tcgplayer.com/product/502002</t>
        </is>
      </c>
    </row>
    <row r="464">
      <c r="A464" s="2" t="inlineStr">
        <is>
          <t>151 Ultra-Premium Collection Case</t>
        </is>
      </c>
      <c r="B464" s="3">
        <f>IF(I464&lt;&gt;"",I464,IF(J464&lt;&gt;"",J464,IF(K464&lt;&gt;"",K464,L464)))</f>
        <v>3749.98</v>
      </c>
      <c r="C464" s="3">
        <f>MEDIAN(I464:L464)</f>
        <v>3749.98</v>
      </c>
      <c r="D464" s="3">
        <f>ROUND(C464*(1-Settings!$B$2),2)</f>
        <v>2624.99</v>
      </c>
      <c r="E464" s="3">
        <f>ROUND(C464*(1-Settings!$B$3),2)</f>
        <v>2624.99</v>
      </c>
      <c r="F464" s="2" t="inlineStr">
        <is>
          <t>Pokemon</t>
        </is>
      </c>
      <c r="G464" s="2" t="inlineStr">
        <is>
          <t>Case/Display</t>
        </is>
      </c>
      <c r="H464" s="2" t="inlineStr">
        <is>
          <t>SV: Scarlet &amp; Violet 151</t>
        </is>
      </c>
      <c r="I464" s="3" t="n"/>
      <c r="J464" s="3" t="n">
        <v>3749.98</v>
      </c>
      <c r="K464" s="3" t="n">
        <v>4199.99</v>
      </c>
      <c r="L464" s="3" t="n">
        <v>2999.99</v>
      </c>
      <c r="M464" s="2" t="inlineStr">
        <is>
          <t>TCGplayer</t>
        </is>
      </c>
      <c r="O464" s="4" t="inlineStr">
        <is>
          <t>https://www.tcgplayer.com/product/515970</t>
        </is>
      </c>
    </row>
    <row r="465">
      <c r="A465" s="2" t="inlineStr">
        <is>
          <t>Kingambit Illustration Collection Case</t>
        </is>
      </c>
      <c r="B465" s="3">
        <f>IF(I465&lt;&gt;"",I465,IF(J465&lt;&gt;"",J465,IF(K465&lt;&gt;"",K465,L465)))</f>
        <v>284.85</v>
      </c>
      <c r="C465" s="3">
        <f>MEDIAN(I465:L465)</f>
        <v>325.0</v>
      </c>
      <c r="D465" s="3">
        <f>ROUND(C465*(1-Settings!$B$2),2)</f>
        <v>227.5</v>
      </c>
      <c r="E465" s="3">
        <f>ROUND(C465*(1-Settings!$B$3),2)</f>
        <v>227.5</v>
      </c>
      <c r="F465" s="2" t="inlineStr">
        <is>
          <t>Pokemon</t>
        </is>
      </c>
      <c r="G465" s="2" t="inlineStr">
        <is>
          <t>Case/Display</t>
        </is>
      </c>
      <c r="H465" s="2" t="inlineStr">
        <is>
          <t>SV: Shrouded Fable</t>
        </is>
      </c>
      <c r="I465" s="3" t="n"/>
      <c r="J465" s="3" t="n">
        <v>284.85</v>
      </c>
      <c r="K465" s="3" t="n">
        <v>325</v>
      </c>
      <c r="L465" s="3" t="n">
        <v>325</v>
      </c>
      <c r="M465" s="2" t="inlineStr">
        <is>
          <t>TCGplayer</t>
        </is>
      </c>
      <c r="O465" s="4" t="inlineStr">
        <is>
          <t>https://www.tcgplayer.com/product/553094</t>
        </is>
      </c>
    </row>
    <row r="466">
      <c r="A466" s="2" t="inlineStr">
        <is>
          <t>Shrouded Fable 3 Pack Blister Case</t>
        </is>
      </c>
      <c r="B466" s="3">
        <f>IF(I466&lt;&gt;"",I466,IF(J466&lt;&gt;"",J466,IF(K466&lt;&gt;"",K466,L466)))</f>
        <v>520.0</v>
      </c>
      <c r="C466" s="3">
        <f>MEDIAN(I466:L466)</f>
        <v>510.0</v>
      </c>
      <c r="D466" s="3">
        <f>ROUND(C466*(1-Settings!$B$2),2)</f>
        <v>357.0</v>
      </c>
      <c r="E466" s="3">
        <f>ROUND(C466*(1-Settings!$B$3),2)</f>
        <v>357.0</v>
      </c>
      <c r="F466" s="2" t="inlineStr">
        <is>
          <t>Pokemon</t>
        </is>
      </c>
      <c r="G466" s="2" t="inlineStr">
        <is>
          <t>Case/Display</t>
        </is>
      </c>
      <c r="H466" s="2" t="inlineStr">
        <is>
          <t>SV: Shrouded Fable</t>
        </is>
      </c>
      <c r="I466" s="3" t="n"/>
      <c r="J466" s="3" t="n"/>
      <c r="K466" s="3" t="n">
        <v>520</v>
      </c>
      <c r="L466" s="3" t="n">
        <v>500</v>
      </c>
      <c r="M466" s="2" t="inlineStr">
        <is>
          <t>TCGplayer</t>
        </is>
      </c>
      <c r="O466" s="4" t="inlineStr">
        <is>
          <t>https://www.tcgplayer.com/product/665643</t>
        </is>
      </c>
    </row>
    <row r="467">
      <c r="A467" s="2" t="inlineStr">
        <is>
          <t>Shrouded Fable Booster Bundle Case</t>
        </is>
      </c>
      <c r="B467" s="3">
        <f>IF(I467&lt;&gt;"",I467,IF(J467&lt;&gt;"",J467,IF(K467&lt;&gt;"",K467,L467)))</f>
        <v>1298.21</v>
      </c>
      <c r="C467" s="3">
        <f>MEDIAN(I467:L467)</f>
        <v>1580.0</v>
      </c>
      <c r="D467" s="3">
        <f>ROUND(C467*(1-Settings!$B$2),2)</f>
        <v>1106.0</v>
      </c>
      <c r="E467" s="3">
        <f>ROUND(C467*(1-Settings!$B$3),2)</f>
        <v>1106.0</v>
      </c>
      <c r="F467" s="2" t="inlineStr">
        <is>
          <t>Pokemon</t>
        </is>
      </c>
      <c r="G467" s="2" t="inlineStr">
        <is>
          <t>Case/Display</t>
        </is>
      </c>
      <c r="H467" s="2" t="inlineStr">
        <is>
          <t>SV: Shrouded Fable</t>
        </is>
      </c>
      <c r="I467" s="3" t="n"/>
      <c r="J467" s="3" t="n">
        <v>1298.21</v>
      </c>
      <c r="K467" s="3" t="n">
        <v>1580</v>
      </c>
      <c r="L467" s="3" t="n">
        <v>1580</v>
      </c>
      <c r="M467" s="2" t="inlineStr">
        <is>
          <t>TCGplayer</t>
        </is>
      </c>
      <c r="O467" s="4" t="inlineStr">
        <is>
          <t>https://www.tcgplayer.com/product/635736</t>
        </is>
      </c>
    </row>
    <row r="468">
      <c r="A468" s="2" t="inlineStr">
        <is>
          <t>Shrouded Fable Elite Trainer Box Case</t>
        </is>
      </c>
      <c r="B468" s="3">
        <f>IF(I468&lt;&gt;"",I468,IF(J468&lt;&gt;"",J468,IF(K468&lt;&gt;"",K468,L468)))</f>
        <v>1161.07</v>
      </c>
      <c r="C468" s="3">
        <f>MEDIAN(I468:L468)</f>
        <v>1374.69</v>
      </c>
      <c r="D468" s="3">
        <f>ROUND(C468*(1-Settings!$B$2),2)</f>
        <v>962.28</v>
      </c>
      <c r="E468" s="3">
        <f>ROUND(C468*(1-Settings!$B$3),2)</f>
        <v>962.28</v>
      </c>
      <c r="F468" s="2" t="inlineStr">
        <is>
          <t>Pokemon</t>
        </is>
      </c>
      <c r="G468" s="2" t="inlineStr">
        <is>
          <t>Case/Display</t>
        </is>
      </c>
      <c r="H468" s="2" t="inlineStr">
        <is>
          <t>SV: Shrouded Fable</t>
        </is>
      </c>
      <c r="I468" s="3" t="n"/>
      <c r="J468" s="3" t="n">
        <v>1161.07</v>
      </c>
      <c r="K468" s="3" t="n">
        <v>1597.34</v>
      </c>
      <c r="L468" s="3" t="n">
        <v>1374.69</v>
      </c>
      <c r="M468" s="2" t="inlineStr">
        <is>
          <t>TCGplayer</t>
        </is>
      </c>
      <c r="O468" s="4" t="inlineStr">
        <is>
          <t>https://www.tcgplayer.com/product/553099</t>
        </is>
      </c>
    </row>
    <row r="469">
      <c r="A469" s="2" t="inlineStr">
        <is>
          <t>Shrouded Fable Mini Tin Display</t>
        </is>
      </c>
      <c r="B469" s="3">
        <f>IF(I469&lt;&gt;"",I469,IF(J469&lt;&gt;"",J469,IF(K469&lt;&gt;"",K469,L469)))</f>
        <v>205.97</v>
      </c>
      <c r="C469" s="3">
        <f>MEDIAN(I469:L469)</f>
        <v>207.985</v>
      </c>
      <c r="D469" s="3">
        <f>ROUND(C469*(1-Settings!$B$2),2)</f>
        <v>145.59</v>
      </c>
      <c r="E469" s="3">
        <f>ROUND(C469*(1-Settings!$B$3),2)</f>
        <v>145.59</v>
      </c>
      <c r="F469" s="2" t="inlineStr">
        <is>
          <t>Pokemon</t>
        </is>
      </c>
      <c r="G469" s="2" t="inlineStr">
        <is>
          <t>Case/Display</t>
        </is>
      </c>
      <c r="H469" s="2" t="inlineStr">
        <is>
          <t>SV: Shrouded Fable</t>
        </is>
      </c>
      <c r="I469" s="3" t="n">
        <v>205.97</v>
      </c>
      <c r="J469" s="3" t="n">
        <v>202.3</v>
      </c>
      <c r="K469" s="3" t="n">
        <v>248.95</v>
      </c>
      <c r="L469" s="3" t="n">
        <v>210</v>
      </c>
      <c r="M469" s="2" t="inlineStr">
        <is>
          <t>PriceCharting + TCGplayer</t>
        </is>
      </c>
      <c r="N469" s="4" t="inlineStr">
        <is>
          <t>https://www.pricecharting.com/game/pokemon-shrouded-fable/mini-tin-display</t>
        </is>
      </c>
      <c r="O469" s="4" t="inlineStr">
        <is>
          <t>https://www.tcgplayer.com/product/553008</t>
        </is>
      </c>
    </row>
    <row r="470">
      <c r="A470" s="2" t="inlineStr">
        <is>
          <t>Shrouded Fable Pokemon Center Elite Trainer Box (Exclusive) Case</t>
        </is>
      </c>
      <c r="B470" s="3">
        <f>IF(I470&lt;&gt;"",I470,IF(J470&lt;&gt;"",J470,IF(K470&lt;&gt;"",K470,L470)))</f>
        <v>653.12</v>
      </c>
      <c r="C470" s="3">
        <f>MEDIAN(I470:L470)</f>
        <v>675.0</v>
      </c>
      <c r="D470" s="3">
        <f>ROUND(C470*(1-Settings!$B$2),2)</f>
        <v>472.5</v>
      </c>
      <c r="E470" s="3">
        <f>ROUND(C470*(1-Settings!$B$3),2)</f>
        <v>472.5</v>
      </c>
      <c r="F470" s="2" t="inlineStr">
        <is>
          <t>Pokemon</t>
        </is>
      </c>
      <c r="G470" s="2" t="inlineStr">
        <is>
          <t>Case/Display</t>
        </is>
      </c>
      <c r="H470" s="2" t="inlineStr">
        <is>
          <t>SV: Shrouded Fable</t>
        </is>
      </c>
      <c r="I470" s="3" t="n"/>
      <c r="J470" s="3" t="n">
        <v>653.12</v>
      </c>
      <c r="K470" s="3" t="n">
        <v>804.98</v>
      </c>
      <c r="L470" s="3" t="n">
        <v>675</v>
      </c>
      <c r="M470" s="2" t="inlineStr">
        <is>
          <t>TCGplayer</t>
        </is>
      </c>
      <c r="O470" s="4" t="inlineStr">
        <is>
          <t>https://www.tcgplayer.com/product/553102</t>
        </is>
      </c>
    </row>
    <row r="471">
      <c r="A471" s="2" t="inlineStr">
        <is>
          <t>Shrouded Fable Special Illustration Collection Case</t>
        </is>
      </c>
      <c r="B471" s="3">
        <f>IF(I471&lt;&gt;"",I471,IF(J471&lt;&gt;"",J471,IF(K471&lt;&gt;"",K471,L471)))</f>
        <v>1033.83</v>
      </c>
      <c r="C471" s="3">
        <f>MEDIAN(I471:L471)</f>
        <v>1099.99</v>
      </c>
      <c r="D471" s="3">
        <f>ROUND(C471*(1-Settings!$B$2),2)</f>
        <v>769.99</v>
      </c>
      <c r="E471" s="3">
        <f>ROUND(C471*(1-Settings!$B$3),2)</f>
        <v>769.99</v>
      </c>
      <c r="F471" s="2" t="inlineStr">
        <is>
          <t>Pokemon</t>
        </is>
      </c>
      <c r="G471" s="2" t="inlineStr">
        <is>
          <t>Case/Display</t>
        </is>
      </c>
      <c r="H471" s="2" t="inlineStr">
        <is>
          <t>SV: Shrouded Fable</t>
        </is>
      </c>
      <c r="I471" s="3" t="n"/>
      <c r="J471" s="3" t="n">
        <v>1033.83</v>
      </c>
      <c r="K471" s="3" t="n">
        <v>1599.35</v>
      </c>
      <c r="L471" s="3" t="n">
        <v>1099.99</v>
      </c>
      <c r="M471" s="2" t="inlineStr">
        <is>
          <t>TCGplayer</t>
        </is>
      </c>
      <c r="O471" s="4" t="inlineStr">
        <is>
          <t>https://www.tcgplayer.com/product/553075</t>
        </is>
      </c>
    </row>
    <row r="472">
      <c r="A472" s="2" t="inlineStr">
        <is>
          <t>White Flare  Binder Collection Case</t>
        </is>
      </c>
      <c r="B472" s="3">
        <f>IF(I472&lt;&gt;"",I472,IF(J472&lt;&gt;"",J472,IF(K472&lt;&gt;"",K472,L472)))</f>
        <v>387.5</v>
      </c>
      <c r="C472" s="3">
        <f>MEDIAN(I472:L472)</f>
        <v>1214.48</v>
      </c>
      <c r="D472" s="3">
        <f>ROUND(C472*(1-Settings!$B$2),2)</f>
        <v>850.14</v>
      </c>
      <c r="E472" s="3">
        <f>ROUND(C472*(1-Settings!$B$3),2)</f>
        <v>850.14</v>
      </c>
      <c r="F472" s="2" t="inlineStr">
        <is>
          <t>Pokemon</t>
        </is>
      </c>
      <c r="G472" s="2" t="inlineStr">
        <is>
          <t>Case/Display</t>
        </is>
      </c>
      <c r="H472" s="2" t="inlineStr">
        <is>
          <t>SV: White Flare</t>
        </is>
      </c>
      <c r="I472" s="3" t="n"/>
      <c r="J472" s="3" t="n">
        <v>387.5</v>
      </c>
      <c r="K472" s="3" t="n">
        <v>1214.48</v>
      </c>
      <c r="L472" s="3" t="n">
        <v>1214.48</v>
      </c>
      <c r="M472" s="2" t="inlineStr">
        <is>
          <t>TCGplayer</t>
        </is>
      </c>
      <c r="O472" s="4" t="inlineStr">
        <is>
          <t>https://www.tcgplayer.com/product/630694</t>
        </is>
      </c>
    </row>
    <row r="473">
      <c r="A473" s="2" t="inlineStr">
        <is>
          <t>White Flare Booster Bundle Case</t>
        </is>
      </c>
      <c r="B473" s="3">
        <f>IF(I473&lt;&gt;"",I473,IF(J473&lt;&gt;"",J473,IF(K473&lt;&gt;"",K473,L473)))</f>
        <v>2276.48</v>
      </c>
      <c r="C473" s="3">
        <f>MEDIAN(I473:L473)</f>
        <v>2200.0</v>
      </c>
      <c r="D473" s="3">
        <f>ROUND(C473*(1-Settings!$B$2),2)</f>
        <v>1540.0</v>
      </c>
      <c r="E473" s="3">
        <f>ROUND(C473*(1-Settings!$B$3),2)</f>
        <v>1540.0</v>
      </c>
      <c r="F473" s="2" t="inlineStr">
        <is>
          <t>Pokemon</t>
        </is>
      </c>
      <c r="G473" s="2" t="inlineStr">
        <is>
          <t>Case/Display</t>
        </is>
      </c>
      <c r="H473" s="2" t="inlineStr">
        <is>
          <t>SV: White Flare</t>
        </is>
      </c>
      <c r="I473" s="3" t="n"/>
      <c r="J473" s="3" t="n">
        <v>2276.48</v>
      </c>
      <c r="K473" s="3" t="n">
        <v>2200</v>
      </c>
      <c r="L473" s="3" t="n">
        <v>2200</v>
      </c>
      <c r="M473" s="2" t="inlineStr">
        <is>
          <t>TCGplayer</t>
        </is>
      </c>
      <c r="O473" s="4" t="inlineStr">
        <is>
          <t>https://www.tcgplayer.com/product/630697</t>
        </is>
      </c>
    </row>
    <row r="474">
      <c r="A474" s="2" t="inlineStr">
        <is>
          <t>White Flare Booster Bundle Display</t>
        </is>
      </c>
      <c r="B474" s="3">
        <f>IF(I474&lt;&gt;"",I474,IF(J474&lt;&gt;"",J474,IF(K474&lt;&gt;"",K474,L474)))</f>
        <v>1624.86</v>
      </c>
      <c r="C474" s="3">
        <f>MEDIAN(I474:L474)</f>
        <v>1675.99</v>
      </c>
      <c r="D474" s="3">
        <f>ROUND(C474*(1-Settings!$B$2),2)</f>
        <v>1173.19</v>
      </c>
      <c r="E474" s="3">
        <f>ROUND(C474*(1-Settings!$B$3),2)</f>
        <v>1173.19</v>
      </c>
      <c r="F474" s="2" t="inlineStr">
        <is>
          <t>Pokemon</t>
        </is>
      </c>
      <c r="G474" s="2" t="inlineStr">
        <is>
          <t>Case/Display</t>
        </is>
      </c>
      <c r="H474" s="2" t="inlineStr">
        <is>
          <t>SV: White Flare</t>
        </is>
      </c>
      <c r="I474" s="3" t="n"/>
      <c r="J474" s="3" t="n">
        <v>1624.86</v>
      </c>
      <c r="K474" s="3" t="n">
        <v>2449.95</v>
      </c>
      <c r="L474" s="3" t="n">
        <v>1675.99</v>
      </c>
      <c r="M474" s="2" t="inlineStr">
        <is>
          <t>TCGplayer</t>
        </is>
      </c>
      <c r="O474" s="4" t="inlineStr">
        <is>
          <t>https://www.tcgplayer.com/product/630698</t>
        </is>
      </c>
    </row>
    <row r="475">
      <c r="A475" s="2" t="inlineStr">
        <is>
          <t>White Flare Elite Trainer Box Case</t>
        </is>
      </c>
      <c r="B475" s="3">
        <f>IF(I475&lt;&gt;"",I475,IF(J475&lt;&gt;"",J475,IF(K475&lt;&gt;"",K475,L475)))</f>
        <v>1678.52</v>
      </c>
      <c r="C475" s="3">
        <f>MEDIAN(I475:L475)</f>
        <v>1678.52</v>
      </c>
      <c r="D475" s="3">
        <f>ROUND(C475*(1-Settings!$B$2),2)</f>
        <v>1174.96</v>
      </c>
      <c r="E475" s="3">
        <f>ROUND(C475*(1-Settings!$B$3),2)</f>
        <v>1174.96</v>
      </c>
      <c r="F475" s="2" t="inlineStr">
        <is>
          <t>Pokemon</t>
        </is>
      </c>
      <c r="G475" s="2" t="inlineStr">
        <is>
          <t>Case/Display</t>
        </is>
      </c>
      <c r="H475" s="2" t="inlineStr">
        <is>
          <t>SV: White Flare</t>
        </is>
      </c>
      <c r="I475" s="3" t="n"/>
      <c r="J475" s="3" t="n">
        <v>1678.52</v>
      </c>
      <c r="K475" s="3" t="n">
        <v>1924.99</v>
      </c>
      <c r="L475" s="3" t="n">
        <v>1549.99</v>
      </c>
      <c r="M475" s="2" t="inlineStr">
        <is>
          <t>TCGplayer</t>
        </is>
      </c>
      <c r="O475" s="4" t="inlineStr">
        <is>
          <t>https://www.tcgplayer.com/product/630693</t>
        </is>
      </c>
    </row>
    <row r="476">
      <c r="A476" s="2" t="inlineStr">
        <is>
          <t>Sword &amp; Shield Booster Box Case</t>
        </is>
      </c>
      <c r="B476" s="3">
        <f>IF(I476&lt;&gt;"",I476,IF(J476&lt;&gt;"",J476,IF(K476&lt;&gt;"",K476,L476)))</f>
        <v>16499.5</v>
      </c>
      <c r="C476" s="3">
        <f>MEDIAN(I476:L476)</f>
        <v>12249.25</v>
      </c>
      <c r="D476" s="3">
        <f>ROUND(C476*(1-Settings!$B$2),2)</f>
        <v>8574.48</v>
      </c>
      <c r="E476" s="3">
        <f>ROUND(C476*(1-Settings!$B$3),2)</f>
        <v>8574.48</v>
      </c>
      <c r="F476" s="2" t="inlineStr">
        <is>
          <t>Pokemon</t>
        </is>
      </c>
      <c r="G476" s="2" t="inlineStr">
        <is>
          <t>Case/Display</t>
        </is>
      </c>
      <c r="H476" s="2" t="inlineStr">
        <is>
          <t>SWSH01: Sword &amp; Shield Base Set</t>
        </is>
      </c>
      <c r="I476" s="3" t="n"/>
      <c r="J476" s="3" t="n"/>
      <c r="K476" s="3" t="n">
        <v>16499.5</v>
      </c>
      <c r="L476" s="3" t="n">
        <v>7999</v>
      </c>
      <c r="M476" s="2" t="inlineStr">
        <is>
          <t>TCGplayer</t>
        </is>
      </c>
      <c r="O476" s="4" t="inlineStr">
        <is>
          <t>https://www.tcgplayer.com/product/530142</t>
        </is>
      </c>
    </row>
    <row r="477">
      <c r="A477" s="2" t="inlineStr">
        <is>
          <t>Sword &amp; Shield Build &amp; Battle Display</t>
        </is>
      </c>
      <c r="B477" s="3">
        <f>IF(I477&lt;&gt;"",I477,IF(J477&lt;&gt;"",J477,IF(K477&lt;&gt;"",K477,L477)))</f>
        <v>1999.99</v>
      </c>
      <c r="C477" s="3">
        <f>MEDIAN(I477:L477)</f>
        <v>1999.99</v>
      </c>
      <c r="D477" s="3">
        <f>ROUND(C477*(1-Settings!$B$2),2)</f>
        <v>1399.99</v>
      </c>
      <c r="E477" s="3">
        <f>ROUND(C477*(1-Settings!$B$3),2)</f>
        <v>1399.99</v>
      </c>
      <c r="F477" s="2" t="inlineStr">
        <is>
          <t>Pokemon</t>
        </is>
      </c>
      <c r="G477" s="2" t="inlineStr">
        <is>
          <t>Case/Display</t>
        </is>
      </c>
      <c r="H477" s="2" t="inlineStr">
        <is>
          <t>SWSH01: Sword &amp; Shield Base Set</t>
        </is>
      </c>
      <c r="I477" s="3" t="n"/>
      <c r="J477" s="3" t="n"/>
      <c r="K477" s="3" t="n">
        <v>1999.99</v>
      </c>
      <c r="L477" s="3" t="n">
        <v>1999.99</v>
      </c>
      <c r="M477" s="2" t="inlineStr">
        <is>
          <t>TCGplayer</t>
        </is>
      </c>
      <c r="O477" s="4" t="inlineStr">
        <is>
          <t>https://www.tcgplayer.com/product/206033</t>
        </is>
      </c>
    </row>
    <row r="478">
      <c r="A478" s="2" t="inlineStr">
        <is>
          <t>Sword &amp; Shield Theme Deck Display</t>
        </is>
      </c>
      <c r="B478" s="3">
        <f>IF(I478&lt;&gt;"",I478,IF(J478&lt;&gt;"",J478,IF(K478&lt;&gt;"",K478,L478)))</f>
        <v>979.98</v>
      </c>
      <c r="C478" s="3">
        <f>MEDIAN(I478:L478)</f>
        <v>979.98</v>
      </c>
      <c r="D478" s="3">
        <f>ROUND(C478*(1-Settings!$B$2),2)</f>
        <v>685.99</v>
      </c>
      <c r="E478" s="3">
        <f>ROUND(C478*(1-Settings!$B$3),2)</f>
        <v>685.99</v>
      </c>
      <c r="F478" s="2" t="inlineStr">
        <is>
          <t>Pokemon</t>
        </is>
      </c>
      <c r="G478" s="2" t="inlineStr">
        <is>
          <t>Case/Display</t>
        </is>
      </c>
      <c r="H478" s="2" t="inlineStr">
        <is>
          <t>SWSH01: Sword &amp; Shield Base Set</t>
        </is>
      </c>
      <c r="I478" s="3" t="n"/>
      <c r="J478" s="3" t="n"/>
      <c r="K478" s="3" t="n">
        <v>979.98</v>
      </c>
      <c r="L478" s="3" t="n">
        <v>979.98</v>
      </c>
      <c r="M478" s="2" t="inlineStr">
        <is>
          <t>TCGplayer</t>
        </is>
      </c>
      <c r="O478" s="4" t="inlineStr">
        <is>
          <t>https://www.tcgplayer.com/product/206034</t>
        </is>
      </c>
    </row>
    <row r="479">
      <c r="A479" s="2" t="inlineStr">
        <is>
          <t>Rebel Clash Build &amp; Battle Display</t>
        </is>
      </c>
      <c r="B479" s="3">
        <f>IF(I479&lt;&gt;"",I479,IF(J479&lt;&gt;"",J479,IF(K479&lt;&gt;"",K479,L479)))</f>
        <v>1999.95</v>
      </c>
      <c r="C479" s="3">
        <f>MEDIAN(I479:L479)</f>
        <v>1999.95</v>
      </c>
      <c r="D479" s="3">
        <f>ROUND(C479*(1-Settings!$B$2),2)</f>
        <v>1399.97</v>
      </c>
      <c r="E479" s="3">
        <f>ROUND(C479*(1-Settings!$B$3),2)</f>
        <v>1399.97</v>
      </c>
      <c r="F479" s="2" t="inlineStr">
        <is>
          <t>Pokemon</t>
        </is>
      </c>
      <c r="G479" s="2" t="inlineStr">
        <is>
          <t>Case/Display</t>
        </is>
      </c>
      <c r="H479" s="2" t="inlineStr">
        <is>
          <t>SWSH02: Rebel Clash</t>
        </is>
      </c>
      <c r="I479" s="3" t="n"/>
      <c r="J479" s="3" t="n"/>
      <c r="K479" s="3" t="n">
        <v>1999.95</v>
      </c>
      <c r="L479" s="3" t="n">
        <v>1999.95</v>
      </c>
      <c r="M479" s="2" t="inlineStr">
        <is>
          <t>TCGplayer</t>
        </is>
      </c>
      <c r="O479" s="4" t="inlineStr">
        <is>
          <t>https://www.tcgplayer.com/product/212820</t>
        </is>
      </c>
    </row>
    <row r="480">
      <c r="A480" s="2" t="inlineStr">
        <is>
          <t>Darkness Ablaze Booster Box Case</t>
        </is>
      </c>
      <c r="B480" s="3">
        <f>IF(I480&lt;&gt;"",I480,IF(J480&lt;&gt;"",J480,IF(K480&lt;&gt;"",K480,L480)))</f>
        <v>2249.99</v>
      </c>
      <c r="C480" s="3">
        <f>MEDIAN(I480:L480)</f>
        <v>2249.99</v>
      </c>
      <c r="D480" s="3">
        <f>ROUND(C480*(1-Settings!$B$2),2)</f>
        <v>1574.99</v>
      </c>
      <c r="E480" s="3">
        <f>ROUND(C480*(1-Settings!$B$3),2)</f>
        <v>1574.99</v>
      </c>
      <c r="F480" s="2" t="inlineStr">
        <is>
          <t>Pokemon</t>
        </is>
      </c>
      <c r="G480" s="2" t="inlineStr">
        <is>
          <t>Case/Display</t>
        </is>
      </c>
      <c r="H480" s="2" t="inlineStr">
        <is>
          <t>SWSH03: Darkness Ablaze</t>
        </is>
      </c>
      <c r="I480" s="3" t="n"/>
      <c r="J480" s="3" t="n">
        <v>2249.99</v>
      </c>
      <c r="K480" s="3" t="n">
        <v>3284.88</v>
      </c>
      <c r="L480" s="3" t="n">
        <v>2200</v>
      </c>
      <c r="M480" s="2" t="inlineStr">
        <is>
          <t>TCGplayer</t>
        </is>
      </c>
      <c r="O480" s="4" t="inlineStr">
        <is>
          <t>https://www.tcgplayer.com/product/256971</t>
        </is>
      </c>
    </row>
    <row r="481">
      <c r="A481" s="2" t="inlineStr">
        <is>
          <t>Darkness Ablaze Build &amp; Battle Box Display</t>
        </is>
      </c>
      <c r="B481" s="3">
        <f>IF(I481&lt;&gt;"",I481,IF(J481&lt;&gt;"",J481,IF(K481&lt;&gt;"",K481,L481)))</f>
        <v>595.0</v>
      </c>
      <c r="C481" s="3">
        <f>MEDIAN(I481:L481)</f>
        <v>1000.0</v>
      </c>
      <c r="D481" s="3">
        <f>ROUND(C481*(1-Settings!$B$2),2)</f>
        <v>700.0</v>
      </c>
      <c r="E481" s="3">
        <f>ROUND(C481*(1-Settings!$B$3),2)</f>
        <v>700.0</v>
      </c>
      <c r="F481" s="2" t="inlineStr">
        <is>
          <t>Pokemon</t>
        </is>
      </c>
      <c r="G481" s="2" t="inlineStr">
        <is>
          <t>Case/Display</t>
        </is>
      </c>
      <c r="H481" s="2" t="inlineStr">
        <is>
          <t>SWSH03: Darkness Ablaze</t>
        </is>
      </c>
      <c r="I481" s="3" t="n"/>
      <c r="J481" s="3" t="n">
        <v>595</v>
      </c>
      <c r="K481" s="3" t="n">
        <v>1999.5</v>
      </c>
      <c r="L481" s="3" t="n">
        <v>1000</v>
      </c>
      <c r="M481" s="2" t="inlineStr">
        <is>
          <t>TCGplayer</t>
        </is>
      </c>
      <c r="O481" s="4" t="inlineStr">
        <is>
          <t>https://www.tcgplayer.com/product/216862</t>
        </is>
      </c>
    </row>
    <row r="482">
      <c r="A482" s="2" t="inlineStr">
        <is>
          <t>Darkness Ablaze Elite Trainer Box Case</t>
        </is>
      </c>
      <c r="B482" s="3">
        <f>IF(I482&lt;&gt;"",I482,IF(J482&lt;&gt;"",J482,IF(K482&lt;&gt;"",K482,L482)))</f>
        <v>1250.0</v>
      </c>
      <c r="C482" s="3">
        <f>MEDIAN(I482:L482)</f>
        <v>1799.88</v>
      </c>
      <c r="D482" s="3">
        <f>ROUND(C482*(1-Settings!$B$2),2)</f>
        <v>1259.92</v>
      </c>
      <c r="E482" s="3">
        <f>ROUND(C482*(1-Settings!$B$3),2)</f>
        <v>1259.92</v>
      </c>
      <c r="F482" s="2" t="inlineStr">
        <is>
          <t>Pokemon</t>
        </is>
      </c>
      <c r="G482" s="2" t="inlineStr">
        <is>
          <t>Case/Display</t>
        </is>
      </c>
      <c r="H482" s="2" t="inlineStr">
        <is>
          <t>SWSH03: Darkness Ablaze</t>
        </is>
      </c>
      <c r="I482" s="3" t="n"/>
      <c r="J482" s="3" t="n">
        <v>1250</v>
      </c>
      <c r="K482" s="3" t="n">
        <v>1799.89</v>
      </c>
      <c r="L482" s="3" t="n">
        <v>1799.88</v>
      </c>
      <c r="M482" s="2" t="inlineStr">
        <is>
          <t>TCGplayer</t>
        </is>
      </c>
      <c r="O482" s="4" t="inlineStr">
        <is>
          <t>https://www.tcgplayer.com/product/266951</t>
        </is>
      </c>
    </row>
    <row r="483">
      <c r="A483" s="2" t="inlineStr">
        <is>
          <t>Alakazam V Box Case</t>
        </is>
      </c>
      <c r="B483" s="3">
        <f>IF(I483&lt;&gt;"",I483,IF(J483&lt;&gt;"",J483,IF(K483&lt;&gt;"",K483,L483)))</f>
        <v>599.95</v>
      </c>
      <c r="C483" s="3">
        <f>MEDIAN(I483:L483)</f>
        <v>599.95</v>
      </c>
      <c r="D483" s="3">
        <f>ROUND(C483*(1-Settings!$B$2),2)</f>
        <v>419.97</v>
      </c>
      <c r="E483" s="3">
        <f>ROUND(C483*(1-Settings!$B$3),2)</f>
        <v>419.97</v>
      </c>
      <c r="F483" s="2" t="inlineStr">
        <is>
          <t>Pokemon</t>
        </is>
      </c>
      <c r="G483" s="2" t="inlineStr">
        <is>
          <t>Case/Display</t>
        </is>
      </c>
      <c r="H483" s="2" t="inlineStr">
        <is>
          <t>SWSH04: Vivid Voltage</t>
        </is>
      </c>
      <c r="I483" s="3" t="n"/>
      <c r="J483" s="3" t="n"/>
      <c r="K483" s="3" t="n">
        <v>599.95</v>
      </c>
      <c r="L483" s="3" t="n">
        <v>599.95</v>
      </c>
      <c r="M483" s="2" t="inlineStr">
        <is>
          <t>TCGplayer</t>
        </is>
      </c>
      <c r="O483" s="4" t="inlineStr">
        <is>
          <t>https://www.tcgplayer.com/product/683003</t>
        </is>
      </c>
    </row>
    <row r="484">
      <c r="A484" s="2" t="inlineStr">
        <is>
          <t>Vivid Voltage Booster Box Case</t>
        </is>
      </c>
      <c r="B484" s="3">
        <f>IF(I484&lt;&gt;"",I484,IF(J484&lt;&gt;"",J484,IF(K484&lt;&gt;"",K484,L484)))</f>
        <v>1919.84</v>
      </c>
      <c r="C484" s="3">
        <f>MEDIAN(I484:L484)</f>
        <v>1970.0</v>
      </c>
      <c r="D484" s="3">
        <f>ROUND(C484*(1-Settings!$B$2),2)</f>
        <v>1379.0</v>
      </c>
      <c r="E484" s="3">
        <f>ROUND(C484*(1-Settings!$B$3),2)</f>
        <v>1379.0</v>
      </c>
      <c r="F484" s="2" t="inlineStr">
        <is>
          <t>Pokemon</t>
        </is>
      </c>
      <c r="G484" s="2" t="inlineStr">
        <is>
          <t>Case/Display</t>
        </is>
      </c>
      <c r="H484" s="2" t="inlineStr">
        <is>
          <t>SWSH04: Vivid Voltage</t>
        </is>
      </c>
      <c r="I484" s="3" t="n"/>
      <c r="J484" s="3" t="n">
        <v>1919.84</v>
      </c>
      <c r="K484" s="3" t="n">
        <v>2236.47</v>
      </c>
      <c r="L484" s="3" t="n">
        <v>1970</v>
      </c>
      <c r="M484" s="2" t="inlineStr">
        <is>
          <t>TCGplayer</t>
        </is>
      </c>
      <c r="O484" s="4" t="inlineStr">
        <is>
          <t>https://www.tcgplayer.com/product/243051</t>
        </is>
      </c>
    </row>
    <row r="485">
      <c r="A485" s="2" t="inlineStr">
        <is>
          <t>Vivid Voltage Elite Trainer Box Case</t>
        </is>
      </c>
      <c r="B485" s="3">
        <f>IF(I485&lt;&gt;"",I485,IF(J485&lt;&gt;"",J485,IF(K485&lt;&gt;"",K485,L485)))</f>
        <v>1497.0</v>
      </c>
      <c r="C485" s="3">
        <f>MEDIAN(I485:L485)</f>
        <v>1999.99</v>
      </c>
      <c r="D485" s="3">
        <f>ROUND(C485*(1-Settings!$B$2),2)</f>
        <v>1399.99</v>
      </c>
      <c r="E485" s="3">
        <f>ROUND(C485*(1-Settings!$B$3),2)</f>
        <v>1399.99</v>
      </c>
      <c r="F485" s="2" t="inlineStr">
        <is>
          <t>Pokemon</t>
        </is>
      </c>
      <c r="G485" s="2" t="inlineStr">
        <is>
          <t>Case/Display</t>
        </is>
      </c>
      <c r="H485" s="2" t="inlineStr">
        <is>
          <t>SWSH04: Vivid Voltage</t>
        </is>
      </c>
      <c r="I485" s="3" t="n"/>
      <c r="J485" s="3" t="n">
        <v>1497</v>
      </c>
      <c r="K485" s="3" t="n">
        <v>1999.99</v>
      </c>
      <c r="L485" s="3" t="n">
        <v>1999.99</v>
      </c>
      <c r="M485" s="2" t="inlineStr">
        <is>
          <t>TCGplayer</t>
        </is>
      </c>
      <c r="O485" s="4" t="inlineStr">
        <is>
          <t>https://www.tcgplayer.com/product/278642</t>
        </is>
      </c>
    </row>
    <row r="486">
      <c r="A486" s="2" t="inlineStr">
        <is>
          <t>Vivid Voltage Sleeved Booster Case</t>
        </is>
      </c>
      <c r="B486" s="3">
        <f>IF(I486&lt;&gt;"",I486,IF(J486&lt;&gt;"",J486,IF(K486&lt;&gt;"",K486,L486)))</f>
        <v>1499.95</v>
      </c>
      <c r="C486" s="3">
        <f>MEDIAN(I486:L486)</f>
        <v>1550.0</v>
      </c>
      <c r="D486" s="3">
        <f>ROUND(C486*(1-Settings!$B$2),2)</f>
        <v>1085.0</v>
      </c>
      <c r="E486" s="3">
        <f>ROUND(C486*(1-Settings!$B$3),2)</f>
        <v>1085.0</v>
      </c>
      <c r="F486" s="2" t="inlineStr">
        <is>
          <t>Pokemon</t>
        </is>
      </c>
      <c r="G486" s="2" t="inlineStr">
        <is>
          <t>Case/Display</t>
        </is>
      </c>
      <c r="H486" s="2" t="inlineStr">
        <is>
          <t>SWSH04: Vivid Voltage</t>
        </is>
      </c>
      <c r="I486" s="3" t="n"/>
      <c r="J486" s="3" t="n">
        <v>1499.95</v>
      </c>
      <c r="K486" s="3" t="n">
        <v>1574.97</v>
      </c>
      <c r="L486" s="3" t="n">
        <v>1550</v>
      </c>
      <c r="M486" s="2" t="inlineStr">
        <is>
          <t>TCGplayer</t>
        </is>
      </c>
      <c r="O486" s="4" t="inlineStr">
        <is>
          <t>https://www.tcgplayer.com/product/653200</t>
        </is>
      </c>
    </row>
    <row r="487">
      <c r="A487" s="2" t="inlineStr">
        <is>
          <t>Vivid Voltage Theme Deck Display</t>
        </is>
      </c>
      <c r="B487" s="3">
        <f>IF(I487&lt;&gt;"",I487,IF(J487&lt;&gt;"",J487,IF(K487&lt;&gt;"",K487,L487)))</f>
        <v>159.07</v>
      </c>
      <c r="C487" s="3">
        <f>MEDIAN(I487:L487)</f>
        <v>399.95</v>
      </c>
      <c r="D487" s="3">
        <f>ROUND(C487*(1-Settings!$B$2),2)</f>
        <v>279.97</v>
      </c>
      <c r="E487" s="3">
        <f>ROUND(C487*(1-Settings!$B$3),2)</f>
        <v>279.97</v>
      </c>
      <c r="F487" s="2" t="inlineStr">
        <is>
          <t>Pokemon</t>
        </is>
      </c>
      <c r="G487" s="2" t="inlineStr">
        <is>
          <t>Case/Display</t>
        </is>
      </c>
      <c r="H487" s="2" t="inlineStr">
        <is>
          <t>SWSH04: Vivid Voltage</t>
        </is>
      </c>
      <c r="I487" s="3" t="n">
        <v>159.07</v>
      </c>
      <c r="J487" s="3" t="n"/>
      <c r="K487" s="3" t="n">
        <v>399.95</v>
      </c>
      <c r="L487" s="3" t="n">
        <v>399.95</v>
      </c>
      <c r="M487" s="2" t="inlineStr">
        <is>
          <t>PriceCharting + TCGplayer</t>
        </is>
      </c>
      <c r="N487" s="4" t="inlineStr">
        <is>
          <t>https://www.pricecharting.com/game/pokemon-vivid-voltage/theme-deck-display</t>
        </is>
      </c>
      <c r="O487" s="4" t="inlineStr">
        <is>
          <t>https://www.tcgplayer.com/product/231693</t>
        </is>
      </c>
    </row>
    <row r="488">
      <c r="A488" s="2" t="inlineStr">
        <is>
          <t>Battle Styles Build &amp; Battle Box Display</t>
        </is>
      </c>
      <c r="B488" s="3">
        <f>IF(I488&lt;&gt;"",I488,IF(J488&lt;&gt;"",J488,IF(K488&lt;&gt;"",K488,L488)))</f>
        <v>500.0</v>
      </c>
      <c r="C488" s="3">
        <f>MEDIAN(I488:L488)</f>
        <v>490.0</v>
      </c>
      <c r="D488" s="3">
        <f>ROUND(C488*(1-Settings!$B$2),2)</f>
        <v>343.0</v>
      </c>
      <c r="E488" s="3">
        <f>ROUND(C488*(1-Settings!$B$3),2)</f>
        <v>343.0</v>
      </c>
      <c r="F488" s="2" t="inlineStr">
        <is>
          <t>Pokemon</t>
        </is>
      </c>
      <c r="G488" s="2" t="inlineStr">
        <is>
          <t>Case/Display</t>
        </is>
      </c>
      <c r="H488" s="2" t="inlineStr">
        <is>
          <t>SWSH05: Battle Styles</t>
        </is>
      </c>
      <c r="I488" s="3" t="n"/>
      <c r="J488" s="3" t="n"/>
      <c r="K488" s="3" t="n">
        <v>500</v>
      </c>
      <c r="L488" s="3" t="n">
        <v>480</v>
      </c>
      <c r="M488" s="2" t="inlineStr">
        <is>
          <t>TCGplayer</t>
        </is>
      </c>
      <c r="O488" s="4" t="inlineStr">
        <is>
          <t>https://www.tcgplayer.com/product/229279</t>
        </is>
      </c>
    </row>
    <row r="489">
      <c r="A489" s="2" t="inlineStr">
        <is>
          <t>Battle Styles Elite Trainer Box Case</t>
        </is>
      </c>
      <c r="B489" s="3">
        <f>IF(I489&lt;&gt;"",I489,IF(J489&lt;&gt;"",J489,IF(K489&lt;&gt;"",K489,L489)))</f>
        <v>1131.73</v>
      </c>
      <c r="C489" s="3">
        <f>MEDIAN(I489:L489)</f>
        <v>1499.95</v>
      </c>
      <c r="D489" s="3">
        <f>ROUND(C489*(1-Settings!$B$2),2)</f>
        <v>1049.97</v>
      </c>
      <c r="E489" s="3">
        <f>ROUND(C489*(1-Settings!$B$3),2)</f>
        <v>1049.97</v>
      </c>
      <c r="F489" s="2" t="inlineStr">
        <is>
          <t>Pokemon</t>
        </is>
      </c>
      <c r="G489" s="2" t="inlineStr">
        <is>
          <t>Case/Display</t>
        </is>
      </c>
      <c r="H489" s="2" t="inlineStr">
        <is>
          <t>SWSH05: Battle Styles</t>
        </is>
      </c>
      <c r="I489" s="3" t="n"/>
      <c r="J489" s="3" t="n">
        <v>1131.73</v>
      </c>
      <c r="K489" s="3" t="n">
        <v>1499.95</v>
      </c>
      <c r="L489" s="3" t="n">
        <v>1499.95</v>
      </c>
      <c r="M489" s="2" t="inlineStr">
        <is>
          <t>TCGplayer</t>
        </is>
      </c>
      <c r="O489" s="4" t="inlineStr">
        <is>
          <t>https://www.tcgplayer.com/product/235284</t>
        </is>
      </c>
    </row>
    <row r="490">
      <c r="A490" s="2" t="inlineStr">
        <is>
          <t>Battle Styles Sleeved Booster Case</t>
        </is>
      </c>
      <c r="B490" s="3">
        <f>IF(I490&lt;&gt;"",I490,IF(J490&lt;&gt;"",J490,IF(K490&lt;&gt;"",K490,L490)))</f>
        <v>1199.99</v>
      </c>
      <c r="C490" s="3">
        <f>MEDIAN(I490:L490)</f>
        <v>2200.76</v>
      </c>
      <c r="D490" s="3">
        <f>ROUND(C490*(1-Settings!$B$2),2)</f>
        <v>1540.53</v>
      </c>
      <c r="E490" s="3">
        <f>ROUND(C490*(1-Settings!$B$3),2)</f>
        <v>1540.53</v>
      </c>
      <c r="F490" s="2" t="inlineStr">
        <is>
          <t>Pokemon</t>
        </is>
      </c>
      <c r="G490" s="2" t="inlineStr">
        <is>
          <t>Case/Display</t>
        </is>
      </c>
      <c r="H490" s="2" t="inlineStr">
        <is>
          <t>SWSH05: Battle Styles</t>
        </is>
      </c>
      <c r="I490" s="3" t="n"/>
      <c r="J490" s="3" t="n">
        <v>1199.99</v>
      </c>
      <c r="K490" s="3" t="n">
        <v>2200.77</v>
      </c>
      <c r="L490" s="3" t="n">
        <v>2200.76</v>
      </c>
      <c r="M490" s="2" t="inlineStr">
        <is>
          <t>TCGplayer</t>
        </is>
      </c>
      <c r="O490" s="4" t="inlineStr">
        <is>
          <t>https://www.tcgplayer.com/product/680964</t>
        </is>
      </c>
    </row>
    <row r="491">
      <c r="A491" s="2" t="inlineStr">
        <is>
          <t>Chilling Reign Booster Box Case</t>
        </is>
      </c>
      <c r="B491" s="3">
        <f>IF(I491&lt;&gt;"",I491,IF(J491&lt;&gt;"",J491,IF(K491&lt;&gt;"",K491,L491)))</f>
        <v>3312.49</v>
      </c>
      <c r="C491" s="3">
        <f>MEDIAN(I491:L491)</f>
        <v>3312.49</v>
      </c>
      <c r="D491" s="3">
        <f>ROUND(C491*(1-Settings!$B$2),2)</f>
        <v>2318.74</v>
      </c>
      <c r="E491" s="3">
        <f>ROUND(C491*(1-Settings!$B$3),2)</f>
        <v>2318.74</v>
      </c>
      <c r="F491" s="2" t="inlineStr">
        <is>
          <t>Pokemon</t>
        </is>
      </c>
      <c r="G491" s="2" t="inlineStr">
        <is>
          <t>Case/Display</t>
        </is>
      </c>
      <c r="H491" s="2" t="inlineStr">
        <is>
          <t>SWSH06: Chilling Reign</t>
        </is>
      </c>
      <c r="I491" s="3" t="n"/>
      <c r="J491" s="3" t="n">
        <v>3312.49</v>
      </c>
      <c r="K491" s="3" t="n">
        <v>4247.47</v>
      </c>
      <c r="L491" s="3" t="n">
        <v>2971.8</v>
      </c>
      <c r="M491" s="2" t="inlineStr">
        <is>
          <t>TCGplayer</t>
        </is>
      </c>
      <c r="O491" s="4" t="inlineStr">
        <is>
          <t>https://www.tcgplayer.com/product/236259</t>
        </is>
      </c>
    </row>
    <row r="492">
      <c r="A492" s="2" t="inlineStr">
        <is>
          <t>Chilling Reign Build &amp; Battle Box Display</t>
        </is>
      </c>
      <c r="B492" s="3">
        <f>IF(I492&lt;&gt;"",I492,IF(J492&lt;&gt;"",J492,IF(K492&lt;&gt;"",K492,L492)))</f>
        <v>587.5</v>
      </c>
      <c r="C492" s="3">
        <f>MEDIAN(I492:L492)</f>
        <v>579.83</v>
      </c>
      <c r="D492" s="3">
        <f>ROUND(C492*(1-Settings!$B$2),2)</f>
        <v>405.88</v>
      </c>
      <c r="E492" s="3">
        <f>ROUND(C492*(1-Settings!$B$3),2)</f>
        <v>405.88</v>
      </c>
      <c r="F492" s="2" t="inlineStr">
        <is>
          <t>Pokemon</t>
        </is>
      </c>
      <c r="G492" s="2" t="inlineStr">
        <is>
          <t>Case/Display</t>
        </is>
      </c>
      <c r="H492" s="2" t="inlineStr">
        <is>
          <t>SWSH06: Chilling Reign</t>
        </is>
      </c>
      <c r="I492" s="3" t="n"/>
      <c r="J492" s="3" t="n">
        <v>587.5</v>
      </c>
      <c r="K492" s="3" t="n">
        <v>579.83</v>
      </c>
      <c r="L492" s="3" t="n">
        <v>539.9</v>
      </c>
      <c r="M492" s="2" t="inlineStr">
        <is>
          <t>TCGplayer</t>
        </is>
      </c>
      <c r="O492" s="4" t="inlineStr">
        <is>
          <t>https://www.tcgplayer.com/product/236266</t>
        </is>
      </c>
    </row>
    <row r="493">
      <c r="A493" s="2" t="inlineStr">
        <is>
          <t>Chilling Reign Elite Trainer Box Case</t>
        </is>
      </c>
      <c r="B493" s="3">
        <f>IF(I493&lt;&gt;"",I493,IF(J493&lt;&gt;"",J493,IF(K493&lt;&gt;"",K493,L493)))</f>
        <v>2010.99</v>
      </c>
      <c r="C493" s="3">
        <f>MEDIAN(I493:L493)</f>
        <v>2004.995</v>
      </c>
      <c r="D493" s="3">
        <f>ROUND(C493*(1-Settings!$B$2),2)</f>
        <v>1403.5</v>
      </c>
      <c r="E493" s="3">
        <f>ROUND(C493*(1-Settings!$B$3),2)</f>
        <v>1403.5</v>
      </c>
      <c r="F493" s="2" t="inlineStr">
        <is>
          <t>Pokemon</t>
        </is>
      </c>
      <c r="G493" s="2" t="inlineStr">
        <is>
          <t>Case/Display</t>
        </is>
      </c>
      <c r="H493" s="2" t="inlineStr">
        <is>
          <t>SWSH06: Chilling Reign</t>
        </is>
      </c>
      <c r="I493" s="3" t="n"/>
      <c r="J493" s="3" t="n"/>
      <c r="K493" s="3" t="n">
        <v>2010.99</v>
      </c>
      <c r="L493" s="3" t="n">
        <v>1999</v>
      </c>
      <c r="M493" s="2" t="inlineStr">
        <is>
          <t>TCGplayer</t>
        </is>
      </c>
      <c r="O493" s="4" t="inlineStr">
        <is>
          <t>https://www.tcgplayer.com/product/236263</t>
        </is>
      </c>
    </row>
    <row r="494">
      <c r="A494" s="2" t="inlineStr">
        <is>
          <t>Chilling Reign Sleeved Booster Case</t>
        </is>
      </c>
      <c r="B494" s="3">
        <f>IF(I494&lt;&gt;"",I494,IF(J494&lt;&gt;"",J494,IF(K494&lt;&gt;"",K494,L494)))</f>
        <v>3584.01</v>
      </c>
      <c r="C494" s="3">
        <f>MEDIAN(I494:L494)</f>
        <v>3584.01</v>
      </c>
      <c r="D494" s="3">
        <f>ROUND(C494*(1-Settings!$B$2),2)</f>
        <v>2508.81</v>
      </c>
      <c r="E494" s="3">
        <f>ROUND(C494*(1-Settings!$B$3),2)</f>
        <v>2508.81</v>
      </c>
      <c r="F494" s="2" t="inlineStr">
        <is>
          <t>Pokemon</t>
        </is>
      </c>
      <c r="G494" s="2" t="inlineStr">
        <is>
          <t>Case/Display</t>
        </is>
      </c>
      <c r="H494" s="2" t="inlineStr">
        <is>
          <t>SWSH06: Chilling Reign</t>
        </is>
      </c>
      <c r="I494" s="3" t="n"/>
      <c r="J494" s="3" t="n"/>
      <c r="K494" s="3" t="n">
        <v>3584.01</v>
      </c>
      <c r="L494" s="3" t="n">
        <v>3584.01</v>
      </c>
      <c r="M494" s="2" t="inlineStr">
        <is>
          <t>TCGplayer</t>
        </is>
      </c>
      <c r="O494" s="4" t="inlineStr">
        <is>
          <t>https://www.tcgplayer.com/product/657836</t>
        </is>
      </c>
    </row>
    <row r="495">
      <c r="A495" s="2" t="inlineStr">
        <is>
          <t>Ice Rider/ Shadow Rider Calyrex V Box Case</t>
        </is>
      </c>
      <c r="B495" s="3">
        <f>IF(I495&lt;&gt;"",I495,IF(J495&lt;&gt;"",J495,IF(K495&lt;&gt;"",K495,L495)))</f>
        <v>345.0</v>
      </c>
      <c r="C495" s="3">
        <f>MEDIAN(I495:L495)</f>
        <v>345.0</v>
      </c>
      <c r="D495" s="3">
        <f>ROUND(C495*(1-Settings!$B$2),2)</f>
        <v>241.5</v>
      </c>
      <c r="E495" s="3">
        <f>ROUND(C495*(1-Settings!$B$3),2)</f>
        <v>241.5</v>
      </c>
      <c r="F495" s="2" t="inlineStr">
        <is>
          <t>Pokemon</t>
        </is>
      </c>
      <c r="G495" s="2" t="inlineStr">
        <is>
          <t>Case/Display</t>
        </is>
      </c>
      <c r="H495" s="2" t="inlineStr">
        <is>
          <t>SWSH06: Chilling Reign</t>
        </is>
      </c>
      <c r="I495" s="3" t="n"/>
      <c r="J495" s="3" t="n">
        <v>345</v>
      </c>
      <c r="K495" s="3" t="n"/>
      <c r="L495" s="3" t="n"/>
      <c r="M495" s="2" t="inlineStr">
        <is>
          <t>TCGplayer</t>
        </is>
      </c>
      <c r="O495" s="4" t="inlineStr">
        <is>
          <t>https://www.tcgplayer.com/product/256972</t>
        </is>
      </c>
    </row>
    <row r="496">
      <c r="A496" s="2" t="inlineStr">
        <is>
          <t>Evolving Skies Booster Box Case</t>
        </is>
      </c>
      <c r="B496" s="3">
        <f>IF(I496&lt;&gt;"",I496,IF(J496&lt;&gt;"",J496,IF(K496&lt;&gt;"",K496,L496)))</f>
        <v>27500.0</v>
      </c>
      <c r="C496" s="3">
        <f>MEDIAN(I496:L496)</f>
        <v>21495.0</v>
      </c>
      <c r="D496" s="3">
        <f>ROUND(C496*(1-Settings!$B$2),2)</f>
        <v>15046.5</v>
      </c>
      <c r="E496" s="3">
        <f>ROUND(C496*(1-Settings!$B$3),2)</f>
        <v>15046.5</v>
      </c>
      <c r="F496" s="2" t="inlineStr">
        <is>
          <t>Pokemon</t>
        </is>
      </c>
      <c r="G496" s="2" t="inlineStr">
        <is>
          <t>Case/Display</t>
        </is>
      </c>
      <c r="H496" s="2" t="inlineStr">
        <is>
          <t>SWSH07: Evolving Skies</t>
        </is>
      </c>
      <c r="I496" s="3" t="n"/>
      <c r="J496" s="3" t="n"/>
      <c r="K496" s="3" t="n">
        <v>27500</v>
      </c>
      <c r="L496" s="3" t="n">
        <v>15490</v>
      </c>
      <c r="M496" s="2" t="inlineStr">
        <is>
          <t>TCGplayer</t>
        </is>
      </c>
      <c r="O496" s="4" t="inlineStr">
        <is>
          <t>https://www.tcgplayer.com/product/248124</t>
        </is>
      </c>
    </row>
    <row r="497">
      <c r="A497" s="2" t="inlineStr">
        <is>
          <t>Evolving Skies Build &amp; Battle Box Display</t>
        </is>
      </c>
      <c r="B497" s="3">
        <f>IF(I497&lt;&gt;"",I497,IF(J497&lt;&gt;"",J497,IF(K497&lt;&gt;"",K497,L497)))</f>
        <v>3924.97</v>
      </c>
      <c r="C497" s="3">
        <f>MEDIAN(I497:L497)</f>
        <v>3887.4799999999996</v>
      </c>
      <c r="D497" s="3">
        <f>ROUND(C497*(1-Settings!$B$2),2)</f>
        <v>2721.24</v>
      </c>
      <c r="E497" s="3">
        <f>ROUND(C497*(1-Settings!$B$3),2)</f>
        <v>2721.24</v>
      </c>
      <c r="F497" s="2" t="inlineStr">
        <is>
          <t>Pokemon</t>
        </is>
      </c>
      <c r="G497" s="2" t="inlineStr">
        <is>
          <t>Case/Display</t>
        </is>
      </c>
      <c r="H497" s="2" t="inlineStr">
        <is>
          <t>SWSH07: Evolving Skies</t>
        </is>
      </c>
      <c r="I497" s="3" t="n"/>
      <c r="J497" s="3" t="n"/>
      <c r="K497" s="3" t="n">
        <v>3924.97</v>
      </c>
      <c r="L497" s="3" t="n">
        <v>3849.99</v>
      </c>
      <c r="M497" s="2" t="inlineStr">
        <is>
          <t>TCGplayer</t>
        </is>
      </c>
      <c r="O497" s="4" t="inlineStr">
        <is>
          <t>https://www.tcgplayer.com/product/242450</t>
        </is>
      </c>
    </row>
    <row r="498">
      <c r="A498" s="2" t="inlineStr">
        <is>
          <t>Evolving Skies Elite Trainer Box Case</t>
        </is>
      </c>
      <c r="B498" s="3">
        <f>IF(I498&lt;&gt;"",I498,IF(J498&lt;&gt;"",J498,IF(K498&lt;&gt;"",K498,L498)))</f>
        <v>5700.0</v>
      </c>
      <c r="C498" s="3">
        <f>MEDIAN(I498:L498)</f>
        <v>5650.0</v>
      </c>
      <c r="D498" s="3">
        <f>ROUND(C498*(1-Settings!$B$2),2)</f>
        <v>3955.0</v>
      </c>
      <c r="E498" s="3">
        <f>ROUND(C498*(1-Settings!$B$3),2)</f>
        <v>3955.0</v>
      </c>
      <c r="F498" s="2" t="inlineStr">
        <is>
          <t>Pokemon</t>
        </is>
      </c>
      <c r="G498" s="2" t="inlineStr">
        <is>
          <t>Case/Display</t>
        </is>
      </c>
      <c r="H498" s="2" t="inlineStr">
        <is>
          <t>SWSH07: Evolving Skies</t>
        </is>
      </c>
      <c r="I498" s="3" t="n"/>
      <c r="J498" s="3" t="n"/>
      <c r="K498" s="3" t="n">
        <v>5700</v>
      </c>
      <c r="L498" s="3" t="n">
        <v>5600</v>
      </c>
      <c r="M498" s="2" t="inlineStr">
        <is>
          <t>TCGplayer</t>
        </is>
      </c>
      <c r="O498" s="4" t="inlineStr">
        <is>
          <t>https://www.tcgplayer.com/product/243722</t>
        </is>
      </c>
    </row>
    <row r="499">
      <c r="A499" s="2" t="inlineStr">
        <is>
          <t>Evolving Skies Pokemon Center Elite Trainer Box Case [Glaceon/Vaporeon/Sylveon/Espeon] (Exclusive)</t>
        </is>
      </c>
      <c r="B499" s="3">
        <f>IF(I499&lt;&gt;"",I499,IF(J499&lt;&gt;"",J499,IF(K499&lt;&gt;"",K499,L499)))</f>
        <v>9999.95</v>
      </c>
      <c r="C499" s="3">
        <f>MEDIAN(I499:L499)</f>
        <v>9999.95</v>
      </c>
      <c r="D499" s="3">
        <f>ROUND(C499*(1-Settings!$B$2),2)</f>
        <v>6999.97</v>
      </c>
      <c r="E499" s="3">
        <f>ROUND(C499*(1-Settings!$B$3),2)</f>
        <v>6999.97</v>
      </c>
      <c r="F499" s="2" t="inlineStr">
        <is>
          <t>Pokemon</t>
        </is>
      </c>
      <c r="G499" s="2" t="inlineStr">
        <is>
          <t>Case/Display</t>
        </is>
      </c>
      <c r="H499" s="2" t="inlineStr">
        <is>
          <t>SWSH07: Evolving Skies</t>
        </is>
      </c>
      <c r="I499" s="3" t="n"/>
      <c r="J499" s="3" t="n"/>
      <c r="K499" s="3" t="n">
        <v>9999.950000000001</v>
      </c>
      <c r="L499" s="3" t="n">
        <v>9999.950000000001</v>
      </c>
      <c r="M499" s="2" t="inlineStr">
        <is>
          <t>TCGplayer</t>
        </is>
      </c>
      <c r="O499" s="4" t="inlineStr">
        <is>
          <t>https://www.tcgplayer.com/product/628319</t>
        </is>
      </c>
    </row>
    <row r="500">
      <c r="A500" s="2" t="inlineStr">
        <is>
          <t>Fusion Strike 3-Pack Blister Case</t>
        </is>
      </c>
      <c r="B500" s="3">
        <f>IF(I500&lt;&gt;"",I500,IF(J500&lt;&gt;"",J500,IF(K500&lt;&gt;"",K500,L500)))</f>
        <v>2110.0</v>
      </c>
      <c r="C500" s="3">
        <f>MEDIAN(I500:L500)</f>
        <v>2110.0</v>
      </c>
      <c r="D500" s="3">
        <f>ROUND(C500*(1-Settings!$B$2),2)</f>
        <v>1477.0</v>
      </c>
      <c r="E500" s="3">
        <f>ROUND(C500*(1-Settings!$B$3),2)</f>
        <v>1477.0</v>
      </c>
      <c r="F500" s="2" t="inlineStr">
        <is>
          <t>Pokemon</t>
        </is>
      </c>
      <c r="G500" s="2" t="inlineStr">
        <is>
          <t>Case/Display</t>
        </is>
      </c>
      <c r="H500" s="2" t="inlineStr">
        <is>
          <t>SWSH08: Fusion Strike</t>
        </is>
      </c>
      <c r="I500" s="3" t="n"/>
      <c r="J500" s="3" t="n"/>
      <c r="K500" s="3" t="n"/>
      <c r="L500" s="3" t="n">
        <v>2110</v>
      </c>
      <c r="M500" s="2" t="inlineStr">
        <is>
          <t>TCGplayer</t>
        </is>
      </c>
      <c r="O500" s="4" t="inlineStr">
        <is>
          <t>https://www.tcgplayer.com/product/638064</t>
        </is>
      </c>
    </row>
    <row r="501">
      <c r="A501" s="2" t="inlineStr">
        <is>
          <t>Fusion Strike Booster Box Case</t>
        </is>
      </c>
      <c r="B501" s="3">
        <f>IF(I501&lt;&gt;"",I501,IF(J501&lt;&gt;"",J501,IF(K501&lt;&gt;"",K501,L501)))</f>
        <v>6443.99</v>
      </c>
      <c r="C501" s="3">
        <f>MEDIAN(I501:L501)</f>
        <v>6999.95</v>
      </c>
      <c r="D501" s="3">
        <f>ROUND(C501*(1-Settings!$B$2),2)</f>
        <v>4899.97</v>
      </c>
      <c r="E501" s="3">
        <f>ROUND(C501*(1-Settings!$B$3),2)</f>
        <v>4899.97</v>
      </c>
      <c r="F501" s="2" t="inlineStr">
        <is>
          <t>Pokemon</t>
        </is>
      </c>
      <c r="G501" s="2" t="inlineStr">
        <is>
          <t>Case/Display</t>
        </is>
      </c>
      <c r="H501" s="2" t="inlineStr">
        <is>
          <t>SWSH08: Fusion Strike</t>
        </is>
      </c>
      <c r="I501" s="3" t="n"/>
      <c r="J501" s="3" t="n">
        <v>6443.99</v>
      </c>
      <c r="K501" s="3" t="n">
        <v>8900.34</v>
      </c>
      <c r="L501" s="3" t="n">
        <v>6999.95</v>
      </c>
      <c r="M501" s="2" t="inlineStr">
        <is>
          <t>TCGplayer</t>
        </is>
      </c>
      <c r="O501" s="4" t="inlineStr">
        <is>
          <t>https://www.tcgplayer.com/product/247655</t>
        </is>
      </c>
    </row>
    <row r="502">
      <c r="A502" s="2" t="inlineStr">
        <is>
          <t>Fusion Strike Build &amp; Battle Box Display</t>
        </is>
      </c>
      <c r="B502" s="3">
        <f>IF(I502&lt;&gt;"",I502,IF(J502&lt;&gt;"",J502,IF(K502&lt;&gt;"",K502,L502)))</f>
        <v>825.16</v>
      </c>
      <c r="C502" s="3">
        <f>MEDIAN(I502:L502)</f>
        <v>916.645</v>
      </c>
      <c r="D502" s="3">
        <f>ROUND(C502*(1-Settings!$B$2),2)</f>
        <v>641.65</v>
      </c>
      <c r="E502" s="3">
        <f>ROUND(C502*(1-Settings!$B$3),2)</f>
        <v>641.65</v>
      </c>
      <c r="F502" s="2" t="inlineStr">
        <is>
          <t>Pokemon</t>
        </is>
      </c>
      <c r="G502" s="2" t="inlineStr">
        <is>
          <t>Case/Display</t>
        </is>
      </c>
      <c r="H502" s="2" t="inlineStr">
        <is>
          <t>SWSH08: Fusion Strike</t>
        </is>
      </c>
      <c r="I502" s="3" t="n">
        <v>825.16</v>
      </c>
      <c r="J502" s="3" t="n">
        <v>923.29</v>
      </c>
      <c r="K502" s="3" t="n">
        <v>997.47</v>
      </c>
      <c r="L502" s="3" t="n">
        <v>910</v>
      </c>
      <c r="M502" s="2" t="inlineStr">
        <is>
          <t>PriceCharting + TCGplayer</t>
        </is>
      </c>
      <c r="N502" s="4" t="inlineStr">
        <is>
          <t>https://www.pricecharting.com/game/pokemon-fusion-strike/build-&amp;-battle-box-display</t>
        </is>
      </c>
      <c r="O502" s="4" t="inlineStr">
        <is>
          <t>https://www.tcgplayer.com/product/247660</t>
        </is>
      </c>
    </row>
    <row r="503">
      <c r="A503" s="2" t="inlineStr">
        <is>
          <t>Fusion Strike Pokemon Center Elite Trainer Box Case (Exclusive)</t>
        </is>
      </c>
      <c r="B503" s="3">
        <f>IF(I503&lt;&gt;"",I503,IF(J503&lt;&gt;"",J503,IF(K503&lt;&gt;"",K503,L503)))</f>
        <v>2475.72</v>
      </c>
      <c r="C503" s="3">
        <f>MEDIAN(I503:L503)</f>
        <v>3500.0</v>
      </c>
      <c r="D503" s="3">
        <f>ROUND(C503*(1-Settings!$B$2),2)</f>
        <v>2450.0</v>
      </c>
      <c r="E503" s="3">
        <f>ROUND(C503*(1-Settings!$B$3),2)</f>
        <v>2450.0</v>
      </c>
      <c r="F503" s="2" t="inlineStr">
        <is>
          <t>Pokemon</t>
        </is>
      </c>
      <c r="G503" s="2" t="inlineStr">
        <is>
          <t>Case/Display</t>
        </is>
      </c>
      <c r="H503" s="2" t="inlineStr">
        <is>
          <t>SWSH08: Fusion Strike</t>
        </is>
      </c>
      <c r="I503" s="3" t="n"/>
      <c r="J503" s="3" t="n">
        <v>2475.72</v>
      </c>
      <c r="K503" s="3" t="n">
        <v>3747</v>
      </c>
      <c r="L503" s="3" t="n">
        <v>3500</v>
      </c>
      <c r="M503" s="2" t="inlineStr">
        <is>
          <t>TCGplayer</t>
        </is>
      </c>
      <c r="O503" s="4" t="inlineStr">
        <is>
          <t>https://www.tcgplayer.com/product/557076</t>
        </is>
      </c>
    </row>
    <row r="504">
      <c r="A504" s="2" t="inlineStr">
        <is>
          <t>Fusion Strike Sleeved Booster Case</t>
        </is>
      </c>
      <c r="B504" s="3">
        <f>IF(I504&lt;&gt;"",I504,IF(J504&lt;&gt;"",J504,IF(K504&lt;&gt;"",K504,L504)))</f>
        <v>3252.24</v>
      </c>
      <c r="C504" s="3">
        <f>MEDIAN(I504:L504)</f>
        <v>3498.99</v>
      </c>
      <c r="D504" s="3">
        <f>ROUND(C504*(1-Settings!$B$2),2)</f>
        <v>2449.29</v>
      </c>
      <c r="E504" s="3">
        <f>ROUND(C504*(1-Settings!$B$3),2)</f>
        <v>2449.29</v>
      </c>
      <c r="F504" s="2" t="inlineStr">
        <is>
          <t>Pokemon</t>
        </is>
      </c>
      <c r="G504" s="2" t="inlineStr">
        <is>
          <t>Case/Display</t>
        </is>
      </c>
      <c r="H504" s="2" t="inlineStr">
        <is>
          <t>SWSH08: Fusion Strike</t>
        </is>
      </c>
      <c r="I504" s="3" t="n"/>
      <c r="J504" s="3" t="n">
        <v>3252.24</v>
      </c>
      <c r="K504" s="3" t="n">
        <v>3999.94</v>
      </c>
      <c r="L504" s="3" t="n">
        <v>3498.99</v>
      </c>
      <c r="M504" s="2" t="inlineStr">
        <is>
          <t>TCGplayer</t>
        </is>
      </c>
      <c r="O504" s="4" t="inlineStr">
        <is>
          <t>https://www.tcgplayer.com/product/547703</t>
        </is>
      </c>
    </row>
    <row r="505">
      <c r="A505" s="2" t="inlineStr">
        <is>
          <t>Arceus V Figure Collection Case</t>
        </is>
      </c>
      <c r="B505" s="3">
        <f>IF(I505&lt;&gt;"",I505,IF(J505&lt;&gt;"",J505,IF(K505&lt;&gt;"",K505,L505)))</f>
        <v>925.0</v>
      </c>
      <c r="C505" s="3">
        <f>MEDIAN(I505:L505)</f>
        <v>1000.0</v>
      </c>
      <c r="D505" s="3">
        <f>ROUND(C505*(1-Settings!$B$2),2)</f>
        <v>700.0</v>
      </c>
      <c r="E505" s="3">
        <f>ROUND(C505*(1-Settings!$B$3),2)</f>
        <v>700.0</v>
      </c>
      <c r="F505" s="2" t="inlineStr">
        <is>
          <t>Pokemon</t>
        </is>
      </c>
      <c r="G505" s="2" t="inlineStr">
        <is>
          <t>Case/Display</t>
        </is>
      </c>
      <c r="H505" s="2" t="inlineStr">
        <is>
          <t>SWSH09: Brilliant Stars</t>
        </is>
      </c>
      <c r="I505" s="3" t="n"/>
      <c r="J505" s="3" t="n">
        <v>925</v>
      </c>
      <c r="K505" s="3" t="n">
        <v>1000</v>
      </c>
      <c r="L505" s="3" t="n">
        <v>1000</v>
      </c>
      <c r="M505" s="2" t="inlineStr">
        <is>
          <t>TCGplayer</t>
        </is>
      </c>
      <c r="O505" s="4" t="inlineStr">
        <is>
          <t>https://www.tcgplayer.com/product/651285</t>
        </is>
      </c>
    </row>
    <row r="506">
      <c r="A506" s="2" t="inlineStr">
        <is>
          <t>Brilliant Stars Booster Box Case</t>
        </is>
      </c>
      <c r="B506" s="3">
        <f>IF(I506&lt;&gt;"",I506,IF(J506&lt;&gt;"",J506,IF(K506&lt;&gt;"",K506,L506)))</f>
        <v>3789.37</v>
      </c>
      <c r="C506" s="3">
        <f>MEDIAN(I506:L506)</f>
        <v>3789.37</v>
      </c>
      <c r="D506" s="3">
        <f>ROUND(C506*(1-Settings!$B$2),2)</f>
        <v>2652.56</v>
      </c>
      <c r="E506" s="3">
        <f>ROUND(C506*(1-Settings!$B$3),2)</f>
        <v>2652.56</v>
      </c>
      <c r="F506" s="2" t="inlineStr">
        <is>
          <t>Pokemon</t>
        </is>
      </c>
      <c r="G506" s="2" t="inlineStr">
        <is>
          <t>Case/Display</t>
        </is>
      </c>
      <c r="H506" s="2" t="inlineStr">
        <is>
          <t>SWSH09: Brilliant Stars</t>
        </is>
      </c>
      <c r="I506" s="3" t="n"/>
      <c r="J506" s="3" t="n">
        <v>3789.37</v>
      </c>
      <c r="K506" s="3" t="n">
        <v>5000</v>
      </c>
      <c r="L506" s="3" t="n">
        <v>3500</v>
      </c>
      <c r="M506" s="2" t="inlineStr">
        <is>
          <t>TCGplayer</t>
        </is>
      </c>
      <c r="O506" s="4" t="inlineStr">
        <is>
          <t>https://www.tcgplayer.com/product/256145</t>
        </is>
      </c>
    </row>
    <row r="507">
      <c r="A507" s="2" t="inlineStr">
        <is>
          <t>Brilliant Stars Build &amp; Battle Box Display</t>
        </is>
      </c>
      <c r="B507" s="3">
        <f>IF(I507&lt;&gt;"",I507,IF(J507&lt;&gt;"",J507,IF(K507&lt;&gt;"",K507,L507)))</f>
        <v>636.96</v>
      </c>
      <c r="C507" s="3">
        <f>MEDIAN(I507:L507)</f>
        <v>660.0</v>
      </c>
      <c r="D507" s="3">
        <f>ROUND(C507*(1-Settings!$B$2),2)</f>
        <v>462.0</v>
      </c>
      <c r="E507" s="3">
        <f>ROUND(C507*(1-Settings!$B$3),2)</f>
        <v>462.0</v>
      </c>
      <c r="F507" s="2" t="inlineStr">
        <is>
          <t>Pokemon</t>
        </is>
      </c>
      <c r="G507" s="2" t="inlineStr">
        <is>
          <t>Case/Display</t>
        </is>
      </c>
      <c r="H507" s="2" t="inlineStr">
        <is>
          <t>SWSH09: Brilliant Stars</t>
        </is>
      </c>
      <c r="I507" s="3" t="n"/>
      <c r="J507" s="3" t="n">
        <v>636.96</v>
      </c>
      <c r="K507" s="3" t="n">
        <v>749.99</v>
      </c>
      <c r="L507" s="3" t="n">
        <v>660</v>
      </c>
      <c r="M507" s="2" t="inlineStr">
        <is>
          <t>TCGplayer</t>
        </is>
      </c>
      <c r="O507" s="4" t="inlineStr">
        <is>
          <t>https://www.tcgplayer.com/product/256144</t>
        </is>
      </c>
    </row>
    <row r="508">
      <c r="A508" s="2" t="inlineStr">
        <is>
          <t>Brilliant Stars Elite Trainer Box Case</t>
        </is>
      </c>
      <c r="B508" s="3">
        <f>IF(I508&lt;&gt;"",I508,IF(J508&lt;&gt;"",J508,IF(K508&lt;&gt;"",K508,L508)))</f>
        <v>1676.5</v>
      </c>
      <c r="C508" s="3">
        <f>MEDIAN(I508:L508)</f>
        <v>1918.77</v>
      </c>
      <c r="D508" s="3">
        <f>ROUND(C508*(1-Settings!$B$2),2)</f>
        <v>1343.14</v>
      </c>
      <c r="E508" s="3">
        <f>ROUND(C508*(1-Settings!$B$3),2)</f>
        <v>1343.14</v>
      </c>
      <c r="F508" s="2" t="inlineStr">
        <is>
          <t>Pokemon</t>
        </is>
      </c>
      <c r="G508" s="2" t="inlineStr">
        <is>
          <t>Case/Display</t>
        </is>
      </c>
      <c r="H508" s="2" t="inlineStr">
        <is>
          <t>SWSH09: Brilliant Stars</t>
        </is>
      </c>
      <c r="I508" s="3" t="n"/>
      <c r="J508" s="3" t="n">
        <v>1676.5</v>
      </c>
      <c r="K508" s="3" t="n">
        <v>1918.78</v>
      </c>
      <c r="L508" s="3" t="n">
        <v>1918.77</v>
      </c>
      <c r="M508" s="2" t="inlineStr">
        <is>
          <t>TCGplayer</t>
        </is>
      </c>
      <c r="O508" s="4" t="inlineStr">
        <is>
          <t>https://www.tcgplayer.com/product/264269</t>
        </is>
      </c>
    </row>
    <row r="509">
      <c r="A509" s="2" t="inlineStr">
        <is>
          <t>Brilliant Stars Pokemon Center Elite Trainer Box (Exclusive) Case</t>
        </is>
      </c>
      <c r="B509" s="3">
        <f>IF(I509&lt;&gt;"",I509,IF(J509&lt;&gt;"",J509,IF(K509&lt;&gt;"",K509,L509)))</f>
        <v>875.0</v>
      </c>
      <c r="C509" s="3">
        <f>MEDIAN(I509:L509)</f>
        <v>1022.99</v>
      </c>
      <c r="D509" s="3">
        <f>ROUND(C509*(1-Settings!$B$2),2)</f>
        <v>716.09</v>
      </c>
      <c r="E509" s="3">
        <f>ROUND(C509*(1-Settings!$B$3),2)</f>
        <v>716.09</v>
      </c>
      <c r="F509" s="2" t="inlineStr">
        <is>
          <t>Pokemon</t>
        </is>
      </c>
      <c r="G509" s="2" t="inlineStr">
        <is>
          <t>Case/Display</t>
        </is>
      </c>
      <c r="H509" s="2" t="inlineStr">
        <is>
          <t>SWSH09: Brilliant Stars</t>
        </is>
      </c>
      <c r="I509" s="3" t="n"/>
      <c r="J509" s="3" t="n">
        <v>875</v>
      </c>
      <c r="K509" s="3" t="n">
        <v>1049.99</v>
      </c>
      <c r="L509" s="3" t="n">
        <v>1022.99</v>
      </c>
      <c r="M509" s="2" t="inlineStr">
        <is>
          <t>TCGplayer</t>
        </is>
      </c>
      <c r="O509" s="4" t="inlineStr">
        <is>
          <t>https://www.tcgplayer.com/product/639337</t>
        </is>
      </c>
    </row>
    <row r="510">
      <c r="A510" s="2" t="inlineStr">
        <is>
          <t>Brilliant Stars Sleeved Booster Pack Case</t>
        </is>
      </c>
      <c r="B510" s="3">
        <f>IF(I510&lt;&gt;"",I510,IF(J510&lt;&gt;"",J510,IF(K510&lt;&gt;"",K510,L510)))</f>
        <v>2436.62</v>
      </c>
      <c r="C510" s="3">
        <f>MEDIAN(I510:L510)</f>
        <v>2479.89</v>
      </c>
      <c r="D510" s="3">
        <f>ROUND(C510*(1-Settings!$B$2),2)</f>
        <v>1735.92</v>
      </c>
      <c r="E510" s="3">
        <f>ROUND(C510*(1-Settings!$B$3),2)</f>
        <v>1735.92</v>
      </c>
      <c r="F510" s="2" t="inlineStr">
        <is>
          <t>Pokemon</t>
        </is>
      </c>
      <c r="G510" s="2" t="inlineStr">
        <is>
          <t>Case/Display</t>
        </is>
      </c>
      <c r="H510" s="2" t="inlineStr">
        <is>
          <t>SWSH09: Brilliant Stars</t>
        </is>
      </c>
      <c r="I510" s="3" t="n"/>
      <c r="J510" s="3" t="n">
        <v>2436.62</v>
      </c>
      <c r="K510" s="3" t="n">
        <v>2499.86</v>
      </c>
      <c r="L510" s="3" t="n">
        <v>2479.89</v>
      </c>
      <c r="M510" s="2" t="inlineStr">
        <is>
          <t>TCGplayer</t>
        </is>
      </c>
      <c r="O510" s="4" t="inlineStr">
        <is>
          <t>https://www.tcgplayer.com/product/599964</t>
        </is>
      </c>
    </row>
    <row r="511">
      <c r="A511" s="2" t="inlineStr">
        <is>
          <t>Astral Radiance Booster Box Case</t>
        </is>
      </c>
      <c r="B511" s="3">
        <f>IF(I511&lt;&gt;"",I511,IF(J511&lt;&gt;"",J511,IF(K511&lt;&gt;"",K511,L511)))</f>
        <v>2509.86</v>
      </c>
      <c r="C511" s="3">
        <f>MEDIAN(I511:L511)</f>
        <v>2999.0</v>
      </c>
      <c r="D511" s="3">
        <f>ROUND(C511*(1-Settings!$B$2),2)</f>
        <v>2099.3</v>
      </c>
      <c r="E511" s="3">
        <f>ROUND(C511*(1-Settings!$B$3),2)</f>
        <v>2099.3</v>
      </c>
      <c r="F511" s="2" t="inlineStr">
        <is>
          <t>Pokemon</t>
        </is>
      </c>
      <c r="G511" s="2" t="inlineStr">
        <is>
          <t>Case/Display</t>
        </is>
      </c>
      <c r="H511" s="2" t="inlineStr">
        <is>
          <t>SWSH10: Astral Radiance</t>
        </is>
      </c>
      <c r="I511" s="3" t="n"/>
      <c r="J511" s="3" t="n">
        <v>2509.86</v>
      </c>
      <c r="K511" s="3" t="n">
        <v>3794.97</v>
      </c>
      <c r="L511" s="3" t="n">
        <v>2999</v>
      </c>
      <c r="M511" s="2" t="inlineStr">
        <is>
          <t>TCGplayer</t>
        </is>
      </c>
      <c r="O511" s="4" t="inlineStr">
        <is>
          <t>https://www.tcgplayer.com/product/265520</t>
        </is>
      </c>
    </row>
    <row r="512">
      <c r="A512" s="2" t="inlineStr">
        <is>
          <t>Astral Radiance Elite Trainer Box Case</t>
        </is>
      </c>
      <c r="B512" s="3">
        <f>IF(I512&lt;&gt;"",I512,IF(J512&lt;&gt;"",J512,IF(K512&lt;&gt;"",K512,L512)))</f>
        <v>1732.49</v>
      </c>
      <c r="C512" s="3">
        <f>MEDIAN(I512:L512)</f>
        <v>1789.97</v>
      </c>
      <c r="D512" s="3">
        <f>ROUND(C512*(1-Settings!$B$2),2)</f>
        <v>1252.98</v>
      </c>
      <c r="E512" s="3">
        <f>ROUND(C512*(1-Settings!$B$3),2)</f>
        <v>1252.98</v>
      </c>
      <c r="F512" s="2" t="inlineStr">
        <is>
          <t>Pokemon</t>
        </is>
      </c>
      <c r="G512" s="2" t="inlineStr">
        <is>
          <t>Case/Display</t>
        </is>
      </c>
      <c r="H512" s="2" t="inlineStr">
        <is>
          <t>SWSH10: Astral Radiance</t>
        </is>
      </c>
      <c r="I512" s="3" t="n"/>
      <c r="J512" s="3" t="n">
        <v>1732.49</v>
      </c>
      <c r="K512" s="3" t="n">
        <v>1800</v>
      </c>
      <c r="L512" s="3" t="n">
        <v>1789.97</v>
      </c>
      <c r="M512" s="2" t="inlineStr">
        <is>
          <t>TCGplayer</t>
        </is>
      </c>
      <c r="O512" s="4" t="inlineStr">
        <is>
          <t>https://www.tcgplayer.com/product/265545</t>
        </is>
      </c>
    </row>
    <row r="513">
      <c r="A513" s="2" t="inlineStr">
        <is>
          <t>Astral Radiance Pokemon Center Elite Trainer Box Case (Exclusive)</t>
        </is>
      </c>
      <c r="B513" s="3">
        <f>IF(I513&lt;&gt;"",I513,IF(J513&lt;&gt;"",J513,IF(K513&lt;&gt;"",K513,L513)))</f>
        <v>1146.0</v>
      </c>
      <c r="C513" s="3">
        <f>MEDIAN(I513:L513)</f>
        <v>1146.0</v>
      </c>
      <c r="D513" s="3">
        <f>ROUND(C513*(1-Settings!$B$2),2)</f>
        <v>802.2</v>
      </c>
      <c r="E513" s="3">
        <f>ROUND(C513*(1-Settings!$B$3),2)</f>
        <v>802.2</v>
      </c>
      <c r="F513" s="2" t="inlineStr">
        <is>
          <t>Pokemon</t>
        </is>
      </c>
      <c r="G513" s="2" t="inlineStr">
        <is>
          <t>Case/Display</t>
        </is>
      </c>
      <c r="H513" s="2" t="inlineStr">
        <is>
          <t>SWSH10: Astral Radiance</t>
        </is>
      </c>
      <c r="I513" s="3" t="n"/>
      <c r="J513" s="3" t="n">
        <v>1146</v>
      </c>
      <c r="K513" s="3" t="n">
        <v>1509.5</v>
      </c>
      <c r="L513" s="3" t="n">
        <v>1099.98</v>
      </c>
      <c r="M513" s="2" t="inlineStr">
        <is>
          <t>TCGplayer</t>
        </is>
      </c>
      <c r="O513" s="4" t="inlineStr">
        <is>
          <t>https://www.tcgplayer.com/product/279424</t>
        </is>
      </c>
    </row>
    <row r="514">
      <c r="A514" s="2" t="inlineStr">
        <is>
          <t>Astral Radiance Sleeved Booster Pack Case</t>
        </is>
      </c>
      <c r="B514" s="3">
        <f>IF(I514&lt;&gt;"",I514,IF(J514&lt;&gt;"",J514,IF(K514&lt;&gt;"",K514,L514)))</f>
        <v>1386.66</v>
      </c>
      <c r="C514" s="3">
        <f>MEDIAN(I514:L514)</f>
        <v>1699.99</v>
      </c>
      <c r="D514" s="3">
        <f>ROUND(C514*(1-Settings!$B$2),2)</f>
        <v>1189.99</v>
      </c>
      <c r="E514" s="3">
        <f>ROUND(C514*(1-Settings!$B$3),2)</f>
        <v>1189.99</v>
      </c>
      <c r="F514" s="2" t="inlineStr">
        <is>
          <t>Pokemon</t>
        </is>
      </c>
      <c r="G514" s="2" t="inlineStr">
        <is>
          <t>Case/Display</t>
        </is>
      </c>
      <c r="H514" s="2" t="inlineStr">
        <is>
          <t>SWSH10: Astral Radiance</t>
        </is>
      </c>
      <c r="I514" s="3" t="n"/>
      <c r="J514" s="3" t="n">
        <v>1386.66</v>
      </c>
      <c r="K514" s="3" t="n">
        <v>1724.99</v>
      </c>
      <c r="L514" s="3" t="n">
        <v>1699.99</v>
      </c>
      <c r="M514" s="2" t="inlineStr">
        <is>
          <t>TCGplayer</t>
        </is>
      </c>
      <c r="O514" s="4" t="inlineStr">
        <is>
          <t>https://www.tcgplayer.com/product/496130</t>
        </is>
      </c>
    </row>
    <row r="515">
      <c r="A515" s="2" t="inlineStr">
        <is>
          <t>Lost Origin Booster Box Case</t>
        </is>
      </c>
      <c r="B515" s="3">
        <f>IF(I515&lt;&gt;"",I515,IF(J515&lt;&gt;"",J515,IF(K515&lt;&gt;"",K515,L515)))</f>
        <v>4565.9</v>
      </c>
      <c r="C515" s="3">
        <f>MEDIAN(I515:L515)</f>
        <v>4574.0</v>
      </c>
      <c r="D515" s="3">
        <f>ROUND(C515*(1-Settings!$B$2),2)</f>
        <v>3201.8</v>
      </c>
      <c r="E515" s="3">
        <f>ROUND(C515*(1-Settings!$B$3),2)</f>
        <v>3201.8</v>
      </c>
      <c r="F515" s="2" t="inlineStr">
        <is>
          <t>Pokemon</t>
        </is>
      </c>
      <c r="G515" s="2" t="inlineStr">
        <is>
          <t>Case/Display</t>
        </is>
      </c>
      <c r="H515" s="2" t="inlineStr">
        <is>
          <t>SWSH11: Lost Origin</t>
        </is>
      </c>
      <c r="I515" s="3" t="n"/>
      <c r="J515" s="3" t="n">
        <v>4565.9</v>
      </c>
      <c r="K515" s="3" t="n">
        <v>5999.99</v>
      </c>
      <c r="L515" s="3" t="n">
        <v>4574</v>
      </c>
      <c r="M515" s="2" t="inlineStr">
        <is>
          <t>TCGplayer</t>
        </is>
      </c>
      <c r="O515" s="4" t="inlineStr">
        <is>
          <t>https://www.tcgplayer.com/product/278793</t>
        </is>
      </c>
    </row>
    <row r="516">
      <c r="A516" s="2" t="inlineStr">
        <is>
          <t>Lost Origin Build &amp; Battle Box Display</t>
        </is>
      </c>
      <c r="B516" s="3">
        <f>IF(I516&lt;&gt;"",I516,IF(J516&lt;&gt;"",J516,IF(K516&lt;&gt;"",K516,L516)))</f>
        <v>912.57</v>
      </c>
      <c r="C516" s="3">
        <f>MEDIAN(I516:L516)</f>
        <v>859.25</v>
      </c>
      <c r="D516" s="3">
        <f>ROUND(C516*(1-Settings!$B$2),2)</f>
        <v>601.48</v>
      </c>
      <c r="E516" s="3">
        <f>ROUND(C516*(1-Settings!$B$3),2)</f>
        <v>601.48</v>
      </c>
      <c r="F516" s="2" t="inlineStr">
        <is>
          <t>Pokemon</t>
        </is>
      </c>
      <c r="G516" s="2" t="inlineStr">
        <is>
          <t>Case/Display</t>
        </is>
      </c>
      <c r="H516" s="2" t="inlineStr">
        <is>
          <t>SWSH11: Lost Origin</t>
        </is>
      </c>
      <c r="I516" s="3" t="n"/>
      <c r="J516" s="3" t="n">
        <v>912.5700000000001</v>
      </c>
      <c r="K516" s="3" t="n">
        <v>859.25</v>
      </c>
      <c r="L516" s="3" t="n">
        <v>840</v>
      </c>
      <c r="M516" s="2" t="inlineStr">
        <is>
          <t>TCGplayer</t>
        </is>
      </c>
      <c r="O516" s="4" t="inlineStr">
        <is>
          <t>https://www.tcgplayer.com/product/278795</t>
        </is>
      </c>
    </row>
    <row r="517">
      <c r="A517" s="2" t="inlineStr">
        <is>
          <t>Lost Origin Build &amp; Battle Stadium Case</t>
        </is>
      </c>
      <c r="B517" s="3">
        <f>IF(I517&lt;&gt;"",I517,IF(J517&lt;&gt;"",J517,IF(K517&lt;&gt;"",K517,L517)))</f>
        <v>1499.99</v>
      </c>
      <c r="C517" s="3">
        <f>MEDIAN(I517:L517)</f>
        <v>1424.99</v>
      </c>
      <c r="D517" s="3">
        <f>ROUND(C517*(1-Settings!$B$2),2)</f>
        <v>997.49</v>
      </c>
      <c r="E517" s="3">
        <f>ROUND(C517*(1-Settings!$B$3),2)</f>
        <v>997.49</v>
      </c>
      <c r="F517" s="2" t="inlineStr">
        <is>
          <t>Pokemon</t>
        </is>
      </c>
      <c r="G517" s="2" t="inlineStr">
        <is>
          <t>Case/Display</t>
        </is>
      </c>
      <c r="H517" s="2" t="inlineStr">
        <is>
          <t>SWSH11: Lost Origin</t>
        </is>
      </c>
      <c r="I517" s="3" t="n"/>
      <c r="J517" s="3" t="n"/>
      <c r="K517" s="3" t="n">
        <v>1499.99</v>
      </c>
      <c r="L517" s="3" t="n">
        <v>1349.99</v>
      </c>
      <c r="M517" s="2" t="inlineStr">
        <is>
          <t>TCGplayer</t>
        </is>
      </c>
      <c r="O517" s="4" t="inlineStr">
        <is>
          <t>https://www.tcgplayer.com/product/648474</t>
        </is>
      </c>
    </row>
    <row r="518">
      <c r="A518" s="2" t="inlineStr">
        <is>
          <t>Lost Origin Elite Trainer Box Case</t>
        </is>
      </c>
      <c r="B518" s="3">
        <f>IF(I518&lt;&gt;"",I518,IF(J518&lt;&gt;"",J518,IF(K518&lt;&gt;"",K518,L518)))</f>
        <v>1998.45</v>
      </c>
      <c r="C518" s="3">
        <f>MEDIAN(I518:L518)</f>
        <v>2199.95</v>
      </c>
      <c r="D518" s="3">
        <f>ROUND(C518*(1-Settings!$B$2),2)</f>
        <v>1539.97</v>
      </c>
      <c r="E518" s="3">
        <f>ROUND(C518*(1-Settings!$B$3),2)</f>
        <v>1539.97</v>
      </c>
      <c r="F518" s="2" t="inlineStr">
        <is>
          <t>Pokemon</t>
        </is>
      </c>
      <c r="G518" s="2" t="inlineStr">
        <is>
          <t>Case/Display</t>
        </is>
      </c>
      <c r="H518" s="2" t="inlineStr">
        <is>
          <t>SWSH11: Lost Origin</t>
        </is>
      </c>
      <c r="I518" s="3" t="n"/>
      <c r="J518" s="3" t="n">
        <v>1998.45</v>
      </c>
      <c r="K518" s="3" t="n">
        <v>2723.95</v>
      </c>
      <c r="L518" s="3" t="n">
        <v>2199.95</v>
      </c>
      <c r="M518" s="2" t="inlineStr">
        <is>
          <t>TCGplayer</t>
        </is>
      </c>
      <c r="O518" s="4" t="inlineStr">
        <is>
          <t>https://www.tcgplayer.com/product/278796</t>
        </is>
      </c>
    </row>
    <row r="519">
      <c r="A519" s="2" t="inlineStr">
        <is>
          <t>Lost Origin Sleeved Booster Pack Case</t>
        </is>
      </c>
      <c r="B519" s="3">
        <f>IF(I519&lt;&gt;"",I519,IF(J519&lt;&gt;"",J519,IF(K519&lt;&gt;"",K519,L519)))</f>
        <v>2865.07</v>
      </c>
      <c r="C519" s="3">
        <f>MEDIAN(I519:L519)</f>
        <v>2879.74</v>
      </c>
      <c r="D519" s="3">
        <f>ROUND(C519*(1-Settings!$B$2),2)</f>
        <v>2015.82</v>
      </c>
      <c r="E519" s="3">
        <f>ROUND(C519*(1-Settings!$B$3),2)</f>
        <v>2015.82</v>
      </c>
      <c r="F519" s="2" t="inlineStr">
        <is>
          <t>Pokemon</t>
        </is>
      </c>
      <c r="G519" s="2" t="inlineStr">
        <is>
          <t>Case/Display</t>
        </is>
      </c>
      <c r="H519" s="2" t="inlineStr">
        <is>
          <t>SWSH11: Lost Origin</t>
        </is>
      </c>
      <c r="I519" s="3" t="n"/>
      <c r="J519" s="3" t="n">
        <v>2865.07</v>
      </c>
      <c r="K519" s="3" t="n">
        <v>3000</v>
      </c>
      <c r="L519" s="3" t="n">
        <v>2879.74</v>
      </c>
      <c r="M519" s="2" t="inlineStr">
        <is>
          <t>TCGplayer</t>
        </is>
      </c>
      <c r="O519" s="4" t="inlineStr">
        <is>
          <t>https://www.tcgplayer.com/product/496131</t>
        </is>
      </c>
    </row>
    <row r="520">
      <c r="A520" s="2" t="inlineStr">
        <is>
          <t>Pokemon Stacking Tins: Fighting-Fire-Darkness Display</t>
        </is>
      </c>
      <c r="B520" s="3">
        <f>IF(I520&lt;&gt;"",I520,IF(J520&lt;&gt;"",J520,IF(K520&lt;&gt;"",K520,L520)))</f>
        <v>500.0</v>
      </c>
      <c r="C520" s="3">
        <f>MEDIAN(I520:L520)</f>
        <v>398.505</v>
      </c>
      <c r="D520" s="3">
        <f>ROUND(C520*(1-Settings!$B$2),2)</f>
        <v>278.95</v>
      </c>
      <c r="E520" s="3">
        <f>ROUND(C520*(1-Settings!$B$3),2)</f>
        <v>278.95</v>
      </c>
      <c r="F520" s="2" t="inlineStr">
        <is>
          <t>Pokemon</t>
        </is>
      </c>
      <c r="G520" s="2" t="inlineStr">
        <is>
          <t>Case/Display</t>
        </is>
      </c>
      <c r="H520" s="2" t="inlineStr">
        <is>
          <t>SWSH11: Lost Origin</t>
        </is>
      </c>
      <c r="I520" s="3" t="n"/>
      <c r="J520" s="3" t="n"/>
      <c r="K520" s="3" t="n">
        <v>500</v>
      </c>
      <c r="L520" s="3" t="n">
        <v>297.01</v>
      </c>
      <c r="M520" s="2" t="inlineStr">
        <is>
          <t>TCGplayer</t>
        </is>
      </c>
      <c r="O520" s="4" t="inlineStr">
        <is>
          <t>https://www.tcgplayer.com/product/282407</t>
        </is>
      </c>
    </row>
    <row r="521">
      <c r="A521" s="2" t="inlineStr">
        <is>
          <t>Sword &amp; Shield Ultra-Premium Collection: Charizard Case</t>
        </is>
      </c>
      <c r="B521" s="3">
        <f>IF(I521&lt;&gt;"",I521,IF(J521&lt;&gt;"",J521,IF(K521&lt;&gt;"",K521,L521)))</f>
        <v>2751.12</v>
      </c>
      <c r="C521" s="3">
        <f>MEDIAN(I521:L521)</f>
        <v>2751.12</v>
      </c>
      <c r="D521" s="3">
        <f>ROUND(C521*(1-Settings!$B$2),2)</f>
        <v>1925.78</v>
      </c>
      <c r="E521" s="3">
        <f>ROUND(C521*(1-Settings!$B$3),2)</f>
        <v>1925.78</v>
      </c>
      <c r="F521" s="2" t="inlineStr">
        <is>
          <t>Pokemon</t>
        </is>
      </c>
      <c r="G521" s="2" t="inlineStr">
        <is>
          <t>Case/Display</t>
        </is>
      </c>
      <c r="H521" s="2" t="inlineStr">
        <is>
          <t>SWSH11: Lost Origin</t>
        </is>
      </c>
      <c r="I521" s="3" t="n"/>
      <c r="J521" s="3" t="n">
        <v>2751.12</v>
      </c>
      <c r="K521" s="3" t="n">
        <v>3500</v>
      </c>
      <c r="L521" s="3" t="n">
        <v>2722.99</v>
      </c>
      <c r="M521" s="2" t="inlineStr">
        <is>
          <t>TCGplayer</t>
        </is>
      </c>
      <c r="O521" s="4" t="inlineStr">
        <is>
          <t>https://www.tcgplayer.com/product/454377</t>
        </is>
      </c>
    </row>
    <row r="522">
      <c r="A522" s="2" t="inlineStr">
        <is>
          <t>Silver Tempest Booster Box Case</t>
        </is>
      </c>
      <c r="B522" s="3">
        <f>IF(I522&lt;&gt;"",I522,IF(J522&lt;&gt;"",J522,IF(K522&lt;&gt;"",K522,L522)))</f>
        <v>3235.49</v>
      </c>
      <c r="C522" s="3">
        <f>MEDIAN(I522:L522)</f>
        <v>3289.98</v>
      </c>
      <c r="D522" s="3">
        <f>ROUND(C522*(1-Settings!$B$2),2)</f>
        <v>2302.99</v>
      </c>
      <c r="E522" s="3">
        <f>ROUND(C522*(1-Settings!$B$3),2)</f>
        <v>2302.99</v>
      </c>
      <c r="F522" s="2" t="inlineStr">
        <is>
          <t>Pokemon</t>
        </is>
      </c>
      <c r="G522" s="2" t="inlineStr">
        <is>
          <t>Case/Display</t>
        </is>
      </c>
      <c r="H522" s="2" t="inlineStr">
        <is>
          <t>SWSH12: Silver Tempest</t>
        </is>
      </c>
      <c r="I522" s="3" t="n"/>
      <c r="J522" s="3" t="n">
        <v>3235.49</v>
      </c>
      <c r="K522" s="3" t="n">
        <v>3699.97</v>
      </c>
      <c r="L522" s="3" t="n">
        <v>3289.98</v>
      </c>
      <c r="M522" s="2" t="inlineStr">
        <is>
          <t>TCGplayer</t>
        </is>
      </c>
      <c r="O522" s="4" t="inlineStr">
        <is>
          <t>https://www.tcgplayer.com/product/283391</t>
        </is>
      </c>
    </row>
    <row r="523">
      <c r="A523" s="2" t="inlineStr">
        <is>
          <t>Silver Tempest Booster Bundle Case</t>
        </is>
      </c>
      <c r="B523" s="3">
        <f>IF(I523&lt;&gt;"",I523,IF(J523&lt;&gt;"",J523,IF(K523&lt;&gt;"",K523,L523)))</f>
        <v>2964.99</v>
      </c>
      <c r="C523" s="3">
        <f>MEDIAN(I523:L523)</f>
        <v>2964.99</v>
      </c>
      <c r="D523" s="3">
        <f>ROUND(C523*(1-Settings!$B$2),2)</f>
        <v>2075.49</v>
      </c>
      <c r="E523" s="3">
        <f>ROUND(C523*(1-Settings!$B$3),2)</f>
        <v>2075.49</v>
      </c>
      <c r="F523" s="2" t="inlineStr">
        <is>
          <t>Pokemon</t>
        </is>
      </c>
      <c r="G523" s="2" t="inlineStr">
        <is>
          <t>Case/Display</t>
        </is>
      </c>
      <c r="H523" s="2" t="inlineStr">
        <is>
          <t>SWSH12: Silver Tempest</t>
        </is>
      </c>
      <c r="I523" s="3" t="n"/>
      <c r="J523" s="3" t="n"/>
      <c r="K523" s="3" t="n">
        <v>2964.99</v>
      </c>
      <c r="L523" s="3" t="n">
        <v>2964.99</v>
      </c>
      <c r="M523" s="2" t="inlineStr">
        <is>
          <t>TCGplayer</t>
        </is>
      </c>
      <c r="O523" s="4" t="inlineStr">
        <is>
          <t>https://www.tcgplayer.com/product/562366</t>
        </is>
      </c>
    </row>
    <row r="524">
      <c r="A524" s="2" t="inlineStr">
        <is>
          <t>Silver Tempest Build &amp; Battle Box Display</t>
        </is>
      </c>
      <c r="B524" s="3">
        <f>IF(I524&lt;&gt;"",I524,IF(J524&lt;&gt;"",J524,IF(K524&lt;&gt;"",K524,L524)))</f>
        <v>496.38</v>
      </c>
      <c r="C524" s="3">
        <f>MEDIAN(I524:L524)</f>
        <v>599.99</v>
      </c>
      <c r="D524" s="3">
        <f>ROUND(C524*(1-Settings!$B$2),2)</f>
        <v>419.99</v>
      </c>
      <c r="E524" s="3">
        <f>ROUND(C524*(1-Settings!$B$3),2)</f>
        <v>419.99</v>
      </c>
      <c r="F524" s="2" t="inlineStr">
        <is>
          <t>Pokemon</t>
        </is>
      </c>
      <c r="G524" s="2" t="inlineStr">
        <is>
          <t>Case/Display</t>
        </is>
      </c>
      <c r="H524" s="2" t="inlineStr">
        <is>
          <t>SWSH12: Silver Tempest</t>
        </is>
      </c>
      <c r="I524" s="3" t="n"/>
      <c r="J524" s="3" t="n">
        <v>496.38</v>
      </c>
      <c r="K524" s="3" t="n">
        <v>799.64</v>
      </c>
      <c r="L524" s="3" t="n">
        <v>599.99</v>
      </c>
      <c r="M524" s="2" t="inlineStr">
        <is>
          <t>TCGplayer</t>
        </is>
      </c>
      <c r="O524" s="4" t="inlineStr">
        <is>
          <t>https://www.tcgplayer.com/product/285775</t>
        </is>
      </c>
    </row>
    <row r="525">
      <c r="A525" s="2" t="inlineStr">
        <is>
          <t>Silver Tempest Elite Trainer Box Case</t>
        </is>
      </c>
      <c r="B525" s="3">
        <f>IF(I525&lt;&gt;"",I525,IF(J525&lt;&gt;"",J525,IF(K525&lt;&gt;"",K525,L525)))</f>
        <v>1449.97</v>
      </c>
      <c r="C525" s="3">
        <f>MEDIAN(I525:L525)</f>
        <v>1469.95</v>
      </c>
      <c r="D525" s="3">
        <f>ROUND(C525*(1-Settings!$B$2),2)</f>
        <v>1028.97</v>
      </c>
      <c r="E525" s="3">
        <f>ROUND(C525*(1-Settings!$B$3),2)</f>
        <v>1028.97</v>
      </c>
      <c r="F525" s="2" t="inlineStr">
        <is>
          <t>Pokemon</t>
        </is>
      </c>
      <c r="G525" s="2" t="inlineStr">
        <is>
          <t>Case/Display</t>
        </is>
      </c>
      <c r="H525" s="2" t="inlineStr">
        <is>
          <t>SWSH12: Silver Tempest</t>
        </is>
      </c>
      <c r="I525" s="3" t="n"/>
      <c r="J525" s="3" t="n">
        <v>1449.97</v>
      </c>
      <c r="K525" s="3" t="n">
        <v>1797.49</v>
      </c>
      <c r="L525" s="3" t="n">
        <v>1469.95</v>
      </c>
      <c r="M525" s="2" t="inlineStr">
        <is>
          <t>TCGplayer</t>
        </is>
      </c>
      <c r="O525" s="4" t="inlineStr">
        <is>
          <t>https://www.tcgplayer.com/product/285777</t>
        </is>
      </c>
    </row>
    <row r="526">
      <c r="A526" s="2" t="inlineStr">
        <is>
          <t>Silver Tempest Sleeved Booster Pack Case</t>
        </is>
      </c>
      <c r="B526" s="3">
        <f>IF(I526&lt;&gt;"",I526,IF(J526&lt;&gt;"",J526,IF(K526&lt;&gt;"",K526,L526)))</f>
        <v>2031.22</v>
      </c>
      <c r="C526" s="3">
        <f>MEDIAN(I526:L526)</f>
        <v>2279.84</v>
      </c>
      <c r="D526" s="3">
        <f>ROUND(C526*(1-Settings!$B$2),2)</f>
        <v>1595.89</v>
      </c>
      <c r="E526" s="3">
        <f>ROUND(C526*(1-Settings!$B$3),2)</f>
        <v>1595.89</v>
      </c>
      <c r="F526" s="2" t="inlineStr">
        <is>
          <t>Pokemon</t>
        </is>
      </c>
      <c r="G526" s="2" t="inlineStr">
        <is>
          <t>Case/Display</t>
        </is>
      </c>
      <c r="H526" s="2" t="inlineStr">
        <is>
          <t>SWSH12: Silver Tempest</t>
        </is>
      </c>
      <c r="I526" s="3" t="n"/>
      <c r="J526" s="3" t="n">
        <v>2031.22</v>
      </c>
      <c r="K526" s="3" t="n">
        <v>2299.42</v>
      </c>
      <c r="L526" s="3" t="n">
        <v>2279.84</v>
      </c>
      <c r="M526" s="2" t="inlineStr">
        <is>
          <t>TCGplayer</t>
        </is>
      </c>
      <c r="O526" s="4" t="inlineStr">
        <is>
          <t>https://www.tcgplayer.com/product/550837</t>
        </is>
      </c>
    </row>
    <row r="527">
      <c r="A527" s="2" t="inlineStr">
        <is>
          <t>Crown Zenith Booster Bundle Case</t>
        </is>
      </c>
      <c r="B527" s="3">
        <f>IF(I527&lt;&gt;"",I527,IF(J527&lt;&gt;"",J527,IF(K527&lt;&gt;"",K527,L527)))</f>
        <v>5549.0</v>
      </c>
      <c r="C527" s="3">
        <f>MEDIAN(I527:L527)</f>
        <v>5549.0</v>
      </c>
      <c r="D527" s="3">
        <f>ROUND(C527*(1-Settings!$B$2),2)</f>
        <v>3884.3</v>
      </c>
      <c r="E527" s="3">
        <f>ROUND(C527*(1-Settings!$B$3),2)</f>
        <v>3884.3</v>
      </c>
      <c r="F527" s="2" t="inlineStr">
        <is>
          <t>Pokemon</t>
        </is>
      </c>
      <c r="G527" s="2" t="inlineStr">
        <is>
          <t>Case/Display</t>
        </is>
      </c>
      <c r="H527" s="2" t="inlineStr">
        <is>
          <t>SWSH: Crown Zenith</t>
        </is>
      </c>
      <c r="I527" s="3" t="n"/>
      <c r="J527" s="3" t="n">
        <v>5549</v>
      </c>
      <c r="K527" s="3" t="n">
        <v>5999.99</v>
      </c>
      <c r="L527" s="3" t="n">
        <v>5499.99</v>
      </c>
      <c r="M527" s="2" t="inlineStr">
        <is>
          <t>TCGplayer</t>
        </is>
      </c>
      <c r="O527" s="4" t="inlineStr">
        <is>
          <t>https://www.tcgplayer.com/product/609238</t>
        </is>
      </c>
    </row>
    <row r="528">
      <c r="A528" s="2" t="inlineStr">
        <is>
          <t>Crown Zenith Elite Trainer Box Case</t>
        </is>
      </c>
      <c r="B528" s="3">
        <f>IF(I528&lt;&gt;"",I528,IF(J528&lt;&gt;"",J528,IF(K528&lt;&gt;"",K528,L528)))</f>
        <v>3699.59</v>
      </c>
      <c r="C528" s="3">
        <f>MEDIAN(I528:L528)</f>
        <v>3999.98</v>
      </c>
      <c r="D528" s="3">
        <f>ROUND(C528*(1-Settings!$B$2),2)</f>
        <v>2799.99</v>
      </c>
      <c r="E528" s="3">
        <f>ROUND(C528*(1-Settings!$B$3),2)</f>
        <v>2799.99</v>
      </c>
      <c r="F528" s="2" t="inlineStr">
        <is>
          <t>Pokemon</t>
        </is>
      </c>
      <c r="G528" s="2" t="inlineStr">
        <is>
          <t>Case/Display</t>
        </is>
      </c>
      <c r="H528" s="2" t="inlineStr">
        <is>
          <t>SWSH: Crown Zenith</t>
        </is>
      </c>
      <c r="I528" s="3" t="n"/>
      <c r="J528" s="3" t="n">
        <v>3699.59</v>
      </c>
      <c r="K528" s="3" t="n">
        <v>4749.97</v>
      </c>
      <c r="L528" s="3" t="n">
        <v>3999.98</v>
      </c>
      <c r="M528" s="2" t="inlineStr">
        <is>
          <t>TCGplayer</t>
        </is>
      </c>
      <c r="O528" s="4" t="inlineStr">
        <is>
          <t>https://www.tcgplayer.com/product/453471</t>
        </is>
      </c>
    </row>
    <row r="529">
      <c r="A529" s="2" t="inlineStr">
        <is>
          <t>Crown Zenith Mini Tin Display</t>
        </is>
      </c>
      <c r="B529" s="3">
        <f>IF(I529&lt;&gt;"",I529,IF(J529&lt;&gt;"",J529,IF(K529&lt;&gt;"",K529,L529)))</f>
        <v>515.98</v>
      </c>
      <c r="C529" s="3">
        <f>MEDIAN(I529:L529)</f>
        <v>525.0</v>
      </c>
      <c r="D529" s="3">
        <f>ROUND(C529*(1-Settings!$B$2),2)</f>
        <v>367.5</v>
      </c>
      <c r="E529" s="3">
        <f>ROUND(C529*(1-Settings!$B$3),2)</f>
        <v>367.5</v>
      </c>
      <c r="F529" s="2" t="inlineStr">
        <is>
          <t>Pokemon</t>
        </is>
      </c>
      <c r="G529" s="2" t="inlineStr">
        <is>
          <t>Case/Display</t>
        </is>
      </c>
      <c r="H529" s="2" t="inlineStr">
        <is>
          <t>SWSH: Crown Zenith</t>
        </is>
      </c>
      <c r="I529" s="3" t="n"/>
      <c r="J529" s="3" t="n">
        <v>515.98</v>
      </c>
      <c r="K529" s="3" t="n">
        <v>541.97</v>
      </c>
      <c r="L529" s="3" t="n">
        <v>525</v>
      </c>
      <c r="M529" s="2" t="inlineStr">
        <is>
          <t>TCGplayer</t>
        </is>
      </c>
      <c r="O529" s="4" t="inlineStr">
        <is>
          <t>https://www.tcgplayer.com/product/453493</t>
        </is>
      </c>
    </row>
    <row r="530">
      <c r="A530" s="2" t="inlineStr">
        <is>
          <t>Crown Zenith Mini Tin Display Case</t>
        </is>
      </c>
      <c r="B530" s="3">
        <f>IF(I530&lt;&gt;"",I530,IF(J530&lt;&gt;"",J530,IF(K530&lt;&gt;"",K530,L530)))</f>
        <v>1999.99</v>
      </c>
      <c r="C530" s="3">
        <f>MEDIAN(I530:L530)</f>
        <v>2975.0</v>
      </c>
      <c r="D530" s="3">
        <f>ROUND(C530*(1-Settings!$B$2),2)</f>
        <v>2082.5</v>
      </c>
      <c r="E530" s="3">
        <f>ROUND(C530*(1-Settings!$B$3),2)</f>
        <v>2082.5</v>
      </c>
      <c r="F530" s="2" t="inlineStr">
        <is>
          <t>Pokemon</t>
        </is>
      </c>
      <c r="G530" s="2" t="inlineStr">
        <is>
          <t>Case/Display</t>
        </is>
      </c>
      <c r="H530" s="2" t="inlineStr">
        <is>
          <t>SWSH: Crown Zenith</t>
        </is>
      </c>
      <c r="I530" s="3" t="n"/>
      <c r="J530" s="3" t="n">
        <v>1999.99</v>
      </c>
      <c r="K530" s="3" t="n">
        <v>3735</v>
      </c>
      <c r="L530" s="3" t="n">
        <v>2975</v>
      </c>
      <c r="M530" s="2" t="inlineStr">
        <is>
          <t>TCGplayer</t>
        </is>
      </c>
      <c r="O530" s="4" t="inlineStr">
        <is>
          <t>https://www.tcgplayer.com/product/631791</t>
        </is>
      </c>
    </row>
    <row r="531">
      <c r="A531" s="2" t="inlineStr">
        <is>
          <t>Crown Zenith Pin Collection Case</t>
        </is>
      </c>
      <c r="B531" s="3">
        <f>IF(I531&lt;&gt;"",I531,IF(J531&lt;&gt;"",J531,IF(K531&lt;&gt;"",K531,L531)))</f>
        <v>998.99</v>
      </c>
      <c r="C531" s="3">
        <f>MEDIAN(I531:L531)</f>
        <v>998.985</v>
      </c>
      <c r="D531" s="3">
        <f>ROUND(C531*(1-Settings!$B$2),2)</f>
        <v>699.29</v>
      </c>
      <c r="E531" s="3">
        <f>ROUND(C531*(1-Settings!$B$3),2)</f>
        <v>699.29</v>
      </c>
      <c r="F531" s="2" t="inlineStr">
        <is>
          <t>Pokemon</t>
        </is>
      </c>
      <c r="G531" s="2" t="inlineStr">
        <is>
          <t>Case/Display</t>
        </is>
      </c>
      <c r="H531" s="2" t="inlineStr">
        <is>
          <t>SWSH: Crown Zenith</t>
        </is>
      </c>
      <c r="I531" s="3" t="n"/>
      <c r="J531" s="3" t="n"/>
      <c r="K531" s="3" t="n">
        <v>998.99</v>
      </c>
      <c r="L531" s="3" t="n">
        <v>998.98</v>
      </c>
      <c r="M531" s="2" t="inlineStr">
        <is>
          <t>TCGplayer</t>
        </is>
      </c>
      <c r="O531" s="4" t="inlineStr">
        <is>
          <t>https://www.tcgplayer.com/product/711447</t>
        </is>
      </c>
    </row>
    <row r="532">
      <c r="A532" s="2" t="inlineStr">
        <is>
          <t>Crown Zenith Premium Figure Collection Case</t>
        </is>
      </c>
      <c r="B532" s="3">
        <f>IF(I532&lt;&gt;"",I532,IF(J532&lt;&gt;"",J532,IF(K532&lt;&gt;"",K532,L532)))</f>
        <v>1998.99</v>
      </c>
      <c r="C532" s="3">
        <f>MEDIAN(I532:L532)</f>
        <v>1998.99</v>
      </c>
      <c r="D532" s="3">
        <f>ROUND(C532*(1-Settings!$B$2),2)</f>
        <v>1399.29</v>
      </c>
      <c r="E532" s="3">
        <f>ROUND(C532*(1-Settings!$B$3),2)</f>
        <v>1399.29</v>
      </c>
      <c r="F532" s="2" t="inlineStr">
        <is>
          <t>Pokemon</t>
        </is>
      </c>
      <c r="G532" s="2" t="inlineStr">
        <is>
          <t>Case/Display</t>
        </is>
      </c>
      <c r="H532" s="2" t="inlineStr">
        <is>
          <t>SWSH: Crown Zenith</t>
        </is>
      </c>
      <c r="I532" s="3" t="n"/>
      <c r="J532" s="3" t="n"/>
      <c r="K532" s="3" t="n">
        <v>1998.99</v>
      </c>
      <c r="L532" s="3" t="n">
        <v>1998.99</v>
      </c>
      <c r="M532" s="2" t="inlineStr">
        <is>
          <t>TCGplayer</t>
        </is>
      </c>
      <c r="O532" s="4" t="inlineStr">
        <is>
          <t>https://www.tcgplayer.com/product/664978</t>
        </is>
      </c>
    </row>
    <row r="533">
      <c r="A533" s="2" t="inlineStr">
        <is>
          <t>Crown Zenith Tin Case</t>
        </is>
      </c>
      <c r="B533" s="3">
        <f>IF(I533&lt;&gt;"",I533,IF(J533&lt;&gt;"",J533,IF(K533&lt;&gt;"",K533,L533)))</f>
        <v>1028.14</v>
      </c>
      <c r="C533" s="3">
        <f>MEDIAN(I533:L533)</f>
        <v>1028.14</v>
      </c>
      <c r="D533" s="3">
        <f>ROUND(C533*(1-Settings!$B$2),2)</f>
        <v>719.7</v>
      </c>
      <c r="E533" s="3">
        <f>ROUND(C533*(1-Settings!$B$3),2)</f>
        <v>719.7</v>
      </c>
      <c r="F533" s="2" t="inlineStr">
        <is>
          <t>Pokemon</t>
        </is>
      </c>
      <c r="G533" s="2" t="inlineStr">
        <is>
          <t>Case/Display</t>
        </is>
      </c>
      <c r="H533" s="2" t="inlineStr">
        <is>
          <t>SWSH: Crown Zenith</t>
        </is>
      </c>
      <c r="I533" s="3" t="n"/>
      <c r="J533" s="3" t="n">
        <v>1028.14</v>
      </c>
      <c r="K533" s="3" t="n">
        <v>1750</v>
      </c>
      <c r="L533" s="3" t="n">
        <v>899.98</v>
      </c>
      <c r="M533" s="2" t="inlineStr">
        <is>
          <t>TCGplayer</t>
        </is>
      </c>
      <c r="O533" s="4" t="inlineStr">
        <is>
          <t>https://www.tcgplayer.com/product/616290</t>
        </is>
      </c>
    </row>
    <row r="534">
      <c r="A534" s="2" t="inlineStr">
        <is>
          <t>Morpeko V-UNION Premium Treasures Collection Case</t>
        </is>
      </c>
      <c r="B534" s="3">
        <f>IF(I534&lt;&gt;"",I534,IF(J534&lt;&gt;"",J534,IF(K534&lt;&gt;"",K534,L534)))</f>
        <v>1649.69</v>
      </c>
      <c r="C534" s="3">
        <f>MEDIAN(I534:L534)</f>
        <v>1574.8200000000002</v>
      </c>
      <c r="D534" s="3">
        <f>ROUND(C534*(1-Settings!$B$2),2)</f>
        <v>1102.37</v>
      </c>
      <c r="E534" s="3">
        <f>ROUND(C534*(1-Settings!$B$3),2)</f>
        <v>1102.37</v>
      </c>
      <c r="F534" s="2" t="inlineStr">
        <is>
          <t>Pokemon</t>
        </is>
      </c>
      <c r="G534" s="2" t="inlineStr">
        <is>
          <t>Case/Display</t>
        </is>
      </c>
      <c r="H534" s="2" t="inlineStr">
        <is>
          <t>SWSH: Crown Zenith</t>
        </is>
      </c>
      <c r="I534" s="3" t="n"/>
      <c r="J534" s="3" t="n"/>
      <c r="K534" s="3" t="n">
        <v>1649.69</v>
      </c>
      <c r="L534" s="3" t="n">
        <v>1499.95</v>
      </c>
      <c r="M534" s="2" t="inlineStr">
        <is>
          <t>TCGplayer</t>
        </is>
      </c>
      <c r="O534" s="4" t="inlineStr">
        <is>
          <t>https://www.tcgplayer.com/product/693210</t>
        </is>
      </c>
    </row>
    <row r="535">
      <c r="A535" s="2" t="inlineStr">
        <is>
          <t>Pikachu VMAX Special Collection Case</t>
        </is>
      </c>
      <c r="B535" s="3">
        <f>IF(I535&lt;&gt;"",I535,IF(J535&lt;&gt;"",J535,IF(K535&lt;&gt;"",K535,L535)))</f>
        <v>1470.83</v>
      </c>
      <c r="C535" s="3">
        <f>MEDIAN(I535:L535)</f>
        <v>1435.0</v>
      </c>
      <c r="D535" s="3">
        <f>ROUND(C535*(1-Settings!$B$2),2)</f>
        <v>1004.5</v>
      </c>
      <c r="E535" s="3">
        <f>ROUND(C535*(1-Settings!$B$3),2)</f>
        <v>1004.5</v>
      </c>
      <c r="F535" s="2" t="inlineStr">
        <is>
          <t>Pokemon</t>
        </is>
      </c>
      <c r="G535" s="2" t="inlineStr">
        <is>
          <t>Case/Display</t>
        </is>
      </c>
      <c r="H535" s="2" t="inlineStr">
        <is>
          <t>SWSH: Crown Zenith</t>
        </is>
      </c>
      <c r="I535" s="3" t="n"/>
      <c r="J535" s="3" t="n">
        <v>1470.83</v>
      </c>
      <c r="K535" s="3" t="n">
        <v>1435</v>
      </c>
      <c r="L535" s="3" t="n">
        <v>1400</v>
      </c>
      <c r="M535" s="2" t="inlineStr">
        <is>
          <t>TCGplayer</t>
        </is>
      </c>
      <c r="O535" s="4" t="inlineStr">
        <is>
          <t>https://www.tcgplayer.com/product/485423</t>
        </is>
      </c>
    </row>
    <row r="536">
      <c r="A536" s="2" t="inlineStr">
        <is>
          <t>2025 World Championship Deck Display</t>
        </is>
      </c>
      <c r="B536" s="3">
        <f>IF(I536&lt;&gt;"",I536,IF(J536&lt;&gt;"",J536,IF(K536&lt;&gt;"",K536,L536)))</f>
        <v>114.72</v>
      </c>
      <c r="C536" s="3">
        <f>MEDIAN(I536:L536)</f>
        <v>149.99</v>
      </c>
      <c r="D536" s="3">
        <f>ROUND(C536*(1-Settings!$B$2),2)</f>
        <v>104.99</v>
      </c>
      <c r="E536" s="3">
        <f>ROUND(C536*(1-Settings!$B$3),2)</f>
        <v>104.99</v>
      </c>
      <c r="F536" s="2" t="inlineStr">
        <is>
          <t>Pokemon</t>
        </is>
      </c>
      <c r="G536" s="2" t="inlineStr">
        <is>
          <t>Case/Display</t>
        </is>
      </c>
      <c r="H536" s="2" t="inlineStr">
        <is>
          <t>World Championship Decks</t>
        </is>
      </c>
      <c r="I536" s="3" t="n"/>
      <c r="J536" s="3" t="n">
        <v>114.72</v>
      </c>
      <c r="K536" s="3" t="n">
        <v>220.88</v>
      </c>
      <c r="L536" s="3" t="n">
        <v>149.99</v>
      </c>
      <c r="M536" s="2" t="inlineStr">
        <is>
          <t>TCGplayer</t>
        </is>
      </c>
      <c r="O536" s="4" t="inlineStr">
        <is>
          <t>https://www.tcgplayer.com/product/696640</t>
        </is>
      </c>
    </row>
    <row r="537">
      <c r="A537" s="2" t="inlineStr">
        <is>
          <t>XY Evolutions Booster Box Case</t>
        </is>
      </c>
      <c r="B537" s="3">
        <f>IF(I537&lt;&gt;"",I537,IF(J537&lt;&gt;"",J537,IF(K537&lt;&gt;"",K537,L537)))</f>
        <v>15444.44</v>
      </c>
      <c r="C537" s="3">
        <f>MEDIAN(I537:L537)</f>
        <v>23999.95</v>
      </c>
      <c r="D537" s="3">
        <f>ROUND(C537*(1-Settings!$B$2),2)</f>
        <v>16799.97</v>
      </c>
      <c r="E537" s="3">
        <f>ROUND(C537*(1-Settings!$B$3),2)</f>
        <v>16799.97</v>
      </c>
      <c r="F537" s="2" t="inlineStr">
        <is>
          <t>Pokemon</t>
        </is>
      </c>
      <c r="G537" s="2" t="inlineStr">
        <is>
          <t>Case/Display</t>
        </is>
      </c>
      <c r="H537" s="2" t="inlineStr">
        <is>
          <t>XY - Evolutions</t>
        </is>
      </c>
      <c r="I537" s="3" t="n"/>
      <c r="J537" s="3" t="n">
        <v>15444.44</v>
      </c>
      <c r="K537" s="3" t="n">
        <v>23999.95</v>
      </c>
      <c r="L537" s="3" t="n">
        <v>23999.95</v>
      </c>
      <c r="M537" s="2" t="inlineStr">
        <is>
          <t>TCGplayer</t>
        </is>
      </c>
      <c r="O537" s="4" t="inlineStr">
        <is>
          <t>https://www.tcgplayer.com/product/226363</t>
        </is>
      </c>
    </row>
    <row r="538">
      <c r="A538" s="2" t="inlineStr">
        <is>
          <t>Fates Collide Sleeved Booster Case</t>
        </is>
      </c>
      <c r="B538" s="3">
        <f>IF(I538&lt;&gt;"",I538,IF(J538&lt;&gt;"",J538,IF(K538&lt;&gt;"",K538,L538)))</f>
        <v>24999.0</v>
      </c>
      <c r="C538" s="3">
        <f>MEDIAN(I538:L538)</f>
        <v>24999.0</v>
      </c>
      <c r="D538" s="3">
        <f>ROUND(C538*(1-Settings!$B$2),2)</f>
        <v>17499.3</v>
      </c>
      <c r="E538" s="3">
        <f>ROUND(C538*(1-Settings!$B$3),2)</f>
        <v>17499.3</v>
      </c>
      <c r="F538" s="2" t="inlineStr">
        <is>
          <t>Pokemon</t>
        </is>
      </c>
      <c r="G538" s="2" t="inlineStr">
        <is>
          <t>Case/Display</t>
        </is>
      </c>
      <c r="H538" s="2" t="inlineStr">
        <is>
          <t>XY - Fates Collide</t>
        </is>
      </c>
      <c r="I538" s="3" t="n"/>
      <c r="J538" s="3" t="n"/>
      <c r="K538" s="3" t="n">
        <v>24999</v>
      </c>
      <c r="L538" s="3" t="n">
        <v>24999</v>
      </c>
      <c r="M538" s="2" t="inlineStr">
        <is>
          <t>TCGplayer</t>
        </is>
      </c>
      <c r="O538" s="4" t="inlineStr">
        <is>
          <t>https://www.tcgplayer.com/product/656708</t>
        </is>
      </c>
    </row>
    <row r="539">
      <c r="A539" s="2" t="inlineStr">
        <is>
          <t>Steam Siege Sleeved Booster Case</t>
        </is>
      </c>
      <c r="B539" s="3">
        <f>IF(I539&lt;&gt;"",I539,IF(J539&lt;&gt;"",J539,IF(K539&lt;&gt;"",K539,L539)))</f>
        <v>24999.0</v>
      </c>
      <c r="C539" s="3">
        <f>MEDIAN(I539:L539)</f>
        <v>24999.0</v>
      </c>
      <c r="D539" s="3">
        <f>ROUND(C539*(1-Settings!$B$2),2)</f>
        <v>17499.3</v>
      </c>
      <c r="E539" s="3">
        <f>ROUND(C539*(1-Settings!$B$3),2)</f>
        <v>17499.3</v>
      </c>
      <c r="F539" s="2" t="inlineStr">
        <is>
          <t>Pokemon</t>
        </is>
      </c>
      <c r="G539" s="2" t="inlineStr">
        <is>
          <t>Case/Display</t>
        </is>
      </c>
      <c r="H539" s="2" t="inlineStr">
        <is>
          <t>XY - Steam Siege</t>
        </is>
      </c>
      <c r="I539" s="3" t="n"/>
      <c r="J539" s="3" t="n"/>
      <c r="K539" s="3" t="n">
        <v>24999</v>
      </c>
      <c r="L539" s="3" t="n">
        <v>24999</v>
      </c>
      <c r="M539" s="2" t="inlineStr">
        <is>
          <t>TCGplayer</t>
        </is>
      </c>
      <c r="O539" s="4" t="inlineStr">
        <is>
          <t>https://www.tcgplayer.com/product/656718</t>
        </is>
      </c>
    </row>
    <row r="540">
      <c r="A540" s="2" t="inlineStr">
        <is>
          <t>2020 Battle Academy Battle Academy Box</t>
        </is>
      </c>
      <c r="B540" s="3">
        <f>IF(I540&lt;&gt;"",I540,IF(J540&lt;&gt;"",J540,IF(K540&lt;&gt;"",K540,L540)))</f>
        <v>53.74</v>
      </c>
      <c r="C540" s="3">
        <f>MEDIAN(I540:L540)</f>
        <v>53.74</v>
      </c>
      <c r="D540" s="3">
        <f>ROUND(C540*(1-Settings!$B$2),2)</f>
        <v>37.62</v>
      </c>
      <c r="E540" s="3">
        <f>ROUND(C540*(1-Settings!$B$3),2)</f>
        <v>37.62</v>
      </c>
      <c r="F540" s="2" t="inlineStr">
        <is>
          <t>Pokemon</t>
        </is>
      </c>
      <c r="G540" s="2" t="inlineStr">
        <is>
          <t>Deck</t>
        </is>
      </c>
      <c r="H540" s="2" t="inlineStr">
        <is>
          <t>2020 Battle Academy</t>
        </is>
      </c>
      <c r="I540" s="3" t="n">
        <v>53.74</v>
      </c>
      <c r="J540" s="3" t="n"/>
      <c r="K540" s="3" t="n"/>
      <c r="L540" s="3" t="n"/>
      <c r="M540" s="2" t="inlineStr">
        <is>
          <t>PriceCharting</t>
        </is>
      </c>
      <c r="N540" s="4" t="inlineStr">
        <is>
          <t>https://www.pricecharting.com/game/pokemon-2020-battle-academy/battle-academy-box</t>
        </is>
      </c>
    </row>
    <row r="541">
      <c r="A541" s="2" t="inlineStr">
        <is>
          <t>Aquapolis Abyss Theme Deck</t>
        </is>
      </c>
      <c r="B541" s="3">
        <f>IF(I541&lt;&gt;"",I541,IF(J541&lt;&gt;"",J541,IF(K541&lt;&gt;"",K541,L541)))</f>
        <v>1580.0</v>
      </c>
      <c r="C541" s="3">
        <f>MEDIAN(I541:L541)</f>
        <v>1580.0</v>
      </c>
      <c r="D541" s="3">
        <f>ROUND(C541*(1-Settings!$B$2),2)</f>
        <v>1106.0</v>
      </c>
      <c r="E541" s="3">
        <f>ROUND(C541*(1-Settings!$B$3),2)</f>
        <v>1106.0</v>
      </c>
      <c r="F541" s="2" t="inlineStr">
        <is>
          <t>Pokemon</t>
        </is>
      </c>
      <c r="G541" s="2" t="inlineStr">
        <is>
          <t>Deck</t>
        </is>
      </c>
      <c r="H541" s="2" t="inlineStr">
        <is>
          <t>Aquapolis</t>
        </is>
      </c>
      <c r="I541" s="3" t="n">
        <v>1580</v>
      </c>
      <c r="J541" s="3" t="n"/>
      <c r="K541" s="3" t="n"/>
      <c r="L541" s="3" t="n"/>
      <c r="M541" s="2" t="inlineStr">
        <is>
          <t>PriceCharting</t>
        </is>
      </c>
      <c r="N541" s="4" t="inlineStr">
        <is>
          <t>https://www.pricecharting.com/game/pokemon-aquapolis/abyss-theme-deck</t>
        </is>
      </c>
    </row>
    <row r="542">
      <c r="A542" s="2" t="inlineStr">
        <is>
          <t>Arceus Theme Deck - "Flamemaster"</t>
        </is>
      </c>
      <c r="B542" s="3">
        <f>IF(I542&lt;&gt;"",I542,IF(J542&lt;&gt;"",J542,IF(K542&lt;&gt;"",K542,L542)))</f>
        <v>500.0</v>
      </c>
      <c r="C542" s="3">
        <f>MEDIAN(I542:L542)</f>
        <v>500.0</v>
      </c>
      <c r="D542" s="3">
        <f>ROUND(C542*(1-Settings!$B$2),2)</f>
        <v>350.0</v>
      </c>
      <c r="E542" s="3">
        <f>ROUND(C542*(1-Settings!$B$3),2)</f>
        <v>350.0</v>
      </c>
      <c r="F542" s="2" t="inlineStr">
        <is>
          <t>Pokemon</t>
        </is>
      </c>
      <c r="G542" s="2" t="inlineStr">
        <is>
          <t>Deck</t>
        </is>
      </c>
      <c r="H542" s="2" t="inlineStr">
        <is>
          <t>Arceus</t>
        </is>
      </c>
      <c r="I542" s="3" t="n"/>
      <c r="J542" s="3" t="n"/>
      <c r="K542" s="3" t="n">
        <v>500</v>
      </c>
      <c r="L542" s="3" t="n">
        <v>500</v>
      </c>
      <c r="M542" s="2" t="inlineStr">
        <is>
          <t>TCGplayer</t>
        </is>
      </c>
      <c r="O542" s="4" t="inlineStr">
        <is>
          <t>https://www.tcgplayer.com/product/678179</t>
        </is>
      </c>
    </row>
    <row r="543">
      <c r="A543" s="2" t="inlineStr">
        <is>
          <t>Arceus Theme Deck - "Stormshaper"</t>
        </is>
      </c>
      <c r="B543" s="3">
        <f>IF(I543&lt;&gt;"",I543,IF(J543&lt;&gt;"",J543,IF(K543&lt;&gt;"",K543,L543)))</f>
        <v>500.0</v>
      </c>
      <c r="C543" s="3">
        <f>MEDIAN(I543:L543)</f>
        <v>500.0</v>
      </c>
      <c r="D543" s="3">
        <f>ROUND(C543*(1-Settings!$B$2),2)</f>
        <v>350.0</v>
      </c>
      <c r="E543" s="3">
        <f>ROUND(C543*(1-Settings!$B$3),2)</f>
        <v>350.0</v>
      </c>
      <c r="F543" s="2" t="inlineStr">
        <is>
          <t>Pokemon</t>
        </is>
      </c>
      <c r="G543" s="2" t="inlineStr">
        <is>
          <t>Deck</t>
        </is>
      </c>
      <c r="H543" s="2" t="inlineStr">
        <is>
          <t>Arceus</t>
        </is>
      </c>
      <c r="I543" s="3" t="n"/>
      <c r="J543" s="3" t="n"/>
      <c r="K543" s="3" t="n">
        <v>500</v>
      </c>
      <c r="L543" s="3" t="n">
        <v>500</v>
      </c>
      <c r="M543" s="2" t="inlineStr">
        <is>
          <t>TCGplayer</t>
        </is>
      </c>
      <c r="O543" s="4" t="inlineStr">
        <is>
          <t>https://www.tcgplayer.com/product/678178</t>
        </is>
      </c>
    </row>
    <row r="544">
      <c r="A544" s="2" t="inlineStr">
        <is>
          <t>Base Set 2-Player Starter Set</t>
        </is>
      </c>
      <c r="B544" s="3">
        <f>IF(I544&lt;&gt;"",I544,IF(J544&lt;&gt;"",J544,IF(K544&lt;&gt;"",K544,L544)))</f>
        <v>273.0</v>
      </c>
      <c r="C544" s="3">
        <f>MEDIAN(I544:L544)</f>
        <v>273.0</v>
      </c>
      <c r="D544" s="3">
        <f>ROUND(C544*(1-Settings!$B$2),2)</f>
        <v>191.1</v>
      </c>
      <c r="E544" s="3">
        <f>ROUND(C544*(1-Settings!$B$3),2)</f>
        <v>191.1</v>
      </c>
      <c r="F544" s="2" t="inlineStr">
        <is>
          <t>Pokemon</t>
        </is>
      </c>
      <c r="G544" s="2" t="inlineStr">
        <is>
          <t>Deck</t>
        </is>
      </c>
      <c r="H544" s="2" t="inlineStr">
        <is>
          <t>Base Set</t>
        </is>
      </c>
      <c r="I544" s="3" t="n">
        <v>273</v>
      </c>
      <c r="J544" s="3" t="n"/>
      <c r="K544" s="3" t="n"/>
      <c r="L544" s="3" t="n"/>
      <c r="M544" s="2" t="inlineStr">
        <is>
          <t>PriceCharting</t>
        </is>
      </c>
      <c r="N544" s="4" t="inlineStr">
        <is>
          <t>https://www.pricecharting.com/game/pokemon-base-set/2-player-starter-set</t>
        </is>
      </c>
    </row>
    <row r="545">
      <c r="A545" s="2" t="inlineStr">
        <is>
          <t>Base Set Starter Gift Box</t>
        </is>
      </c>
      <c r="B545" s="3">
        <f>IF(I545&lt;&gt;"",I545,IF(J545&lt;&gt;"",J545,IF(K545&lt;&gt;"",K545,L545)))</f>
        <v>850.0</v>
      </c>
      <c r="C545" s="3">
        <f>MEDIAN(I545:L545)</f>
        <v>850.0</v>
      </c>
      <c r="D545" s="3">
        <f>ROUND(C545*(1-Settings!$B$2),2)</f>
        <v>595.0</v>
      </c>
      <c r="E545" s="3">
        <f>ROUND(C545*(1-Settings!$B$3),2)</f>
        <v>595.0</v>
      </c>
      <c r="F545" s="2" t="inlineStr">
        <is>
          <t>Pokemon</t>
        </is>
      </c>
      <c r="G545" s="2" t="inlineStr">
        <is>
          <t>Deck</t>
        </is>
      </c>
      <c r="H545" s="2" t="inlineStr">
        <is>
          <t>Base Set</t>
        </is>
      </c>
      <c r="I545" s="3" t="n">
        <v>850</v>
      </c>
      <c r="J545" s="3" t="n"/>
      <c r="K545" s="3" t="n"/>
      <c r="L545" s="3" t="n"/>
      <c r="M545" s="2" t="inlineStr">
        <is>
          <t>PriceCharting</t>
        </is>
      </c>
      <c r="N545" s="4" t="inlineStr">
        <is>
          <t>https://www.pricecharting.com/game/pokemon-base-set/starter-gift-box</t>
        </is>
      </c>
    </row>
    <row r="546">
      <c r="A546" s="2" t="inlineStr">
        <is>
          <t>Base Set Theme Deck - "Blackout" (Revised Base Set Reprint Run)</t>
        </is>
      </c>
      <c r="B546" s="3">
        <f>IF(I546&lt;&gt;"",I546,IF(J546&lt;&gt;"",J546,IF(K546&lt;&gt;"",K546,L546)))</f>
        <v>424.95</v>
      </c>
      <c r="C546" s="3">
        <f>MEDIAN(I546:L546)</f>
        <v>450.0</v>
      </c>
      <c r="D546" s="3">
        <f>ROUND(C546*(1-Settings!$B$2),2)</f>
        <v>315.0</v>
      </c>
      <c r="E546" s="3">
        <f>ROUND(C546*(1-Settings!$B$3),2)</f>
        <v>315.0</v>
      </c>
      <c r="F546" s="2" t="inlineStr">
        <is>
          <t>Pokemon</t>
        </is>
      </c>
      <c r="G546" s="2" t="inlineStr">
        <is>
          <t>Deck</t>
        </is>
      </c>
      <c r="H546" s="2" t="inlineStr">
        <is>
          <t>Base Set</t>
        </is>
      </c>
      <c r="I546" s="3" t="n"/>
      <c r="J546" s="3" t="n">
        <v>424.95</v>
      </c>
      <c r="K546" s="3" t="n">
        <v>692</v>
      </c>
      <c r="L546" s="3" t="n">
        <v>450</v>
      </c>
      <c r="M546" s="2" t="inlineStr">
        <is>
          <t>TCGplayer</t>
        </is>
      </c>
      <c r="O546" s="4" t="inlineStr">
        <is>
          <t>https://www.tcgplayer.com/product/136401</t>
        </is>
      </c>
    </row>
    <row r="547">
      <c r="A547" s="2" t="inlineStr">
        <is>
          <t>Base Set Theme Deck - "Brushfire" (Revised Base Set Reprint Run)</t>
        </is>
      </c>
      <c r="B547" s="3">
        <f>IF(I547&lt;&gt;"",I547,IF(J547&lt;&gt;"",J547,IF(K547&lt;&gt;"",K547,L547)))</f>
        <v>374.89</v>
      </c>
      <c r="C547" s="3">
        <f>MEDIAN(I547:L547)</f>
        <v>374.89</v>
      </c>
      <c r="D547" s="3">
        <f>ROUND(C547*(1-Settings!$B$2),2)</f>
        <v>262.42</v>
      </c>
      <c r="E547" s="3">
        <f>ROUND(C547*(1-Settings!$B$3),2)</f>
        <v>262.42</v>
      </c>
      <c r="F547" s="2" t="inlineStr">
        <is>
          <t>Pokemon</t>
        </is>
      </c>
      <c r="G547" s="2" t="inlineStr">
        <is>
          <t>Deck</t>
        </is>
      </c>
      <c r="H547" s="2" t="inlineStr">
        <is>
          <t>Base Set</t>
        </is>
      </c>
      <c r="I547" s="3" t="n"/>
      <c r="J547" s="3" t="n">
        <v>374.89</v>
      </c>
      <c r="K547" s="3" t="n">
        <v>475</v>
      </c>
      <c r="L547" s="3" t="n">
        <v>349.79</v>
      </c>
      <c r="M547" s="2" t="inlineStr">
        <is>
          <t>TCGplayer</t>
        </is>
      </c>
      <c r="O547" s="4" t="inlineStr">
        <is>
          <t>https://www.tcgplayer.com/product/136403</t>
        </is>
      </c>
    </row>
    <row r="548">
      <c r="A548" s="2" t="inlineStr">
        <is>
          <t>Base Set Theme Deck - "Zap!" (Revised Base Set Reprint Run)</t>
        </is>
      </c>
      <c r="B548" s="3">
        <f>IF(I548&lt;&gt;"",I548,IF(J548&lt;&gt;"",J548,IF(K548&lt;&gt;"",K548,L548)))</f>
        <v>499.95</v>
      </c>
      <c r="C548" s="3">
        <f>MEDIAN(I548:L548)</f>
        <v>499.95</v>
      </c>
      <c r="D548" s="3">
        <f>ROUND(C548*(1-Settings!$B$2),2)</f>
        <v>349.97</v>
      </c>
      <c r="E548" s="3">
        <f>ROUND(C548*(1-Settings!$B$3),2)</f>
        <v>349.97</v>
      </c>
      <c r="F548" s="2" t="inlineStr">
        <is>
          <t>Pokemon</t>
        </is>
      </c>
      <c r="G548" s="2" t="inlineStr">
        <is>
          <t>Deck</t>
        </is>
      </c>
      <c r="H548" s="2" t="inlineStr">
        <is>
          <t>Base Set</t>
        </is>
      </c>
      <c r="I548" s="3" t="n"/>
      <c r="J548" s="3" t="n">
        <v>499.95</v>
      </c>
      <c r="K548" s="3" t="n"/>
      <c r="L548" s="3" t="n"/>
      <c r="M548" s="2" t="inlineStr">
        <is>
          <t>TCGplayer</t>
        </is>
      </c>
      <c r="O548" s="4" t="inlineStr">
        <is>
          <t>https://www.tcgplayer.com/product/136402</t>
        </is>
      </c>
    </row>
    <row r="549">
      <c r="A549" s="2" t="inlineStr">
        <is>
          <t>Pokemon 2-Player Starter Set (Revised Base Set Reprint Run)</t>
        </is>
      </c>
      <c r="B549" s="3">
        <f>IF(I549&lt;&gt;"",I549,IF(J549&lt;&gt;"",J549,IF(K549&lt;&gt;"",K549,L549)))</f>
        <v>257.66</v>
      </c>
      <c r="C549" s="3">
        <f>MEDIAN(I549:L549)</f>
        <v>300.0</v>
      </c>
      <c r="D549" s="3">
        <f>ROUND(C549*(1-Settings!$B$2),2)</f>
        <v>210.0</v>
      </c>
      <c r="E549" s="3">
        <f>ROUND(C549*(1-Settings!$B$3),2)</f>
        <v>210.0</v>
      </c>
      <c r="F549" s="2" t="inlineStr">
        <is>
          <t>Pokemon</t>
        </is>
      </c>
      <c r="G549" s="2" t="inlineStr">
        <is>
          <t>Deck</t>
        </is>
      </c>
      <c r="H549" s="2" t="inlineStr">
        <is>
          <t>Base Set</t>
        </is>
      </c>
      <c r="I549" s="3" t="n"/>
      <c r="J549" s="3" t="n">
        <v>257.66</v>
      </c>
      <c r="K549" s="3" t="n">
        <v>499</v>
      </c>
      <c r="L549" s="3" t="n">
        <v>300</v>
      </c>
      <c r="M549" s="2" t="inlineStr">
        <is>
          <t>TCGplayer</t>
        </is>
      </c>
      <c r="O549" s="4" t="inlineStr">
        <is>
          <t>https://www.tcgplayer.com/product/136400</t>
        </is>
      </c>
    </row>
    <row r="550">
      <c r="A550" s="2" t="inlineStr">
        <is>
          <t>Base Set 2 - 2-Player CD-ROM Starter Set</t>
        </is>
      </c>
      <c r="B550" s="3">
        <f>IF(I550&lt;&gt;"",I550,IF(J550&lt;&gt;"",J550,IF(K550&lt;&gt;"",K550,L550)))</f>
        <v>151.96</v>
      </c>
      <c r="C550" s="3">
        <f>MEDIAN(I550:L550)</f>
        <v>334.895</v>
      </c>
      <c r="D550" s="3">
        <f>ROUND(C550*(1-Settings!$B$2),2)</f>
        <v>234.43</v>
      </c>
      <c r="E550" s="3">
        <f>ROUND(C550*(1-Settings!$B$3),2)</f>
        <v>234.43</v>
      </c>
      <c r="F550" s="2" t="inlineStr">
        <is>
          <t>Pokemon</t>
        </is>
      </c>
      <c r="G550" s="2" t="inlineStr">
        <is>
          <t>Deck</t>
        </is>
      </c>
      <c r="H550" s="2" t="inlineStr">
        <is>
          <t>Base Set 2</t>
        </is>
      </c>
      <c r="I550" s="3" t="n">
        <v>151.96</v>
      </c>
      <c r="J550" s="3" t="n">
        <v>169.8</v>
      </c>
      <c r="K550" s="3" t="n">
        <v>775</v>
      </c>
      <c r="L550" s="3" t="n">
        <v>499.99</v>
      </c>
      <c r="M550" s="2" t="inlineStr">
        <is>
          <t>PriceCharting + TCGplayer</t>
        </is>
      </c>
      <c r="N550" s="4" t="inlineStr">
        <is>
          <t>https://www.pricecharting.com/game/pokemon-base-set-2/2-player-cd-rom-starter-set</t>
        </is>
      </c>
      <c r="O550" s="4" t="inlineStr">
        <is>
          <t>https://www.tcgplayer.com/product/107609</t>
        </is>
      </c>
    </row>
    <row r="551">
      <c r="A551" s="2" t="inlineStr">
        <is>
          <t>Base Set 2 Grass Chopper Theme Deck</t>
        </is>
      </c>
      <c r="B551" s="3">
        <f>IF(I551&lt;&gt;"",I551,IF(J551&lt;&gt;"",J551,IF(K551&lt;&gt;"",K551,L551)))</f>
        <v>175.0</v>
      </c>
      <c r="C551" s="3">
        <f>MEDIAN(I551:L551)</f>
        <v>175.0</v>
      </c>
      <c r="D551" s="3">
        <f>ROUND(C551*(1-Settings!$B$2),2)</f>
        <v>122.5</v>
      </c>
      <c r="E551" s="3">
        <f>ROUND(C551*(1-Settings!$B$3),2)</f>
        <v>122.5</v>
      </c>
      <c r="F551" s="2" t="inlineStr">
        <is>
          <t>Pokemon</t>
        </is>
      </c>
      <c r="G551" s="2" t="inlineStr">
        <is>
          <t>Deck</t>
        </is>
      </c>
      <c r="H551" s="2" t="inlineStr">
        <is>
          <t>Base Set 2</t>
        </is>
      </c>
      <c r="I551" s="3" t="n">
        <v>175</v>
      </c>
      <c r="J551" s="3" t="n"/>
      <c r="K551" s="3" t="n"/>
      <c r="L551" s="3" t="n"/>
      <c r="M551" s="2" t="inlineStr">
        <is>
          <t>PriceCharting</t>
        </is>
      </c>
      <c r="N551" s="4" t="inlineStr">
        <is>
          <t>https://www.pricecharting.com/game/pokemon-base-set-2/grass-chopper-theme-deck</t>
        </is>
      </c>
    </row>
    <row r="552">
      <c r="A552" s="2" t="inlineStr">
        <is>
          <t>Base Set 2 Hot Water Theme Deck</t>
        </is>
      </c>
      <c r="B552" s="3">
        <f>IF(I552&lt;&gt;"",I552,IF(J552&lt;&gt;"",J552,IF(K552&lt;&gt;"",K552,L552)))</f>
        <v>200.0</v>
      </c>
      <c r="C552" s="3">
        <f>MEDIAN(I552:L552)</f>
        <v>200.0</v>
      </c>
      <c r="D552" s="3">
        <f>ROUND(C552*(1-Settings!$B$2),2)</f>
        <v>140.0</v>
      </c>
      <c r="E552" s="3">
        <f>ROUND(C552*(1-Settings!$B$3),2)</f>
        <v>140.0</v>
      </c>
      <c r="F552" s="2" t="inlineStr">
        <is>
          <t>Pokemon</t>
        </is>
      </c>
      <c r="G552" s="2" t="inlineStr">
        <is>
          <t>Deck</t>
        </is>
      </c>
      <c r="H552" s="2" t="inlineStr">
        <is>
          <t>Base Set 2</t>
        </is>
      </c>
      <c r="I552" s="3" t="n">
        <v>200</v>
      </c>
      <c r="J552" s="3" t="n"/>
      <c r="K552" s="3" t="n"/>
      <c r="L552" s="3" t="n"/>
      <c r="M552" s="2" t="inlineStr">
        <is>
          <t>PriceCharting</t>
        </is>
      </c>
      <c r="N552" s="4" t="inlineStr">
        <is>
          <t>https://www.pricecharting.com/game/pokemon-base-set-2/hot-water-theme-deck</t>
        </is>
      </c>
    </row>
    <row r="553">
      <c r="A553" s="2" t="inlineStr">
        <is>
          <t>Base Set 2 Lightning Bug Theme Deck</t>
        </is>
      </c>
      <c r="B553" s="3">
        <f>IF(I553&lt;&gt;"",I553,IF(J553&lt;&gt;"",J553,IF(K553&lt;&gt;"",K553,L553)))</f>
        <v>235.0</v>
      </c>
      <c r="C553" s="3">
        <f>MEDIAN(I553:L553)</f>
        <v>235.0</v>
      </c>
      <c r="D553" s="3">
        <f>ROUND(C553*(1-Settings!$B$2),2)</f>
        <v>164.5</v>
      </c>
      <c r="E553" s="3">
        <f>ROUND(C553*(1-Settings!$B$3),2)</f>
        <v>164.5</v>
      </c>
      <c r="F553" s="2" t="inlineStr">
        <is>
          <t>Pokemon</t>
        </is>
      </c>
      <c r="G553" s="2" t="inlineStr">
        <is>
          <t>Deck</t>
        </is>
      </c>
      <c r="H553" s="2" t="inlineStr">
        <is>
          <t>Base Set 2</t>
        </is>
      </c>
      <c r="I553" s="3" t="n">
        <v>235</v>
      </c>
      <c r="J553" s="3" t="n"/>
      <c r="K553" s="3" t="n"/>
      <c r="L553" s="3" t="n"/>
      <c r="M553" s="2" t="inlineStr">
        <is>
          <t>PriceCharting</t>
        </is>
      </c>
      <c r="N553" s="4" t="inlineStr">
        <is>
          <t>https://www.pricecharting.com/game/pokemon-base-set-2/lightning-bug-theme-deck</t>
        </is>
      </c>
    </row>
    <row r="554">
      <c r="A554" s="2" t="inlineStr">
        <is>
          <t>Base Set 2 Psych Out Theme Deck</t>
        </is>
      </c>
      <c r="B554" s="3">
        <f>IF(I554&lt;&gt;"",I554,IF(J554&lt;&gt;"",J554,IF(K554&lt;&gt;"",K554,L554)))</f>
        <v>223.0</v>
      </c>
      <c r="C554" s="3">
        <f>MEDIAN(I554:L554)</f>
        <v>223.0</v>
      </c>
      <c r="D554" s="3">
        <f>ROUND(C554*(1-Settings!$B$2),2)</f>
        <v>156.1</v>
      </c>
      <c r="E554" s="3">
        <f>ROUND(C554*(1-Settings!$B$3),2)</f>
        <v>156.1</v>
      </c>
      <c r="F554" s="2" t="inlineStr">
        <is>
          <t>Pokemon</t>
        </is>
      </c>
      <c r="G554" s="2" t="inlineStr">
        <is>
          <t>Deck</t>
        </is>
      </c>
      <c r="H554" s="2" t="inlineStr">
        <is>
          <t>Base Set 2</t>
        </is>
      </c>
      <c r="I554" s="3" t="n">
        <v>223</v>
      </c>
      <c r="J554" s="3" t="n"/>
      <c r="K554" s="3" t="n"/>
      <c r="L554" s="3" t="n"/>
      <c r="M554" s="2" t="inlineStr">
        <is>
          <t>PriceCharting</t>
        </is>
      </c>
      <c r="N554" s="4" t="inlineStr">
        <is>
          <t>https://www.pricecharting.com/game/pokemon-base-set-2/psych-out-theme-deck</t>
        </is>
      </c>
    </row>
    <row r="555">
      <c r="A555" s="2" t="inlineStr">
        <is>
          <t>Base Set 2 Theme Deck - "Hot Water"</t>
        </is>
      </c>
      <c r="B555" s="3">
        <f>IF(I555&lt;&gt;"",I555,IF(J555&lt;&gt;"",J555,IF(K555&lt;&gt;"",K555,L555)))</f>
        <v>1000.0</v>
      </c>
      <c r="C555" s="3">
        <f>MEDIAN(I555:L555)</f>
        <v>1000.0</v>
      </c>
      <c r="D555" s="3">
        <f>ROUND(C555*(1-Settings!$B$2),2)</f>
        <v>700.0</v>
      </c>
      <c r="E555" s="3">
        <f>ROUND(C555*(1-Settings!$B$3),2)</f>
        <v>700.0</v>
      </c>
      <c r="F555" s="2" t="inlineStr">
        <is>
          <t>Pokemon</t>
        </is>
      </c>
      <c r="G555" s="2" t="inlineStr">
        <is>
          <t>Deck</t>
        </is>
      </c>
      <c r="H555" s="2" t="inlineStr">
        <is>
          <t>Base Set 2</t>
        </is>
      </c>
      <c r="I555" s="3" t="n"/>
      <c r="J555" s="3" t="n"/>
      <c r="K555" s="3" t="n">
        <v>1000</v>
      </c>
      <c r="L555" s="3" t="n">
        <v>1000</v>
      </c>
      <c r="M555" s="2" t="inlineStr">
        <is>
          <t>TCGplayer</t>
        </is>
      </c>
      <c r="O555" s="4" t="inlineStr">
        <is>
          <t>https://www.tcgplayer.com/product/107612</t>
        </is>
      </c>
    </row>
    <row r="556">
      <c r="A556" s="2" t="inlineStr">
        <is>
          <t>Base Set 2 Theme Deck - "Lightning Bug"</t>
        </is>
      </c>
      <c r="B556" s="3">
        <f>IF(I556&lt;&gt;"",I556,IF(J556&lt;&gt;"",J556,IF(K556&lt;&gt;"",K556,L556)))</f>
        <v>235.0</v>
      </c>
      <c r="C556" s="3">
        <f>MEDIAN(I556:L556)</f>
        <v>250.0</v>
      </c>
      <c r="D556" s="3">
        <f>ROUND(C556*(1-Settings!$B$2),2)</f>
        <v>175.0</v>
      </c>
      <c r="E556" s="3">
        <f>ROUND(C556*(1-Settings!$B$3),2)</f>
        <v>175.0</v>
      </c>
      <c r="F556" s="2" t="inlineStr">
        <is>
          <t>Pokemon</t>
        </is>
      </c>
      <c r="G556" s="2" t="inlineStr">
        <is>
          <t>Deck</t>
        </is>
      </c>
      <c r="H556" s="2" t="inlineStr">
        <is>
          <t>Base Set 2</t>
        </is>
      </c>
      <c r="I556" s="3" t="n"/>
      <c r="J556" s="3" t="n">
        <v>235</v>
      </c>
      <c r="K556" s="3" t="n">
        <v>625</v>
      </c>
      <c r="L556" s="3" t="n">
        <v>250</v>
      </c>
      <c r="M556" s="2" t="inlineStr">
        <is>
          <t>TCGplayer</t>
        </is>
      </c>
      <c r="O556" s="4" t="inlineStr">
        <is>
          <t>https://www.tcgplayer.com/product/107613</t>
        </is>
      </c>
    </row>
    <row r="557">
      <c r="A557" s="2" t="inlineStr">
        <is>
          <t>Base Set 2 Theme Deck - "Psych Out"</t>
        </is>
      </c>
      <c r="B557" s="3">
        <f>IF(I557&lt;&gt;"",I557,IF(J557&lt;&gt;"",J557,IF(K557&lt;&gt;"",K557,L557)))</f>
        <v>200.0</v>
      </c>
      <c r="C557" s="3">
        <f>MEDIAN(I557:L557)</f>
        <v>200.0</v>
      </c>
      <c r="D557" s="3">
        <f>ROUND(C557*(1-Settings!$B$2),2)</f>
        <v>140.0</v>
      </c>
      <c r="E557" s="3">
        <f>ROUND(C557*(1-Settings!$B$3),2)</f>
        <v>140.0</v>
      </c>
      <c r="F557" s="2" t="inlineStr">
        <is>
          <t>Pokemon</t>
        </is>
      </c>
      <c r="G557" s="2" t="inlineStr">
        <is>
          <t>Deck</t>
        </is>
      </c>
      <c r="H557" s="2" t="inlineStr">
        <is>
          <t>Base Set 2</t>
        </is>
      </c>
      <c r="I557" s="3" t="n"/>
      <c r="J557" s="3" t="n"/>
      <c r="K557" s="3" t="n"/>
      <c r="L557" s="3" t="n">
        <v>200</v>
      </c>
      <c r="M557" s="2" t="inlineStr">
        <is>
          <t>TCGplayer</t>
        </is>
      </c>
      <c r="O557" s="4" t="inlineStr">
        <is>
          <t>https://www.tcgplayer.com/product/107614</t>
        </is>
      </c>
    </row>
    <row r="558">
      <c r="A558" s="2" t="inlineStr">
        <is>
          <t>Anytime, Anywhere Battle Academy</t>
        </is>
      </c>
      <c r="B558" s="3">
        <f>IF(I558&lt;&gt;"",I558,IF(J558&lt;&gt;"",J558,IF(K558&lt;&gt;"",K558,L558)))</f>
        <v>26.0</v>
      </c>
      <c r="C558" s="3">
        <f>MEDIAN(I558:L558)</f>
        <v>26.0</v>
      </c>
      <c r="D558" s="3">
        <f>ROUND(C558*(1-Settings!$B$2),2)</f>
        <v>18.2</v>
      </c>
      <c r="E558" s="3">
        <f>ROUND(C558*(1-Settings!$B$3),2)</f>
        <v>18.2</v>
      </c>
      <c r="F558" s="2" t="inlineStr">
        <is>
          <t>Pokemon</t>
        </is>
      </c>
      <c r="G558" s="2" t="inlineStr">
        <is>
          <t>Deck</t>
        </is>
      </c>
      <c r="H558" s="2" t="inlineStr">
        <is>
          <t>Battle Academy</t>
        </is>
      </c>
      <c r="I558" s="3" t="n"/>
      <c r="J558" s="3" t="n"/>
      <c r="K558" s="3" t="n"/>
      <c r="L558" s="3" t="n">
        <v>26</v>
      </c>
      <c r="M558" s="2" t="inlineStr">
        <is>
          <t>TCGplayer</t>
        </is>
      </c>
      <c r="O558" s="4" t="inlineStr">
        <is>
          <t>https://www.tcgplayer.com/product/594590</t>
        </is>
      </c>
    </row>
    <row r="559">
      <c r="A559" s="2" t="inlineStr">
        <is>
          <t>Pokemon TCG: Battle Academy</t>
        </is>
      </c>
      <c r="B559" s="3">
        <f>IF(I559&lt;&gt;"",I559,IF(J559&lt;&gt;"",J559,IF(K559&lt;&gt;"",K559,L559)))</f>
        <v>69.32</v>
      </c>
      <c r="C559" s="3">
        <f>MEDIAN(I559:L559)</f>
        <v>69.32</v>
      </c>
      <c r="D559" s="3">
        <f>ROUND(C559*(1-Settings!$B$2),2)</f>
        <v>48.52</v>
      </c>
      <c r="E559" s="3">
        <f>ROUND(C559*(1-Settings!$B$3),2)</f>
        <v>48.52</v>
      </c>
      <c r="F559" s="2" t="inlineStr">
        <is>
          <t>Pokemon</t>
        </is>
      </c>
      <c r="G559" s="2" t="inlineStr">
        <is>
          <t>Deck</t>
        </is>
      </c>
      <c r="H559" s="2" t="inlineStr">
        <is>
          <t>Battle Academy</t>
        </is>
      </c>
      <c r="I559" s="3" t="n"/>
      <c r="J559" s="3" t="n">
        <v>69.31999999999999</v>
      </c>
      <c r="K559" s="3" t="n">
        <v>100</v>
      </c>
      <c r="L559" s="3" t="n">
        <v>69.3</v>
      </c>
      <c r="M559" s="2" t="inlineStr">
        <is>
          <t>TCGplayer</t>
        </is>
      </c>
      <c r="O559" s="4" t="inlineStr">
        <is>
          <t>https://www.tcgplayer.com/product/218626</t>
        </is>
      </c>
    </row>
    <row r="560">
      <c r="A560" s="2" t="inlineStr">
        <is>
          <t>Pokemon TCG: Battle Academy 2022</t>
        </is>
      </c>
      <c r="B560" s="3">
        <f>IF(I560&lt;&gt;"",I560,IF(J560&lt;&gt;"",J560,IF(K560&lt;&gt;"",K560,L560)))</f>
        <v>28.35</v>
      </c>
      <c r="C560" s="3">
        <f>MEDIAN(I560:L560)</f>
        <v>28.15</v>
      </c>
      <c r="D560" s="3">
        <f>ROUND(C560*(1-Settings!$B$2),2)</f>
        <v>19.71</v>
      </c>
      <c r="E560" s="3">
        <f>ROUND(C560*(1-Settings!$B$3),2)</f>
        <v>19.71</v>
      </c>
      <c r="F560" s="2" t="inlineStr">
        <is>
          <t>Pokemon</t>
        </is>
      </c>
      <c r="G560" s="2" t="inlineStr">
        <is>
          <t>Deck</t>
        </is>
      </c>
      <c r="H560" s="2" t="inlineStr">
        <is>
          <t>Battle Academy 2022</t>
        </is>
      </c>
      <c r="I560" s="3" t="n"/>
      <c r="J560" s="3" t="n">
        <v>28.35</v>
      </c>
      <c r="K560" s="3" t="n">
        <v>28.15</v>
      </c>
      <c r="L560" s="3" t="n">
        <v>19.99</v>
      </c>
      <c r="M560" s="2" t="inlineStr">
        <is>
          <t>TCGplayer</t>
        </is>
      </c>
      <c r="O560" s="4" t="inlineStr">
        <is>
          <t>https://www.tcgplayer.com/product/265253</t>
        </is>
      </c>
    </row>
    <row r="561">
      <c r="A561" s="2" t="inlineStr">
        <is>
          <t>Pokemon TCG: Battle Academy 2024</t>
        </is>
      </c>
      <c r="B561" s="3">
        <f>IF(I561&lt;&gt;"",I561,IF(J561&lt;&gt;"",J561,IF(K561&lt;&gt;"",K561,L561)))</f>
        <v>71.06</v>
      </c>
      <c r="C561" s="3">
        <f>MEDIAN(I561:L561)</f>
        <v>71.06</v>
      </c>
      <c r="D561" s="3">
        <f>ROUND(C561*(1-Settings!$B$2),2)</f>
        <v>49.74</v>
      </c>
      <c r="E561" s="3">
        <f>ROUND(C561*(1-Settings!$B$3),2)</f>
        <v>49.74</v>
      </c>
      <c r="F561" s="2" t="inlineStr">
        <is>
          <t>Pokemon</t>
        </is>
      </c>
      <c r="G561" s="2" t="inlineStr">
        <is>
          <t>Deck</t>
        </is>
      </c>
      <c r="H561" s="2" t="inlineStr">
        <is>
          <t>Battle Academy 2024</t>
        </is>
      </c>
      <c r="I561" s="3" t="n"/>
      <c r="J561" s="3" t="n">
        <v>71.06</v>
      </c>
      <c r="K561" s="3" t="n">
        <v>71.98</v>
      </c>
      <c r="L561" s="3" t="n">
        <v>59.99</v>
      </c>
      <c r="M561" s="2" t="inlineStr">
        <is>
          <t>TCGplayer</t>
        </is>
      </c>
      <c r="O561" s="4" t="inlineStr">
        <is>
          <t>https://www.tcgplayer.com/product/551930</t>
        </is>
      </c>
    </row>
    <row r="562">
      <c r="A562" s="2" t="inlineStr">
        <is>
          <t>Black &amp; White Theme Deck - "Blue Assault" [Samurott]</t>
        </is>
      </c>
      <c r="B562" s="3">
        <f>IF(I562&lt;&gt;"",I562,IF(J562&lt;&gt;"",J562,IF(K562&lt;&gt;"",K562,L562)))</f>
        <v>85.0</v>
      </c>
      <c r="C562" s="3">
        <f>MEDIAN(I562:L562)</f>
        <v>85.0</v>
      </c>
      <c r="D562" s="3">
        <f>ROUND(C562*(1-Settings!$B$2),2)</f>
        <v>59.5</v>
      </c>
      <c r="E562" s="3">
        <f>ROUND(C562*(1-Settings!$B$3),2)</f>
        <v>59.5</v>
      </c>
      <c r="F562" s="2" t="inlineStr">
        <is>
          <t>Pokemon</t>
        </is>
      </c>
      <c r="G562" s="2" t="inlineStr">
        <is>
          <t>Deck</t>
        </is>
      </c>
      <c r="H562" s="2" t="inlineStr">
        <is>
          <t>Black and White</t>
        </is>
      </c>
      <c r="I562" s="3" t="n"/>
      <c r="J562" s="3" t="n">
        <v>85</v>
      </c>
      <c r="K562" s="3" t="n">
        <v>94.95</v>
      </c>
      <c r="L562" s="3" t="n">
        <v>40</v>
      </c>
      <c r="M562" s="2" t="inlineStr">
        <is>
          <t>TCGplayer</t>
        </is>
      </c>
      <c r="O562" s="4" t="inlineStr">
        <is>
          <t>https://www.tcgplayer.com/product/98612</t>
        </is>
      </c>
    </row>
    <row r="563">
      <c r="A563" s="2" t="inlineStr">
        <is>
          <t>Brilliant Stars Corviknight V Battle Deck</t>
        </is>
      </c>
      <c r="B563" s="3">
        <f>IF(I563&lt;&gt;"",I563,IF(J563&lt;&gt;"",J563,IF(K563&lt;&gt;"",K563,L563)))</f>
        <v>13.18</v>
      </c>
      <c r="C563" s="3">
        <f>MEDIAN(I563:L563)</f>
        <v>13.18</v>
      </c>
      <c r="D563" s="3">
        <f>ROUND(C563*(1-Settings!$B$2),2)</f>
        <v>9.23</v>
      </c>
      <c r="E563" s="3">
        <f>ROUND(C563*(1-Settings!$B$3),2)</f>
        <v>9.23</v>
      </c>
      <c r="F563" s="2" t="inlineStr">
        <is>
          <t>Pokemon</t>
        </is>
      </c>
      <c r="G563" s="2" t="inlineStr">
        <is>
          <t>Deck</t>
        </is>
      </c>
      <c r="H563" s="2" t="inlineStr">
        <is>
          <t>Brilliant Stars</t>
        </is>
      </c>
      <c r="I563" s="3" t="n">
        <v>13.18</v>
      </c>
      <c r="J563" s="3" t="n"/>
      <c r="K563" s="3" t="n"/>
      <c r="L563" s="3" t="n"/>
      <c r="M563" s="2" t="inlineStr">
        <is>
          <t>PriceCharting</t>
        </is>
      </c>
      <c r="N563" s="4" t="inlineStr">
        <is>
          <t>https://www.pricecharting.com/game/pokemon-brilliant-stars/corviknight-v-battle-deck</t>
        </is>
      </c>
    </row>
    <row r="564">
      <c r="A564" s="2" t="inlineStr">
        <is>
          <t>Brilliant Stars Lycanroc V Battle Deck</t>
        </is>
      </c>
      <c r="B564" s="3">
        <f>IF(I564&lt;&gt;"",I564,IF(J564&lt;&gt;"",J564,IF(K564&lt;&gt;"",K564,L564)))</f>
        <v>11.3</v>
      </c>
      <c r="C564" s="3">
        <f>MEDIAN(I564:L564)</f>
        <v>11.3</v>
      </c>
      <c r="D564" s="3">
        <f>ROUND(C564*(1-Settings!$B$2),2)</f>
        <v>7.91</v>
      </c>
      <c r="E564" s="3">
        <f>ROUND(C564*(1-Settings!$B$3),2)</f>
        <v>7.91</v>
      </c>
      <c r="F564" s="2" t="inlineStr">
        <is>
          <t>Pokemon</t>
        </is>
      </c>
      <c r="G564" s="2" t="inlineStr">
        <is>
          <t>Deck</t>
        </is>
      </c>
      <c r="H564" s="2" t="inlineStr">
        <is>
          <t>Brilliant Stars</t>
        </is>
      </c>
      <c r="I564" s="3" t="n">
        <v>11.3</v>
      </c>
      <c r="J564" s="3" t="n"/>
      <c r="K564" s="3" t="n"/>
      <c r="L564" s="3" t="n"/>
      <c r="M564" s="2" t="inlineStr">
        <is>
          <t>PriceCharting</t>
        </is>
      </c>
      <c r="N564" s="4" t="inlineStr">
        <is>
          <t>https://www.pricecharting.com/game/pokemon-brilliant-stars/lycanroc-v-battle-deck</t>
        </is>
      </c>
    </row>
    <row r="565">
      <c r="A565" s="2" t="inlineStr">
        <is>
          <t>Burning Shadows Luminous Frost Theme Deck</t>
        </is>
      </c>
      <c r="B565" s="3">
        <f>IF(I565&lt;&gt;"",I565,IF(J565&lt;&gt;"",J565,IF(K565&lt;&gt;"",K565,L565)))</f>
        <v>11.99</v>
      </c>
      <c r="C565" s="3">
        <f>MEDIAN(I565:L565)</f>
        <v>11.99</v>
      </c>
      <c r="D565" s="3">
        <f>ROUND(C565*(1-Settings!$B$2),2)</f>
        <v>8.39</v>
      </c>
      <c r="E565" s="3">
        <f>ROUND(C565*(1-Settings!$B$3),2)</f>
        <v>8.39</v>
      </c>
      <c r="F565" s="2" t="inlineStr">
        <is>
          <t>Pokemon</t>
        </is>
      </c>
      <c r="G565" s="2" t="inlineStr">
        <is>
          <t>Deck</t>
        </is>
      </c>
      <c r="H565" s="2" t="inlineStr">
        <is>
          <t>Burning Shadows</t>
        </is>
      </c>
      <c r="I565" s="3" t="n">
        <v>11.99</v>
      </c>
      <c r="J565" s="3" t="n"/>
      <c r="K565" s="3" t="n"/>
      <c r="L565" s="3" t="n"/>
      <c r="M565" s="2" t="inlineStr">
        <is>
          <t>PriceCharting</t>
        </is>
      </c>
      <c r="N565" s="4" t="inlineStr">
        <is>
          <t>https://www.pricecharting.com/game/pokemon-burning-shadows/luminous-frost-theme-deck</t>
        </is>
      </c>
    </row>
    <row r="566">
      <c r="A566" s="2" t="inlineStr">
        <is>
          <t>Burning Shadows Theme Deck: Lycanroc Rock Steady</t>
        </is>
      </c>
      <c r="B566" s="3">
        <f>IF(I566&lt;&gt;"",I566,IF(J566&lt;&gt;"",J566,IF(K566&lt;&gt;"",K566,L566)))</f>
        <v>13.29</v>
      </c>
      <c r="C566" s="3">
        <f>MEDIAN(I566:L566)</f>
        <v>13.29</v>
      </c>
      <c r="D566" s="3">
        <f>ROUND(C566*(1-Settings!$B$2),2)</f>
        <v>9.3</v>
      </c>
      <c r="E566" s="3">
        <f>ROUND(C566*(1-Settings!$B$3),2)</f>
        <v>9.3</v>
      </c>
      <c r="F566" s="2" t="inlineStr">
        <is>
          <t>Pokemon</t>
        </is>
      </c>
      <c r="G566" s="2" t="inlineStr">
        <is>
          <t>Deck</t>
        </is>
      </c>
      <c r="H566" s="2" t="inlineStr">
        <is>
          <t>Burning Shadows</t>
        </is>
      </c>
      <c r="I566" s="3" t="n">
        <v>13.29</v>
      </c>
      <c r="J566" s="3" t="n"/>
      <c r="K566" s="3" t="n"/>
      <c r="L566" s="3" t="n"/>
      <c r="M566" s="2" t="inlineStr">
        <is>
          <t>PriceCharting</t>
        </is>
      </c>
      <c r="N566" s="4" t="inlineStr">
        <is>
          <t>https://www.pricecharting.com/game/pokemon-burning-shadows/theme-deck-lycanroc-rock-steady</t>
        </is>
      </c>
    </row>
    <row r="567">
      <c r="A567" s="2" t="inlineStr">
        <is>
          <t>Burning Shadows Theme Deck: Ninetales Luminous Frost</t>
        </is>
      </c>
      <c r="B567" s="3">
        <f>IF(I567&lt;&gt;"",I567,IF(J567&lt;&gt;"",J567,IF(K567&lt;&gt;"",K567,L567)))</f>
        <v>23.51</v>
      </c>
      <c r="C567" s="3">
        <f>MEDIAN(I567:L567)</f>
        <v>23.51</v>
      </c>
      <c r="D567" s="3">
        <f>ROUND(C567*(1-Settings!$B$2),2)</f>
        <v>16.46</v>
      </c>
      <c r="E567" s="3">
        <f>ROUND(C567*(1-Settings!$B$3),2)</f>
        <v>16.46</v>
      </c>
      <c r="F567" s="2" t="inlineStr">
        <is>
          <t>Pokemon</t>
        </is>
      </c>
      <c r="G567" s="2" t="inlineStr">
        <is>
          <t>Deck</t>
        </is>
      </c>
      <c r="H567" s="2" t="inlineStr">
        <is>
          <t>Burning Shadows</t>
        </is>
      </c>
      <c r="I567" s="3" t="n">
        <v>23.51</v>
      </c>
      <c r="J567" s="3" t="n"/>
      <c r="K567" s="3" t="n"/>
      <c r="L567" s="3" t="n"/>
      <c r="M567" s="2" t="inlineStr">
        <is>
          <t>PriceCharting</t>
        </is>
      </c>
      <c r="N567" s="4" t="inlineStr">
        <is>
          <t>https://www.pricecharting.com/game/pokemon-burning-shadows/theme-deck-ninetales-luminous-frost</t>
        </is>
      </c>
    </row>
    <row r="568">
      <c r="A568" s="2" t="inlineStr">
        <is>
          <t>Diamond &amp; Pearl Theme Deck - "Inferno Zone"</t>
        </is>
      </c>
      <c r="B568" s="3">
        <f>IF(I568&lt;&gt;"",I568,IF(J568&lt;&gt;"",J568,IF(K568&lt;&gt;"",K568,L568)))</f>
        <v>399.99</v>
      </c>
      <c r="C568" s="3">
        <f>MEDIAN(I568:L568)</f>
        <v>399.99</v>
      </c>
      <c r="D568" s="3">
        <f>ROUND(C568*(1-Settings!$B$2),2)</f>
        <v>279.99</v>
      </c>
      <c r="E568" s="3">
        <f>ROUND(C568*(1-Settings!$B$3),2)</f>
        <v>279.99</v>
      </c>
      <c r="F568" s="2" t="inlineStr">
        <is>
          <t>Pokemon</t>
        </is>
      </c>
      <c r="G568" s="2" t="inlineStr">
        <is>
          <t>Deck</t>
        </is>
      </c>
      <c r="H568" s="2" t="inlineStr">
        <is>
          <t>Diamond and Pearl</t>
        </is>
      </c>
      <c r="I568" s="3" t="n"/>
      <c r="J568" s="3" t="n"/>
      <c r="K568" s="3" t="n">
        <v>399.99</v>
      </c>
      <c r="L568" s="3" t="n">
        <v>399.99</v>
      </c>
      <c r="M568" s="2" t="inlineStr">
        <is>
          <t>TCGplayer</t>
        </is>
      </c>
      <c r="O568" s="4" t="inlineStr">
        <is>
          <t>https://www.tcgplayer.com/product/228805</t>
        </is>
      </c>
    </row>
    <row r="569">
      <c r="A569" s="2" t="inlineStr">
        <is>
          <t>Diamond &amp; Pearl Theme Deck - "Terra Firma"</t>
        </is>
      </c>
      <c r="B569" s="3">
        <f>IF(I569&lt;&gt;"",I569,IF(J569&lt;&gt;"",J569,IF(K569&lt;&gt;"",K569,L569)))</f>
        <v>399.99</v>
      </c>
      <c r="C569" s="3">
        <f>MEDIAN(I569:L569)</f>
        <v>399.99</v>
      </c>
      <c r="D569" s="3">
        <f>ROUND(C569*(1-Settings!$B$2),2)</f>
        <v>279.99</v>
      </c>
      <c r="E569" s="3">
        <f>ROUND(C569*(1-Settings!$B$3),2)</f>
        <v>279.99</v>
      </c>
      <c r="F569" s="2" t="inlineStr">
        <is>
          <t>Pokemon</t>
        </is>
      </c>
      <c r="G569" s="2" t="inlineStr">
        <is>
          <t>Deck</t>
        </is>
      </c>
      <c r="H569" s="2" t="inlineStr">
        <is>
          <t>Diamond and Pearl</t>
        </is>
      </c>
      <c r="I569" s="3" t="n"/>
      <c r="J569" s="3" t="n"/>
      <c r="K569" s="3" t="n">
        <v>399.99</v>
      </c>
      <c r="L569" s="3" t="n">
        <v>399.99</v>
      </c>
      <c r="M569" s="2" t="inlineStr">
        <is>
          <t>TCGplayer</t>
        </is>
      </c>
      <c r="O569" s="4" t="inlineStr">
        <is>
          <t>https://www.tcgplayer.com/product/228804</t>
        </is>
      </c>
    </row>
    <row r="570">
      <c r="A570" s="2" t="inlineStr">
        <is>
          <t>Emerging Powers Theme Deck - "Power Play" [Krookodile]</t>
        </is>
      </c>
      <c r="B570" s="3">
        <f>IF(I570&lt;&gt;"",I570,IF(J570&lt;&gt;"",J570,IF(K570&lt;&gt;"",K570,L570)))</f>
        <v>99.0</v>
      </c>
      <c r="C570" s="3">
        <f>MEDIAN(I570:L570)</f>
        <v>99.0</v>
      </c>
      <c r="D570" s="3">
        <f>ROUND(C570*(1-Settings!$B$2),2)</f>
        <v>69.3</v>
      </c>
      <c r="E570" s="3">
        <f>ROUND(C570*(1-Settings!$B$3),2)</f>
        <v>69.3</v>
      </c>
      <c r="F570" s="2" t="inlineStr">
        <is>
          <t>Pokemon</t>
        </is>
      </c>
      <c r="G570" s="2" t="inlineStr">
        <is>
          <t>Deck</t>
        </is>
      </c>
      <c r="H570" s="2" t="inlineStr">
        <is>
          <t>Emerging Powers</t>
        </is>
      </c>
      <c r="I570" s="3" t="n"/>
      <c r="J570" s="3" t="n">
        <v>99</v>
      </c>
      <c r="K570" s="3" t="n">
        <v>99</v>
      </c>
      <c r="L570" s="3" t="n">
        <v>99</v>
      </c>
      <c r="M570" s="2" t="inlineStr">
        <is>
          <t>TCGplayer</t>
        </is>
      </c>
      <c r="O570" s="4" t="inlineStr">
        <is>
          <t>https://www.tcgplayer.com/product/98618</t>
        </is>
      </c>
    </row>
    <row r="571">
      <c r="A571" s="2" t="inlineStr">
        <is>
          <t>Emerging Powers Theme Deck - "Toxic Tricks" [Scolipede]</t>
        </is>
      </c>
      <c r="B571" s="3">
        <f>IF(I571&lt;&gt;"",I571,IF(J571&lt;&gt;"",J571,IF(K571&lt;&gt;"",K571,L571)))</f>
        <v>54.95</v>
      </c>
      <c r="C571" s="3">
        <f>MEDIAN(I571:L571)</f>
        <v>54.95</v>
      </c>
      <c r="D571" s="3">
        <f>ROUND(C571*(1-Settings!$B$2),2)</f>
        <v>38.47</v>
      </c>
      <c r="E571" s="3">
        <f>ROUND(C571*(1-Settings!$B$3),2)</f>
        <v>38.47</v>
      </c>
      <c r="F571" s="2" t="inlineStr">
        <is>
          <t>Pokemon</t>
        </is>
      </c>
      <c r="G571" s="2" t="inlineStr">
        <is>
          <t>Deck</t>
        </is>
      </c>
      <c r="H571" s="2" t="inlineStr">
        <is>
          <t>Emerging Powers</t>
        </is>
      </c>
      <c r="I571" s="3" t="n"/>
      <c r="J571" s="3" t="n">
        <v>54.95</v>
      </c>
      <c r="K571" s="3" t="n"/>
      <c r="L571" s="3" t="n"/>
      <c r="M571" s="2" t="inlineStr">
        <is>
          <t>TCGplayer</t>
        </is>
      </c>
      <c r="O571" s="4" t="inlineStr">
        <is>
          <t>https://www.tcgplayer.com/product/98617</t>
        </is>
      </c>
    </row>
    <row r="572">
      <c r="A572" s="2" t="inlineStr">
        <is>
          <t>Starter Figure Boxes: Outstanding Oshawott Box</t>
        </is>
      </c>
      <c r="B572" s="3">
        <f>IF(I572&lt;&gt;"",I572,IF(J572&lt;&gt;"",J572,IF(K572&lt;&gt;"",K572,L572)))</f>
        <v>1550.0</v>
      </c>
      <c r="C572" s="3">
        <f>MEDIAN(I572:L572)</f>
        <v>1550.0</v>
      </c>
      <c r="D572" s="3">
        <f>ROUND(C572*(1-Settings!$B$2),2)</f>
        <v>1085.0</v>
      </c>
      <c r="E572" s="3">
        <f>ROUND(C572*(1-Settings!$B$3),2)</f>
        <v>1085.0</v>
      </c>
      <c r="F572" s="2" t="inlineStr">
        <is>
          <t>Pokemon</t>
        </is>
      </c>
      <c r="G572" s="2" t="inlineStr">
        <is>
          <t>Deck</t>
        </is>
      </c>
      <c r="H572" s="2" t="inlineStr">
        <is>
          <t>Emerging Powers</t>
        </is>
      </c>
      <c r="I572" s="3" t="n"/>
      <c r="J572" s="3" t="n"/>
      <c r="K572" s="3" t="n">
        <v>1550</v>
      </c>
      <c r="L572" s="3" t="n">
        <v>1550</v>
      </c>
      <c r="M572" s="2" t="inlineStr">
        <is>
          <t>TCGplayer</t>
        </is>
      </c>
      <c r="O572" s="4" t="inlineStr">
        <is>
          <t>https://www.tcgplayer.com/product/177532</t>
        </is>
      </c>
    </row>
    <row r="573">
      <c r="A573" s="2" t="inlineStr">
        <is>
          <t>Evolutions Mewtwo Mayhem Theme Deck</t>
        </is>
      </c>
      <c r="B573" s="3">
        <f>IF(I573&lt;&gt;"",I573,IF(J573&lt;&gt;"",J573,IF(K573&lt;&gt;"",K573,L573)))</f>
        <v>36.31</v>
      </c>
      <c r="C573" s="3">
        <f>MEDIAN(I573:L573)</f>
        <v>36.31</v>
      </c>
      <c r="D573" s="3">
        <f>ROUND(C573*(1-Settings!$B$2),2)</f>
        <v>25.42</v>
      </c>
      <c r="E573" s="3">
        <f>ROUND(C573*(1-Settings!$B$3),2)</f>
        <v>25.42</v>
      </c>
      <c r="F573" s="2" t="inlineStr">
        <is>
          <t>Pokemon</t>
        </is>
      </c>
      <c r="G573" s="2" t="inlineStr">
        <is>
          <t>Deck</t>
        </is>
      </c>
      <c r="H573" s="2" t="inlineStr">
        <is>
          <t>Evolutions</t>
        </is>
      </c>
      <c r="I573" s="3" t="n">
        <v>36.31</v>
      </c>
      <c r="J573" s="3" t="n"/>
      <c r="K573" s="3" t="n"/>
      <c r="L573" s="3" t="n"/>
      <c r="M573" s="2" t="inlineStr">
        <is>
          <t>PriceCharting</t>
        </is>
      </c>
      <c r="N573" s="4" t="inlineStr">
        <is>
          <t>https://www.pricecharting.com/game/pokemon-evolutions/mewtwo-mayhem-theme-deck</t>
        </is>
      </c>
    </row>
    <row r="574">
      <c r="A574" s="2" t="inlineStr">
        <is>
          <t>Evolutions Pikachu Power Theme Deck</t>
        </is>
      </c>
      <c r="B574" s="3">
        <f>IF(I574&lt;&gt;"",I574,IF(J574&lt;&gt;"",J574,IF(K574&lt;&gt;"",K574,L574)))</f>
        <v>39.99</v>
      </c>
      <c r="C574" s="3">
        <f>MEDIAN(I574:L574)</f>
        <v>39.99</v>
      </c>
      <c r="D574" s="3">
        <f>ROUND(C574*(1-Settings!$B$2),2)</f>
        <v>27.99</v>
      </c>
      <c r="E574" s="3">
        <f>ROUND(C574*(1-Settings!$B$3),2)</f>
        <v>27.99</v>
      </c>
      <c r="F574" s="2" t="inlineStr">
        <is>
          <t>Pokemon</t>
        </is>
      </c>
      <c r="G574" s="2" t="inlineStr">
        <is>
          <t>Deck</t>
        </is>
      </c>
      <c r="H574" s="2" t="inlineStr">
        <is>
          <t>Evolutions</t>
        </is>
      </c>
      <c r="I574" s="3" t="n">
        <v>39.99</v>
      </c>
      <c r="J574" s="3" t="n"/>
      <c r="K574" s="3" t="n"/>
      <c r="L574" s="3" t="n"/>
      <c r="M574" s="2" t="inlineStr">
        <is>
          <t>PriceCharting</t>
        </is>
      </c>
      <c r="N574" s="4" t="inlineStr">
        <is>
          <t>https://www.pricecharting.com/game/pokemon-evolutions/pikachu-power-theme-deck</t>
        </is>
      </c>
    </row>
    <row r="575">
      <c r="A575" s="2" t="inlineStr">
        <is>
          <t>Delta Species Theme Deck - "Steeplechase"</t>
        </is>
      </c>
      <c r="B575" s="3">
        <f>IF(I575&lt;&gt;"",I575,IF(J575&lt;&gt;"",J575,IF(K575&lt;&gt;"",K575,L575)))</f>
        <v>200.0</v>
      </c>
      <c r="C575" s="3">
        <f>MEDIAN(I575:L575)</f>
        <v>200.0</v>
      </c>
      <c r="D575" s="3">
        <f>ROUND(C575*(1-Settings!$B$2),2)</f>
        <v>140.0</v>
      </c>
      <c r="E575" s="3">
        <f>ROUND(C575*(1-Settings!$B$3),2)</f>
        <v>140.0</v>
      </c>
      <c r="F575" s="2" t="inlineStr">
        <is>
          <t>Pokemon</t>
        </is>
      </c>
      <c r="G575" s="2" t="inlineStr">
        <is>
          <t>Deck</t>
        </is>
      </c>
      <c r="H575" s="2" t="inlineStr">
        <is>
          <t>EX Delta Species</t>
        </is>
      </c>
      <c r="I575" s="3" t="n"/>
      <c r="J575" s="3" t="n">
        <v>200</v>
      </c>
      <c r="K575" s="3" t="n"/>
      <c r="L575" s="3" t="n"/>
      <c r="M575" s="2" t="inlineStr">
        <is>
          <t>TCGplayer</t>
        </is>
      </c>
      <c r="O575" s="4" t="inlineStr">
        <is>
          <t>https://www.tcgplayer.com/product/232864</t>
        </is>
      </c>
    </row>
    <row r="576">
      <c r="A576" s="2" t="inlineStr">
        <is>
          <t>Hidden Legends Theme Deck - "Wish Maker" [Jirachi]</t>
        </is>
      </c>
      <c r="B576" s="3">
        <f>IF(I576&lt;&gt;"",I576,IF(J576&lt;&gt;"",J576,IF(K576&lt;&gt;"",K576,L576)))</f>
        <v>600.0</v>
      </c>
      <c r="C576" s="3">
        <f>MEDIAN(I576:L576)</f>
        <v>600.0</v>
      </c>
      <c r="D576" s="3">
        <f>ROUND(C576*(1-Settings!$B$2),2)</f>
        <v>420.0</v>
      </c>
      <c r="E576" s="3">
        <f>ROUND(C576*(1-Settings!$B$3),2)</f>
        <v>420.0</v>
      </c>
      <c r="F576" s="2" t="inlineStr">
        <is>
          <t>Pokemon</t>
        </is>
      </c>
      <c r="G576" s="2" t="inlineStr">
        <is>
          <t>Deck</t>
        </is>
      </c>
      <c r="H576" s="2" t="inlineStr">
        <is>
          <t>EX Hidden Legends</t>
        </is>
      </c>
      <c r="I576" s="3" t="n"/>
      <c r="J576" s="3" t="n"/>
      <c r="K576" s="3" t="n">
        <v>600</v>
      </c>
      <c r="L576" s="3" t="n">
        <v>600</v>
      </c>
      <c r="M576" s="2" t="inlineStr">
        <is>
          <t>TCGplayer</t>
        </is>
      </c>
      <c r="O576" s="4" t="inlineStr">
        <is>
          <t>https://www.tcgplayer.com/product/215766</t>
        </is>
      </c>
    </row>
    <row r="577">
      <c r="A577" s="2" t="inlineStr">
        <is>
          <t>Sandstorm Theme Deck - "Caravan"</t>
        </is>
      </c>
      <c r="B577" s="3">
        <f>IF(I577&lt;&gt;"",I577,IF(J577&lt;&gt;"",J577,IF(K577&lt;&gt;"",K577,L577)))</f>
        <v>276.01</v>
      </c>
      <c r="C577" s="3">
        <f>MEDIAN(I577:L577)</f>
        <v>276.01</v>
      </c>
      <c r="D577" s="3">
        <f>ROUND(C577*(1-Settings!$B$2),2)</f>
        <v>193.21</v>
      </c>
      <c r="E577" s="3">
        <f>ROUND(C577*(1-Settings!$B$3),2)</f>
        <v>193.21</v>
      </c>
      <c r="F577" s="2" t="inlineStr">
        <is>
          <t>Pokemon</t>
        </is>
      </c>
      <c r="G577" s="2" t="inlineStr">
        <is>
          <t>Deck</t>
        </is>
      </c>
      <c r="H577" s="2" t="inlineStr">
        <is>
          <t>EX Sandstorm</t>
        </is>
      </c>
      <c r="I577" s="3" t="n"/>
      <c r="J577" s="3" t="n">
        <v>276.01</v>
      </c>
      <c r="K577" s="3" t="n"/>
      <c r="L577" s="3" t="n"/>
      <c r="M577" s="2" t="inlineStr">
        <is>
          <t>TCGplayer</t>
        </is>
      </c>
      <c r="O577" s="4" t="inlineStr">
        <is>
          <t>https://www.tcgplayer.com/product/234511</t>
        </is>
      </c>
    </row>
    <row r="578">
      <c r="A578" s="2" t="inlineStr">
        <is>
          <t>Unseen Forces Theme Deck - "Silvery Ocean" [Lugia]</t>
        </is>
      </c>
      <c r="B578" s="3">
        <f>IF(I578&lt;&gt;"",I578,IF(J578&lt;&gt;"",J578,IF(K578&lt;&gt;"",K578,L578)))</f>
        <v>499.95</v>
      </c>
      <c r="C578" s="3">
        <f>MEDIAN(I578:L578)</f>
        <v>499.95</v>
      </c>
      <c r="D578" s="3">
        <f>ROUND(C578*(1-Settings!$B$2),2)</f>
        <v>349.97</v>
      </c>
      <c r="E578" s="3">
        <f>ROUND(C578*(1-Settings!$B$3),2)</f>
        <v>349.97</v>
      </c>
      <c r="F578" s="2" t="inlineStr">
        <is>
          <t>Pokemon</t>
        </is>
      </c>
      <c r="G578" s="2" t="inlineStr">
        <is>
          <t>Deck</t>
        </is>
      </c>
      <c r="H578" s="2" t="inlineStr">
        <is>
          <t>EX Unseen Forces</t>
        </is>
      </c>
      <c r="I578" s="3" t="n"/>
      <c r="J578" s="3" t="n">
        <v>499.95</v>
      </c>
      <c r="K578" s="3" t="n"/>
      <c r="L578" s="3" t="n"/>
      <c r="M578" s="2" t="inlineStr">
        <is>
          <t>TCGplayer</t>
        </is>
      </c>
      <c r="O578" s="4" t="inlineStr">
        <is>
          <t>https://www.tcgplayer.com/product/232866</t>
        </is>
      </c>
    </row>
    <row r="579">
      <c r="A579" s="2" t="inlineStr">
        <is>
          <t>Expedition Electric Garden Theme Deck</t>
        </is>
      </c>
      <c r="B579" s="3">
        <f>IF(I579&lt;&gt;"",I579,IF(J579&lt;&gt;"",J579,IF(K579&lt;&gt;"",K579,L579)))</f>
        <v>474.96</v>
      </c>
      <c r="C579" s="3">
        <f>MEDIAN(I579:L579)</f>
        <v>474.96</v>
      </c>
      <c r="D579" s="3">
        <f>ROUND(C579*(1-Settings!$B$2),2)</f>
        <v>332.47</v>
      </c>
      <c r="E579" s="3">
        <f>ROUND(C579*(1-Settings!$B$3),2)</f>
        <v>332.47</v>
      </c>
      <c r="F579" s="2" t="inlineStr">
        <is>
          <t>Pokemon</t>
        </is>
      </c>
      <c r="G579" s="2" t="inlineStr">
        <is>
          <t>Deck</t>
        </is>
      </c>
      <c r="H579" s="2" t="inlineStr">
        <is>
          <t>Expedition</t>
        </is>
      </c>
      <c r="I579" s="3" t="n">
        <v>474.96</v>
      </c>
      <c r="J579" s="3" t="n"/>
      <c r="K579" s="3" t="n"/>
      <c r="L579" s="3" t="n"/>
      <c r="M579" s="2" t="inlineStr">
        <is>
          <t>PriceCharting</t>
        </is>
      </c>
      <c r="N579" s="4" t="inlineStr">
        <is>
          <t>https://www.pricecharting.com/game/pokemon-expedition/electric-garden-theme-deck</t>
        </is>
      </c>
    </row>
    <row r="580">
      <c r="A580" s="2" t="inlineStr">
        <is>
          <t>Fossil BodyGuard Theme Deck</t>
        </is>
      </c>
      <c r="B580" s="3">
        <f>IF(I580&lt;&gt;"",I580,IF(J580&lt;&gt;"",J580,IF(K580&lt;&gt;"",K580,L580)))</f>
        <v>155.0</v>
      </c>
      <c r="C580" s="3">
        <f>MEDIAN(I580:L580)</f>
        <v>155.0</v>
      </c>
      <c r="D580" s="3">
        <f>ROUND(C580*(1-Settings!$B$2),2)</f>
        <v>108.5</v>
      </c>
      <c r="E580" s="3">
        <f>ROUND(C580*(1-Settings!$B$3),2)</f>
        <v>108.5</v>
      </c>
      <c r="F580" s="2" t="inlineStr">
        <is>
          <t>Pokemon</t>
        </is>
      </c>
      <c r="G580" s="2" t="inlineStr">
        <is>
          <t>Deck</t>
        </is>
      </c>
      <c r="H580" s="2" t="inlineStr">
        <is>
          <t>Fossil</t>
        </is>
      </c>
      <c r="I580" s="3" t="n">
        <v>155</v>
      </c>
      <c r="J580" s="3" t="n"/>
      <c r="K580" s="3" t="n"/>
      <c r="L580" s="3" t="n"/>
      <c r="M580" s="2" t="inlineStr">
        <is>
          <t>PriceCharting</t>
        </is>
      </c>
      <c r="N580" s="4" t="inlineStr">
        <is>
          <t>https://www.pricecharting.com/game/pokemon-fossil/bodyguard-theme-deck</t>
        </is>
      </c>
    </row>
    <row r="581">
      <c r="A581" s="2" t="inlineStr">
        <is>
          <t>Fossil Lockdown Theme Deck</t>
        </is>
      </c>
      <c r="B581" s="3">
        <f>IF(I581&lt;&gt;"",I581,IF(J581&lt;&gt;"",J581,IF(K581&lt;&gt;"",K581,L581)))</f>
        <v>221.85</v>
      </c>
      <c r="C581" s="3">
        <f>MEDIAN(I581:L581)</f>
        <v>221.85</v>
      </c>
      <c r="D581" s="3">
        <f>ROUND(C581*(1-Settings!$B$2),2)</f>
        <v>155.3</v>
      </c>
      <c r="E581" s="3">
        <f>ROUND(C581*(1-Settings!$B$3),2)</f>
        <v>155.3</v>
      </c>
      <c r="F581" s="2" t="inlineStr">
        <is>
          <t>Pokemon</t>
        </is>
      </c>
      <c r="G581" s="2" t="inlineStr">
        <is>
          <t>Deck</t>
        </is>
      </c>
      <c r="H581" s="2" t="inlineStr">
        <is>
          <t>Fossil</t>
        </is>
      </c>
      <c r="I581" s="3" t="n">
        <v>221.85</v>
      </c>
      <c r="J581" s="3" t="n"/>
      <c r="K581" s="3" t="n"/>
      <c r="L581" s="3" t="n"/>
      <c r="M581" s="2" t="inlineStr">
        <is>
          <t>PriceCharting</t>
        </is>
      </c>
      <c r="N581" s="4" t="inlineStr">
        <is>
          <t>https://www.pricecharting.com/game/pokemon-fossil/lockdown-theme-deck</t>
        </is>
      </c>
    </row>
    <row r="582">
      <c r="A582" s="2" t="inlineStr">
        <is>
          <t>Fossil Theme Deck - "BodyGuard"</t>
        </is>
      </c>
      <c r="B582" s="3">
        <f>IF(I582&lt;&gt;"",I582,IF(J582&lt;&gt;"",J582,IF(K582&lt;&gt;"",K582,L582)))</f>
        <v>195.16</v>
      </c>
      <c r="C582" s="3">
        <f>MEDIAN(I582:L582)</f>
        <v>195.16</v>
      </c>
      <c r="D582" s="3">
        <f>ROUND(C582*(1-Settings!$B$2),2)</f>
        <v>136.61</v>
      </c>
      <c r="E582" s="3">
        <f>ROUND(C582*(1-Settings!$B$3),2)</f>
        <v>136.61</v>
      </c>
      <c r="F582" s="2" t="inlineStr">
        <is>
          <t>Pokemon</t>
        </is>
      </c>
      <c r="G582" s="2" t="inlineStr">
        <is>
          <t>Deck</t>
        </is>
      </c>
      <c r="H582" s="2" t="inlineStr">
        <is>
          <t>Fossil</t>
        </is>
      </c>
      <c r="I582" s="3" t="n"/>
      <c r="J582" s="3" t="n">
        <v>195.16</v>
      </c>
      <c r="K582" s="3" t="n">
        <v>222.48</v>
      </c>
      <c r="L582" s="3" t="n">
        <v>180</v>
      </c>
      <c r="M582" s="2" t="inlineStr">
        <is>
          <t>TCGplayer</t>
        </is>
      </c>
      <c r="O582" s="4" t="inlineStr">
        <is>
          <t>https://www.tcgplayer.com/product/107607</t>
        </is>
      </c>
    </row>
    <row r="583">
      <c r="A583" s="2" t="inlineStr">
        <is>
          <t>Fossil Theme Deck - "LockDown"</t>
        </is>
      </c>
      <c r="B583" s="3">
        <f>IF(I583&lt;&gt;"",I583,IF(J583&lt;&gt;"",J583,IF(K583&lt;&gt;"",K583,L583)))</f>
        <v>218.42</v>
      </c>
      <c r="C583" s="3">
        <f>MEDIAN(I583:L583)</f>
        <v>218.42</v>
      </c>
      <c r="D583" s="3">
        <f>ROUND(C583*(1-Settings!$B$2),2)</f>
        <v>152.89</v>
      </c>
      <c r="E583" s="3">
        <f>ROUND(C583*(1-Settings!$B$3),2)</f>
        <v>152.89</v>
      </c>
      <c r="F583" s="2" t="inlineStr">
        <is>
          <t>Pokemon</t>
        </is>
      </c>
      <c r="G583" s="2" t="inlineStr">
        <is>
          <t>Deck</t>
        </is>
      </c>
      <c r="H583" s="2" t="inlineStr">
        <is>
          <t>Fossil</t>
        </is>
      </c>
      <c r="I583" s="3" t="n"/>
      <c r="J583" s="3" t="n">
        <v>218.42</v>
      </c>
      <c r="K583" s="3" t="n">
        <v>220</v>
      </c>
      <c r="L583" s="3" t="n">
        <v>205</v>
      </c>
      <c r="M583" s="2" t="inlineStr">
        <is>
          <t>TCGplayer</t>
        </is>
      </c>
      <c r="O583" s="4" t="inlineStr">
        <is>
          <t>https://www.tcgplayer.com/product/107608</t>
        </is>
      </c>
    </row>
    <row r="584">
      <c r="A584" s="2" t="inlineStr">
        <is>
          <t>Go Dragonite VSTAR Premier Deck Holder Collection</t>
        </is>
      </c>
      <c r="B584" s="3">
        <f>IF(I584&lt;&gt;"",I584,IF(J584&lt;&gt;"",J584,IF(K584&lt;&gt;"",K584,L584)))</f>
        <v>109.69</v>
      </c>
      <c r="C584" s="3">
        <f>MEDIAN(I584:L584)</f>
        <v>109.69</v>
      </c>
      <c r="D584" s="3">
        <f>ROUND(C584*(1-Settings!$B$2),2)</f>
        <v>76.78</v>
      </c>
      <c r="E584" s="3">
        <f>ROUND(C584*(1-Settings!$B$3),2)</f>
        <v>76.78</v>
      </c>
      <c r="F584" s="2" t="inlineStr">
        <is>
          <t>Pokemon</t>
        </is>
      </c>
      <c r="G584" s="2" t="inlineStr">
        <is>
          <t>Deck</t>
        </is>
      </c>
      <c r="H584" s="2" t="inlineStr">
        <is>
          <t>Go</t>
        </is>
      </c>
      <c r="I584" s="3" t="n">
        <v>109.69</v>
      </c>
      <c r="J584" s="3" t="n"/>
      <c r="K584" s="3" t="n"/>
      <c r="L584" s="3" t="n"/>
      <c r="M584" s="2" t="inlineStr">
        <is>
          <t>PriceCharting</t>
        </is>
      </c>
      <c r="N584" s="4" t="inlineStr">
        <is>
          <t>https://www.pricecharting.com/game/pokemon-go/dragonite-vstar-premier-deck-holder-collection</t>
        </is>
      </c>
    </row>
    <row r="585">
      <c r="A585" s="2" t="inlineStr">
        <is>
          <t>Go V Battle Deck [Melmetal]</t>
        </is>
      </c>
      <c r="B585" s="3">
        <f>IF(I585&lt;&gt;"",I585,IF(J585&lt;&gt;"",J585,IF(K585&lt;&gt;"",K585,L585)))</f>
        <v>30.84</v>
      </c>
      <c r="C585" s="3">
        <f>MEDIAN(I585:L585)</f>
        <v>30.84</v>
      </c>
      <c r="D585" s="3">
        <f>ROUND(C585*(1-Settings!$B$2),2)</f>
        <v>21.59</v>
      </c>
      <c r="E585" s="3">
        <f>ROUND(C585*(1-Settings!$B$3),2)</f>
        <v>21.59</v>
      </c>
      <c r="F585" s="2" t="inlineStr">
        <is>
          <t>Pokemon</t>
        </is>
      </c>
      <c r="G585" s="2" t="inlineStr">
        <is>
          <t>Deck</t>
        </is>
      </c>
      <c r="H585" s="2" t="inlineStr">
        <is>
          <t>Go</t>
        </is>
      </c>
      <c r="I585" s="3" t="n">
        <v>30.84</v>
      </c>
      <c r="J585" s="3" t="n"/>
      <c r="K585" s="3" t="n"/>
      <c r="L585" s="3" t="n"/>
      <c r="M585" s="2" t="inlineStr">
        <is>
          <t>PriceCharting</t>
        </is>
      </c>
      <c r="N585" s="4" t="inlineStr">
        <is>
          <t>https://www.pricecharting.com/game/pokemon-go/v-battle-deck-melmetal</t>
        </is>
      </c>
    </row>
    <row r="586">
      <c r="A586" s="2" t="inlineStr">
        <is>
          <t>Go V Battle Deck [Mewtwo]</t>
        </is>
      </c>
      <c r="B586" s="3">
        <f>IF(I586&lt;&gt;"",I586,IF(J586&lt;&gt;"",J586,IF(K586&lt;&gt;"",K586,L586)))</f>
        <v>29.89</v>
      </c>
      <c r="C586" s="3">
        <f>MEDIAN(I586:L586)</f>
        <v>29.89</v>
      </c>
      <c r="D586" s="3">
        <f>ROUND(C586*(1-Settings!$B$2),2)</f>
        <v>20.92</v>
      </c>
      <c r="E586" s="3">
        <f>ROUND(C586*(1-Settings!$B$3),2)</f>
        <v>20.92</v>
      </c>
      <c r="F586" s="2" t="inlineStr">
        <is>
          <t>Pokemon</t>
        </is>
      </c>
      <c r="G586" s="2" t="inlineStr">
        <is>
          <t>Deck</t>
        </is>
      </c>
      <c r="H586" s="2" t="inlineStr">
        <is>
          <t>Go</t>
        </is>
      </c>
      <c r="I586" s="3" t="n">
        <v>29.89</v>
      </c>
      <c r="J586" s="3" t="n"/>
      <c r="K586" s="3" t="n"/>
      <c r="L586" s="3" t="n"/>
      <c r="M586" s="2" t="inlineStr">
        <is>
          <t>PriceCharting</t>
        </is>
      </c>
      <c r="N586" s="4" t="inlineStr">
        <is>
          <t>https://www.pricecharting.com/game/pokemon-go/v-battle-deck-mewtwo</t>
        </is>
      </c>
    </row>
    <row r="587">
      <c r="A587" s="2" t="inlineStr">
        <is>
          <t>Gym Challenge Koga Theme Deck</t>
        </is>
      </c>
      <c r="B587" s="3">
        <f>IF(I587&lt;&gt;"",I587,IF(J587&lt;&gt;"",J587,IF(K587&lt;&gt;"",K587,L587)))</f>
        <v>477.0</v>
      </c>
      <c r="C587" s="3">
        <f>MEDIAN(I587:L587)</f>
        <v>477.0</v>
      </c>
      <c r="D587" s="3">
        <f>ROUND(C587*(1-Settings!$B$2),2)</f>
        <v>333.9</v>
      </c>
      <c r="E587" s="3">
        <f>ROUND(C587*(1-Settings!$B$3),2)</f>
        <v>333.9</v>
      </c>
      <c r="F587" s="2" t="inlineStr">
        <is>
          <t>Pokemon</t>
        </is>
      </c>
      <c r="G587" s="2" t="inlineStr">
        <is>
          <t>Deck</t>
        </is>
      </c>
      <c r="H587" s="2" t="inlineStr">
        <is>
          <t>Gym Challenge</t>
        </is>
      </c>
      <c r="I587" s="3" t="n">
        <v>477</v>
      </c>
      <c r="J587" s="3" t="n"/>
      <c r="K587" s="3" t="n"/>
      <c r="L587" s="3" t="n"/>
      <c r="M587" s="2" t="inlineStr">
        <is>
          <t>PriceCharting</t>
        </is>
      </c>
      <c r="N587" s="4" t="inlineStr">
        <is>
          <t>https://www.pricecharting.com/game/pokemon-gym-challenge/koga-theme-deck</t>
        </is>
      </c>
    </row>
    <row r="588">
      <c r="A588" s="2" t="inlineStr">
        <is>
          <t>Gym Challenge Theme Deck - "Giovanni"</t>
        </is>
      </c>
      <c r="B588" s="3">
        <f>IF(I588&lt;&gt;"",I588,IF(J588&lt;&gt;"",J588,IF(K588&lt;&gt;"",K588,L588)))</f>
        <v>700.0</v>
      </c>
      <c r="C588" s="3">
        <f>MEDIAN(I588:L588)</f>
        <v>700.0</v>
      </c>
      <c r="D588" s="3">
        <f>ROUND(C588*(1-Settings!$B$2),2)</f>
        <v>490.0</v>
      </c>
      <c r="E588" s="3">
        <f>ROUND(C588*(1-Settings!$B$3),2)</f>
        <v>490.0</v>
      </c>
      <c r="F588" s="2" t="inlineStr">
        <is>
          <t>Pokemon</t>
        </is>
      </c>
      <c r="G588" s="2" t="inlineStr">
        <is>
          <t>Deck</t>
        </is>
      </c>
      <c r="H588" s="2" t="inlineStr">
        <is>
          <t>Gym Challenge</t>
        </is>
      </c>
      <c r="I588" s="3" t="n"/>
      <c r="J588" s="3" t="n"/>
      <c r="K588" s="3" t="n"/>
      <c r="L588" s="3" t="n">
        <v>700</v>
      </c>
      <c r="M588" s="2" t="inlineStr">
        <is>
          <t>TCGplayer</t>
        </is>
      </c>
      <c r="O588" s="4" t="inlineStr">
        <is>
          <t>https://www.tcgplayer.com/product/277128</t>
        </is>
      </c>
    </row>
    <row r="589">
      <c r="A589" s="2" t="inlineStr">
        <is>
          <t>Gym Challenge Theme Deck - "Koga"</t>
        </is>
      </c>
      <c r="B589" s="3">
        <f>IF(I589&lt;&gt;"",I589,IF(J589&lt;&gt;"",J589,IF(K589&lt;&gt;"",K589,L589)))</f>
        <v>720.0</v>
      </c>
      <c r="C589" s="3">
        <f>MEDIAN(I589:L589)</f>
        <v>585.0</v>
      </c>
      <c r="D589" s="3">
        <f>ROUND(C589*(1-Settings!$B$2),2)</f>
        <v>409.5</v>
      </c>
      <c r="E589" s="3">
        <f>ROUND(C589*(1-Settings!$B$3),2)</f>
        <v>409.5</v>
      </c>
      <c r="F589" s="2" t="inlineStr">
        <is>
          <t>Pokemon</t>
        </is>
      </c>
      <c r="G589" s="2" t="inlineStr">
        <is>
          <t>Deck</t>
        </is>
      </c>
      <c r="H589" s="2" t="inlineStr">
        <is>
          <t>Gym Challenge</t>
        </is>
      </c>
      <c r="I589" s="3" t="n"/>
      <c r="J589" s="3" t="n"/>
      <c r="K589" s="3" t="n">
        <v>720</v>
      </c>
      <c r="L589" s="3" t="n">
        <v>450</v>
      </c>
      <c r="M589" s="2" t="inlineStr">
        <is>
          <t>TCGplayer</t>
        </is>
      </c>
      <c r="O589" s="4" t="inlineStr">
        <is>
          <t>https://www.tcgplayer.com/product/277129</t>
        </is>
      </c>
    </row>
    <row r="590">
      <c r="A590" s="2" t="inlineStr">
        <is>
          <t>Gym Challenge Theme Deck - "Sabrina"</t>
        </is>
      </c>
      <c r="B590" s="3">
        <f>IF(I590&lt;&gt;"",I590,IF(J590&lt;&gt;"",J590,IF(K590&lt;&gt;"",K590,L590)))</f>
        <v>999.98</v>
      </c>
      <c r="C590" s="3">
        <f>MEDIAN(I590:L590)</f>
        <v>999.965</v>
      </c>
      <c r="D590" s="3">
        <f>ROUND(C590*(1-Settings!$B$2),2)</f>
        <v>699.98</v>
      </c>
      <c r="E590" s="3">
        <f>ROUND(C590*(1-Settings!$B$3),2)</f>
        <v>699.98</v>
      </c>
      <c r="F590" s="2" t="inlineStr">
        <is>
          <t>Pokemon</t>
        </is>
      </c>
      <c r="G590" s="2" t="inlineStr">
        <is>
          <t>Deck</t>
        </is>
      </c>
      <c r="H590" s="2" t="inlineStr">
        <is>
          <t>Gym Challenge</t>
        </is>
      </c>
      <c r="I590" s="3" t="n"/>
      <c r="J590" s="3" t="n"/>
      <c r="K590" s="3" t="n">
        <v>999.98</v>
      </c>
      <c r="L590" s="3" t="n">
        <v>999.95</v>
      </c>
      <c r="M590" s="2" t="inlineStr">
        <is>
          <t>TCGplayer</t>
        </is>
      </c>
      <c r="O590" s="4" t="inlineStr">
        <is>
          <t>https://www.tcgplayer.com/product/277126</t>
        </is>
      </c>
    </row>
    <row r="591">
      <c r="A591" s="2" t="inlineStr">
        <is>
          <t>Gym Heroes Brock Theme Deck</t>
        </is>
      </c>
      <c r="B591" s="3">
        <f>IF(I591&lt;&gt;"",I591,IF(J591&lt;&gt;"",J591,IF(K591&lt;&gt;"",K591,L591)))</f>
        <v>384.5</v>
      </c>
      <c r="C591" s="3">
        <f>MEDIAN(I591:L591)</f>
        <v>384.5</v>
      </c>
      <c r="D591" s="3">
        <f>ROUND(C591*(1-Settings!$B$2),2)</f>
        <v>269.15</v>
      </c>
      <c r="E591" s="3">
        <f>ROUND(C591*(1-Settings!$B$3),2)</f>
        <v>269.15</v>
      </c>
      <c r="F591" s="2" t="inlineStr">
        <is>
          <t>Pokemon</t>
        </is>
      </c>
      <c r="G591" s="2" t="inlineStr">
        <is>
          <t>Deck</t>
        </is>
      </c>
      <c r="H591" s="2" t="inlineStr">
        <is>
          <t>Gym Heroes</t>
        </is>
      </c>
      <c r="I591" s="3" t="n">
        <v>384.5</v>
      </c>
      <c r="J591" s="3" t="n"/>
      <c r="K591" s="3" t="n"/>
      <c r="L591" s="3" t="n"/>
      <c r="M591" s="2" t="inlineStr">
        <is>
          <t>PriceCharting</t>
        </is>
      </c>
      <c r="N591" s="4" t="inlineStr">
        <is>
          <t>https://www.pricecharting.com/game/pokemon-gym-heroes/brock-theme-deck</t>
        </is>
      </c>
    </row>
    <row r="592">
      <c r="A592" s="2" t="inlineStr">
        <is>
          <t>Gym Heroes Lt. Surge Theme Deck</t>
        </is>
      </c>
      <c r="B592" s="3">
        <f>IF(I592&lt;&gt;"",I592,IF(J592&lt;&gt;"",J592,IF(K592&lt;&gt;"",K592,L592)))</f>
        <v>399.99</v>
      </c>
      <c r="C592" s="3">
        <f>MEDIAN(I592:L592)</f>
        <v>399.99</v>
      </c>
      <c r="D592" s="3">
        <f>ROUND(C592*(1-Settings!$B$2),2)</f>
        <v>279.99</v>
      </c>
      <c r="E592" s="3">
        <f>ROUND(C592*(1-Settings!$B$3),2)</f>
        <v>279.99</v>
      </c>
      <c r="F592" s="2" t="inlineStr">
        <is>
          <t>Pokemon</t>
        </is>
      </c>
      <c r="G592" s="2" t="inlineStr">
        <is>
          <t>Deck</t>
        </is>
      </c>
      <c r="H592" s="2" t="inlineStr">
        <is>
          <t>Gym Heroes</t>
        </is>
      </c>
      <c r="I592" s="3" t="n">
        <v>399.99</v>
      </c>
      <c r="J592" s="3" t="n"/>
      <c r="K592" s="3" t="n"/>
      <c r="L592" s="3" t="n"/>
      <c r="M592" s="2" t="inlineStr">
        <is>
          <t>PriceCharting</t>
        </is>
      </c>
      <c r="N592" s="4" t="inlineStr">
        <is>
          <t>https://www.pricecharting.com/game/pokemon-gym-heroes/lt-surge-theme-deck</t>
        </is>
      </c>
    </row>
    <row r="593">
      <c r="A593" s="2" t="inlineStr">
        <is>
          <t>Gym Heroes Theme Deck - "Brock"</t>
        </is>
      </c>
      <c r="B593" s="3">
        <f>IF(I593&lt;&gt;"",I593,IF(J593&lt;&gt;"",J593,IF(K593&lt;&gt;"",K593,L593)))</f>
        <v>600.0</v>
      </c>
      <c r="C593" s="3">
        <f>MEDIAN(I593:L593)</f>
        <v>600.0</v>
      </c>
      <c r="D593" s="3">
        <f>ROUND(C593*(1-Settings!$B$2),2)</f>
        <v>420.0</v>
      </c>
      <c r="E593" s="3">
        <f>ROUND(C593*(1-Settings!$B$3),2)</f>
        <v>420.0</v>
      </c>
      <c r="F593" s="2" t="inlineStr">
        <is>
          <t>Pokemon</t>
        </is>
      </c>
      <c r="G593" s="2" t="inlineStr">
        <is>
          <t>Deck</t>
        </is>
      </c>
      <c r="H593" s="2" t="inlineStr">
        <is>
          <t>Gym Heroes</t>
        </is>
      </c>
      <c r="I593" s="3" t="n"/>
      <c r="J593" s="3" t="n"/>
      <c r="K593" s="3" t="n"/>
      <c r="L593" s="3" t="n">
        <v>600</v>
      </c>
      <c r="M593" s="2" t="inlineStr">
        <is>
          <t>TCGplayer</t>
        </is>
      </c>
      <c r="O593" s="4" t="inlineStr">
        <is>
          <t>https://www.tcgplayer.com/product/234502</t>
        </is>
      </c>
    </row>
    <row r="594">
      <c r="A594" s="2" t="inlineStr">
        <is>
          <t>Gym Heroes Theme Deck - "Erika"</t>
        </is>
      </c>
      <c r="B594" s="3">
        <f>IF(I594&lt;&gt;"",I594,IF(J594&lt;&gt;"",J594,IF(K594&lt;&gt;"",K594,L594)))</f>
        <v>990.0</v>
      </c>
      <c r="C594" s="3">
        <f>MEDIAN(I594:L594)</f>
        <v>990.0</v>
      </c>
      <c r="D594" s="3">
        <f>ROUND(C594*(1-Settings!$B$2),2)</f>
        <v>693.0</v>
      </c>
      <c r="E594" s="3">
        <f>ROUND(C594*(1-Settings!$B$3),2)</f>
        <v>693.0</v>
      </c>
      <c r="F594" s="2" t="inlineStr">
        <is>
          <t>Pokemon</t>
        </is>
      </c>
      <c r="G594" s="2" t="inlineStr">
        <is>
          <t>Deck</t>
        </is>
      </c>
      <c r="H594" s="2" t="inlineStr">
        <is>
          <t>Gym Heroes</t>
        </is>
      </c>
      <c r="I594" s="3" t="n"/>
      <c r="J594" s="3" t="n"/>
      <c r="K594" s="3" t="n">
        <v>990</v>
      </c>
      <c r="L594" s="3" t="n">
        <v>990</v>
      </c>
      <c r="M594" s="2" t="inlineStr">
        <is>
          <t>TCGplayer</t>
        </is>
      </c>
      <c r="O594" s="4" t="inlineStr">
        <is>
          <t>https://www.tcgplayer.com/product/234503</t>
        </is>
      </c>
    </row>
    <row r="595">
      <c r="A595" s="2" t="inlineStr">
        <is>
          <t>Gym Heroes Theme Deck - "Lt. Surge"</t>
        </is>
      </c>
      <c r="B595" s="3">
        <f>IF(I595&lt;&gt;"",I595,IF(J595&lt;&gt;"",J595,IF(K595&lt;&gt;"",K595,L595)))</f>
        <v>399.99</v>
      </c>
      <c r="C595" s="3">
        <f>MEDIAN(I595:L595)</f>
        <v>990.0</v>
      </c>
      <c r="D595" s="3">
        <f>ROUND(C595*(1-Settings!$B$2),2)</f>
        <v>693.0</v>
      </c>
      <c r="E595" s="3">
        <f>ROUND(C595*(1-Settings!$B$3),2)</f>
        <v>693.0</v>
      </c>
      <c r="F595" s="2" t="inlineStr">
        <is>
          <t>Pokemon</t>
        </is>
      </c>
      <c r="G595" s="2" t="inlineStr">
        <is>
          <t>Deck</t>
        </is>
      </c>
      <c r="H595" s="2" t="inlineStr">
        <is>
          <t>Gym Heroes</t>
        </is>
      </c>
      <c r="I595" s="3" t="n"/>
      <c r="J595" s="3" t="n">
        <v>399.99</v>
      </c>
      <c r="K595" s="3" t="n">
        <v>990</v>
      </c>
      <c r="L595" s="3" t="n">
        <v>990</v>
      </c>
      <c r="M595" s="2" t="inlineStr">
        <is>
          <t>TCGplayer</t>
        </is>
      </c>
      <c r="O595" s="4" t="inlineStr">
        <is>
          <t>https://www.tcgplayer.com/product/451095</t>
        </is>
      </c>
    </row>
    <row r="596">
      <c r="A596" s="2" t="inlineStr">
        <is>
          <t>Japanese Challenge From The Darkness Guren Town Gym Theme Deck</t>
        </is>
      </c>
      <c r="B596" s="3">
        <f>IF(I596&lt;&gt;"",I596,IF(J596&lt;&gt;"",J596,IF(K596&lt;&gt;"",K596,L596)))</f>
        <v>200.61</v>
      </c>
      <c r="C596" s="3">
        <f>MEDIAN(I596:L596)</f>
        <v>200.61</v>
      </c>
      <c r="D596" s="3">
        <f>ROUND(C596*(1-Settings!$B$2),2)</f>
        <v>140.43</v>
      </c>
      <c r="E596" s="3">
        <f>ROUND(C596*(1-Settings!$B$3),2)</f>
        <v>140.43</v>
      </c>
      <c r="F596" s="2" t="inlineStr">
        <is>
          <t>Pokemon</t>
        </is>
      </c>
      <c r="G596" s="2" t="inlineStr">
        <is>
          <t>Deck</t>
        </is>
      </c>
      <c r="H596" s="2" t="inlineStr">
        <is>
          <t>Japanese Challenge From The Darkness</t>
        </is>
      </c>
      <c r="I596" s="3" t="n">
        <v>200.61</v>
      </c>
      <c r="J596" s="3" t="n"/>
      <c r="K596" s="3" t="n"/>
      <c r="L596" s="3" t="n"/>
      <c r="M596" s="2" t="inlineStr">
        <is>
          <t>PriceCharting</t>
        </is>
      </c>
      <c r="N596" s="4" t="inlineStr">
        <is>
          <t>https://www.pricecharting.com/game/pokemon-japanese-challenge-from-the-darkness/guren-town-gym-theme-deck</t>
        </is>
      </c>
    </row>
    <row r="597">
      <c r="A597" s="2" t="inlineStr">
        <is>
          <t>Japanese Expansion Pack Starter Deck</t>
        </is>
      </c>
      <c r="B597" s="3">
        <f>IF(I597&lt;&gt;"",I597,IF(J597&lt;&gt;"",J597,IF(K597&lt;&gt;"",K597,L597)))</f>
        <v>4550.0</v>
      </c>
      <c r="C597" s="3">
        <f>MEDIAN(I597:L597)</f>
        <v>4550.0</v>
      </c>
      <c r="D597" s="3">
        <f>ROUND(C597*(1-Settings!$B$2),2)</f>
        <v>3185.0</v>
      </c>
      <c r="E597" s="3">
        <f>ROUND(C597*(1-Settings!$B$3),2)</f>
        <v>3185.0</v>
      </c>
      <c r="F597" s="2" t="inlineStr">
        <is>
          <t>Pokemon</t>
        </is>
      </c>
      <c r="G597" s="2" t="inlineStr">
        <is>
          <t>Deck</t>
        </is>
      </c>
      <c r="H597" s="2" t="inlineStr">
        <is>
          <t>Japanese Expansion Pack</t>
        </is>
      </c>
      <c r="I597" s="3" t="n">
        <v>4550</v>
      </c>
      <c r="J597" s="3" t="n"/>
      <c r="K597" s="3" t="n"/>
      <c r="L597" s="3" t="n"/>
      <c r="M597" s="2" t="inlineStr">
        <is>
          <t>PriceCharting</t>
        </is>
      </c>
      <c r="N597" s="4" t="inlineStr">
        <is>
          <t>https://www.pricecharting.com/game/pokemon-japanese-expansion-pack/starter-deck</t>
        </is>
      </c>
    </row>
    <row r="598">
      <c r="A598" s="2" t="inlineStr">
        <is>
          <t>Japanese Mega Starter Deck Gengar Ex Sealed Mega Starter Set</t>
        </is>
      </c>
      <c r="B598" s="3">
        <f>IF(I598&lt;&gt;"",I598,IF(J598&lt;&gt;"",J598,IF(K598&lt;&gt;"",K598,L598)))</f>
        <v>46.0</v>
      </c>
      <c r="C598" s="3">
        <f>MEDIAN(I598:L598)</f>
        <v>46.0</v>
      </c>
      <c r="D598" s="3">
        <f>ROUND(C598*(1-Settings!$B$2),2)</f>
        <v>32.2</v>
      </c>
      <c r="E598" s="3">
        <f>ROUND(C598*(1-Settings!$B$3),2)</f>
        <v>32.2</v>
      </c>
      <c r="F598" s="2" t="inlineStr">
        <is>
          <t>Pokemon</t>
        </is>
      </c>
      <c r="G598" s="2" t="inlineStr">
        <is>
          <t>Deck</t>
        </is>
      </c>
      <c r="H598" s="2" t="inlineStr">
        <is>
          <t>Japanese Mega Starter Deck Gengar Ex</t>
        </is>
      </c>
      <c r="I598" s="3" t="n">
        <v>46</v>
      </c>
      <c r="J598" s="3" t="n"/>
      <c r="K598" s="3" t="n"/>
      <c r="L598" s="3" t="n"/>
      <c r="M598" s="2" t="inlineStr">
        <is>
          <t>PriceCharting</t>
        </is>
      </c>
      <c r="N598" s="4" t="inlineStr">
        <is>
          <t>https://www.pricecharting.com/game/pokemon-japanese-mega-starter-deck-gengar-ex/sealed-mega-starter-set</t>
        </is>
      </c>
    </row>
    <row r="599">
      <c r="A599" s="2" t="inlineStr">
        <is>
          <t>Japanese Old Maid Old Maid Deck</t>
        </is>
      </c>
      <c r="B599" s="3">
        <f>IF(I599&lt;&gt;"",I599,IF(J599&lt;&gt;"",J599,IF(K599&lt;&gt;"",K599,L599)))</f>
        <v>21.67</v>
      </c>
      <c r="C599" s="3">
        <f>MEDIAN(I599:L599)</f>
        <v>21.67</v>
      </c>
      <c r="D599" s="3">
        <f>ROUND(C599*(1-Settings!$B$2),2)</f>
        <v>15.17</v>
      </c>
      <c r="E599" s="3">
        <f>ROUND(C599*(1-Settings!$B$3),2)</f>
        <v>15.17</v>
      </c>
      <c r="F599" s="2" t="inlineStr">
        <is>
          <t>Pokemon</t>
        </is>
      </c>
      <c r="G599" s="2" t="inlineStr">
        <is>
          <t>Deck</t>
        </is>
      </c>
      <c r="H599" s="2" t="inlineStr">
        <is>
          <t>Japanese Old Maid</t>
        </is>
      </c>
      <c r="I599" s="3" t="n">
        <v>21.67</v>
      </c>
      <c r="J599" s="3" t="n"/>
      <c r="K599" s="3" t="n"/>
      <c r="L599" s="3" t="n"/>
      <c r="M599" s="2" t="inlineStr">
        <is>
          <t>PriceCharting</t>
        </is>
      </c>
      <c r="N599" s="4" t="inlineStr">
        <is>
          <t>https://www.pricecharting.com/game/pokemon-japanese-old-maid/old-maid-deck</t>
        </is>
      </c>
    </row>
    <row r="600">
      <c r="A600" s="2" t="inlineStr">
        <is>
          <t>Japanese Old Maid Old Maid Deck [Blue]</t>
        </is>
      </c>
      <c r="B600" s="3">
        <f>IF(I600&lt;&gt;"",I600,IF(J600&lt;&gt;"",J600,IF(K600&lt;&gt;"",K600,L600)))</f>
        <v>14.77</v>
      </c>
      <c r="C600" s="3">
        <f>MEDIAN(I600:L600)</f>
        <v>14.77</v>
      </c>
      <c r="D600" s="3">
        <f>ROUND(C600*(1-Settings!$B$2),2)</f>
        <v>10.34</v>
      </c>
      <c r="E600" s="3">
        <f>ROUND(C600*(1-Settings!$B$3),2)</f>
        <v>10.34</v>
      </c>
      <c r="F600" s="2" t="inlineStr">
        <is>
          <t>Pokemon</t>
        </is>
      </c>
      <c r="G600" s="2" t="inlineStr">
        <is>
          <t>Deck</t>
        </is>
      </c>
      <c r="H600" s="2" t="inlineStr">
        <is>
          <t>Japanese Old Maid</t>
        </is>
      </c>
      <c r="I600" s="3" t="n">
        <v>14.77</v>
      </c>
      <c r="J600" s="3" t="n"/>
      <c r="K600" s="3" t="n"/>
      <c r="L600" s="3" t="n"/>
      <c r="M600" s="2" t="inlineStr">
        <is>
          <t>PriceCharting</t>
        </is>
      </c>
      <c r="N600" s="4" t="inlineStr">
        <is>
          <t>https://www.pricecharting.com/game/pokemon-japanese-old-maid/old-maid-deck-blue</t>
        </is>
      </c>
    </row>
    <row r="601">
      <c r="A601" s="2" t="inlineStr">
        <is>
          <t>Japanese Start Deck 100 Battle Collection Sealed Deck</t>
        </is>
      </c>
      <c r="B601" s="3">
        <f>IF(I601&lt;&gt;"",I601,IF(J601&lt;&gt;"",J601,IF(K601&lt;&gt;"",K601,L601)))</f>
        <v>105.05</v>
      </c>
      <c r="C601" s="3">
        <f>MEDIAN(I601:L601)</f>
        <v>105.05</v>
      </c>
      <c r="D601" s="3">
        <f>ROUND(C601*(1-Settings!$B$2),2)</f>
        <v>73.54</v>
      </c>
      <c r="E601" s="3">
        <f>ROUND(C601*(1-Settings!$B$3),2)</f>
        <v>73.54</v>
      </c>
      <c r="F601" s="2" t="inlineStr">
        <is>
          <t>Pokemon</t>
        </is>
      </c>
      <c r="G601" s="2" t="inlineStr">
        <is>
          <t>Deck</t>
        </is>
      </c>
      <c r="H601" s="2" t="inlineStr">
        <is>
          <t>Japanese Start Deck 100 Battle Collection</t>
        </is>
      </c>
      <c r="I601" s="3" t="n">
        <v>105.05</v>
      </c>
      <c r="J601" s="3" t="n"/>
      <c r="K601" s="3" t="n"/>
      <c r="L601" s="3" t="n"/>
      <c r="M601" s="2" t="inlineStr">
        <is>
          <t>PriceCharting</t>
        </is>
      </c>
      <c r="N601" s="4" t="inlineStr">
        <is>
          <t>https://www.pricecharting.com/game/pokemon-japanese-start-deck-100-battle-collection/sealed-deck</t>
        </is>
      </c>
    </row>
    <row r="602">
      <c r="A602" s="2" t="inlineStr">
        <is>
          <t>Japanese Svg Special Set Venusaur &amp; Charizard &amp; Blastoise Special Deck Set EX</t>
        </is>
      </c>
      <c r="B602" s="3">
        <f>IF(I602&lt;&gt;"",I602,IF(J602&lt;&gt;"",J602,IF(K602&lt;&gt;"",K602,L602)))</f>
        <v>369.76</v>
      </c>
      <c r="C602" s="3">
        <f>MEDIAN(I602:L602)</f>
        <v>369.76</v>
      </c>
      <c r="D602" s="3">
        <f>ROUND(C602*(1-Settings!$B$2),2)</f>
        <v>258.83</v>
      </c>
      <c r="E602" s="3">
        <f>ROUND(C602*(1-Settings!$B$3),2)</f>
        <v>258.83</v>
      </c>
      <c r="F602" s="2" t="inlineStr">
        <is>
          <t>Pokemon</t>
        </is>
      </c>
      <c r="G602" s="2" t="inlineStr">
        <is>
          <t>Deck</t>
        </is>
      </c>
      <c r="H602" s="2" t="inlineStr">
        <is>
          <t>Japanese Svg Special Set</t>
        </is>
      </c>
      <c r="I602" s="3" t="n">
        <v>369.76</v>
      </c>
      <c r="J602" s="3" t="n"/>
      <c r="K602" s="3" t="n"/>
      <c r="L602" s="3" t="n"/>
      <c r="M602" s="2" t="inlineStr">
        <is>
          <t>PriceCharting</t>
        </is>
      </c>
      <c r="N602" s="4" t="inlineStr">
        <is>
          <t>https://www.pricecharting.com/game/pokemon-japanese-svg-special-set/venusaur-&amp;-charizard-&amp;-blastoise-special-deck-set-ex</t>
        </is>
      </c>
    </row>
    <row r="603">
      <c r="A603" s="2" t="inlineStr">
        <is>
          <t>Japanese Tag Team Starter Set Starter Deluxe Set</t>
        </is>
      </c>
      <c r="B603" s="3">
        <f>IF(I603&lt;&gt;"",I603,IF(J603&lt;&gt;"",J603,IF(K603&lt;&gt;"",K603,L603)))</f>
        <v>353.39</v>
      </c>
      <c r="C603" s="3">
        <f>MEDIAN(I603:L603)</f>
        <v>353.39</v>
      </c>
      <c r="D603" s="3">
        <f>ROUND(C603*(1-Settings!$B$2),2)</f>
        <v>247.37</v>
      </c>
      <c r="E603" s="3">
        <f>ROUND(C603*(1-Settings!$B$3),2)</f>
        <v>247.37</v>
      </c>
      <c r="F603" s="2" t="inlineStr">
        <is>
          <t>Pokemon</t>
        </is>
      </c>
      <c r="G603" s="2" t="inlineStr">
        <is>
          <t>Deck</t>
        </is>
      </c>
      <c r="H603" s="2" t="inlineStr">
        <is>
          <t>Japanese Tag Team Starter Set</t>
        </is>
      </c>
      <c r="I603" s="3" t="n">
        <v>353.39</v>
      </c>
      <c r="J603" s="3" t="n"/>
      <c r="K603" s="3" t="n"/>
      <c r="L603" s="3" t="n"/>
      <c r="M603" s="2" t="inlineStr">
        <is>
          <t>PriceCharting</t>
        </is>
      </c>
      <c r="N603" s="4" t="inlineStr">
        <is>
          <t>https://www.pricecharting.com/game/pokemon-japanese-tag-team-starter-set/starter-deluxe-set</t>
        </is>
      </c>
    </row>
    <row r="604">
      <c r="A604" s="2" t="inlineStr">
        <is>
          <t>Japanese Vending Deck Battle [Series III]</t>
        </is>
      </c>
      <c r="B604" s="3">
        <f>IF(I604&lt;&gt;"",I604,IF(J604&lt;&gt;"",J604,IF(K604&lt;&gt;"",K604,L604)))</f>
        <v>57.37</v>
      </c>
      <c r="C604" s="3">
        <f>MEDIAN(I604:L604)</f>
        <v>57.37</v>
      </c>
      <c r="D604" s="3">
        <f>ROUND(C604*(1-Settings!$B$2),2)</f>
        <v>40.16</v>
      </c>
      <c r="E604" s="3">
        <f>ROUND(C604*(1-Settings!$B$3),2)</f>
        <v>40.16</v>
      </c>
      <c r="F604" s="2" t="inlineStr">
        <is>
          <t>Pokemon</t>
        </is>
      </c>
      <c r="G604" s="2" t="inlineStr">
        <is>
          <t>Deck</t>
        </is>
      </c>
      <c r="H604" s="2" t="inlineStr">
        <is>
          <t>Japanese Vending</t>
        </is>
      </c>
      <c r="I604" s="3" t="n">
        <v>57.37</v>
      </c>
      <c r="J604" s="3" t="n"/>
      <c r="K604" s="3" t="n"/>
      <c r="L604" s="3" t="n"/>
      <c r="M604" s="2" t="inlineStr">
        <is>
          <t>PriceCharting</t>
        </is>
      </c>
      <c r="N604" s="4" t="inlineStr">
        <is>
          <t>https://www.pricecharting.com/game/pokemon-japanese-vending/deck-battle-series-iii</t>
        </is>
      </c>
    </row>
    <row r="605">
      <c r="A605" s="2" t="inlineStr">
        <is>
          <t>Japanese Vending Deck Exchange [Series III]</t>
        </is>
      </c>
      <c r="B605" s="3">
        <f>IF(I605&lt;&gt;"",I605,IF(J605&lt;&gt;"",J605,IF(K605&lt;&gt;"",K605,L605)))</f>
        <v>42.0</v>
      </c>
      <c r="C605" s="3">
        <f>MEDIAN(I605:L605)</f>
        <v>42.0</v>
      </c>
      <c r="D605" s="3">
        <f>ROUND(C605*(1-Settings!$B$2),2)</f>
        <v>29.4</v>
      </c>
      <c r="E605" s="3">
        <f>ROUND(C605*(1-Settings!$B$3),2)</f>
        <v>29.4</v>
      </c>
      <c r="F605" s="2" t="inlineStr">
        <is>
          <t>Pokemon</t>
        </is>
      </c>
      <c r="G605" s="2" t="inlineStr">
        <is>
          <t>Deck</t>
        </is>
      </c>
      <c r="H605" s="2" t="inlineStr">
        <is>
          <t>Japanese Vending</t>
        </is>
      </c>
      <c r="I605" s="3" t="n">
        <v>42</v>
      </c>
      <c r="J605" s="3" t="n"/>
      <c r="K605" s="3" t="n"/>
      <c r="L605" s="3" t="n"/>
      <c r="M605" s="2" t="inlineStr">
        <is>
          <t>PriceCharting</t>
        </is>
      </c>
      <c r="N605" s="4" t="inlineStr">
        <is>
          <t>https://www.pricecharting.com/game/pokemon-japanese-vending/deck-exchange-series-iii</t>
        </is>
      </c>
    </row>
    <row r="606">
      <c r="A606" s="2" t="inlineStr">
        <is>
          <t>Japanese Yamabuki City Gym Yamabuki City Gym Theme Deck</t>
        </is>
      </c>
      <c r="B606" s="3">
        <f>IF(I606&lt;&gt;"",I606,IF(J606&lt;&gt;"",J606,IF(K606&lt;&gt;"",K606,L606)))</f>
        <v>68.64</v>
      </c>
      <c r="C606" s="3">
        <f>MEDIAN(I606:L606)</f>
        <v>68.64</v>
      </c>
      <c r="D606" s="3">
        <f>ROUND(C606*(1-Settings!$B$2),2)</f>
        <v>48.05</v>
      </c>
      <c r="E606" s="3">
        <f>ROUND(C606*(1-Settings!$B$3),2)</f>
        <v>48.05</v>
      </c>
      <c r="F606" s="2" t="inlineStr">
        <is>
          <t>Pokemon</t>
        </is>
      </c>
      <c r="G606" s="2" t="inlineStr">
        <is>
          <t>Deck</t>
        </is>
      </c>
      <c r="H606" s="2" t="inlineStr">
        <is>
          <t>Japanese Yamabuki City Gym</t>
        </is>
      </c>
      <c r="I606" s="3" t="n">
        <v>68.64</v>
      </c>
      <c r="J606" s="3" t="n"/>
      <c r="K606" s="3" t="n"/>
      <c r="L606" s="3" t="n"/>
      <c r="M606" s="2" t="inlineStr">
        <is>
          <t>PriceCharting</t>
        </is>
      </c>
      <c r="N606" s="4" t="inlineStr">
        <is>
          <t>https://www.pricecharting.com/game/pokemon-japanese-yamabuki-city-gym/yamabuki-city-gym-theme-deck</t>
        </is>
      </c>
    </row>
    <row r="607">
      <c r="A607" s="2" t="inlineStr">
        <is>
          <t>Jungle Power Reserve Theme Deck</t>
        </is>
      </c>
      <c r="B607" s="3">
        <f>IF(I607&lt;&gt;"",I607,IF(J607&lt;&gt;"",J607,IF(K607&lt;&gt;"",K607,L607)))</f>
        <v>207.25</v>
      </c>
      <c r="C607" s="3">
        <f>MEDIAN(I607:L607)</f>
        <v>207.25</v>
      </c>
      <c r="D607" s="3">
        <f>ROUND(C607*(1-Settings!$B$2),2)</f>
        <v>145.08</v>
      </c>
      <c r="E607" s="3">
        <f>ROUND(C607*(1-Settings!$B$3),2)</f>
        <v>145.08</v>
      </c>
      <c r="F607" s="2" t="inlineStr">
        <is>
          <t>Pokemon</t>
        </is>
      </c>
      <c r="G607" s="2" t="inlineStr">
        <is>
          <t>Deck</t>
        </is>
      </c>
      <c r="H607" s="2" t="inlineStr">
        <is>
          <t>Jungle</t>
        </is>
      </c>
      <c r="I607" s="3" t="n">
        <v>207.25</v>
      </c>
      <c r="J607" s="3" t="n"/>
      <c r="K607" s="3" t="n"/>
      <c r="L607" s="3" t="n"/>
      <c r="M607" s="2" t="inlineStr">
        <is>
          <t>PriceCharting</t>
        </is>
      </c>
      <c r="N607" s="4" t="inlineStr">
        <is>
          <t>https://www.pricecharting.com/game/pokemon-jungle/power-reserve-theme-deck</t>
        </is>
      </c>
    </row>
    <row r="608">
      <c r="A608" s="2" t="inlineStr">
        <is>
          <t>Jungle Theme Deck - "Power Reserve"</t>
        </is>
      </c>
      <c r="B608" s="3">
        <f>IF(I608&lt;&gt;"",I608,IF(J608&lt;&gt;"",J608,IF(K608&lt;&gt;"",K608,L608)))</f>
        <v>257.36</v>
      </c>
      <c r="C608" s="3">
        <f>MEDIAN(I608:L608)</f>
        <v>319.47</v>
      </c>
      <c r="D608" s="3">
        <f>ROUND(C608*(1-Settings!$B$2),2)</f>
        <v>223.63</v>
      </c>
      <c r="E608" s="3">
        <f>ROUND(C608*(1-Settings!$B$3),2)</f>
        <v>223.63</v>
      </c>
      <c r="F608" s="2" t="inlineStr">
        <is>
          <t>Pokemon</t>
        </is>
      </c>
      <c r="G608" s="2" t="inlineStr">
        <is>
          <t>Deck</t>
        </is>
      </c>
      <c r="H608" s="2" t="inlineStr">
        <is>
          <t>Jungle</t>
        </is>
      </c>
      <c r="I608" s="3" t="n"/>
      <c r="J608" s="3" t="n">
        <v>257.36</v>
      </c>
      <c r="K608" s="3" t="n">
        <v>377.24</v>
      </c>
      <c r="L608" s="3" t="n">
        <v>319.47</v>
      </c>
      <c r="M608" s="2" t="inlineStr">
        <is>
          <t>TCGplayer</t>
        </is>
      </c>
      <c r="O608" s="4" t="inlineStr">
        <is>
          <t>https://www.tcgplayer.com/product/234498</t>
        </is>
      </c>
    </row>
    <row r="609">
      <c r="A609" s="2" t="inlineStr">
        <is>
          <t>Jungle Theme Deck - "Water Blast"</t>
        </is>
      </c>
      <c r="B609" s="3">
        <f>IF(I609&lt;&gt;"",I609,IF(J609&lt;&gt;"",J609,IF(K609&lt;&gt;"",K609,L609)))</f>
        <v>399.99</v>
      </c>
      <c r="C609" s="3">
        <f>MEDIAN(I609:L609)</f>
        <v>412.86</v>
      </c>
      <c r="D609" s="3">
        <f>ROUND(C609*(1-Settings!$B$2),2)</f>
        <v>289.0</v>
      </c>
      <c r="E609" s="3">
        <f>ROUND(C609*(1-Settings!$B$3),2)</f>
        <v>289.0</v>
      </c>
      <c r="F609" s="2" t="inlineStr">
        <is>
          <t>Pokemon</t>
        </is>
      </c>
      <c r="G609" s="2" t="inlineStr">
        <is>
          <t>Deck</t>
        </is>
      </c>
      <c r="H609" s="2" t="inlineStr">
        <is>
          <t>Jungle</t>
        </is>
      </c>
      <c r="I609" s="3" t="n"/>
      <c r="J609" s="3" t="n">
        <v>399.99</v>
      </c>
      <c r="K609" s="3" t="n">
        <v>506.43</v>
      </c>
      <c r="L609" s="3" t="n">
        <v>412.86</v>
      </c>
      <c r="M609" s="2" t="inlineStr">
        <is>
          <t>TCGplayer</t>
        </is>
      </c>
      <c r="O609" s="4" t="inlineStr">
        <is>
          <t>https://www.tcgplayer.com/product/234499</t>
        </is>
      </c>
    </row>
    <row r="610">
      <c r="A610" s="2" t="inlineStr">
        <is>
          <t>Jungle Water Blast Theme Deck</t>
        </is>
      </c>
      <c r="B610" s="3">
        <f>IF(I610&lt;&gt;"",I610,IF(J610&lt;&gt;"",J610,IF(K610&lt;&gt;"",K610,L610)))</f>
        <v>305.7</v>
      </c>
      <c r="C610" s="3">
        <f>MEDIAN(I610:L610)</f>
        <v>305.7</v>
      </c>
      <c r="D610" s="3">
        <f>ROUND(C610*(1-Settings!$B$2),2)</f>
        <v>213.99</v>
      </c>
      <c r="E610" s="3">
        <f>ROUND(C610*(1-Settings!$B$3),2)</f>
        <v>213.99</v>
      </c>
      <c r="F610" s="2" t="inlineStr">
        <is>
          <t>Pokemon</t>
        </is>
      </c>
      <c r="G610" s="2" t="inlineStr">
        <is>
          <t>Deck</t>
        </is>
      </c>
      <c r="H610" s="2" t="inlineStr">
        <is>
          <t>Jungle</t>
        </is>
      </c>
      <c r="I610" s="3" t="n">
        <v>305.7</v>
      </c>
      <c r="J610" s="3" t="n"/>
      <c r="K610" s="3" t="n"/>
      <c r="L610" s="3" t="n"/>
      <c r="M610" s="2" t="inlineStr">
        <is>
          <t>PriceCharting</t>
        </is>
      </c>
      <c r="N610" s="4" t="inlineStr">
        <is>
          <t>https://www.pricecharting.com/game/pokemon-jungle/water-blast-theme-deck</t>
        </is>
      </c>
    </row>
    <row r="611">
      <c r="A611" s="2" t="inlineStr">
        <is>
          <t>Legendary Collection Lava Theme Deck</t>
        </is>
      </c>
      <c r="B611" s="3">
        <f>IF(I611&lt;&gt;"",I611,IF(J611&lt;&gt;"",J611,IF(K611&lt;&gt;"",K611,L611)))</f>
        <v>4305.0</v>
      </c>
      <c r="C611" s="3">
        <f>MEDIAN(I611:L611)</f>
        <v>4305.0</v>
      </c>
      <c r="D611" s="3">
        <f>ROUND(C611*(1-Settings!$B$2),2)</f>
        <v>3013.5</v>
      </c>
      <c r="E611" s="3">
        <f>ROUND(C611*(1-Settings!$B$3),2)</f>
        <v>3013.5</v>
      </c>
      <c r="F611" s="2" t="inlineStr">
        <is>
          <t>Pokemon</t>
        </is>
      </c>
      <c r="G611" s="2" t="inlineStr">
        <is>
          <t>Deck</t>
        </is>
      </c>
      <c r="H611" s="2" t="inlineStr">
        <is>
          <t>Legendary Collection</t>
        </is>
      </c>
      <c r="I611" s="3" t="n">
        <v>4305</v>
      </c>
      <c r="J611" s="3" t="n"/>
      <c r="K611" s="3" t="n"/>
      <c r="L611" s="3" t="n"/>
      <c r="M611" s="2" t="inlineStr">
        <is>
          <t>PriceCharting</t>
        </is>
      </c>
      <c r="N611" s="4" t="inlineStr">
        <is>
          <t>https://www.pricecharting.com/game/pokemon-legendary-collection/lava-theme-deck</t>
        </is>
      </c>
    </row>
    <row r="612">
      <c r="A612" s="2" t="inlineStr">
        <is>
          <t>Legends Awakened Theme Deck - Metal Surge</t>
        </is>
      </c>
      <c r="B612" s="3">
        <f>IF(I612&lt;&gt;"",I612,IF(J612&lt;&gt;"",J612,IF(K612&lt;&gt;"",K612,L612)))</f>
        <v>200.0</v>
      </c>
      <c r="C612" s="3">
        <f>MEDIAN(I612:L612)</f>
        <v>200.0</v>
      </c>
      <c r="D612" s="3">
        <f>ROUND(C612*(1-Settings!$B$2),2)</f>
        <v>140.0</v>
      </c>
      <c r="E612" s="3">
        <f>ROUND(C612*(1-Settings!$B$3),2)</f>
        <v>140.0</v>
      </c>
      <c r="F612" s="2" t="inlineStr">
        <is>
          <t>Pokemon</t>
        </is>
      </c>
      <c r="G612" s="2" t="inlineStr">
        <is>
          <t>Deck</t>
        </is>
      </c>
      <c r="H612" s="2" t="inlineStr">
        <is>
          <t>Legends Awakened</t>
        </is>
      </c>
      <c r="I612" s="3" t="n"/>
      <c r="J612" s="3" t="n"/>
      <c r="K612" s="3" t="n">
        <v>200</v>
      </c>
      <c r="L612" s="3" t="n">
        <v>200</v>
      </c>
      <c r="M612" s="2" t="inlineStr">
        <is>
          <t>TCGplayer</t>
        </is>
      </c>
      <c r="O612" s="4" t="inlineStr">
        <is>
          <t>https://www.tcgplayer.com/product/693133</t>
        </is>
      </c>
    </row>
    <row r="613">
      <c r="A613" s="2" t="inlineStr">
        <is>
          <t>Lost Thunder Storm Caller Theme Deck</t>
        </is>
      </c>
      <c r="B613" s="3">
        <f>IF(I613&lt;&gt;"",I613,IF(J613&lt;&gt;"",J613,IF(K613&lt;&gt;"",K613,L613)))</f>
        <v>39.9</v>
      </c>
      <c r="C613" s="3">
        <f>MEDIAN(I613:L613)</f>
        <v>39.9</v>
      </c>
      <c r="D613" s="3">
        <f>ROUND(C613*(1-Settings!$B$2),2)</f>
        <v>27.93</v>
      </c>
      <c r="E613" s="3">
        <f>ROUND(C613*(1-Settings!$B$3),2)</f>
        <v>27.93</v>
      </c>
      <c r="F613" s="2" t="inlineStr">
        <is>
          <t>Pokemon</t>
        </is>
      </c>
      <c r="G613" s="2" t="inlineStr">
        <is>
          <t>Deck</t>
        </is>
      </c>
      <c r="H613" s="2" t="inlineStr">
        <is>
          <t>Lost Thunder</t>
        </is>
      </c>
      <c r="I613" s="3" t="n">
        <v>39.9</v>
      </c>
      <c r="J613" s="3" t="n"/>
      <c r="K613" s="3" t="n"/>
      <c r="L613" s="3" t="n"/>
      <c r="M613" s="2" t="inlineStr">
        <is>
          <t>PriceCharting</t>
        </is>
      </c>
      <c r="N613" s="4" t="inlineStr">
        <is>
          <t>https://www.pricecharting.com/game/pokemon-lost-thunder/storm-caller-theme-deck</t>
        </is>
      </c>
    </row>
    <row r="614">
      <c r="A614" s="2" t="inlineStr">
        <is>
          <t>MEGA Starter Set Mega Diancie ex</t>
        </is>
      </c>
      <c r="B614" s="3">
        <f>IF(I614&lt;&gt;"",I614,IF(J614&lt;&gt;"",J614,IF(K614&lt;&gt;"",K614,L614)))</f>
        <v>19.26</v>
      </c>
      <c r="C614" s="3">
        <f>MEDIAN(I614:L614)</f>
        <v>19.625</v>
      </c>
      <c r="D614" s="3">
        <f>ROUND(C614*(1-Settings!$B$2),2)</f>
        <v>13.74</v>
      </c>
      <c r="E614" s="3">
        <f>ROUND(C614*(1-Settings!$B$3),2)</f>
        <v>13.74</v>
      </c>
      <c r="F614" s="2" t="inlineStr">
        <is>
          <t>Pokemon</t>
        </is>
      </c>
      <c r="G614" s="2" t="inlineStr">
        <is>
          <t>Deck</t>
        </is>
      </c>
      <c r="H614" s="2" t="inlineStr">
        <is>
          <t>MBD: MEGA Starter Set Mega Diancie ex</t>
        </is>
      </c>
      <c r="I614" s="3" t="n"/>
      <c r="J614" s="3" t="n">
        <v>19.26</v>
      </c>
      <c r="K614" s="3" t="n"/>
      <c r="L614" s="3" t="n">
        <v>19.99</v>
      </c>
      <c r="M614" s="2" t="inlineStr">
        <is>
          <t>TCGplayer</t>
        </is>
      </c>
      <c r="O614" s="4" t="inlineStr">
        <is>
          <t>https://www.tcgplayer.com/product/653859</t>
        </is>
      </c>
    </row>
    <row r="615">
      <c r="A615" s="2" t="inlineStr">
        <is>
          <t>Starter Set MEGA Mega Gengar ex</t>
        </is>
      </c>
      <c r="B615" s="3">
        <f>IF(I615&lt;&gt;"",I615,IF(J615&lt;&gt;"",J615,IF(K615&lt;&gt;"",K615,L615)))</f>
        <v>39.58</v>
      </c>
      <c r="C615" s="3">
        <f>MEDIAN(I615:L615)</f>
        <v>36.785</v>
      </c>
      <c r="D615" s="3">
        <f>ROUND(C615*(1-Settings!$B$2),2)</f>
        <v>25.75</v>
      </c>
      <c r="E615" s="3">
        <f>ROUND(C615*(1-Settings!$B$3),2)</f>
        <v>25.75</v>
      </c>
      <c r="F615" s="2" t="inlineStr">
        <is>
          <t>Pokemon</t>
        </is>
      </c>
      <c r="G615" s="2" t="inlineStr">
        <is>
          <t>Deck</t>
        </is>
      </c>
      <c r="H615" s="2" t="inlineStr">
        <is>
          <t>MBG: MEGA Starter Set Mega Gengar ex</t>
        </is>
      </c>
      <c r="I615" s="3" t="n"/>
      <c r="J615" s="3" t="n">
        <v>39.58</v>
      </c>
      <c r="K615" s="3" t="n"/>
      <c r="L615" s="3" t="n">
        <v>33.99</v>
      </c>
      <c r="M615" s="2" t="inlineStr">
        <is>
          <t>TCGplayer</t>
        </is>
      </c>
      <c r="O615" s="4" t="inlineStr">
        <is>
          <t>https://www.tcgplayer.com/product/653844</t>
        </is>
      </c>
    </row>
    <row r="616">
      <c r="A616" s="2" t="inlineStr">
        <is>
          <t>30th Celebration Battle Deck [Espeon ex]</t>
        </is>
      </c>
      <c r="B616" s="3">
        <f>IF(I616&lt;&gt;"",I616,IF(J616&lt;&gt;"",J616,IF(K616&lt;&gt;"",K616,L616)))</f>
        <v>37.38</v>
      </c>
      <c r="C616" s="3">
        <f>MEDIAN(I616:L616)</f>
        <v>45.145</v>
      </c>
      <c r="D616" s="3">
        <f>ROUND(C616*(1-Settings!$B$2),2)</f>
        <v>31.6</v>
      </c>
      <c r="E616" s="3">
        <f>ROUND(C616*(1-Settings!$B$3),2)</f>
        <v>31.6</v>
      </c>
      <c r="F616" s="2" t="inlineStr">
        <is>
          <t>Pokemon</t>
        </is>
      </c>
      <c r="G616" s="2" t="inlineStr">
        <is>
          <t>Deck</t>
        </is>
      </c>
      <c r="H616" s="2" t="inlineStr">
        <is>
          <t>ME: 30th Celebration</t>
        </is>
      </c>
      <c r="I616" s="3" t="n">
        <v>37.38</v>
      </c>
      <c r="J616" s="3" t="n">
        <v>45.59</v>
      </c>
      <c r="K616" s="3" t="n">
        <v>48.99</v>
      </c>
      <c r="L616" s="3" t="n">
        <v>44.7</v>
      </c>
      <c r="M616" s="2" t="inlineStr">
        <is>
          <t>PriceCharting + TCGplayer</t>
        </is>
      </c>
      <c r="N616" s="4" t="inlineStr">
        <is>
          <t>https://www.pricecharting.com/game/pokemon-30th-celebration/battle-deck-espeon-ex</t>
        </is>
      </c>
      <c r="O616" s="4" t="inlineStr">
        <is>
          <t>https://www.tcgplayer.com/product/704187</t>
        </is>
      </c>
    </row>
    <row r="617">
      <c r="A617" s="2" t="inlineStr">
        <is>
          <t>30th Celebration Battle Deck [Umbreon ex]</t>
        </is>
      </c>
      <c r="B617" s="3">
        <f>IF(I617&lt;&gt;"",I617,IF(J617&lt;&gt;"",J617,IF(K617&lt;&gt;"",K617,L617)))</f>
        <v>64.95</v>
      </c>
      <c r="C617" s="3">
        <f>MEDIAN(I617:L617)</f>
        <v>63.16</v>
      </c>
      <c r="D617" s="3">
        <f>ROUND(C617*(1-Settings!$B$2),2)</f>
        <v>44.21</v>
      </c>
      <c r="E617" s="3">
        <f>ROUND(C617*(1-Settings!$B$3),2)</f>
        <v>44.21</v>
      </c>
      <c r="F617" s="2" t="inlineStr">
        <is>
          <t>Pokemon</t>
        </is>
      </c>
      <c r="G617" s="2" t="inlineStr">
        <is>
          <t>Deck</t>
        </is>
      </c>
      <c r="H617" s="2" t="inlineStr">
        <is>
          <t>ME: 30th Celebration</t>
        </is>
      </c>
      <c r="I617" s="3" t="n">
        <v>64.95</v>
      </c>
      <c r="J617" s="3" t="n">
        <v>64.48999999999999</v>
      </c>
      <c r="K617" s="3" t="n">
        <v>61.83</v>
      </c>
      <c r="L617" s="3" t="n">
        <v>61.69</v>
      </c>
      <c r="M617" s="2" t="inlineStr">
        <is>
          <t>PriceCharting + TCGplayer</t>
        </is>
      </c>
      <c r="N617" s="4" t="inlineStr">
        <is>
          <t>https://www.pricecharting.com/game/pokemon-30th-celebration/battle-deck-umbreon-ex</t>
        </is>
      </c>
      <c r="O617" s="4" t="inlineStr">
        <is>
          <t>https://www.tcgplayer.com/product/704188</t>
        </is>
      </c>
    </row>
    <row r="618">
      <c r="A618" s="2" t="inlineStr">
        <is>
          <t>Starter Set ex Eevee ex</t>
        </is>
      </c>
      <c r="B618" s="3">
        <f>IF(I618&lt;&gt;"",I618,IF(J618&lt;&gt;"",J618,IF(K618&lt;&gt;"",K618,L618)))</f>
        <v>53.4</v>
      </c>
      <c r="C618" s="3">
        <f>MEDIAN(I618:L618)</f>
        <v>49.7</v>
      </c>
      <c r="D618" s="3">
        <f>ROUND(C618*(1-Settings!$B$2),2)</f>
        <v>34.79</v>
      </c>
      <c r="E618" s="3">
        <f>ROUND(C618*(1-Settings!$B$3),2)</f>
        <v>34.79</v>
      </c>
      <c r="F618" s="2" t="inlineStr">
        <is>
          <t>Pokemon</t>
        </is>
      </c>
      <c r="G618" s="2" t="inlineStr">
        <is>
          <t>Deck</t>
        </is>
      </c>
      <c r="H618" s="2" t="inlineStr">
        <is>
          <t>MEE: Starter Set ex Eevee ex</t>
        </is>
      </c>
      <c r="I618" s="3" t="n"/>
      <c r="J618" s="3" t="n">
        <v>53.4</v>
      </c>
      <c r="K618" s="3" t="n"/>
      <c r="L618" s="3" t="n">
        <v>46</v>
      </c>
      <c r="M618" s="2" t="inlineStr">
        <is>
          <t>TCGplayer</t>
        </is>
      </c>
      <c r="O618" s="4" t="inlineStr">
        <is>
          <t>https://www.tcgplayer.com/product/709112</t>
        </is>
      </c>
    </row>
    <row r="619">
      <c r="A619" s="2" t="inlineStr">
        <is>
          <t>Starter Set ex Meowscarada ex</t>
        </is>
      </c>
      <c r="B619" s="3">
        <f>IF(I619&lt;&gt;"",I619,IF(J619&lt;&gt;"",J619,IF(K619&lt;&gt;"",K619,L619)))</f>
        <v>49.04</v>
      </c>
      <c r="C619" s="3">
        <f>MEDIAN(I619:L619)</f>
        <v>44.519999999999996</v>
      </c>
      <c r="D619" s="3">
        <f>ROUND(C619*(1-Settings!$B$2),2)</f>
        <v>31.16</v>
      </c>
      <c r="E619" s="3">
        <f>ROUND(C619*(1-Settings!$B$3),2)</f>
        <v>31.16</v>
      </c>
      <c r="F619" s="2" t="inlineStr">
        <is>
          <t>Pokemon</t>
        </is>
      </c>
      <c r="G619" s="2" t="inlineStr">
        <is>
          <t>Deck</t>
        </is>
      </c>
      <c r="H619" s="2" t="inlineStr">
        <is>
          <t>MEM: Starter Set ex Meowscarada ex</t>
        </is>
      </c>
      <c r="I619" s="3" t="n"/>
      <c r="J619" s="3" t="n">
        <v>49.04</v>
      </c>
      <c r="K619" s="3" t="n"/>
      <c r="L619" s="3" t="n">
        <v>40</v>
      </c>
      <c r="M619" s="2" t="inlineStr">
        <is>
          <t>TCGplayer</t>
        </is>
      </c>
      <c r="O619" s="4" t="inlineStr">
        <is>
          <t>https://www.tcgplayer.com/product/709113</t>
        </is>
      </c>
    </row>
    <row r="620">
      <c r="A620" s="2" t="inlineStr">
        <is>
          <t>Starter Set ex Zoroark ex</t>
        </is>
      </c>
      <c r="B620" s="3">
        <f>IF(I620&lt;&gt;"",I620,IF(J620&lt;&gt;"",J620,IF(K620&lt;&gt;"",K620,L620)))</f>
        <v>48.12</v>
      </c>
      <c r="C620" s="3">
        <f>MEDIAN(I620:L620)</f>
        <v>44.06</v>
      </c>
      <c r="D620" s="3">
        <f>ROUND(C620*(1-Settings!$B$2),2)</f>
        <v>30.84</v>
      </c>
      <c r="E620" s="3">
        <f>ROUND(C620*(1-Settings!$B$3),2)</f>
        <v>30.84</v>
      </c>
      <c r="F620" s="2" t="inlineStr">
        <is>
          <t>Pokemon</t>
        </is>
      </c>
      <c r="G620" s="2" t="inlineStr">
        <is>
          <t>Deck</t>
        </is>
      </c>
      <c r="H620" s="2" t="inlineStr">
        <is>
          <t>MEZ: Starter Set ex Zoroark ex</t>
        </is>
      </c>
      <c r="I620" s="3" t="n"/>
      <c r="J620" s="3" t="n">
        <v>48.12</v>
      </c>
      <c r="K620" s="3" t="n"/>
      <c r="L620" s="3" t="n">
        <v>40</v>
      </c>
      <c r="M620" s="2" t="inlineStr">
        <is>
          <t>TCGplayer</t>
        </is>
      </c>
      <c r="O620" s="4" t="inlineStr">
        <is>
          <t>https://www.tcgplayer.com/product/709114</t>
        </is>
      </c>
    </row>
    <row r="621">
      <c r="A621" s="2" t="inlineStr">
        <is>
          <t>30th CELEBRATION Premium Deck Set Espeon &amp; Umbreon</t>
        </is>
      </c>
      <c r="B621" s="3">
        <f>IF(I621&lt;&gt;"",I621,IF(J621&lt;&gt;"",J621,IF(K621&lt;&gt;"",K621,L621)))</f>
        <v>188.18</v>
      </c>
      <c r="C621" s="3">
        <f>MEDIAN(I621:L621)</f>
        <v>181.585</v>
      </c>
      <c r="D621" s="3">
        <f>ROUND(C621*(1-Settings!$B$2),2)</f>
        <v>127.11</v>
      </c>
      <c r="E621" s="3">
        <f>ROUND(C621*(1-Settings!$B$3),2)</f>
        <v>127.11</v>
      </c>
      <c r="F621" s="2" t="inlineStr">
        <is>
          <t>Pokemon</t>
        </is>
      </c>
      <c r="G621" s="2" t="inlineStr">
        <is>
          <t>Deck</t>
        </is>
      </c>
      <c r="H621" s="2" t="inlineStr">
        <is>
          <t>MF: 30th CELEBRATION Premium Deck Set Espeon &amp; Umbreon</t>
        </is>
      </c>
      <c r="I621" s="3" t="n"/>
      <c r="J621" s="3" t="n">
        <v>188.18</v>
      </c>
      <c r="K621" s="3" t="n"/>
      <c r="L621" s="3" t="n">
        <v>174.99</v>
      </c>
      <c r="M621" s="2" t="inlineStr">
        <is>
          <t>TCGplayer</t>
        </is>
      </c>
      <c r="O621" s="4" t="inlineStr">
        <is>
          <t>https://www.tcgplayer.com/product/716802</t>
        </is>
      </c>
    </row>
    <row r="622">
      <c r="A622" s="2" t="inlineStr">
        <is>
          <t>Battle Arena Deck: Rayquaza GX</t>
        </is>
      </c>
      <c r="B622" s="3">
        <f>IF(I622&lt;&gt;"",I622,IF(J622&lt;&gt;"",J622,IF(K622&lt;&gt;"",K622,L622)))</f>
        <v>280.0</v>
      </c>
      <c r="C622" s="3">
        <f>MEDIAN(I622:L622)</f>
        <v>1589.995</v>
      </c>
      <c r="D622" s="3">
        <f>ROUND(C622*(1-Settings!$B$2),2)</f>
        <v>1113.0</v>
      </c>
      <c r="E622" s="3">
        <f>ROUND(C622*(1-Settings!$B$3),2)</f>
        <v>1113.0</v>
      </c>
      <c r="F622" s="2" t="inlineStr">
        <is>
          <t>Pokemon</t>
        </is>
      </c>
      <c r="G622" s="2" t="inlineStr">
        <is>
          <t>Deck</t>
        </is>
      </c>
      <c r="H622" s="2" t="inlineStr">
        <is>
          <t>Miscellaneous Cards &amp; Products</t>
        </is>
      </c>
      <c r="I622" s="3" t="n"/>
      <c r="J622" s="3" t="n">
        <v>280</v>
      </c>
      <c r="K622" s="3" t="n"/>
      <c r="L622" s="3" t="n">
        <v>2899.99</v>
      </c>
      <c r="M622" s="2" t="inlineStr">
        <is>
          <t>TCGplayer</t>
        </is>
      </c>
      <c r="O622" s="4" t="inlineStr">
        <is>
          <t>https://www.tcgplayer.com/product/198526</t>
        </is>
      </c>
    </row>
    <row r="623">
      <c r="A623" s="2" t="inlineStr">
        <is>
          <t>Battle Arena Deck: Ultra Necrozma GX</t>
        </is>
      </c>
      <c r="B623" s="3">
        <f>IF(I623&lt;&gt;"",I623,IF(J623&lt;&gt;"",J623,IF(K623&lt;&gt;"",K623,L623)))</f>
        <v>500.0</v>
      </c>
      <c r="C623" s="3">
        <f>MEDIAN(I623:L623)</f>
        <v>500.0</v>
      </c>
      <c r="D623" s="3">
        <f>ROUND(C623*(1-Settings!$B$2),2)</f>
        <v>350.0</v>
      </c>
      <c r="E623" s="3">
        <f>ROUND(C623*(1-Settings!$B$3),2)</f>
        <v>350.0</v>
      </c>
      <c r="F623" s="2" t="inlineStr">
        <is>
          <t>Pokemon</t>
        </is>
      </c>
      <c r="G623" s="2" t="inlineStr">
        <is>
          <t>Deck</t>
        </is>
      </c>
      <c r="H623" s="2" t="inlineStr">
        <is>
          <t>Miscellaneous Cards &amp; Products</t>
        </is>
      </c>
      <c r="I623" s="3" t="n"/>
      <c r="J623" s="3" t="n"/>
      <c r="K623" s="3" t="n">
        <v>500</v>
      </c>
      <c r="L623" s="3" t="n">
        <v>500</v>
      </c>
      <c r="M623" s="2" t="inlineStr">
        <is>
          <t>TCGplayer</t>
        </is>
      </c>
      <c r="O623" s="4" t="inlineStr">
        <is>
          <t>https://www.tcgplayer.com/product/198527</t>
        </is>
      </c>
    </row>
    <row r="624">
      <c r="A624" s="2" t="inlineStr">
        <is>
          <t>Deck Crafter's Collection - Meowth ex</t>
        </is>
      </c>
      <c r="B624" s="3">
        <f>IF(I624&lt;&gt;"",I624,IF(J624&lt;&gt;"",J624,IF(K624&lt;&gt;"",K624,L624)))</f>
        <v>18.32</v>
      </c>
      <c r="C624" s="3">
        <f>MEDIAN(I624:L624)</f>
        <v>18.32</v>
      </c>
      <c r="D624" s="3">
        <f>ROUND(C624*(1-Settings!$B$2),2)</f>
        <v>12.82</v>
      </c>
      <c r="E624" s="3">
        <f>ROUND(C624*(1-Settings!$B$3),2)</f>
        <v>12.82</v>
      </c>
      <c r="F624" s="2" t="inlineStr">
        <is>
          <t>Pokemon</t>
        </is>
      </c>
      <c r="G624" s="2" t="inlineStr">
        <is>
          <t>Deck</t>
        </is>
      </c>
      <c r="H624" s="2" t="inlineStr">
        <is>
          <t>Miscellaneous Cards &amp; Products</t>
        </is>
      </c>
      <c r="I624" s="3" t="n"/>
      <c r="J624" s="3" t="n">
        <v>18.32</v>
      </c>
      <c r="K624" s="3" t="n">
        <v>21.68</v>
      </c>
      <c r="L624" s="3" t="n">
        <v>16.63</v>
      </c>
      <c r="M624" s="2" t="inlineStr">
        <is>
          <t>TCGplayer</t>
        </is>
      </c>
      <c r="O624" s="4" t="inlineStr">
        <is>
          <t>https://www.tcgplayer.com/product/710570</t>
        </is>
      </c>
    </row>
    <row r="625">
      <c r="A625" s="2" t="inlineStr">
        <is>
          <t>Deluxe Battle Deck [Koraidon ex]</t>
        </is>
      </c>
      <c r="B625" s="3">
        <f>IF(I625&lt;&gt;"",I625,IF(J625&lt;&gt;"",J625,IF(K625&lt;&gt;"",K625,L625)))</f>
        <v>31.37</v>
      </c>
      <c r="C625" s="3">
        <f>MEDIAN(I625:L625)</f>
        <v>37.99</v>
      </c>
      <c r="D625" s="3">
        <f>ROUND(C625*(1-Settings!$B$2),2)</f>
        <v>26.59</v>
      </c>
      <c r="E625" s="3">
        <f>ROUND(C625*(1-Settings!$B$3),2)</f>
        <v>26.59</v>
      </c>
      <c r="F625" s="2" t="inlineStr">
        <is>
          <t>Pokemon</t>
        </is>
      </c>
      <c r="G625" s="2" t="inlineStr">
        <is>
          <t>Deck</t>
        </is>
      </c>
      <c r="H625" s="2" t="inlineStr">
        <is>
          <t>Miscellaneous Cards &amp; Products</t>
        </is>
      </c>
      <c r="I625" s="3" t="n"/>
      <c r="J625" s="3" t="n">
        <v>31.37</v>
      </c>
      <c r="K625" s="3" t="n">
        <v>37.99</v>
      </c>
      <c r="L625" s="3" t="n">
        <v>37.99</v>
      </c>
      <c r="M625" s="2" t="inlineStr">
        <is>
          <t>TCGplayer</t>
        </is>
      </c>
      <c r="O625" s="4" t="inlineStr">
        <is>
          <t>https://www.tcgplayer.com/product/564146</t>
        </is>
      </c>
    </row>
    <row r="626">
      <c r="A626" s="2" t="inlineStr">
        <is>
          <t>Deluxe Battle Deck [Meowscarada ex]</t>
        </is>
      </c>
      <c r="B626" s="3">
        <f>IF(I626&lt;&gt;"",I626,IF(J626&lt;&gt;"",J626,IF(K626&lt;&gt;"",K626,L626)))</f>
        <v>40.29</v>
      </c>
      <c r="C626" s="3">
        <f>MEDIAN(I626:L626)</f>
        <v>37.74</v>
      </c>
      <c r="D626" s="3">
        <f>ROUND(C626*(1-Settings!$B$2),2)</f>
        <v>26.42</v>
      </c>
      <c r="E626" s="3">
        <f>ROUND(C626*(1-Settings!$B$3),2)</f>
        <v>26.42</v>
      </c>
      <c r="F626" s="2" t="inlineStr">
        <is>
          <t>Pokemon</t>
        </is>
      </c>
      <c r="G626" s="2" t="inlineStr">
        <is>
          <t>Deck</t>
        </is>
      </c>
      <c r="H626" s="2" t="inlineStr">
        <is>
          <t>Miscellaneous Cards &amp; Products</t>
        </is>
      </c>
      <c r="I626" s="3" t="n"/>
      <c r="J626" s="3" t="n">
        <v>40.29</v>
      </c>
      <c r="K626" s="3" t="n">
        <v>37.74</v>
      </c>
      <c r="L626" s="3" t="n">
        <v>35</v>
      </c>
      <c r="M626" s="2" t="inlineStr">
        <is>
          <t>TCGplayer</t>
        </is>
      </c>
      <c r="O626" s="4" t="inlineStr">
        <is>
          <t>https://www.tcgplayer.com/product/504250</t>
        </is>
      </c>
    </row>
    <row r="627">
      <c r="A627" s="2" t="inlineStr">
        <is>
          <t>Deluxe Battle Deck [Ninetales ex]</t>
        </is>
      </c>
      <c r="B627" s="3">
        <f>IF(I627&lt;&gt;"",I627,IF(J627&lt;&gt;"",J627,IF(K627&lt;&gt;"",K627,L627)))</f>
        <v>27.45</v>
      </c>
      <c r="C627" s="3">
        <f>MEDIAN(I627:L627)</f>
        <v>24.8</v>
      </c>
      <c r="D627" s="3">
        <f>ROUND(C627*(1-Settings!$B$2),2)</f>
        <v>17.36</v>
      </c>
      <c r="E627" s="3">
        <f>ROUND(C627*(1-Settings!$B$3),2)</f>
        <v>17.36</v>
      </c>
      <c r="F627" s="2" t="inlineStr">
        <is>
          <t>Pokemon</t>
        </is>
      </c>
      <c r="G627" s="2" t="inlineStr">
        <is>
          <t>Deck</t>
        </is>
      </c>
      <c r="H627" s="2" t="inlineStr">
        <is>
          <t>Miscellaneous Cards &amp; Products</t>
        </is>
      </c>
      <c r="I627" s="3" t="n"/>
      <c r="J627" s="3" t="n">
        <v>27.45</v>
      </c>
      <c r="K627" s="3" t="n">
        <v>24.8</v>
      </c>
      <c r="L627" s="3" t="n">
        <v>24.8</v>
      </c>
      <c r="M627" s="2" t="inlineStr">
        <is>
          <t>TCGplayer</t>
        </is>
      </c>
      <c r="O627" s="4" t="inlineStr">
        <is>
          <t>https://www.tcgplayer.com/product/539429</t>
        </is>
      </c>
    </row>
    <row r="628">
      <c r="A628" s="2" t="inlineStr">
        <is>
          <t>Deluxe Battle Deck [Quaquaval ex]</t>
        </is>
      </c>
      <c r="B628" s="3">
        <f>IF(I628&lt;&gt;"",I628,IF(J628&lt;&gt;"",J628,IF(K628&lt;&gt;"",K628,L628)))</f>
        <v>23.24</v>
      </c>
      <c r="C628" s="3">
        <f>MEDIAN(I628:L628)</f>
        <v>23.24</v>
      </c>
      <c r="D628" s="3">
        <f>ROUND(C628*(1-Settings!$B$2),2)</f>
        <v>16.27</v>
      </c>
      <c r="E628" s="3">
        <f>ROUND(C628*(1-Settings!$B$3),2)</f>
        <v>16.27</v>
      </c>
      <c r="F628" s="2" t="inlineStr">
        <is>
          <t>Pokemon</t>
        </is>
      </c>
      <c r="G628" s="2" t="inlineStr">
        <is>
          <t>Deck</t>
        </is>
      </c>
      <c r="H628" s="2" t="inlineStr">
        <is>
          <t>Miscellaneous Cards &amp; Products</t>
        </is>
      </c>
      <c r="I628" s="3" t="n"/>
      <c r="J628" s="3" t="n">
        <v>23.24</v>
      </c>
      <c r="K628" s="3" t="n">
        <v>25.93</v>
      </c>
      <c r="L628" s="3" t="n">
        <v>20</v>
      </c>
      <c r="M628" s="2" t="inlineStr">
        <is>
          <t>TCGplayer</t>
        </is>
      </c>
      <c r="O628" s="4" t="inlineStr">
        <is>
          <t>https://www.tcgplayer.com/product/504252</t>
        </is>
      </c>
    </row>
    <row r="629">
      <c r="A629" s="2" t="inlineStr">
        <is>
          <t>Deluxe Battle Deck [Zapdos ex]</t>
        </is>
      </c>
      <c r="B629" s="3">
        <f>IF(I629&lt;&gt;"",I629,IF(J629&lt;&gt;"",J629,IF(K629&lt;&gt;"",K629,L629)))</f>
        <v>22.1</v>
      </c>
      <c r="C629" s="3">
        <f>MEDIAN(I629:L629)</f>
        <v>22.1</v>
      </c>
      <c r="D629" s="3">
        <f>ROUND(C629*(1-Settings!$B$2),2)</f>
        <v>15.47</v>
      </c>
      <c r="E629" s="3">
        <f>ROUND(C629*(1-Settings!$B$3),2)</f>
        <v>15.47</v>
      </c>
      <c r="F629" s="2" t="inlineStr">
        <is>
          <t>Pokemon</t>
        </is>
      </c>
      <c r="G629" s="2" t="inlineStr">
        <is>
          <t>Deck</t>
        </is>
      </c>
      <c r="H629" s="2" t="inlineStr">
        <is>
          <t>Miscellaneous Cards &amp; Products</t>
        </is>
      </c>
      <c r="I629" s="3" t="n"/>
      <c r="J629" s="3" t="n">
        <v>22.1</v>
      </c>
      <c r="K629" s="3" t="n">
        <v>23.94</v>
      </c>
      <c r="L629" s="3" t="n">
        <v>21.48</v>
      </c>
      <c r="M629" s="2" t="inlineStr">
        <is>
          <t>TCGplayer</t>
        </is>
      </c>
      <c r="O629" s="4" t="inlineStr">
        <is>
          <t>https://www.tcgplayer.com/product/539428</t>
        </is>
      </c>
    </row>
    <row r="630">
      <c r="A630" s="2" t="inlineStr">
        <is>
          <t>Deluxe Battle Deck: Miraidon ex/Koraidon ex  [Set of 2]</t>
        </is>
      </c>
      <c r="B630" s="3">
        <f>IF(I630&lt;&gt;"",I630,IF(J630&lt;&gt;"",J630,IF(K630&lt;&gt;"",K630,L630)))</f>
        <v>65.0</v>
      </c>
      <c r="C630" s="3">
        <f>MEDIAN(I630:L630)</f>
        <v>64.99</v>
      </c>
      <c r="D630" s="3">
        <f>ROUND(C630*(1-Settings!$B$2),2)</f>
        <v>45.49</v>
      </c>
      <c r="E630" s="3">
        <f>ROUND(C630*(1-Settings!$B$3),2)</f>
        <v>45.49</v>
      </c>
      <c r="F630" s="2" t="inlineStr">
        <is>
          <t>Pokemon</t>
        </is>
      </c>
      <c r="G630" s="2" t="inlineStr">
        <is>
          <t>Deck</t>
        </is>
      </c>
      <c r="H630" s="2" t="inlineStr">
        <is>
          <t>Miscellaneous Cards &amp; Products</t>
        </is>
      </c>
      <c r="I630" s="3" t="n"/>
      <c r="J630" s="3" t="n">
        <v>65</v>
      </c>
      <c r="K630" s="3" t="n">
        <v>64.98999999999999</v>
      </c>
      <c r="L630" s="3" t="n">
        <v>64.98999999999999</v>
      </c>
      <c r="M630" s="2" t="inlineStr">
        <is>
          <t>TCGplayer</t>
        </is>
      </c>
      <c r="O630" s="4" t="inlineStr">
        <is>
          <t>https://www.tcgplayer.com/product/564248</t>
        </is>
      </c>
    </row>
    <row r="631">
      <c r="A631" s="2" t="inlineStr">
        <is>
          <t>Deluxe Battle Deck: Quaquaval ex/Meowscarada ex [Set of 2]</t>
        </is>
      </c>
      <c r="B631" s="3">
        <f>IF(I631&lt;&gt;"",I631,IF(J631&lt;&gt;"",J631,IF(K631&lt;&gt;"",K631,L631)))</f>
        <v>68.46</v>
      </c>
      <c r="C631" s="3">
        <f>MEDIAN(I631:L631)</f>
        <v>54.99</v>
      </c>
      <c r="D631" s="3">
        <f>ROUND(C631*(1-Settings!$B$2),2)</f>
        <v>38.49</v>
      </c>
      <c r="E631" s="3">
        <f>ROUND(C631*(1-Settings!$B$3),2)</f>
        <v>38.49</v>
      </c>
      <c r="F631" s="2" t="inlineStr">
        <is>
          <t>Pokemon</t>
        </is>
      </c>
      <c r="G631" s="2" t="inlineStr">
        <is>
          <t>Deck</t>
        </is>
      </c>
      <c r="H631" s="2" t="inlineStr">
        <is>
          <t>Miscellaneous Cards &amp; Products</t>
        </is>
      </c>
      <c r="I631" s="3" t="n"/>
      <c r="J631" s="3" t="n">
        <v>68.45999999999999</v>
      </c>
      <c r="K631" s="3" t="n">
        <v>54.99</v>
      </c>
      <c r="L631" s="3" t="n">
        <v>49.99</v>
      </c>
      <c r="M631" s="2" t="inlineStr">
        <is>
          <t>TCGplayer</t>
        </is>
      </c>
      <c r="O631" s="4" t="inlineStr">
        <is>
          <t>https://www.tcgplayer.com/product/504257</t>
        </is>
      </c>
    </row>
    <row r="632">
      <c r="A632" s="2" t="inlineStr">
        <is>
          <t>ex Battle Deck (Chien-Pao/Tinkaton] [Set of 2]</t>
        </is>
      </c>
      <c r="B632" s="3">
        <f>IF(I632&lt;&gt;"",I632,IF(J632&lt;&gt;"",J632,IF(K632&lt;&gt;"",K632,L632)))</f>
        <v>44.92</v>
      </c>
      <c r="C632" s="3">
        <f>MEDIAN(I632:L632)</f>
        <v>48.5</v>
      </c>
      <c r="D632" s="3">
        <f>ROUND(C632*(1-Settings!$B$2),2)</f>
        <v>33.95</v>
      </c>
      <c r="E632" s="3">
        <f>ROUND(C632*(1-Settings!$B$3),2)</f>
        <v>33.95</v>
      </c>
      <c r="F632" s="2" t="inlineStr">
        <is>
          <t>Pokemon</t>
        </is>
      </c>
      <c r="G632" s="2" t="inlineStr">
        <is>
          <t>Deck</t>
        </is>
      </c>
      <c r="H632" s="2" t="inlineStr">
        <is>
          <t>Miscellaneous Cards &amp; Products</t>
        </is>
      </c>
      <c r="I632" s="3" t="n"/>
      <c r="J632" s="3" t="n">
        <v>44.92</v>
      </c>
      <c r="K632" s="3" t="n">
        <v>48.5</v>
      </c>
      <c r="L632" s="3" t="n">
        <v>48.5</v>
      </c>
      <c r="M632" s="2" t="inlineStr">
        <is>
          <t>TCGplayer</t>
        </is>
      </c>
      <c r="O632" s="4" t="inlineStr">
        <is>
          <t>https://www.tcgplayer.com/product/497967</t>
        </is>
      </c>
    </row>
    <row r="633">
      <c r="A633" s="2" t="inlineStr">
        <is>
          <t>ex Battle Deck [Ampharos ex]</t>
        </is>
      </c>
      <c r="B633" s="3">
        <f>IF(I633&lt;&gt;"",I633,IF(J633&lt;&gt;"",J633,IF(K633&lt;&gt;"",K633,L633)))</f>
        <v>17.72</v>
      </c>
      <c r="C633" s="3">
        <f>MEDIAN(I633:L633)</f>
        <v>17.48</v>
      </c>
      <c r="D633" s="3">
        <f>ROUND(C633*(1-Settings!$B$2),2)</f>
        <v>12.24</v>
      </c>
      <c r="E633" s="3">
        <f>ROUND(C633*(1-Settings!$B$3),2)</f>
        <v>12.24</v>
      </c>
      <c r="F633" s="2" t="inlineStr">
        <is>
          <t>Pokemon</t>
        </is>
      </c>
      <c r="G633" s="2" t="inlineStr">
        <is>
          <t>Deck</t>
        </is>
      </c>
      <c r="H633" s="2" t="inlineStr">
        <is>
          <t>Miscellaneous Cards &amp; Products</t>
        </is>
      </c>
      <c r="I633" s="3" t="n"/>
      <c r="J633" s="3" t="n">
        <v>17.72</v>
      </c>
      <c r="K633" s="3" t="n">
        <v>17.48</v>
      </c>
      <c r="L633" s="3" t="n">
        <v>9.640000000000001</v>
      </c>
      <c r="M633" s="2" t="inlineStr">
        <is>
          <t>TCGplayer</t>
        </is>
      </c>
      <c r="O633" s="4" t="inlineStr">
        <is>
          <t>https://www.tcgplayer.com/product/484380</t>
        </is>
      </c>
    </row>
    <row r="634">
      <c r="A634" s="2" t="inlineStr">
        <is>
          <t>ex Battle Deck [Chien-Pao ex]</t>
        </is>
      </c>
      <c r="B634" s="3">
        <f>IF(I634&lt;&gt;"",I634,IF(J634&lt;&gt;"",J634,IF(K634&lt;&gt;"",K634,L634)))</f>
        <v>18.0</v>
      </c>
      <c r="C634" s="3">
        <f>MEDIAN(I634:L634)</f>
        <v>47.0</v>
      </c>
      <c r="D634" s="3">
        <f>ROUND(C634*(1-Settings!$B$2),2)</f>
        <v>32.9</v>
      </c>
      <c r="E634" s="3">
        <f>ROUND(C634*(1-Settings!$B$3),2)</f>
        <v>32.9</v>
      </c>
      <c r="F634" s="2" t="inlineStr">
        <is>
          <t>Pokemon</t>
        </is>
      </c>
      <c r="G634" s="2" t="inlineStr">
        <is>
          <t>Deck</t>
        </is>
      </c>
      <c r="H634" s="2" t="inlineStr">
        <is>
          <t>Miscellaneous Cards &amp; Products</t>
        </is>
      </c>
      <c r="I634" s="3" t="n"/>
      <c r="J634" s="3" t="n">
        <v>18</v>
      </c>
      <c r="K634" s="3" t="n">
        <v>48.5</v>
      </c>
      <c r="L634" s="3" t="n">
        <v>47</v>
      </c>
      <c r="M634" s="2" t="inlineStr">
        <is>
          <t>TCGplayer</t>
        </is>
      </c>
      <c r="O634" s="4" t="inlineStr">
        <is>
          <t>https://www.tcgplayer.com/product/497842</t>
        </is>
      </c>
    </row>
    <row r="635">
      <c r="A635" s="2" t="inlineStr">
        <is>
          <t>ex Battle Deck [Greninja ex]</t>
        </is>
      </c>
      <c r="B635" s="3">
        <f>IF(I635&lt;&gt;"",I635,IF(J635&lt;&gt;"",J635,IF(K635&lt;&gt;"",K635,L635)))</f>
        <v>24.25</v>
      </c>
      <c r="C635" s="3">
        <f>MEDIAN(I635:L635)</f>
        <v>26.95</v>
      </c>
      <c r="D635" s="3">
        <f>ROUND(C635*(1-Settings!$B$2),2)</f>
        <v>18.87</v>
      </c>
      <c r="E635" s="3">
        <f>ROUND(C635*(1-Settings!$B$3),2)</f>
        <v>18.87</v>
      </c>
      <c r="F635" s="2" t="inlineStr">
        <is>
          <t>Pokemon</t>
        </is>
      </c>
      <c r="G635" s="2" t="inlineStr">
        <is>
          <t>Deck</t>
        </is>
      </c>
      <c r="H635" s="2" t="inlineStr">
        <is>
          <t>Miscellaneous Cards &amp; Products</t>
        </is>
      </c>
      <c r="I635" s="3" t="n"/>
      <c r="J635" s="3" t="n">
        <v>24.25</v>
      </c>
      <c r="K635" s="3" t="n">
        <v>32.47</v>
      </c>
      <c r="L635" s="3" t="n">
        <v>26.95</v>
      </c>
      <c r="M635" s="2" t="inlineStr">
        <is>
          <t>TCGplayer</t>
        </is>
      </c>
      <c r="O635" s="4" t="inlineStr">
        <is>
          <t>https://www.tcgplayer.com/product/527671</t>
        </is>
      </c>
    </row>
    <row r="636">
      <c r="A636" s="2" t="inlineStr">
        <is>
          <t>ex Battle Deck [Houndoom ex]</t>
        </is>
      </c>
      <c r="B636" s="3">
        <f>IF(I636&lt;&gt;"",I636,IF(J636&lt;&gt;"",J636,IF(K636&lt;&gt;"",K636,L636)))</f>
        <v>23.52</v>
      </c>
      <c r="C636" s="3">
        <f>MEDIAN(I636:L636)</f>
        <v>26.99</v>
      </c>
      <c r="D636" s="3">
        <f>ROUND(C636*(1-Settings!$B$2),2)</f>
        <v>18.89</v>
      </c>
      <c r="E636" s="3">
        <f>ROUND(C636*(1-Settings!$B$3),2)</f>
        <v>18.89</v>
      </c>
      <c r="F636" s="2" t="inlineStr">
        <is>
          <t>Pokemon</t>
        </is>
      </c>
      <c r="G636" s="2" t="inlineStr">
        <is>
          <t>Deck</t>
        </is>
      </c>
      <c r="H636" s="2" t="inlineStr">
        <is>
          <t>Miscellaneous Cards &amp; Products</t>
        </is>
      </c>
      <c r="I636" s="3" t="n"/>
      <c r="J636" s="3" t="n">
        <v>23.52</v>
      </c>
      <c r="K636" s="3" t="n">
        <v>27</v>
      </c>
      <c r="L636" s="3" t="n">
        <v>26.99</v>
      </c>
      <c r="M636" s="2" t="inlineStr">
        <is>
          <t>TCGplayer</t>
        </is>
      </c>
      <c r="O636" s="4" t="inlineStr">
        <is>
          <t>https://www.tcgplayer.com/product/531574</t>
        </is>
      </c>
    </row>
    <row r="637">
      <c r="A637" s="2" t="inlineStr">
        <is>
          <t>ex Battle Deck [Iron Leaves ex]</t>
        </is>
      </c>
      <c r="B637" s="3">
        <f>IF(I637&lt;&gt;"",I637,IF(J637&lt;&gt;"",J637,IF(K637&lt;&gt;"",K637,L637)))</f>
        <v>24.4</v>
      </c>
      <c r="C637" s="3">
        <f>MEDIAN(I637:L637)</f>
        <v>24.4</v>
      </c>
      <c r="D637" s="3">
        <f>ROUND(C637*(1-Settings!$B$2),2)</f>
        <v>17.08</v>
      </c>
      <c r="E637" s="3">
        <f>ROUND(C637*(1-Settings!$B$3),2)</f>
        <v>17.08</v>
      </c>
      <c r="F637" s="2" t="inlineStr">
        <is>
          <t>Pokemon</t>
        </is>
      </c>
      <c r="G637" s="2" t="inlineStr">
        <is>
          <t>Deck</t>
        </is>
      </c>
      <c r="H637" s="2" t="inlineStr">
        <is>
          <t>Miscellaneous Cards &amp; Products</t>
        </is>
      </c>
      <c r="I637" s="3" t="n"/>
      <c r="J637" s="3" t="n">
        <v>24.4</v>
      </c>
      <c r="K637" s="3" t="n">
        <v>28</v>
      </c>
      <c r="L637" s="3" t="n">
        <v>23</v>
      </c>
      <c r="M637" s="2" t="inlineStr">
        <is>
          <t>TCGplayer</t>
        </is>
      </c>
      <c r="O637" s="4" t="inlineStr">
        <is>
          <t>https://www.tcgplayer.com/product/564278</t>
        </is>
      </c>
    </row>
    <row r="638">
      <c r="A638" s="2" t="inlineStr">
        <is>
          <t>ex Battle Deck [Kangaskhan ex]</t>
        </is>
      </c>
      <c r="B638" s="3">
        <f>IF(I638&lt;&gt;"",I638,IF(J638&lt;&gt;"",J638,IF(K638&lt;&gt;"",K638,L638)))</f>
        <v>15.69</v>
      </c>
      <c r="C638" s="3">
        <f>MEDIAN(I638:L638)</f>
        <v>15.69</v>
      </c>
      <c r="D638" s="3">
        <f>ROUND(C638*(1-Settings!$B$2),2)</f>
        <v>10.98</v>
      </c>
      <c r="E638" s="3">
        <f>ROUND(C638*(1-Settings!$B$3),2)</f>
        <v>10.98</v>
      </c>
      <c r="F638" s="2" t="inlineStr">
        <is>
          <t>Pokemon</t>
        </is>
      </c>
      <c r="G638" s="2" t="inlineStr">
        <is>
          <t>Deck</t>
        </is>
      </c>
      <c r="H638" s="2" t="inlineStr">
        <is>
          <t>Miscellaneous Cards &amp; Products</t>
        </is>
      </c>
      <c r="I638" s="3" t="n"/>
      <c r="J638" s="3" t="n">
        <v>15.69</v>
      </c>
      <c r="K638" s="3" t="n">
        <v>15.99</v>
      </c>
      <c r="L638" s="3" t="n">
        <v>14.94</v>
      </c>
      <c r="M638" s="2" t="inlineStr">
        <is>
          <t>TCGplayer</t>
        </is>
      </c>
      <c r="O638" s="4" t="inlineStr">
        <is>
          <t>https://www.tcgplayer.com/product/527674</t>
        </is>
      </c>
    </row>
    <row r="639">
      <c r="A639" s="2" t="inlineStr">
        <is>
          <t>ex Battle Deck [Lucario ex]</t>
        </is>
      </c>
      <c r="B639" s="3">
        <f>IF(I639&lt;&gt;"",I639,IF(J639&lt;&gt;"",J639,IF(K639&lt;&gt;"",K639,L639)))</f>
        <v>23.49</v>
      </c>
      <c r="C639" s="3">
        <f>MEDIAN(I639:L639)</f>
        <v>23.49</v>
      </c>
      <c r="D639" s="3">
        <f>ROUND(C639*(1-Settings!$B$2),2)</f>
        <v>16.44</v>
      </c>
      <c r="E639" s="3">
        <f>ROUND(C639*(1-Settings!$B$3),2)</f>
        <v>16.44</v>
      </c>
      <c r="F639" s="2" t="inlineStr">
        <is>
          <t>Pokemon</t>
        </is>
      </c>
      <c r="G639" s="2" t="inlineStr">
        <is>
          <t>Deck</t>
        </is>
      </c>
      <c r="H639" s="2" t="inlineStr">
        <is>
          <t>Miscellaneous Cards &amp; Products</t>
        </is>
      </c>
      <c r="I639" s="3" t="n"/>
      <c r="J639" s="3" t="n">
        <v>23.49</v>
      </c>
      <c r="K639" s="3" t="n">
        <v>27.09</v>
      </c>
      <c r="L639" s="3" t="n">
        <v>22.1</v>
      </c>
      <c r="M639" s="2" t="inlineStr">
        <is>
          <t>TCGplayer</t>
        </is>
      </c>
      <c r="O639" s="4" t="inlineStr">
        <is>
          <t>https://www.tcgplayer.com/product/484382</t>
        </is>
      </c>
    </row>
    <row r="640">
      <c r="A640" s="2" t="inlineStr">
        <is>
          <t>ex Battle Deck [Melmetal ex]</t>
        </is>
      </c>
      <c r="B640" s="3">
        <f>IF(I640&lt;&gt;"",I640,IF(J640&lt;&gt;"",J640,IF(K640&lt;&gt;"",K640,L640)))</f>
        <v>18.5</v>
      </c>
      <c r="C640" s="3">
        <f>MEDIAN(I640:L640)</f>
        <v>18.5</v>
      </c>
      <c r="D640" s="3">
        <f>ROUND(C640*(1-Settings!$B$2),2)</f>
        <v>12.95</v>
      </c>
      <c r="E640" s="3">
        <f>ROUND(C640*(1-Settings!$B$3),2)</f>
        <v>12.95</v>
      </c>
      <c r="F640" s="2" t="inlineStr">
        <is>
          <t>Pokemon</t>
        </is>
      </c>
      <c r="G640" s="2" t="inlineStr">
        <is>
          <t>Deck</t>
        </is>
      </c>
      <c r="H640" s="2" t="inlineStr">
        <is>
          <t>Miscellaneous Cards &amp; Products</t>
        </is>
      </c>
      <c r="I640" s="3" t="n"/>
      <c r="J640" s="3" t="n">
        <v>18.5</v>
      </c>
      <c r="K640" s="3" t="n">
        <v>22.5</v>
      </c>
      <c r="L640" s="3" t="n">
        <v>18.25</v>
      </c>
      <c r="M640" s="2" t="inlineStr">
        <is>
          <t>TCGplayer</t>
        </is>
      </c>
      <c r="O640" s="4" t="inlineStr">
        <is>
          <t>https://www.tcgplayer.com/product/531573</t>
        </is>
      </c>
    </row>
    <row r="641">
      <c r="A641" s="2" t="inlineStr">
        <is>
          <t>ex Battle Deck [Miraidon ex]</t>
        </is>
      </c>
      <c r="B641" s="3">
        <f>IF(I641&lt;&gt;"",I641,IF(J641&lt;&gt;"",J641,IF(K641&lt;&gt;"",K641,L641)))</f>
        <v>15.91</v>
      </c>
      <c r="C641" s="3">
        <f>MEDIAN(I641:L641)</f>
        <v>15.91</v>
      </c>
      <c r="D641" s="3">
        <f>ROUND(C641*(1-Settings!$B$2),2)</f>
        <v>11.14</v>
      </c>
      <c r="E641" s="3">
        <f>ROUND(C641*(1-Settings!$B$3),2)</f>
        <v>11.14</v>
      </c>
      <c r="F641" s="2" t="inlineStr">
        <is>
          <t>Pokemon</t>
        </is>
      </c>
      <c r="G641" s="2" t="inlineStr">
        <is>
          <t>Deck</t>
        </is>
      </c>
      <c r="H641" s="2" t="inlineStr">
        <is>
          <t>Miscellaneous Cards &amp; Products</t>
        </is>
      </c>
      <c r="I641" s="3" t="n"/>
      <c r="J641" s="3" t="n">
        <v>15.91</v>
      </c>
      <c r="K641" s="3" t="n">
        <v>16.95</v>
      </c>
      <c r="L641" s="3" t="n">
        <v>8</v>
      </c>
      <c r="M641" s="2" t="inlineStr">
        <is>
          <t>TCGplayer</t>
        </is>
      </c>
      <c r="O641" s="4" t="inlineStr">
        <is>
          <t>https://www.tcgplayer.com/product/557327</t>
        </is>
      </c>
    </row>
    <row r="642">
      <c r="A642" s="2" t="inlineStr">
        <is>
          <t>ex Battle Deck [Set of 2]</t>
        </is>
      </c>
      <c r="B642" s="3">
        <f>IF(I642&lt;&gt;"",I642,IF(J642&lt;&gt;"",J642,IF(K642&lt;&gt;"",K642,L642)))</f>
        <v>43.74</v>
      </c>
      <c r="C642" s="3">
        <f>MEDIAN(I642:L642)</f>
        <v>43.74</v>
      </c>
      <c r="D642" s="3">
        <f>ROUND(C642*(1-Settings!$B$2),2)</f>
        <v>30.62</v>
      </c>
      <c r="E642" s="3">
        <f>ROUND(C642*(1-Settings!$B$3),2)</f>
        <v>30.62</v>
      </c>
      <c r="F642" s="2" t="inlineStr">
        <is>
          <t>Pokemon</t>
        </is>
      </c>
      <c r="G642" s="2" t="inlineStr">
        <is>
          <t>Deck</t>
        </is>
      </c>
      <c r="H642" s="2" t="inlineStr">
        <is>
          <t>Miscellaneous Cards &amp; Products</t>
        </is>
      </c>
      <c r="I642" s="3" t="n"/>
      <c r="J642" s="3" t="n">
        <v>43.74</v>
      </c>
      <c r="K642" s="3" t="n">
        <v>45</v>
      </c>
      <c r="L642" s="3" t="n">
        <v>40</v>
      </c>
      <c r="M642" s="2" t="inlineStr">
        <is>
          <t>TCGplayer</t>
        </is>
      </c>
      <c r="O642" s="4" t="inlineStr">
        <is>
          <t>https://www.tcgplayer.com/product/484384</t>
        </is>
      </c>
    </row>
    <row r="643">
      <c r="A643" s="2" t="inlineStr">
        <is>
          <t>ex Battle Deck [Tapu Koko ex]</t>
        </is>
      </c>
      <c r="B643" s="3">
        <f>IF(I643&lt;&gt;"",I643,IF(J643&lt;&gt;"",J643,IF(K643&lt;&gt;"",K643,L643)))</f>
        <v>13.59</v>
      </c>
      <c r="C643" s="3">
        <f>MEDIAN(I643:L643)</f>
        <v>13.59</v>
      </c>
      <c r="D643" s="3">
        <f>ROUND(C643*(1-Settings!$B$2),2)</f>
        <v>9.51</v>
      </c>
      <c r="E643" s="3">
        <f>ROUND(C643*(1-Settings!$B$3),2)</f>
        <v>9.51</v>
      </c>
      <c r="F643" s="2" t="inlineStr">
        <is>
          <t>Pokemon</t>
        </is>
      </c>
      <c r="G643" s="2" t="inlineStr">
        <is>
          <t>Deck</t>
        </is>
      </c>
      <c r="H643" s="2" t="inlineStr">
        <is>
          <t>Miscellaneous Cards &amp; Products</t>
        </is>
      </c>
      <c r="I643" s="3" t="n"/>
      <c r="J643" s="3" t="n">
        <v>13.59</v>
      </c>
      <c r="K643" s="3" t="n">
        <v>14.29</v>
      </c>
      <c r="L643" s="3" t="n">
        <v>8.59</v>
      </c>
      <c r="M643" s="2" t="inlineStr">
        <is>
          <t>TCGplayer</t>
        </is>
      </c>
      <c r="O643" s="4" t="inlineStr">
        <is>
          <t>https://www.tcgplayer.com/product/564277</t>
        </is>
      </c>
    </row>
    <row r="644">
      <c r="A644" s="2" t="inlineStr">
        <is>
          <t>ex Battle Deck [Tinkaton ex]</t>
        </is>
      </c>
      <c r="B644" s="3">
        <f>IF(I644&lt;&gt;"",I644,IF(J644&lt;&gt;"",J644,IF(K644&lt;&gt;"",K644,L644)))</f>
        <v>27.09</v>
      </c>
      <c r="C644" s="3">
        <f>MEDIAN(I644:L644)</f>
        <v>47.0</v>
      </c>
      <c r="D644" s="3">
        <f>ROUND(C644*(1-Settings!$B$2),2)</f>
        <v>32.9</v>
      </c>
      <c r="E644" s="3">
        <f>ROUND(C644*(1-Settings!$B$3),2)</f>
        <v>32.9</v>
      </c>
      <c r="F644" s="2" t="inlineStr">
        <is>
          <t>Pokemon</t>
        </is>
      </c>
      <c r="G644" s="2" t="inlineStr">
        <is>
          <t>Deck</t>
        </is>
      </c>
      <c r="H644" s="2" t="inlineStr">
        <is>
          <t>Miscellaneous Cards &amp; Products</t>
        </is>
      </c>
      <c r="I644" s="3" t="n"/>
      <c r="J644" s="3" t="n">
        <v>27.09</v>
      </c>
      <c r="K644" s="3" t="n">
        <v>48.5</v>
      </c>
      <c r="L644" s="3" t="n">
        <v>47</v>
      </c>
      <c r="M644" s="2" t="inlineStr">
        <is>
          <t>TCGplayer</t>
        </is>
      </c>
      <c r="O644" s="4" t="inlineStr">
        <is>
          <t>https://www.tcgplayer.com/product/497841</t>
        </is>
      </c>
    </row>
    <row r="645">
      <c r="A645" s="2" t="inlineStr">
        <is>
          <t>ex Battle Deck [Victini ex]</t>
        </is>
      </c>
      <c r="B645" s="3">
        <f>IF(I645&lt;&gt;"",I645,IF(J645&lt;&gt;"",J645,IF(K645&lt;&gt;"",K645,L645)))</f>
        <v>17.65</v>
      </c>
      <c r="C645" s="3">
        <f>MEDIAN(I645:L645)</f>
        <v>17.65</v>
      </c>
      <c r="D645" s="3">
        <f>ROUND(C645*(1-Settings!$B$2),2)</f>
        <v>12.36</v>
      </c>
      <c r="E645" s="3">
        <f>ROUND(C645*(1-Settings!$B$3),2)</f>
        <v>12.36</v>
      </c>
      <c r="F645" s="2" t="inlineStr">
        <is>
          <t>Pokemon</t>
        </is>
      </c>
      <c r="G645" s="2" t="inlineStr">
        <is>
          <t>Deck</t>
        </is>
      </c>
      <c r="H645" s="2" t="inlineStr">
        <is>
          <t>Miscellaneous Cards &amp; Products</t>
        </is>
      </c>
      <c r="I645" s="3" t="n"/>
      <c r="J645" s="3" t="n">
        <v>17.65</v>
      </c>
      <c r="K645" s="3" t="n">
        <v>19.17</v>
      </c>
      <c r="L645" s="3" t="n">
        <v>10</v>
      </c>
      <c r="M645" s="2" t="inlineStr">
        <is>
          <t>TCGplayer</t>
        </is>
      </c>
      <c r="O645" s="4" t="inlineStr">
        <is>
          <t>https://www.tcgplayer.com/product/557326</t>
        </is>
      </c>
    </row>
    <row r="646">
      <c r="A646" s="2" t="inlineStr">
        <is>
          <t>Greninja ex Battle Deck &amp; 2 Booster Bundle</t>
        </is>
      </c>
      <c r="B646" s="3">
        <f>IF(I646&lt;&gt;"",I646,IF(J646&lt;&gt;"",J646,IF(K646&lt;&gt;"",K646,L646)))</f>
        <v>15.99</v>
      </c>
      <c r="C646" s="3">
        <f>MEDIAN(I646:L646)</f>
        <v>15.99</v>
      </c>
      <c r="D646" s="3">
        <f>ROUND(C646*(1-Settings!$B$2),2)</f>
        <v>11.19</v>
      </c>
      <c r="E646" s="3">
        <f>ROUND(C646*(1-Settings!$B$3),2)</f>
        <v>11.19</v>
      </c>
      <c r="F646" s="2" t="inlineStr">
        <is>
          <t>Pokemon</t>
        </is>
      </c>
      <c r="G646" s="2" t="inlineStr">
        <is>
          <t>Deck</t>
        </is>
      </c>
      <c r="H646" s="2" t="inlineStr">
        <is>
          <t>Miscellaneous Cards &amp; Products</t>
        </is>
      </c>
      <c r="I646" s="3" t="n"/>
      <c r="J646" s="3" t="n">
        <v>15.99</v>
      </c>
      <c r="K646" s="3" t="n"/>
      <c r="L646" s="3" t="n"/>
      <c r="M646" s="2" t="inlineStr">
        <is>
          <t>TCGplayer</t>
        </is>
      </c>
      <c r="O646" s="4" t="inlineStr">
        <is>
          <t>https://www.tcgplayer.com/product/575186</t>
        </is>
      </c>
    </row>
    <row r="647">
      <c r="A647" s="2" t="inlineStr">
        <is>
          <t>League Battle Deck [Charizard ex]</t>
        </is>
      </c>
      <c r="B647" s="3">
        <f>IF(I647&lt;&gt;"",I647,IF(J647&lt;&gt;"",J647,IF(K647&lt;&gt;"",K647,L647)))</f>
        <v>137.42</v>
      </c>
      <c r="C647" s="3">
        <f>MEDIAN(I647:L647)</f>
        <v>149.99</v>
      </c>
      <c r="D647" s="3">
        <f>ROUND(C647*(1-Settings!$B$2),2)</f>
        <v>104.99</v>
      </c>
      <c r="E647" s="3">
        <f>ROUND(C647*(1-Settings!$B$3),2)</f>
        <v>104.99</v>
      </c>
      <c r="F647" s="2" t="inlineStr">
        <is>
          <t>Pokemon</t>
        </is>
      </c>
      <c r="G647" s="2" t="inlineStr">
        <is>
          <t>Deck</t>
        </is>
      </c>
      <c r="H647" s="2" t="inlineStr">
        <is>
          <t>Miscellaneous Cards &amp; Products</t>
        </is>
      </c>
      <c r="I647" s="3" t="n"/>
      <c r="J647" s="3" t="n">
        <v>137.42</v>
      </c>
      <c r="K647" s="3" t="n">
        <v>200</v>
      </c>
      <c r="L647" s="3" t="n">
        <v>149.99</v>
      </c>
      <c r="M647" s="2" t="inlineStr">
        <is>
          <t>TCGplayer</t>
        </is>
      </c>
      <c r="O647" s="4" t="inlineStr">
        <is>
          <t>https://www.tcgplayer.com/product/575294</t>
        </is>
      </c>
    </row>
    <row r="648">
      <c r="A648" s="2" t="inlineStr">
        <is>
          <t>League Battle Deck [Dragapult ex]</t>
        </is>
      </c>
      <c r="B648" s="3">
        <f>IF(I648&lt;&gt;"",I648,IF(J648&lt;&gt;"",J648,IF(K648&lt;&gt;"",K648,L648)))</f>
        <v>121.67</v>
      </c>
      <c r="C648" s="3">
        <f>MEDIAN(I648:L648)</f>
        <v>134.97</v>
      </c>
      <c r="D648" s="3">
        <f>ROUND(C648*(1-Settings!$B$2),2)</f>
        <v>94.48</v>
      </c>
      <c r="E648" s="3">
        <f>ROUND(C648*(1-Settings!$B$3),2)</f>
        <v>94.48</v>
      </c>
      <c r="F648" s="2" t="inlineStr">
        <is>
          <t>Pokemon</t>
        </is>
      </c>
      <c r="G648" s="2" t="inlineStr">
        <is>
          <t>Deck</t>
        </is>
      </c>
      <c r="H648" s="2" t="inlineStr">
        <is>
          <t>Miscellaneous Cards &amp; Products</t>
        </is>
      </c>
      <c r="I648" s="3" t="n"/>
      <c r="J648" s="3" t="n">
        <v>121.67</v>
      </c>
      <c r="K648" s="3" t="n">
        <v>138.97</v>
      </c>
      <c r="L648" s="3" t="n">
        <v>134.97</v>
      </c>
      <c r="M648" s="2" t="inlineStr">
        <is>
          <t>TCGplayer</t>
        </is>
      </c>
      <c r="O648" s="4" t="inlineStr">
        <is>
          <t>https://www.tcgplayer.com/product/623029</t>
        </is>
      </c>
    </row>
    <row r="649">
      <c r="A649" s="2" t="inlineStr">
        <is>
          <t>League Battle Deck [Gardevoir ex]</t>
        </is>
      </c>
      <c r="B649" s="3">
        <f>IF(I649&lt;&gt;"",I649,IF(J649&lt;&gt;"",J649,IF(K649&lt;&gt;"",K649,L649)))</f>
        <v>49.37</v>
      </c>
      <c r="C649" s="3">
        <f>MEDIAN(I649:L649)</f>
        <v>59.0</v>
      </c>
      <c r="D649" s="3">
        <f>ROUND(C649*(1-Settings!$B$2),2)</f>
        <v>41.3</v>
      </c>
      <c r="E649" s="3">
        <f>ROUND(C649*(1-Settings!$B$3),2)</f>
        <v>41.3</v>
      </c>
      <c r="F649" s="2" t="inlineStr">
        <is>
          <t>Pokemon</t>
        </is>
      </c>
      <c r="G649" s="2" t="inlineStr">
        <is>
          <t>Deck</t>
        </is>
      </c>
      <c r="H649" s="2" t="inlineStr">
        <is>
          <t>Miscellaneous Cards &amp; Products</t>
        </is>
      </c>
      <c r="I649" s="3" t="n"/>
      <c r="J649" s="3" t="n">
        <v>49.37</v>
      </c>
      <c r="K649" s="3" t="n">
        <v>69</v>
      </c>
      <c r="L649" s="3" t="n">
        <v>59</v>
      </c>
      <c r="M649" s="2" t="inlineStr">
        <is>
          <t>TCGplayer</t>
        </is>
      </c>
      <c r="O649" s="4" t="inlineStr">
        <is>
          <t>https://www.tcgplayer.com/product/539385</t>
        </is>
      </c>
    </row>
    <row r="650">
      <c r="A650" s="2" t="inlineStr">
        <is>
          <t>League Battle Deck [Ice Rider Calyrex VMAX]</t>
        </is>
      </c>
      <c r="B650" s="3">
        <f>IF(I650&lt;&gt;"",I650,IF(J650&lt;&gt;"",J650,IF(K650&lt;&gt;"",K650,L650)))</f>
        <v>21.83</v>
      </c>
      <c r="C650" s="3">
        <f>MEDIAN(I650:L650)</f>
        <v>21.83</v>
      </c>
      <c r="D650" s="3">
        <f>ROUND(C650*(1-Settings!$B$2),2)</f>
        <v>15.28</v>
      </c>
      <c r="E650" s="3">
        <f>ROUND(C650*(1-Settings!$B$3),2)</f>
        <v>15.28</v>
      </c>
      <c r="F650" s="2" t="inlineStr">
        <is>
          <t>Pokemon</t>
        </is>
      </c>
      <c r="G650" s="2" t="inlineStr">
        <is>
          <t>Deck</t>
        </is>
      </c>
      <c r="H650" s="2" t="inlineStr">
        <is>
          <t>Miscellaneous Cards &amp; Products</t>
        </is>
      </c>
      <c r="I650" s="3" t="n"/>
      <c r="J650" s="3" t="n">
        <v>21.83</v>
      </c>
      <c r="K650" s="3" t="n">
        <v>24.99</v>
      </c>
      <c r="L650" s="3" t="n">
        <v>19.99</v>
      </c>
      <c r="M650" s="2" t="inlineStr">
        <is>
          <t>TCGplayer</t>
        </is>
      </c>
      <c r="O650" s="4" t="inlineStr">
        <is>
          <t>https://www.tcgplayer.com/product/271947</t>
        </is>
      </c>
    </row>
    <row r="651">
      <c r="A651" s="2" t="inlineStr">
        <is>
          <t>League Battle Deck [Inteleon VMAX]</t>
        </is>
      </c>
      <c r="B651" s="3">
        <f>IF(I651&lt;&gt;"",I651,IF(J651&lt;&gt;"",J651,IF(K651&lt;&gt;"",K651,L651)))</f>
        <v>24.02</v>
      </c>
      <c r="C651" s="3">
        <f>MEDIAN(I651:L651)</f>
        <v>24.02</v>
      </c>
      <c r="D651" s="3">
        <f>ROUND(C651*(1-Settings!$B$2),2)</f>
        <v>16.81</v>
      </c>
      <c r="E651" s="3">
        <f>ROUND(C651*(1-Settings!$B$3),2)</f>
        <v>16.81</v>
      </c>
      <c r="F651" s="2" t="inlineStr">
        <is>
          <t>Pokemon</t>
        </is>
      </c>
      <c r="G651" s="2" t="inlineStr">
        <is>
          <t>Deck</t>
        </is>
      </c>
      <c r="H651" s="2" t="inlineStr">
        <is>
          <t>Miscellaneous Cards &amp; Products</t>
        </is>
      </c>
      <c r="I651" s="3" t="n"/>
      <c r="J651" s="3" t="n">
        <v>24.02</v>
      </c>
      <c r="K651" s="3" t="n">
        <v>24.02</v>
      </c>
      <c r="L651" s="3" t="n">
        <v>19.8</v>
      </c>
      <c r="M651" s="2" t="inlineStr">
        <is>
          <t>TCGplayer</t>
        </is>
      </c>
      <c r="O651" s="4" t="inlineStr">
        <is>
          <t>https://www.tcgplayer.com/product/236379</t>
        </is>
      </c>
    </row>
    <row r="652">
      <c r="A652" s="2" t="inlineStr">
        <is>
          <t>League Battle Deck [Mega Greninja ex]</t>
        </is>
      </c>
      <c r="B652" s="3">
        <f>IF(I652&lt;&gt;"",I652,IF(J652&lt;&gt;"",J652,IF(K652&lt;&gt;"",K652,L652)))</f>
        <v>36.55</v>
      </c>
      <c r="C652" s="3">
        <f>MEDIAN(I652:L652)</f>
        <v>34.72</v>
      </c>
      <c r="D652" s="3">
        <f>ROUND(C652*(1-Settings!$B$2),2)</f>
        <v>24.3</v>
      </c>
      <c r="E652" s="3">
        <f>ROUND(C652*(1-Settings!$B$3),2)</f>
        <v>24.3</v>
      </c>
      <c r="F652" s="2" t="inlineStr">
        <is>
          <t>Pokemon</t>
        </is>
      </c>
      <c r="G652" s="2" t="inlineStr">
        <is>
          <t>Deck</t>
        </is>
      </c>
      <c r="H652" s="2" t="inlineStr">
        <is>
          <t>Miscellaneous Cards &amp; Products</t>
        </is>
      </c>
      <c r="I652" s="3" t="n"/>
      <c r="J652" s="3" t="n">
        <v>36.55</v>
      </c>
      <c r="K652" s="3" t="n">
        <v>34.72</v>
      </c>
      <c r="L652" s="3" t="n">
        <v>34.68</v>
      </c>
      <c r="M652" s="2" t="inlineStr">
        <is>
          <t>TCGplayer</t>
        </is>
      </c>
      <c r="O652" s="4" t="inlineStr">
        <is>
          <t>https://www.tcgplayer.com/product/718643</t>
        </is>
      </c>
    </row>
    <row r="653">
      <c r="A653" s="2" t="inlineStr">
        <is>
          <t>League Battle Deck [Mega Lucario ex]</t>
        </is>
      </c>
      <c r="B653" s="3">
        <f>IF(I653&lt;&gt;"",I653,IF(J653&lt;&gt;"",J653,IF(K653&lt;&gt;"",K653,L653)))</f>
        <v>14.2</v>
      </c>
      <c r="C653" s="3">
        <f>MEDIAN(I653:L653)</f>
        <v>14.2</v>
      </c>
      <c r="D653" s="3">
        <f>ROUND(C653*(1-Settings!$B$2),2)</f>
        <v>9.94</v>
      </c>
      <c r="E653" s="3">
        <f>ROUND(C653*(1-Settings!$B$3),2)</f>
        <v>9.94</v>
      </c>
      <c r="F653" s="2" t="inlineStr">
        <is>
          <t>Pokemon</t>
        </is>
      </c>
      <c r="G653" s="2" t="inlineStr">
        <is>
          <t>Deck</t>
        </is>
      </c>
      <c r="H653" s="2" t="inlineStr">
        <is>
          <t>Miscellaneous Cards &amp; Products</t>
        </is>
      </c>
      <c r="I653" s="3" t="n"/>
      <c r="J653" s="3" t="n">
        <v>14.2</v>
      </c>
      <c r="K653" s="3" t="n">
        <v>18.8</v>
      </c>
      <c r="L653" s="3" t="n">
        <v>9.06</v>
      </c>
      <c r="M653" s="2" t="inlineStr">
        <is>
          <t>TCGplayer</t>
        </is>
      </c>
      <c r="O653" s="4" t="inlineStr">
        <is>
          <t>https://www.tcgplayer.com/product/684106</t>
        </is>
      </c>
    </row>
    <row r="654">
      <c r="A654" s="2" t="inlineStr">
        <is>
          <t>League Battle Deck [Miraidon ex]</t>
        </is>
      </c>
      <c r="B654" s="3">
        <f>IF(I654&lt;&gt;"",I654,IF(J654&lt;&gt;"",J654,IF(K654&lt;&gt;"",K654,L654)))</f>
        <v>24.57</v>
      </c>
      <c r="C654" s="3">
        <f>MEDIAN(I654:L654)</f>
        <v>24.57</v>
      </c>
      <c r="D654" s="3">
        <f>ROUND(C654*(1-Settings!$B$2),2)</f>
        <v>17.2</v>
      </c>
      <c r="E654" s="3">
        <f>ROUND(C654*(1-Settings!$B$3),2)</f>
        <v>17.2</v>
      </c>
      <c r="F654" s="2" t="inlineStr">
        <is>
          <t>Pokemon</t>
        </is>
      </c>
      <c r="G654" s="2" t="inlineStr">
        <is>
          <t>Deck</t>
        </is>
      </c>
      <c r="H654" s="2" t="inlineStr">
        <is>
          <t>Miscellaneous Cards &amp; Products</t>
        </is>
      </c>
      <c r="I654" s="3" t="n"/>
      <c r="J654" s="3" t="n">
        <v>24.57</v>
      </c>
      <c r="K654" s="3" t="n">
        <v>29.23</v>
      </c>
      <c r="L654" s="3" t="n">
        <v>19.04</v>
      </c>
      <c r="M654" s="2" t="inlineStr">
        <is>
          <t>TCGplayer</t>
        </is>
      </c>
      <c r="O654" s="4" t="inlineStr">
        <is>
          <t>https://www.tcgplayer.com/product/516580</t>
        </is>
      </c>
    </row>
    <row r="655">
      <c r="A655" s="2" t="inlineStr">
        <is>
          <t>League Battle Deck [Origin Forme Palkia VSTAR]</t>
        </is>
      </c>
      <c r="B655" s="3">
        <f>IF(I655&lt;&gt;"",I655,IF(J655&lt;&gt;"",J655,IF(K655&lt;&gt;"",K655,L655)))</f>
        <v>24.37</v>
      </c>
      <c r="C655" s="3">
        <f>MEDIAN(I655:L655)</f>
        <v>24.37</v>
      </c>
      <c r="D655" s="3">
        <f>ROUND(C655*(1-Settings!$B$2),2)</f>
        <v>17.06</v>
      </c>
      <c r="E655" s="3">
        <f>ROUND(C655*(1-Settings!$B$3),2)</f>
        <v>17.06</v>
      </c>
      <c r="F655" s="2" t="inlineStr">
        <is>
          <t>Pokemon</t>
        </is>
      </c>
      <c r="G655" s="2" t="inlineStr">
        <is>
          <t>Deck</t>
        </is>
      </c>
      <c r="H655" s="2" t="inlineStr">
        <is>
          <t>Miscellaneous Cards &amp; Products</t>
        </is>
      </c>
      <c r="I655" s="3" t="n"/>
      <c r="J655" s="3" t="n">
        <v>24.37</v>
      </c>
      <c r="K655" s="3" t="n">
        <v>24.99</v>
      </c>
      <c r="L655" s="3" t="n">
        <v>15.5</v>
      </c>
      <c r="M655" s="2" t="inlineStr">
        <is>
          <t>TCGplayer</t>
        </is>
      </c>
      <c r="O655" s="4" t="inlineStr">
        <is>
          <t>https://www.tcgplayer.com/product/484213</t>
        </is>
      </c>
    </row>
    <row r="656">
      <c r="A656" s="2" t="inlineStr">
        <is>
          <t>League Battle Deck [Rapid/Single Strike Urshifu VMAX] [Set of 2]</t>
        </is>
      </c>
      <c r="B656" s="3">
        <f>IF(I656&lt;&gt;"",I656,IF(J656&lt;&gt;"",J656,IF(K656&lt;&gt;"",K656,L656)))</f>
        <v>47.02</v>
      </c>
      <c r="C656" s="3">
        <f>MEDIAN(I656:L656)</f>
        <v>47.02</v>
      </c>
      <c r="D656" s="3">
        <f>ROUND(C656*(1-Settings!$B$2),2)</f>
        <v>32.91</v>
      </c>
      <c r="E656" s="3">
        <f>ROUND(C656*(1-Settings!$B$3),2)</f>
        <v>32.91</v>
      </c>
      <c r="F656" s="2" t="inlineStr">
        <is>
          <t>Pokemon</t>
        </is>
      </c>
      <c r="G656" s="2" t="inlineStr">
        <is>
          <t>Deck</t>
        </is>
      </c>
      <c r="H656" s="2" t="inlineStr">
        <is>
          <t>Miscellaneous Cards &amp; Products</t>
        </is>
      </c>
      <c r="I656" s="3" t="n"/>
      <c r="J656" s="3" t="n">
        <v>47.02</v>
      </c>
      <c r="K656" s="3" t="n">
        <v>55</v>
      </c>
      <c r="L656" s="3" t="n">
        <v>42.95</v>
      </c>
      <c r="M656" s="2" t="inlineStr">
        <is>
          <t>TCGplayer</t>
        </is>
      </c>
      <c r="O656" s="4" t="inlineStr">
        <is>
          <t>https://www.tcgplayer.com/product/248073</t>
        </is>
      </c>
    </row>
    <row r="657">
      <c r="A657" s="2" t="inlineStr">
        <is>
          <t>League Battle Deck [Shadow Rider Calyrex VMAX]</t>
        </is>
      </c>
      <c r="B657" s="3">
        <f>IF(I657&lt;&gt;"",I657,IF(J657&lt;&gt;"",J657,IF(K657&lt;&gt;"",K657,L657)))</f>
        <v>23.28</v>
      </c>
      <c r="C657" s="3">
        <f>MEDIAN(I657:L657)</f>
        <v>23.28</v>
      </c>
      <c r="D657" s="3">
        <f>ROUND(C657*(1-Settings!$B$2),2)</f>
        <v>16.3</v>
      </c>
      <c r="E657" s="3">
        <f>ROUND(C657*(1-Settings!$B$3),2)</f>
        <v>16.3</v>
      </c>
      <c r="F657" s="2" t="inlineStr">
        <is>
          <t>Pokemon</t>
        </is>
      </c>
      <c r="G657" s="2" t="inlineStr">
        <is>
          <t>Deck</t>
        </is>
      </c>
      <c r="H657" s="2" t="inlineStr">
        <is>
          <t>Miscellaneous Cards &amp; Products</t>
        </is>
      </c>
      <c r="I657" s="3" t="n"/>
      <c r="J657" s="3" t="n">
        <v>23.28</v>
      </c>
      <c r="K657" s="3" t="n">
        <v>27.48</v>
      </c>
      <c r="L657" s="3" t="n">
        <v>22.49</v>
      </c>
      <c r="M657" s="2" t="inlineStr">
        <is>
          <t>TCGplayer</t>
        </is>
      </c>
      <c r="O657" s="4" t="inlineStr">
        <is>
          <t>https://www.tcgplayer.com/product/271946</t>
        </is>
      </c>
    </row>
    <row r="658">
      <c r="A658" s="2" t="inlineStr">
        <is>
          <t>League Battle Deck [Shadow Rider/Ice Rider Calyrex VMAX] [Set of 2]</t>
        </is>
      </c>
      <c r="B658" s="3">
        <f>IF(I658&lt;&gt;"",I658,IF(J658&lt;&gt;"",J658,IF(K658&lt;&gt;"",K658,L658)))</f>
        <v>40.23</v>
      </c>
      <c r="C658" s="3">
        <f>MEDIAN(I658:L658)</f>
        <v>59.99</v>
      </c>
      <c r="D658" s="3">
        <f>ROUND(C658*(1-Settings!$B$2),2)</f>
        <v>41.99</v>
      </c>
      <c r="E658" s="3">
        <f>ROUND(C658*(1-Settings!$B$3),2)</f>
        <v>41.99</v>
      </c>
      <c r="F658" s="2" t="inlineStr">
        <is>
          <t>Pokemon</t>
        </is>
      </c>
      <c r="G658" s="2" t="inlineStr">
        <is>
          <t>Deck</t>
        </is>
      </c>
      <c r="H658" s="2" t="inlineStr">
        <is>
          <t>Miscellaneous Cards &amp; Products</t>
        </is>
      </c>
      <c r="I658" s="3" t="n"/>
      <c r="J658" s="3" t="n">
        <v>40.23</v>
      </c>
      <c r="K658" s="3" t="n">
        <v>59.99</v>
      </c>
      <c r="L658" s="3" t="n">
        <v>59.99</v>
      </c>
      <c r="M658" s="2" t="inlineStr">
        <is>
          <t>TCGplayer</t>
        </is>
      </c>
      <c r="O658" s="4" t="inlineStr">
        <is>
          <t>https://www.tcgplayer.com/product/271997</t>
        </is>
      </c>
    </row>
    <row r="659">
      <c r="A659" s="2" t="inlineStr">
        <is>
          <t>League Battle Deck [Single Strike Urshifu VMAX]</t>
        </is>
      </c>
      <c r="B659" s="3">
        <f>IF(I659&lt;&gt;"",I659,IF(J659&lt;&gt;"",J659,IF(K659&lt;&gt;"",K659,L659)))</f>
        <v>15.04</v>
      </c>
      <c r="C659" s="3">
        <f>MEDIAN(I659:L659)</f>
        <v>24.99</v>
      </c>
      <c r="D659" s="3">
        <f>ROUND(C659*(1-Settings!$B$2),2)</f>
        <v>17.49</v>
      </c>
      <c r="E659" s="3">
        <f>ROUND(C659*(1-Settings!$B$3),2)</f>
        <v>17.49</v>
      </c>
      <c r="F659" s="2" t="inlineStr">
        <is>
          <t>Pokemon</t>
        </is>
      </c>
      <c r="G659" s="2" t="inlineStr">
        <is>
          <t>Deck</t>
        </is>
      </c>
      <c r="H659" s="2" t="inlineStr">
        <is>
          <t>Miscellaneous Cards &amp; Products</t>
        </is>
      </c>
      <c r="I659" s="3" t="n"/>
      <c r="J659" s="3" t="n">
        <v>15.04</v>
      </c>
      <c r="K659" s="3" t="n">
        <v>26.48</v>
      </c>
      <c r="L659" s="3" t="n">
        <v>24.99</v>
      </c>
      <c r="M659" s="2" t="inlineStr">
        <is>
          <t>TCGplayer</t>
        </is>
      </c>
      <c r="O659" s="4" t="inlineStr">
        <is>
          <t>https://www.tcgplayer.com/product/248071</t>
        </is>
      </c>
    </row>
    <row r="660">
      <c r="A660" s="2" t="inlineStr">
        <is>
          <t>League Battle Deck [Team Rocket's Mewtwo ex]</t>
        </is>
      </c>
      <c r="B660" s="3">
        <f>IF(I660&lt;&gt;"",I660,IF(J660&lt;&gt;"",J660,IF(K660&lt;&gt;"",K660,L660)))</f>
        <v>24.35</v>
      </c>
      <c r="C660" s="3">
        <f>MEDIAN(I660:L660)</f>
        <v>24.35</v>
      </c>
      <c r="D660" s="3">
        <f>ROUND(C660*(1-Settings!$B$2),2)</f>
        <v>17.05</v>
      </c>
      <c r="E660" s="3">
        <f>ROUND(C660*(1-Settings!$B$3),2)</f>
        <v>17.05</v>
      </c>
      <c r="F660" s="2" t="inlineStr">
        <is>
          <t>Pokemon</t>
        </is>
      </c>
      <c r="G660" s="2" t="inlineStr">
        <is>
          <t>Deck</t>
        </is>
      </c>
      <c r="H660" s="2" t="inlineStr">
        <is>
          <t>Miscellaneous Cards &amp; Products</t>
        </is>
      </c>
      <c r="I660" s="3" t="n"/>
      <c r="J660" s="3" t="n">
        <v>24.35</v>
      </c>
      <c r="K660" s="3" t="n">
        <v>25.09</v>
      </c>
      <c r="L660" s="3" t="n">
        <v>16.08</v>
      </c>
      <c r="M660" s="2" t="inlineStr">
        <is>
          <t>TCGplayer</t>
        </is>
      </c>
      <c r="O660" s="4" t="inlineStr">
        <is>
          <t>https://www.tcgplayer.com/product/654567</t>
        </is>
      </c>
    </row>
    <row r="661">
      <c r="A661" s="2" t="inlineStr">
        <is>
          <t>League Battle Deck [Zacian V]</t>
        </is>
      </c>
      <c r="B661" s="3">
        <f>IF(I661&lt;&gt;"",I661,IF(J661&lt;&gt;"",J661,IF(K661&lt;&gt;"",K661,L661)))</f>
        <v>65.85</v>
      </c>
      <c r="C661" s="3">
        <f>MEDIAN(I661:L661)</f>
        <v>65.85</v>
      </c>
      <c r="D661" s="3">
        <f>ROUND(C661*(1-Settings!$B$2),2)</f>
        <v>46.1</v>
      </c>
      <c r="E661" s="3">
        <f>ROUND(C661*(1-Settings!$B$3),2)</f>
        <v>46.1</v>
      </c>
      <c r="F661" s="2" t="inlineStr">
        <is>
          <t>Pokemon</t>
        </is>
      </c>
      <c r="G661" s="2" t="inlineStr">
        <is>
          <t>Deck</t>
        </is>
      </c>
      <c r="H661" s="2" t="inlineStr">
        <is>
          <t>Miscellaneous Cards &amp; Products</t>
        </is>
      </c>
      <c r="I661" s="3" t="n"/>
      <c r="J661" s="3" t="n">
        <v>65.84999999999999</v>
      </c>
      <c r="K661" s="3" t="n">
        <v>70</v>
      </c>
      <c r="L661" s="3" t="n">
        <v>65</v>
      </c>
      <c r="M661" s="2" t="inlineStr">
        <is>
          <t>TCGplayer</t>
        </is>
      </c>
      <c r="O661" s="4" t="inlineStr">
        <is>
          <t>https://www.tcgplayer.com/product/226138</t>
        </is>
      </c>
    </row>
    <row r="662">
      <c r="A662" s="2" t="inlineStr">
        <is>
          <t>League Battle Decks [Reshiram &amp; Charizard GX]</t>
        </is>
      </c>
      <c r="B662" s="3">
        <f>IF(I662&lt;&gt;"",I662,IF(J662&lt;&gt;"",J662,IF(K662&lt;&gt;"",K662,L662)))</f>
        <v>167.92</v>
      </c>
      <c r="C662" s="3">
        <f>MEDIAN(I662:L662)</f>
        <v>174.99</v>
      </c>
      <c r="D662" s="3">
        <f>ROUND(C662*(1-Settings!$B$2),2)</f>
        <v>122.49</v>
      </c>
      <c r="E662" s="3">
        <f>ROUND(C662*(1-Settings!$B$3),2)</f>
        <v>122.49</v>
      </c>
      <c r="F662" s="2" t="inlineStr">
        <is>
          <t>Pokemon</t>
        </is>
      </c>
      <c r="G662" s="2" t="inlineStr">
        <is>
          <t>Deck</t>
        </is>
      </c>
      <c r="H662" s="2" t="inlineStr">
        <is>
          <t>Miscellaneous Cards &amp; Products</t>
        </is>
      </c>
      <c r="I662" s="3" t="n"/>
      <c r="J662" s="3" t="n">
        <v>167.92</v>
      </c>
      <c r="K662" s="3" t="n">
        <v>220</v>
      </c>
      <c r="L662" s="3" t="n">
        <v>174.99</v>
      </c>
      <c r="M662" s="2" t="inlineStr">
        <is>
          <t>TCGplayer</t>
        </is>
      </c>
      <c r="O662" s="4" t="inlineStr">
        <is>
          <t>https://www.tcgplayer.com/product/214270</t>
        </is>
      </c>
    </row>
    <row r="663">
      <c r="A663" s="2" t="inlineStr">
        <is>
          <t>League Battle Decks [Set of 2]</t>
        </is>
      </c>
      <c r="B663" s="3">
        <f>IF(I663&lt;&gt;"",I663,IF(J663&lt;&gt;"",J663,IF(K663&lt;&gt;"",K663,L663)))</f>
        <v>735.0</v>
      </c>
      <c r="C663" s="3">
        <f>MEDIAN(I663:L663)</f>
        <v>735.0</v>
      </c>
      <c r="D663" s="3">
        <f>ROUND(C663*(1-Settings!$B$2),2)</f>
        <v>514.5</v>
      </c>
      <c r="E663" s="3">
        <f>ROUND(C663*(1-Settings!$B$3),2)</f>
        <v>514.5</v>
      </c>
      <c r="F663" s="2" t="inlineStr">
        <is>
          <t>Pokemon</t>
        </is>
      </c>
      <c r="G663" s="2" t="inlineStr">
        <is>
          <t>Deck</t>
        </is>
      </c>
      <c r="H663" s="2" t="inlineStr">
        <is>
          <t>Miscellaneous Cards &amp; Products</t>
        </is>
      </c>
      <c r="I663" s="3" t="n"/>
      <c r="J663" s="3" t="n"/>
      <c r="K663" s="3" t="n">
        <v>735</v>
      </c>
      <c r="L663" s="3" t="n">
        <v>735</v>
      </c>
      <c r="M663" s="2" t="inlineStr">
        <is>
          <t>TCGplayer</t>
        </is>
      </c>
      <c r="O663" s="4" t="inlineStr">
        <is>
          <t>https://www.tcgplayer.com/product/214271</t>
        </is>
      </c>
    </row>
    <row r="664">
      <c r="A664" s="2" t="inlineStr">
        <is>
          <t>Let's Play Theme Deck [Eevee]</t>
        </is>
      </c>
      <c r="B664" s="3">
        <f>IF(I664&lt;&gt;"",I664,IF(J664&lt;&gt;"",J664,IF(K664&lt;&gt;"",K664,L664)))</f>
        <v>49.71</v>
      </c>
      <c r="C664" s="3">
        <f>MEDIAN(I664:L664)</f>
        <v>49.71</v>
      </c>
      <c r="D664" s="3">
        <f>ROUND(C664*(1-Settings!$B$2),2)</f>
        <v>34.8</v>
      </c>
      <c r="E664" s="3">
        <f>ROUND(C664*(1-Settings!$B$3),2)</f>
        <v>34.8</v>
      </c>
      <c r="F664" s="2" t="inlineStr">
        <is>
          <t>Pokemon</t>
        </is>
      </c>
      <c r="G664" s="2" t="inlineStr">
        <is>
          <t>Deck</t>
        </is>
      </c>
      <c r="H664" s="2" t="inlineStr">
        <is>
          <t>Miscellaneous Cards &amp; Products</t>
        </is>
      </c>
      <c r="I664" s="3" t="n"/>
      <c r="J664" s="3" t="n">
        <v>49.71</v>
      </c>
      <c r="K664" s="3" t="n"/>
      <c r="L664" s="3" t="n"/>
      <c r="M664" s="2" t="inlineStr">
        <is>
          <t>TCGplayer</t>
        </is>
      </c>
      <c r="O664" s="4" t="inlineStr">
        <is>
          <t>https://www.tcgplayer.com/product/181697</t>
        </is>
      </c>
    </row>
    <row r="665">
      <c r="A665" s="2" t="inlineStr">
        <is>
          <t>Let's Play Theme Deck [Pikachu]</t>
        </is>
      </c>
      <c r="B665" s="3">
        <f>IF(I665&lt;&gt;"",I665,IF(J665&lt;&gt;"",J665,IF(K665&lt;&gt;"",K665,L665)))</f>
        <v>38.08</v>
      </c>
      <c r="C665" s="3">
        <f>MEDIAN(I665:L665)</f>
        <v>38.08</v>
      </c>
      <c r="D665" s="3">
        <f>ROUND(C665*(1-Settings!$B$2),2)</f>
        <v>26.66</v>
      </c>
      <c r="E665" s="3">
        <f>ROUND(C665*(1-Settings!$B$3),2)</f>
        <v>26.66</v>
      </c>
      <c r="F665" s="2" t="inlineStr">
        <is>
          <t>Pokemon</t>
        </is>
      </c>
      <c r="G665" s="2" t="inlineStr">
        <is>
          <t>Deck</t>
        </is>
      </c>
      <c r="H665" s="2" t="inlineStr">
        <is>
          <t>Miscellaneous Cards &amp; Products</t>
        </is>
      </c>
      <c r="I665" s="3" t="n"/>
      <c r="J665" s="3" t="n">
        <v>38.08</v>
      </c>
      <c r="K665" s="3" t="n"/>
      <c r="L665" s="3" t="n"/>
      <c r="M665" s="2" t="inlineStr">
        <is>
          <t>TCGplayer</t>
        </is>
      </c>
      <c r="O665" s="4" t="inlineStr">
        <is>
          <t>https://www.tcgplayer.com/product/181696</t>
        </is>
      </c>
    </row>
    <row r="666">
      <c r="A666" s="2" t="inlineStr">
        <is>
          <t>Mega Battle Deck (Mega Diancie ex)</t>
        </is>
      </c>
      <c r="B666" s="3">
        <f>IF(I666&lt;&gt;"",I666,IF(J666&lt;&gt;"",J666,IF(K666&lt;&gt;"",K666,L666)))</f>
        <v>23.54</v>
      </c>
      <c r="C666" s="3">
        <f>MEDIAN(I666:L666)</f>
        <v>23.54</v>
      </c>
      <c r="D666" s="3">
        <f>ROUND(C666*(1-Settings!$B$2),2)</f>
        <v>16.48</v>
      </c>
      <c r="E666" s="3">
        <f>ROUND(C666*(1-Settings!$B$3),2)</f>
        <v>16.48</v>
      </c>
      <c r="F666" s="2" t="inlineStr">
        <is>
          <t>Pokemon</t>
        </is>
      </c>
      <c r="G666" s="2" t="inlineStr">
        <is>
          <t>Deck</t>
        </is>
      </c>
      <c r="H666" s="2" t="inlineStr">
        <is>
          <t>Miscellaneous Cards &amp; Products</t>
        </is>
      </c>
      <c r="I666" s="3" t="n"/>
      <c r="J666" s="3" t="n">
        <v>23.54</v>
      </c>
      <c r="K666" s="3" t="n">
        <v>29</v>
      </c>
      <c r="L666" s="3" t="n">
        <v>4.99</v>
      </c>
      <c r="M666" s="2" t="inlineStr">
        <is>
          <t>TCGplayer</t>
        </is>
      </c>
      <c r="O666" s="4" t="inlineStr">
        <is>
          <t>https://www.tcgplayer.com/product/659193</t>
        </is>
      </c>
    </row>
    <row r="667">
      <c r="A667" s="2" t="inlineStr">
        <is>
          <t>Mega Battle Deck (Mega Gengar ex)</t>
        </is>
      </c>
      <c r="B667" s="3">
        <f>IF(I667&lt;&gt;"",I667,IF(J667&lt;&gt;"",J667,IF(K667&lt;&gt;"",K667,L667)))</f>
        <v>64.31</v>
      </c>
      <c r="C667" s="3">
        <f>MEDIAN(I667:L667)</f>
        <v>64.31</v>
      </c>
      <c r="D667" s="3">
        <f>ROUND(C667*(1-Settings!$B$2),2)</f>
        <v>45.02</v>
      </c>
      <c r="E667" s="3">
        <f>ROUND(C667*(1-Settings!$B$3),2)</f>
        <v>45.02</v>
      </c>
      <c r="F667" s="2" t="inlineStr">
        <is>
          <t>Pokemon</t>
        </is>
      </c>
      <c r="G667" s="2" t="inlineStr">
        <is>
          <t>Deck</t>
        </is>
      </c>
      <c r="H667" s="2" t="inlineStr">
        <is>
          <t>Miscellaneous Cards &amp; Products</t>
        </is>
      </c>
      <c r="I667" s="3" t="n"/>
      <c r="J667" s="3" t="n">
        <v>64.31</v>
      </c>
      <c r="K667" s="3" t="n">
        <v>70</v>
      </c>
      <c r="L667" s="3" t="n">
        <v>54.89</v>
      </c>
      <c r="M667" s="2" t="inlineStr">
        <is>
          <t>TCGplayer</t>
        </is>
      </c>
      <c r="O667" s="4" t="inlineStr">
        <is>
          <t>https://www.tcgplayer.com/product/659192</t>
        </is>
      </c>
    </row>
    <row r="668">
      <c r="A668" s="2" t="inlineStr">
        <is>
          <t>Mega Battle Deck: Mega Gengar ex/Mega Diancie ex [Set of 2]</t>
        </is>
      </c>
      <c r="B668" s="3">
        <f>IF(I668&lt;&gt;"",I668,IF(J668&lt;&gt;"",J668,IF(K668&lt;&gt;"",K668,L668)))</f>
        <v>88.69</v>
      </c>
      <c r="C668" s="3">
        <f>MEDIAN(I668:L668)</f>
        <v>89.99</v>
      </c>
      <c r="D668" s="3">
        <f>ROUND(C668*(1-Settings!$B$2),2)</f>
        <v>62.99</v>
      </c>
      <c r="E668" s="3">
        <f>ROUND(C668*(1-Settings!$B$3),2)</f>
        <v>62.99</v>
      </c>
      <c r="F668" s="2" t="inlineStr">
        <is>
          <t>Pokemon</t>
        </is>
      </c>
      <c r="G668" s="2" t="inlineStr">
        <is>
          <t>Deck</t>
        </is>
      </c>
      <c r="H668" s="2" t="inlineStr">
        <is>
          <t>Miscellaneous Cards &amp; Products</t>
        </is>
      </c>
      <c r="I668" s="3" t="n"/>
      <c r="J668" s="3" t="n">
        <v>88.69</v>
      </c>
      <c r="K668" s="3" t="n">
        <v>92.48999999999999</v>
      </c>
      <c r="L668" s="3" t="n">
        <v>89.98999999999999</v>
      </c>
      <c r="M668" s="2" t="inlineStr">
        <is>
          <t>TCGplayer</t>
        </is>
      </c>
      <c r="O668" s="4" t="inlineStr">
        <is>
          <t>https://www.tcgplayer.com/product/661999</t>
        </is>
      </c>
    </row>
    <row r="669">
      <c r="A669" s="2" t="inlineStr">
        <is>
          <t>Pokemon TCG: Starter Gift Set</t>
        </is>
      </c>
      <c r="B669" s="3">
        <f>IF(I669&lt;&gt;"",I669,IF(J669&lt;&gt;"",J669,IF(K669&lt;&gt;"",K669,L669)))</f>
        <v>999.99</v>
      </c>
      <c r="C669" s="3">
        <f>MEDIAN(I669:L669)</f>
        <v>999.99</v>
      </c>
      <c r="D669" s="3">
        <f>ROUND(C669*(1-Settings!$B$2),2)</f>
        <v>699.99</v>
      </c>
      <c r="E669" s="3">
        <f>ROUND(C669*(1-Settings!$B$3),2)</f>
        <v>699.99</v>
      </c>
      <c r="F669" s="2" t="inlineStr">
        <is>
          <t>Pokemon</t>
        </is>
      </c>
      <c r="G669" s="2" t="inlineStr">
        <is>
          <t>Deck</t>
        </is>
      </c>
      <c r="H669" s="2" t="inlineStr">
        <is>
          <t>Miscellaneous Cards &amp; Products</t>
        </is>
      </c>
      <c r="I669" s="3" t="n"/>
      <c r="J669" s="3" t="n"/>
      <c r="K669" s="3" t="n">
        <v>999.99</v>
      </c>
      <c r="L669" s="3" t="n">
        <v>999.99</v>
      </c>
      <c r="M669" s="2" t="inlineStr">
        <is>
          <t>TCGplayer</t>
        </is>
      </c>
      <c r="O669" s="4" t="inlineStr">
        <is>
          <t>https://www.tcgplayer.com/product/210197</t>
        </is>
      </c>
    </row>
    <row r="670">
      <c r="A670" s="2" t="inlineStr">
        <is>
          <t>Rival Battle Deck [Marnie]</t>
        </is>
      </c>
      <c r="B670" s="3">
        <f>IF(I670&lt;&gt;"",I670,IF(J670&lt;&gt;"",J670,IF(K670&lt;&gt;"",K670,L670)))</f>
        <v>61.3</v>
      </c>
      <c r="C670" s="3">
        <f>MEDIAN(I670:L670)</f>
        <v>61.3</v>
      </c>
      <c r="D670" s="3">
        <f>ROUND(C670*(1-Settings!$B$2),2)</f>
        <v>42.91</v>
      </c>
      <c r="E670" s="3">
        <f>ROUND(C670*(1-Settings!$B$3),2)</f>
        <v>42.91</v>
      </c>
      <c r="F670" s="2" t="inlineStr">
        <is>
          <t>Pokemon</t>
        </is>
      </c>
      <c r="G670" s="2" t="inlineStr">
        <is>
          <t>Deck</t>
        </is>
      </c>
      <c r="H670" s="2" t="inlineStr">
        <is>
          <t>Miscellaneous Cards &amp; Products</t>
        </is>
      </c>
      <c r="I670" s="3" t="n"/>
      <c r="J670" s="3" t="n">
        <v>61.3</v>
      </c>
      <c r="K670" s="3" t="n">
        <v>66.47</v>
      </c>
      <c r="L670" s="3" t="n">
        <v>1.5</v>
      </c>
      <c r="M670" s="2" t="inlineStr">
        <is>
          <t>TCGplayer</t>
        </is>
      </c>
      <c r="O670" s="4" t="inlineStr">
        <is>
          <t>https://www.tcgplayer.com/product/623014</t>
        </is>
      </c>
    </row>
    <row r="671">
      <c r="A671" s="2" t="inlineStr">
        <is>
          <t>Rival Battle Deck [Steven]</t>
        </is>
      </c>
      <c r="B671" s="3">
        <f>IF(I671&lt;&gt;"",I671,IF(J671&lt;&gt;"",J671,IF(K671&lt;&gt;"",K671,L671)))</f>
        <v>34.97</v>
      </c>
      <c r="C671" s="3">
        <f>MEDIAN(I671:L671)</f>
        <v>34.97</v>
      </c>
      <c r="D671" s="3">
        <f>ROUND(C671*(1-Settings!$B$2),2)</f>
        <v>24.48</v>
      </c>
      <c r="E671" s="3">
        <f>ROUND(C671*(1-Settings!$B$3),2)</f>
        <v>24.48</v>
      </c>
      <c r="F671" s="2" t="inlineStr">
        <is>
          <t>Pokemon</t>
        </is>
      </c>
      <c r="G671" s="2" t="inlineStr">
        <is>
          <t>Deck</t>
        </is>
      </c>
      <c r="H671" s="2" t="inlineStr">
        <is>
          <t>Miscellaneous Cards &amp; Products</t>
        </is>
      </c>
      <c r="I671" s="3" t="n"/>
      <c r="J671" s="3" t="n">
        <v>34.97</v>
      </c>
      <c r="K671" s="3" t="n">
        <v>43.99</v>
      </c>
      <c r="L671" s="3" t="n">
        <v>1.5</v>
      </c>
      <c r="M671" s="2" t="inlineStr">
        <is>
          <t>TCGplayer</t>
        </is>
      </c>
      <c r="O671" s="4" t="inlineStr">
        <is>
          <t>https://www.tcgplayer.com/product/623015</t>
        </is>
      </c>
    </row>
    <row r="672">
      <c r="A672" s="2" t="inlineStr">
        <is>
          <t>Trainer Battle Deck - Brock of Pewter City Gym (JP Pokemon Center Exclusive)</t>
        </is>
      </c>
      <c r="B672" s="3">
        <f>IF(I672&lt;&gt;"",I672,IF(J672&lt;&gt;"",J672,IF(K672&lt;&gt;"",K672,L672)))</f>
        <v>176.67</v>
      </c>
      <c r="C672" s="3">
        <f>MEDIAN(I672:L672)</f>
        <v>176.0</v>
      </c>
      <c r="D672" s="3">
        <f>ROUND(C672*(1-Settings!$B$2),2)</f>
        <v>123.2</v>
      </c>
      <c r="E672" s="3">
        <f>ROUND(C672*(1-Settings!$B$3),2)</f>
        <v>123.2</v>
      </c>
      <c r="F672" s="2" t="inlineStr">
        <is>
          <t>Pokemon</t>
        </is>
      </c>
      <c r="G672" s="2" t="inlineStr">
        <is>
          <t>Deck</t>
        </is>
      </c>
      <c r="H672" s="2" t="inlineStr">
        <is>
          <t>Miscellaneous Cards &amp; Products</t>
        </is>
      </c>
      <c r="I672" s="3" t="n"/>
      <c r="J672" s="3" t="n">
        <v>176.67</v>
      </c>
      <c r="K672" s="3" t="n">
        <v>176</v>
      </c>
      <c r="L672" s="3" t="n">
        <v>175</v>
      </c>
      <c r="M672" s="2" t="inlineStr">
        <is>
          <t>TCGplayer</t>
        </is>
      </c>
      <c r="O672" s="4" t="inlineStr">
        <is>
          <t>https://www.tcgplayer.com/product/271999</t>
        </is>
      </c>
    </row>
    <row r="673">
      <c r="A673" s="2" t="inlineStr">
        <is>
          <t>Trainer Battle Deck - Misty of Cerulean City Gym (JP Pokemon Center Exclusive)</t>
        </is>
      </c>
      <c r="B673" s="3">
        <f>IF(I673&lt;&gt;"",I673,IF(J673&lt;&gt;"",J673,IF(K673&lt;&gt;"",K673,L673)))</f>
        <v>248.66</v>
      </c>
      <c r="C673" s="3">
        <f>MEDIAN(I673:L673)</f>
        <v>223.16</v>
      </c>
      <c r="D673" s="3">
        <f>ROUND(C673*(1-Settings!$B$2),2)</f>
        <v>156.21</v>
      </c>
      <c r="E673" s="3">
        <f>ROUND(C673*(1-Settings!$B$3),2)</f>
        <v>156.21</v>
      </c>
      <c r="F673" s="2" t="inlineStr">
        <is>
          <t>Pokemon</t>
        </is>
      </c>
      <c r="G673" s="2" t="inlineStr">
        <is>
          <t>Deck</t>
        </is>
      </c>
      <c r="H673" s="2" t="inlineStr">
        <is>
          <t>Miscellaneous Cards &amp; Products</t>
        </is>
      </c>
      <c r="I673" s="3" t="n"/>
      <c r="J673" s="3" t="n">
        <v>248.66</v>
      </c>
      <c r="K673" s="3" t="n">
        <v>223.16</v>
      </c>
      <c r="L673" s="3" t="n">
        <v>223.16</v>
      </c>
      <c r="M673" s="2" t="inlineStr">
        <is>
          <t>TCGplayer</t>
        </is>
      </c>
      <c r="O673" s="4" t="inlineStr">
        <is>
          <t>https://www.tcgplayer.com/product/272000</t>
        </is>
      </c>
    </row>
    <row r="674">
      <c r="A674" s="2" t="inlineStr">
        <is>
          <t>V Battle Deck [Blastoise V]</t>
        </is>
      </c>
      <c r="B674" s="3">
        <f>IF(I674&lt;&gt;"",I674,IF(J674&lt;&gt;"",J674,IF(K674&lt;&gt;"",K674,L674)))</f>
        <v>27.53</v>
      </c>
      <c r="C674" s="3">
        <f>MEDIAN(I674:L674)</f>
        <v>27.53</v>
      </c>
      <c r="D674" s="3">
        <f>ROUND(C674*(1-Settings!$B$2),2)</f>
        <v>19.27</v>
      </c>
      <c r="E674" s="3">
        <f>ROUND(C674*(1-Settings!$B$3),2)</f>
        <v>19.27</v>
      </c>
      <c r="F674" s="2" t="inlineStr">
        <is>
          <t>Pokemon</t>
        </is>
      </c>
      <c r="G674" s="2" t="inlineStr">
        <is>
          <t>Deck</t>
        </is>
      </c>
      <c r="H674" s="2" t="inlineStr">
        <is>
          <t>Miscellaneous Cards &amp; Products</t>
        </is>
      </c>
      <c r="I674" s="3" t="n"/>
      <c r="J674" s="3" t="n">
        <v>27.53</v>
      </c>
      <c r="K674" s="3" t="n">
        <v>32.42</v>
      </c>
      <c r="L674" s="3" t="n">
        <v>26.24</v>
      </c>
      <c r="M674" s="2" t="inlineStr">
        <is>
          <t>TCGplayer</t>
        </is>
      </c>
      <c r="O674" s="4" t="inlineStr">
        <is>
          <t>https://www.tcgplayer.com/product/230396</t>
        </is>
      </c>
    </row>
    <row r="675">
      <c r="A675" s="2" t="inlineStr">
        <is>
          <t>V Battle Deck [Deoxys V]</t>
        </is>
      </c>
      <c r="B675" s="3">
        <f>IF(I675&lt;&gt;"",I675,IF(J675&lt;&gt;"",J675,IF(K675&lt;&gt;"",K675,L675)))</f>
        <v>23.31</v>
      </c>
      <c r="C675" s="3">
        <f>MEDIAN(I675:L675)</f>
        <v>23.31</v>
      </c>
      <c r="D675" s="3">
        <f>ROUND(C675*(1-Settings!$B$2),2)</f>
        <v>16.32</v>
      </c>
      <c r="E675" s="3">
        <f>ROUND(C675*(1-Settings!$B$3),2)</f>
        <v>16.32</v>
      </c>
      <c r="F675" s="2" t="inlineStr">
        <is>
          <t>Pokemon</t>
        </is>
      </c>
      <c r="G675" s="2" t="inlineStr">
        <is>
          <t>Deck</t>
        </is>
      </c>
      <c r="H675" s="2" t="inlineStr">
        <is>
          <t>Miscellaneous Cards &amp; Products</t>
        </is>
      </c>
      <c r="I675" s="3" t="n"/>
      <c r="J675" s="3" t="n">
        <v>23.31</v>
      </c>
      <c r="K675" s="3" t="n">
        <v>33.99</v>
      </c>
      <c r="L675" s="3" t="n">
        <v>22.49</v>
      </c>
      <c r="M675" s="2" t="inlineStr">
        <is>
          <t>TCGplayer</t>
        </is>
      </c>
      <c r="O675" s="4" t="inlineStr">
        <is>
          <t>https://www.tcgplayer.com/product/280857</t>
        </is>
      </c>
    </row>
    <row r="676">
      <c r="A676" s="2" t="inlineStr">
        <is>
          <t>V Battle Deck [Gardevoir V]</t>
        </is>
      </c>
      <c r="B676" s="3">
        <f>IF(I676&lt;&gt;"",I676,IF(J676&lt;&gt;"",J676,IF(K676&lt;&gt;"",K676,L676)))</f>
        <v>17.85</v>
      </c>
      <c r="C676" s="3">
        <f>MEDIAN(I676:L676)</f>
        <v>18.74</v>
      </c>
      <c r="D676" s="3">
        <f>ROUND(C676*(1-Settings!$B$2),2)</f>
        <v>13.12</v>
      </c>
      <c r="E676" s="3">
        <f>ROUND(C676*(1-Settings!$B$3),2)</f>
        <v>13.12</v>
      </c>
      <c r="F676" s="2" t="inlineStr">
        <is>
          <t>Pokemon</t>
        </is>
      </c>
      <c r="G676" s="2" t="inlineStr">
        <is>
          <t>Deck</t>
        </is>
      </c>
      <c r="H676" s="2" t="inlineStr">
        <is>
          <t>Miscellaneous Cards &amp; Products</t>
        </is>
      </c>
      <c r="I676" s="3" t="n"/>
      <c r="J676" s="3" t="n">
        <v>17.85</v>
      </c>
      <c r="K676" s="3" t="n">
        <v>34.99</v>
      </c>
      <c r="L676" s="3" t="n">
        <v>18.74</v>
      </c>
      <c r="M676" s="2" t="inlineStr">
        <is>
          <t>TCGplayer</t>
        </is>
      </c>
      <c r="O676" s="4" t="inlineStr">
        <is>
          <t>https://www.tcgplayer.com/product/233357</t>
        </is>
      </c>
    </row>
    <row r="677">
      <c r="A677" s="2" t="inlineStr">
        <is>
          <t>V Battle Deck [Lycanroc V]</t>
        </is>
      </c>
      <c r="B677" s="3">
        <f>IF(I677&lt;&gt;"",I677,IF(J677&lt;&gt;"",J677,IF(K677&lt;&gt;"",K677,L677)))</f>
        <v>14.42</v>
      </c>
      <c r="C677" s="3">
        <f>MEDIAN(I677:L677)</f>
        <v>14.42</v>
      </c>
      <c r="D677" s="3">
        <f>ROUND(C677*(1-Settings!$B$2),2)</f>
        <v>10.09</v>
      </c>
      <c r="E677" s="3">
        <f>ROUND(C677*(1-Settings!$B$3),2)</f>
        <v>10.09</v>
      </c>
      <c r="F677" s="2" t="inlineStr">
        <is>
          <t>Pokemon</t>
        </is>
      </c>
      <c r="G677" s="2" t="inlineStr">
        <is>
          <t>Deck</t>
        </is>
      </c>
      <c r="H677" s="2" t="inlineStr">
        <is>
          <t>Miscellaneous Cards &amp; Products</t>
        </is>
      </c>
      <c r="I677" s="3" t="n"/>
      <c r="J677" s="3" t="n">
        <v>14.42</v>
      </c>
      <c r="K677" s="3" t="n">
        <v>14.99</v>
      </c>
      <c r="L677" s="3" t="n">
        <v>10</v>
      </c>
      <c r="M677" s="2" t="inlineStr">
        <is>
          <t>TCGplayer</t>
        </is>
      </c>
      <c r="O677" s="4" t="inlineStr">
        <is>
          <t>https://www.tcgplayer.com/product/264757</t>
        </is>
      </c>
    </row>
    <row r="678">
      <c r="A678" s="2" t="inlineStr">
        <is>
          <t>V Battle Deck [Noivern V]</t>
        </is>
      </c>
      <c r="B678" s="3">
        <f>IF(I678&lt;&gt;"",I678,IF(J678&lt;&gt;"",J678,IF(K678&lt;&gt;"",K678,L678)))</f>
        <v>10.89</v>
      </c>
      <c r="C678" s="3">
        <f>MEDIAN(I678:L678)</f>
        <v>13.49</v>
      </c>
      <c r="D678" s="3">
        <f>ROUND(C678*(1-Settings!$B$2),2)</f>
        <v>9.44</v>
      </c>
      <c r="E678" s="3">
        <f>ROUND(C678*(1-Settings!$B$3),2)</f>
        <v>9.44</v>
      </c>
      <c r="F678" s="2" t="inlineStr">
        <is>
          <t>Pokemon</t>
        </is>
      </c>
      <c r="G678" s="2" t="inlineStr">
        <is>
          <t>Deck</t>
        </is>
      </c>
      <c r="H678" s="2" t="inlineStr">
        <is>
          <t>Miscellaneous Cards &amp; Products</t>
        </is>
      </c>
      <c r="I678" s="3" t="n"/>
      <c r="J678" s="3" t="n">
        <v>10.89</v>
      </c>
      <c r="K678" s="3" t="n">
        <v>14.43</v>
      </c>
      <c r="L678" s="3" t="n">
        <v>13.49</v>
      </c>
      <c r="M678" s="2" t="inlineStr">
        <is>
          <t>TCGplayer</t>
        </is>
      </c>
      <c r="O678" s="4" t="inlineStr">
        <is>
          <t>https://www.tcgplayer.com/product/245733</t>
        </is>
      </c>
    </row>
    <row r="679">
      <c r="A679" s="2" t="inlineStr">
        <is>
          <t>V Battle Deck [Rayquaza V]</t>
        </is>
      </c>
      <c r="B679" s="3">
        <f>IF(I679&lt;&gt;"",I679,IF(J679&lt;&gt;"",J679,IF(K679&lt;&gt;"",K679,L679)))</f>
        <v>44.15</v>
      </c>
      <c r="C679" s="3">
        <f>MEDIAN(I679:L679)</f>
        <v>44.15</v>
      </c>
      <c r="D679" s="3">
        <f>ROUND(C679*(1-Settings!$B$2),2)</f>
        <v>30.91</v>
      </c>
      <c r="E679" s="3">
        <f>ROUND(C679*(1-Settings!$B$3),2)</f>
        <v>30.91</v>
      </c>
      <c r="F679" s="2" t="inlineStr">
        <is>
          <t>Pokemon</t>
        </is>
      </c>
      <c r="G679" s="2" t="inlineStr">
        <is>
          <t>Deck</t>
        </is>
      </c>
      <c r="H679" s="2" t="inlineStr">
        <is>
          <t>Miscellaneous Cards &amp; Products</t>
        </is>
      </c>
      <c r="I679" s="3" t="n"/>
      <c r="J679" s="3" t="n">
        <v>44.15</v>
      </c>
      <c r="K679" s="3" t="n">
        <v>84.75</v>
      </c>
      <c r="L679" s="3" t="n">
        <v>44.15</v>
      </c>
      <c r="M679" s="2" t="inlineStr">
        <is>
          <t>TCGplayer</t>
        </is>
      </c>
      <c r="O679" s="4" t="inlineStr">
        <is>
          <t>https://www.tcgplayer.com/product/245732</t>
        </is>
      </c>
    </row>
    <row r="680">
      <c r="A680" s="2" t="inlineStr">
        <is>
          <t>V Battle Deck [Venusaur V]</t>
        </is>
      </c>
      <c r="B680" s="3">
        <f>IF(I680&lt;&gt;"",I680,IF(J680&lt;&gt;"",J680,IF(K680&lt;&gt;"",K680,L680)))</f>
        <v>28.23</v>
      </c>
      <c r="C680" s="3">
        <f>MEDIAN(I680:L680)</f>
        <v>29.99</v>
      </c>
      <c r="D680" s="3">
        <f>ROUND(C680*(1-Settings!$B$2),2)</f>
        <v>20.99</v>
      </c>
      <c r="E680" s="3">
        <f>ROUND(C680*(1-Settings!$B$3),2)</f>
        <v>20.99</v>
      </c>
      <c r="F680" s="2" t="inlineStr">
        <is>
          <t>Pokemon</t>
        </is>
      </c>
      <c r="G680" s="2" t="inlineStr">
        <is>
          <t>Deck</t>
        </is>
      </c>
      <c r="H680" s="2" t="inlineStr">
        <is>
          <t>Miscellaneous Cards &amp; Products</t>
        </is>
      </c>
      <c r="I680" s="3" t="n"/>
      <c r="J680" s="3" t="n">
        <v>28.23</v>
      </c>
      <c r="K680" s="3" t="n">
        <v>31</v>
      </c>
      <c r="L680" s="3" t="n">
        <v>29.99</v>
      </c>
      <c r="M680" s="2" t="inlineStr">
        <is>
          <t>TCGplayer</t>
        </is>
      </c>
      <c r="O680" s="4" t="inlineStr">
        <is>
          <t>https://www.tcgplayer.com/product/230397</t>
        </is>
      </c>
    </row>
    <row r="681">
      <c r="A681" s="2" t="inlineStr">
        <is>
          <t>V Battle Deck [Victini V]</t>
        </is>
      </c>
      <c r="B681" s="3">
        <f>IF(I681&lt;&gt;"",I681,IF(J681&lt;&gt;"",J681,IF(K681&lt;&gt;"",K681,L681)))</f>
        <v>13.83</v>
      </c>
      <c r="C681" s="3">
        <f>MEDIAN(I681:L681)</f>
        <v>13.83</v>
      </c>
      <c r="D681" s="3">
        <f>ROUND(C681*(1-Settings!$B$2),2)</f>
        <v>9.68</v>
      </c>
      <c r="E681" s="3">
        <f>ROUND(C681*(1-Settings!$B$3),2)</f>
        <v>9.68</v>
      </c>
      <c r="F681" s="2" t="inlineStr">
        <is>
          <t>Pokemon</t>
        </is>
      </c>
      <c r="G681" s="2" t="inlineStr">
        <is>
          <t>Deck</t>
        </is>
      </c>
      <c r="H681" s="2" t="inlineStr">
        <is>
          <t>Miscellaneous Cards &amp; Products</t>
        </is>
      </c>
      <c r="I681" s="3" t="n"/>
      <c r="J681" s="3" t="n">
        <v>13.83</v>
      </c>
      <c r="K681" s="3" t="n">
        <v>14.38</v>
      </c>
      <c r="L681" s="3" t="n">
        <v>12</v>
      </c>
      <c r="M681" s="2" t="inlineStr">
        <is>
          <t>TCGplayer</t>
        </is>
      </c>
      <c r="O681" s="4" t="inlineStr">
        <is>
          <t>https://www.tcgplayer.com/product/233356</t>
        </is>
      </c>
    </row>
    <row r="682">
      <c r="A682" s="2" t="inlineStr">
        <is>
          <t>V Battle Deck [Zeraora V]</t>
        </is>
      </c>
      <c r="B682" s="3">
        <f>IF(I682&lt;&gt;"",I682,IF(J682&lt;&gt;"",J682,IF(K682&lt;&gt;"",K682,L682)))</f>
        <v>15.16</v>
      </c>
      <c r="C682" s="3">
        <f>MEDIAN(I682:L682)</f>
        <v>15.16</v>
      </c>
      <c r="D682" s="3">
        <f>ROUND(C682*(1-Settings!$B$2),2)</f>
        <v>10.61</v>
      </c>
      <c r="E682" s="3">
        <f>ROUND(C682*(1-Settings!$B$3),2)</f>
        <v>10.61</v>
      </c>
      <c r="F682" s="2" t="inlineStr">
        <is>
          <t>Pokemon</t>
        </is>
      </c>
      <c r="G682" s="2" t="inlineStr">
        <is>
          <t>Deck</t>
        </is>
      </c>
      <c r="H682" s="2" t="inlineStr">
        <is>
          <t>Miscellaneous Cards &amp; Products</t>
        </is>
      </c>
      <c r="I682" s="3" t="n"/>
      <c r="J682" s="3" t="n">
        <v>15.16</v>
      </c>
      <c r="K682" s="3" t="n">
        <v>15.57</v>
      </c>
      <c r="L682" s="3" t="n">
        <v>12.31</v>
      </c>
      <c r="M682" s="2" t="inlineStr">
        <is>
          <t>TCGplayer</t>
        </is>
      </c>
      <c r="O682" s="4" t="inlineStr">
        <is>
          <t>https://www.tcgplayer.com/product/280858</t>
        </is>
      </c>
    </row>
    <row r="683">
      <c r="A683" s="2" t="inlineStr">
        <is>
          <t>Mysterious Treasures Theme Deck - "Skull Charge"</t>
        </is>
      </c>
      <c r="B683" s="3">
        <f>IF(I683&lt;&gt;"",I683,IF(J683&lt;&gt;"",J683,IF(K683&lt;&gt;"",K683,L683)))</f>
        <v>76.99</v>
      </c>
      <c r="C683" s="3">
        <f>MEDIAN(I683:L683)</f>
        <v>76.99</v>
      </c>
      <c r="D683" s="3">
        <f>ROUND(C683*(1-Settings!$B$2),2)</f>
        <v>53.89</v>
      </c>
      <c r="E683" s="3">
        <f>ROUND(C683*(1-Settings!$B$3),2)</f>
        <v>53.89</v>
      </c>
      <c r="F683" s="2" t="inlineStr">
        <is>
          <t>Pokemon</t>
        </is>
      </c>
      <c r="G683" s="2" t="inlineStr">
        <is>
          <t>Deck</t>
        </is>
      </c>
      <c r="H683" s="2" t="inlineStr">
        <is>
          <t>Mysterious Treasures</t>
        </is>
      </c>
      <c r="I683" s="3" t="n"/>
      <c r="J683" s="3" t="n">
        <v>76.98999999999999</v>
      </c>
      <c r="K683" s="3" t="n"/>
      <c r="L683" s="3" t="n"/>
      <c r="M683" s="2" t="inlineStr">
        <is>
          <t>TCGplayer</t>
        </is>
      </c>
      <c r="O683" s="4" t="inlineStr">
        <is>
          <t>https://www.tcgplayer.com/product/229176</t>
        </is>
      </c>
    </row>
    <row r="684">
      <c r="A684" s="2" t="inlineStr">
        <is>
          <t>Neo Destiny Dark Theme Deck</t>
        </is>
      </c>
      <c r="B684" s="3">
        <f>IF(I684&lt;&gt;"",I684,IF(J684&lt;&gt;"",J684,IF(K684&lt;&gt;"",K684,L684)))</f>
        <v>200.0</v>
      </c>
      <c r="C684" s="3">
        <f>MEDIAN(I684:L684)</f>
        <v>200.0</v>
      </c>
      <c r="D684" s="3">
        <f>ROUND(C684*(1-Settings!$B$2),2)</f>
        <v>140.0</v>
      </c>
      <c r="E684" s="3">
        <f>ROUND(C684*(1-Settings!$B$3),2)</f>
        <v>140.0</v>
      </c>
      <c r="F684" s="2" t="inlineStr">
        <is>
          <t>Pokemon</t>
        </is>
      </c>
      <c r="G684" s="2" t="inlineStr">
        <is>
          <t>Deck</t>
        </is>
      </c>
      <c r="H684" s="2" t="inlineStr">
        <is>
          <t>Neo Destiny</t>
        </is>
      </c>
      <c r="I684" s="3" t="n">
        <v>200</v>
      </c>
      <c r="J684" s="3" t="n"/>
      <c r="K684" s="3" t="n"/>
      <c r="L684" s="3" t="n"/>
      <c r="M684" s="2" t="inlineStr">
        <is>
          <t>PriceCharting</t>
        </is>
      </c>
      <c r="N684" s="4" t="inlineStr">
        <is>
          <t>https://www.pricecharting.com/game/pokemon-neo-destiny/dark-theme-deck</t>
        </is>
      </c>
    </row>
    <row r="685">
      <c r="A685" s="2" t="inlineStr">
        <is>
          <t>Neo Destiny Light Theme Deck</t>
        </is>
      </c>
      <c r="B685" s="3">
        <f>IF(I685&lt;&gt;"",I685,IF(J685&lt;&gt;"",J685,IF(K685&lt;&gt;"",K685,L685)))</f>
        <v>265.0</v>
      </c>
      <c r="C685" s="3">
        <f>MEDIAN(I685:L685)</f>
        <v>265.0</v>
      </c>
      <c r="D685" s="3">
        <f>ROUND(C685*(1-Settings!$B$2),2)</f>
        <v>185.5</v>
      </c>
      <c r="E685" s="3">
        <f>ROUND(C685*(1-Settings!$B$3),2)</f>
        <v>185.5</v>
      </c>
      <c r="F685" s="2" t="inlineStr">
        <is>
          <t>Pokemon</t>
        </is>
      </c>
      <c r="G685" s="2" t="inlineStr">
        <is>
          <t>Deck</t>
        </is>
      </c>
      <c r="H685" s="2" t="inlineStr">
        <is>
          <t>Neo Destiny</t>
        </is>
      </c>
      <c r="I685" s="3" t="n">
        <v>265</v>
      </c>
      <c r="J685" s="3" t="n"/>
      <c r="K685" s="3" t="n"/>
      <c r="L685" s="3" t="n"/>
      <c r="M685" s="2" t="inlineStr">
        <is>
          <t>PriceCharting</t>
        </is>
      </c>
      <c r="N685" s="4" t="inlineStr">
        <is>
          <t>https://www.pricecharting.com/game/pokemon-neo-destiny/light-theme-deck</t>
        </is>
      </c>
    </row>
    <row r="686">
      <c r="A686" s="2" t="inlineStr">
        <is>
          <t>Neo Destiny Theme Deck - "Light"</t>
        </is>
      </c>
      <c r="B686" s="3">
        <f>IF(I686&lt;&gt;"",I686,IF(J686&lt;&gt;"",J686,IF(K686&lt;&gt;"",K686,L686)))</f>
        <v>333.3</v>
      </c>
      <c r="C686" s="3">
        <f>MEDIAN(I686:L686)</f>
        <v>333.3</v>
      </c>
      <c r="D686" s="3">
        <f>ROUND(C686*(1-Settings!$B$2),2)</f>
        <v>233.31</v>
      </c>
      <c r="E686" s="3">
        <f>ROUND(C686*(1-Settings!$B$3),2)</f>
        <v>233.31</v>
      </c>
      <c r="F686" s="2" t="inlineStr">
        <is>
          <t>Pokemon</t>
        </is>
      </c>
      <c r="G686" s="2" t="inlineStr">
        <is>
          <t>Deck</t>
        </is>
      </c>
      <c r="H686" s="2" t="inlineStr">
        <is>
          <t>Neo Destiny</t>
        </is>
      </c>
      <c r="I686" s="3" t="n"/>
      <c r="J686" s="3" t="n">
        <v>333.3</v>
      </c>
      <c r="K686" s="3" t="n"/>
      <c r="L686" s="3" t="n"/>
      <c r="M686" s="2" t="inlineStr">
        <is>
          <t>TCGplayer</t>
        </is>
      </c>
      <c r="O686" s="4" t="inlineStr">
        <is>
          <t>https://www.tcgplayer.com/product/232869</t>
        </is>
      </c>
    </row>
    <row r="687">
      <c r="A687" s="2" t="inlineStr">
        <is>
          <t>Neo Discovery Brain Wave Theme Deck</t>
        </is>
      </c>
      <c r="B687" s="3">
        <f>IF(I687&lt;&gt;"",I687,IF(J687&lt;&gt;"",J687,IF(K687&lt;&gt;"",K687,L687)))</f>
        <v>523.0</v>
      </c>
      <c r="C687" s="3">
        <f>MEDIAN(I687:L687)</f>
        <v>523.0</v>
      </c>
      <c r="D687" s="3">
        <f>ROUND(C687*(1-Settings!$B$2),2)</f>
        <v>366.1</v>
      </c>
      <c r="E687" s="3">
        <f>ROUND(C687*(1-Settings!$B$3),2)</f>
        <v>366.1</v>
      </c>
      <c r="F687" s="2" t="inlineStr">
        <is>
          <t>Pokemon</t>
        </is>
      </c>
      <c r="G687" s="2" t="inlineStr">
        <is>
          <t>Deck</t>
        </is>
      </c>
      <c r="H687" s="2" t="inlineStr">
        <is>
          <t>Neo Discovery</t>
        </is>
      </c>
      <c r="I687" s="3" t="n">
        <v>523</v>
      </c>
      <c r="J687" s="3" t="n"/>
      <c r="K687" s="3" t="n"/>
      <c r="L687" s="3" t="n"/>
      <c r="M687" s="2" t="inlineStr">
        <is>
          <t>PriceCharting</t>
        </is>
      </c>
      <c r="N687" s="4" t="inlineStr">
        <is>
          <t>https://www.pricecharting.com/game/pokemon-neo-discovery/brain-wave-theme-deck</t>
        </is>
      </c>
    </row>
    <row r="688">
      <c r="A688" s="2" t="inlineStr">
        <is>
          <t>Neo Discovery Theme Deck - "Brain Wave"</t>
        </is>
      </c>
      <c r="B688" s="3">
        <f>IF(I688&lt;&gt;"",I688,IF(J688&lt;&gt;"",J688,IF(K688&lt;&gt;"",K688,L688)))</f>
        <v>425.0</v>
      </c>
      <c r="C688" s="3">
        <f>MEDIAN(I688:L688)</f>
        <v>425.0</v>
      </c>
      <c r="D688" s="3">
        <f>ROUND(C688*(1-Settings!$B$2),2)</f>
        <v>297.5</v>
      </c>
      <c r="E688" s="3">
        <f>ROUND(C688*(1-Settings!$B$3),2)</f>
        <v>297.5</v>
      </c>
      <c r="F688" s="2" t="inlineStr">
        <is>
          <t>Pokemon</t>
        </is>
      </c>
      <c r="G688" s="2" t="inlineStr">
        <is>
          <t>Deck</t>
        </is>
      </c>
      <c r="H688" s="2" t="inlineStr">
        <is>
          <t>Neo Discovery</t>
        </is>
      </c>
      <c r="I688" s="3" t="n"/>
      <c r="J688" s="3" t="n">
        <v>425</v>
      </c>
      <c r="K688" s="3" t="n"/>
      <c r="L688" s="3" t="n"/>
      <c r="M688" s="2" t="inlineStr">
        <is>
          <t>TCGplayer</t>
        </is>
      </c>
      <c r="O688" s="4" t="inlineStr">
        <is>
          <t>https://www.tcgplayer.com/product/234510</t>
        </is>
      </c>
    </row>
    <row r="689">
      <c r="A689" s="2" t="inlineStr">
        <is>
          <t>Neo Discovery Wallop Theme Deck</t>
        </is>
      </c>
      <c r="B689" s="3">
        <f>IF(I689&lt;&gt;"",I689,IF(J689&lt;&gt;"",J689,IF(K689&lt;&gt;"",K689,L689)))</f>
        <v>310.0</v>
      </c>
      <c r="C689" s="3">
        <f>MEDIAN(I689:L689)</f>
        <v>310.0</v>
      </c>
      <c r="D689" s="3">
        <f>ROUND(C689*(1-Settings!$B$2),2)</f>
        <v>217.0</v>
      </c>
      <c r="E689" s="3">
        <f>ROUND(C689*(1-Settings!$B$3),2)</f>
        <v>217.0</v>
      </c>
      <c r="F689" s="2" t="inlineStr">
        <is>
          <t>Pokemon</t>
        </is>
      </c>
      <c r="G689" s="2" t="inlineStr">
        <is>
          <t>Deck</t>
        </is>
      </c>
      <c r="H689" s="2" t="inlineStr">
        <is>
          <t>Neo Discovery</t>
        </is>
      </c>
      <c r="I689" s="3" t="n">
        <v>310</v>
      </c>
      <c r="J689" s="3" t="n"/>
      <c r="K689" s="3" t="n"/>
      <c r="L689" s="3" t="n"/>
      <c r="M689" s="2" t="inlineStr">
        <is>
          <t>PriceCharting</t>
        </is>
      </c>
      <c r="N689" s="4" t="inlineStr">
        <is>
          <t>https://www.pricecharting.com/game/pokemon-neo-discovery/wallop-theme-deck</t>
        </is>
      </c>
    </row>
    <row r="690">
      <c r="A690" s="2" t="inlineStr">
        <is>
          <t>Neo Genesis Hotfoot Theme Deck</t>
        </is>
      </c>
      <c r="B690" s="3">
        <f>IF(I690&lt;&gt;"",I690,IF(J690&lt;&gt;"",J690,IF(K690&lt;&gt;"",K690,L690)))</f>
        <v>285.0</v>
      </c>
      <c r="C690" s="3">
        <f>MEDIAN(I690:L690)</f>
        <v>285.0</v>
      </c>
      <c r="D690" s="3">
        <f>ROUND(C690*(1-Settings!$B$2),2)</f>
        <v>199.5</v>
      </c>
      <c r="E690" s="3">
        <f>ROUND(C690*(1-Settings!$B$3),2)</f>
        <v>199.5</v>
      </c>
      <c r="F690" s="2" t="inlineStr">
        <is>
          <t>Pokemon</t>
        </is>
      </c>
      <c r="G690" s="2" t="inlineStr">
        <is>
          <t>Deck</t>
        </is>
      </c>
      <c r="H690" s="2" t="inlineStr">
        <is>
          <t>Neo Genesis</t>
        </is>
      </c>
      <c r="I690" s="3" t="n">
        <v>285</v>
      </c>
      <c r="J690" s="3" t="n"/>
      <c r="K690" s="3" t="n"/>
      <c r="L690" s="3" t="n"/>
      <c r="M690" s="2" t="inlineStr">
        <is>
          <t>PriceCharting</t>
        </is>
      </c>
      <c r="N690" s="4" t="inlineStr">
        <is>
          <t>https://www.pricecharting.com/game/pokemon-neo-genesis/hotfoot-theme-deck</t>
        </is>
      </c>
    </row>
    <row r="691">
      <c r="A691" s="2" t="inlineStr">
        <is>
          <t>Neo Genesis Theme Deck - "Cold Fusion"</t>
        </is>
      </c>
      <c r="B691" s="3">
        <f>IF(I691&lt;&gt;"",I691,IF(J691&lt;&gt;"",J691,IF(K691&lt;&gt;"",K691,L691)))</f>
        <v>437.5</v>
      </c>
      <c r="C691" s="3">
        <f>MEDIAN(I691:L691)</f>
        <v>406.25</v>
      </c>
      <c r="D691" s="3">
        <f>ROUND(C691*(1-Settings!$B$2),2)</f>
        <v>284.38</v>
      </c>
      <c r="E691" s="3">
        <f>ROUND(C691*(1-Settings!$B$3),2)</f>
        <v>284.38</v>
      </c>
      <c r="F691" s="2" t="inlineStr">
        <is>
          <t>Pokemon</t>
        </is>
      </c>
      <c r="G691" s="2" t="inlineStr">
        <is>
          <t>Deck</t>
        </is>
      </c>
      <c r="H691" s="2" t="inlineStr">
        <is>
          <t>Neo Genesis</t>
        </is>
      </c>
      <c r="I691" s="3" t="n"/>
      <c r="J691" s="3" t="n"/>
      <c r="K691" s="3" t="n">
        <v>437.5</v>
      </c>
      <c r="L691" s="3" t="n">
        <v>375</v>
      </c>
      <c r="M691" s="2" t="inlineStr">
        <is>
          <t>TCGplayer</t>
        </is>
      </c>
      <c r="O691" s="4" t="inlineStr">
        <is>
          <t>https://www.tcgplayer.com/product/234505</t>
        </is>
      </c>
    </row>
    <row r="692">
      <c r="A692" s="2" t="inlineStr">
        <is>
          <t>Noble Victories Theme Deck - "Fast Daze" [Accelgor]</t>
        </is>
      </c>
      <c r="B692" s="3">
        <f>IF(I692&lt;&gt;"",I692,IF(J692&lt;&gt;"",J692,IF(K692&lt;&gt;"",K692,L692)))</f>
        <v>34.0</v>
      </c>
      <c r="C692" s="3">
        <f>MEDIAN(I692:L692)</f>
        <v>33.99</v>
      </c>
      <c r="D692" s="3">
        <f>ROUND(C692*(1-Settings!$B$2),2)</f>
        <v>23.79</v>
      </c>
      <c r="E692" s="3">
        <f>ROUND(C692*(1-Settings!$B$3),2)</f>
        <v>23.79</v>
      </c>
      <c r="F692" s="2" t="inlineStr">
        <is>
          <t>Pokemon</t>
        </is>
      </c>
      <c r="G692" s="2" t="inlineStr">
        <is>
          <t>Deck</t>
        </is>
      </c>
      <c r="H692" s="2" t="inlineStr">
        <is>
          <t>Noble Victories</t>
        </is>
      </c>
      <c r="I692" s="3" t="n"/>
      <c r="J692" s="3" t="n">
        <v>34</v>
      </c>
      <c r="K692" s="3" t="n">
        <v>33.99</v>
      </c>
      <c r="L692" s="3" t="n">
        <v>33.99</v>
      </c>
      <c r="M692" s="2" t="inlineStr">
        <is>
          <t>TCGplayer</t>
        </is>
      </c>
      <c r="O692" s="4" t="inlineStr">
        <is>
          <t>https://www.tcgplayer.com/product/98626</t>
        </is>
      </c>
    </row>
    <row r="693">
      <c r="A693" s="2" t="inlineStr">
        <is>
          <t>Platinum Theme Deck - "Rebellion"</t>
        </is>
      </c>
      <c r="B693" s="3">
        <f>IF(I693&lt;&gt;"",I693,IF(J693&lt;&gt;"",J693,IF(K693&lt;&gt;"",K693,L693)))</f>
        <v>99.99</v>
      </c>
      <c r="C693" s="3">
        <f>MEDIAN(I693:L693)</f>
        <v>99.99</v>
      </c>
      <c r="D693" s="3">
        <f>ROUND(C693*(1-Settings!$B$2),2)</f>
        <v>69.99</v>
      </c>
      <c r="E693" s="3">
        <f>ROUND(C693*(1-Settings!$B$3),2)</f>
        <v>69.99</v>
      </c>
      <c r="F693" s="2" t="inlineStr">
        <is>
          <t>Pokemon</t>
        </is>
      </c>
      <c r="G693" s="2" t="inlineStr">
        <is>
          <t>Deck</t>
        </is>
      </c>
      <c r="H693" s="2" t="inlineStr">
        <is>
          <t>Platinum</t>
        </is>
      </c>
      <c r="I693" s="3" t="n"/>
      <c r="J693" s="3" t="n">
        <v>99.98999999999999</v>
      </c>
      <c r="K693" s="3" t="n"/>
      <c r="L693" s="3" t="n"/>
      <c r="M693" s="2" t="inlineStr">
        <is>
          <t>TCGplayer</t>
        </is>
      </c>
      <c r="O693" s="4" t="inlineStr">
        <is>
          <t>https://www.tcgplayer.com/product/229175</t>
        </is>
      </c>
    </row>
    <row r="694">
      <c r="A694" s="2" t="inlineStr">
        <is>
          <t>Pokemon GO Premier Deck Holder Collection [Dragonite VSTAR]</t>
        </is>
      </c>
      <c r="B694" s="3">
        <f>IF(I694&lt;&gt;"",I694,IF(J694&lt;&gt;"",J694,IF(K694&lt;&gt;"",K694,L694)))</f>
        <v>106.9</v>
      </c>
      <c r="C694" s="3">
        <f>MEDIAN(I694:L694)</f>
        <v>106.9</v>
      </c>
      <c r="D694" s="3">
        <f>ROUND(C694*(1-Settings!$B$2),2)</f>
        <v>74.83</v>
      </c>
      <c r="E694" s="3">
        <f>ROUND(C694*(1-Settings!$B$3),2)</f>
        <v>74.83</v>
      </c>
      <c r="F694" s="2" t="inlineStr">
        <is>
          <t>Pokemon</t>
        </is>
      </c>
      <c r="G694" s="2" t="inlineStr">
        <is>
          <t>Deck</t>
        </is>
      </c>
      <c r="H694" s="2" t="inlineStr">
        <is>
          <t>Pokemon GO</t>
        </is>
      </c>
      <c r="I694" s="3" t="n"/>
      <c r="J694" s="3" t="n">
        <v>106.9</v>
      </c>
      <c r="K694" s="3" t="n">
        <v>119.97</v>
      </c>
      <c r="L694" s="3" t="n">
        <v>29</v>
      </c>
      <c r="M694" s="2" t="inlineStr">
        <is>
          <t>TCGplayer</t>
        </is>
      </c>
      <c r="O694" s="4" t="inlineStr">
        <is>
          <t>https://www.tcgplayer.com/product/275842</t>
        </is>
      </c>
    </row>
    <row r="695">
      <c r="A695" s="2" t="inlineStr">
        <is>
          <t>V Battle Deck [Melmetal V]</t>
        </is>
      </c>
      <c r="B695" s="3">
        <f>IF(I695&lt;&gt;"",I695,IF(J695&lt;&gt;"",J695,IF(K695&lt;&gt;"",K695,L695)))</f>
        <v>14.24</v>
      </c>
      <c r="C695" s="3">
        <f>MEDIAN(I695:L695)</f>
        <v>14.0</v>
      </c>
      <c r="D695" s="3">
        <f>ROUND(C695*(1-Settings!$B$2),2)</f>
        <v>9.8</v>
      </c>
      <c r="E695" s="3">
        <f>ROUND(C695*(1-Settings!$B$3),2)</f>
        <v>9.8</v>
      </c>
      <c r="F695" s="2" t="inlineStr">
        <is>
          <t>Pokemon</t>
        </is>
      </c>
      <c r="G695" s="2" t="inlineStr">
        <is>
          <t>Deck</t>
        </is>
      </c>
      <c r="H695" s="2" t="inlineStr">
        <is>
          <t>Pokemon GO</t>
        </is>
      </c>
      <c r="I695" s="3" t="n"/>
      <c r="J695" s="3" t="n">
        <v>14.24</v>
      </c>
      <c r="K695" s="3" t="n">
        <v>14</v>
      </c>
      <c r="L695" s="3" t="n">
        <v>8.99</v>
      </c>
      <c r="M695" s="2" t="inlineStr">
        <is>
          <t>TCGplayer</t>
        </is>
      </c>
      <c r="O695" s="4" t="inlineStr">
        <is>
          <t>https://www.tcgplayer.com/product/270711</t>
        </is>
      </c>
    </row>
    <row r="696">
      <c r="A696" s="2" t="inlineStr">
        <is>
          <t>V Battle Deck [Mewtwo V]</t>
        </is>
      </c>
      <c r="B696" s="3">
        <f>IF(I696&lt;&gt;"",I696,IF(J696&lt;&gt;"",J696,IF(K696&lt;&gt;"",K696,L696)))</f>
        <v>29.09</v>
      </c>
      <c r="C696" s="3">
        <f>MEDIAN(I696:L696)</f>
        <v>29.99</v>
      </c>
      <c r="D696" s="3">
        <f>ROUND(C696*(1-Settings!$B$2),2)</f>
        <v>20.99</v>
      </c>
      <c r="E696" s="3">
        <f>ROUND(C696*(1-Settings!$B$3),2)</f>
        <v>20.99</v>
      </c>
      <c r="F696" s="2" t="inlineStr">
        <is>
          <t>Pokemon</t>
        </is>
      </c>
      <c r="G696" s="2" t="inlineStr">
        <is>
          <t>Deck</t>
        </is>
      </c>
      <c r="H696" s="2" t="inlineStr">
        <is>
          <t>Pokemon GO</t>
        </is>
      </c>
      <c r="I696" s="3" t="n"/>
      <c r="J696" s="3" t="n">
        <v>29.09</v>
      </c>
      <c r="K696" s="3" t="n">
        <v>34.99</v>
      </c>
      <c r="L696" s="3" t="n">
        <v>29.99</v>
      </c>
      <c r="M696" s="2" t="inlineStr">
        <is>
          <t>TCGplayer</t>
        </is>
      </c>
      <c r="O696" s="4" t="inlineStr">
        <is>
          <t>https://www.tcgplayer.com/product/270710</t>
        </is>
      </c>
    </row>
    <row r="697">
      <c r="A697" s="2" t="inlineStr">
        <is>
          <t>Power Keepers Dark Blast Theme Deck</t>
        </is>
      </c>
      <c r="B697" s="3">
        <f>IF(I697&lt;&gt;"",I697,IF(J697&lt;&gt;"",J697,IF(K697&lt;&gt;"",K697,L697)))</f>
        <v>151.09</v>
      </c>
      <c r="C697" s="3">
        <f>MEDIAN(I697:L697)</f>
        <v>151.09</v>
      </c>
      <c r="D697" s="3">
        <f>ROUND(C697*(1-Settings!$B$2),2)</f>
        <v>105.76</v>
      </c>
      <c r="E697" s="3">
        <f>ROUND(C697*(1-Settings!$B$3),2)</f>
        <v>105.76</v>
      </c>
      <c r="F697" s="2" t="inlineStr">
        <is>
          <t>Pokemon</t>
        </is>
      </c>
      <c r="G697" s="2" t="inlineStr">
        <is>
          <t>Deck</t>
        </is>
      </c>
      <c r="H697" s="2" t="inlineStr">
        <is>
          <t>Power Keepers</t>
        </is>
      </c>
      <c r="I697" s="3" t="n">
        <v>151.09</v>
      </c>
      <c r="J697" s="3" t="n"/>
      <c r="K697" s="3" t="n"/>
      <c r="L697" s="3" t="n"/>
      <c r="M697" s="2" t="inlineStr">
        <is>
          <t>PriceCharting</t>
        </is>
      </c>
      <c r="N697" s="4" t="inlineStr">
        <is>
          <t>https://www.pricecharting.com/game/pokemon-power-keepers/dark-blast-theme-deck</t>
        </is>
      </c>
    </row>
    <row r="698">
      <c r="A698" s="2" t="inlineStr">
        <is>
          <t>Power Keepers Mind Game Theme Deck</t>
        </is>
      </c>
      <c r="B698" s="3">
        <f>IF(I698&lt;&gt;"",I698,IF(J698&lt;&gt;"",J698,IF(K698&lt;&gt;"",K698,L698)))</f>
        <v>85.03</v>
      </c>
      <c r="C698" s="3">
        <f>MEDIAN(I698:L698)</f>
        <v>85.03</v>
      </c>
      <c r="D698" s="3">
        <f>ROUND(C698*(1-Settings!$B$2),2)</f>
        <v>59.52</v>
      </c>
      <c r="E698" s="3">
        <f>ROUND(C698*(1-Settings!$B$3),2)</f>
        <v>59.52</v>
      </c>
      <c r="F698" s="2" t="inlineStr">
        <is>
          <t>Pokemon</t>
        </is>
      </c>
      <c r="G698" s="2" t="inlineStr">
        <is>
          <t>Deck</t>
        </is>
      </c>
      <c r="H698" s="2" t="inlineStr">
        <is>
          <t>Power Keepers</t>
        </is>
      </c>
      <c r="I698" s="3" t="n">
        <v>85.03</v>
      </c>
      <c r="J698" s="3" t="n"/>
      <c r="K698" s="3" t="n"/>
      <c r="L698" s="3" t="n"/>
      <c r="M698" s="2" t="inlineStr">
        <is>
          <t>PriceCharting</t>
        </is>
      </c>
      <c r="N698" s="4" t="inlineStr">
        <is>
          <t>https://www.pricecharting.com/game/pokemon-power-keepers/mind-game-theme-deck</t>
        </is>
      </c>
    </row>
    <row r="699">
      <c r="A699" s="2" t="inlineStr">
        <is>
          <t>Promo Battle Academy 2022</t>
        </is>
      </c>
      <c r="B699" s="3">
        <f>IF(I699&lt;&gt;"",I699,IF(J699&lt;&gt;"",J699,IF(K699&lt;&gt;"",K699,L699)))</f>
        <v>28.6</v>
      </c>
      <c r="C699" s="3">
        <f>MEDIAN(I699:L699)</f>
        <v>28.6</v>
      </c>
      <c r="D699" s="3">
        <f>ROUND(C699*(1-Settings!$B$2),2)</f>
        <v>20.02</v>
      </c>
      <c r="E699" s="3">
        <f>ROUND(C699*(1-Settings!$B$3),2)</f>
        <v>20.02</v>
      </c>
      <c r="F699" s="2" t="inlineStr">
        <is>
          <t>Pokemon</t>
        </is>
      </c>
      <c r="G699" s="2" t="inlineStr">
        <is>
          <t>Deck</t>
        </is>
      </c>
      <c r="H699" s="2" t="inlineStr">
        <is>
          <t>Promo</t>
        </is>
      </c>
      <c r="I699" s="3" t="n">
        <v>28.6</v>
      </c>
      <c r="J699" s="3" t="n"/>
      <c r="K699" s="3" t="n"/>
      <c r="L699" s="3" t="n"/>
      <c r="M699" s="2" t="inlineStr">
        <is>
          <t>PriceCharting</t>
        </is>
      </c>
      <c r="N699" s="4" t="inlineStr">
        <is>
          <t>https://www.pricecharting.com/game/pokemon-promo/battle-academy-2022</t>
        </is>
      </c>
    </row>
    <row r="700">
      <c r="A700" s="2" t="inlineStr">
        <is>
          <t>Promo Deluxe Battle Deck: Meowscarada Ex</t>
        </is>
      </c>
      <c r="B700" s="3">
        <f>IF(I700&lt;&gt;"",I700,IF(J700&lt;&gt;"",J700,IF(K700&lt;&gt;"",K700,L700)))</f>
        <v>22.29</v>
      </c>
      <c r="C700" s="3">
        <f>MEDIAN(I700:L700)</f>
        <v>22.29</v>
      </c>
      <c r="D700" s="3">
        <f>ROUND(C700*(1-Settings!$B$2),2)</f>
        <v>15.6</v>
      </c>
      <c r="E700" s="3">
        <f>ROUND(C700*(1-Settings!$B$3),2)</f>
        <v>15.6</v>
      </c>
      <c r="F700" s="2" t="inlineStr">
        <is>
          <t>Pokemon</t>
        </is>
      </c>
      <c r="G700" s="2" t="inlineStr">
        <is>
          <t>Deck</t>
        </is>
      </c>
      <c r="H700" s="2" t="inlineStr">
        <is>
          <t>Promo</t>
        </is>
      </c>
      <c r="I700" s="3" t="n">
        <v>22.29</v>
      </c>
      <c r="J700" s="3" t="n"/>
      <c r="K700" s="3" t="n"/>
      <c r="L700" s="3" t="n"/>
      <c r="M700" s="2" t="inlineStr">
        <is>
          <t>PriceCharting</t>
        </is>
      </c>
      <c r="N700" s="4" t="inlineStr">
        <is>
          <t>https://www.pricecharting.com/game/pokemon-promo/deluxe-battle-deck-meowscarada-ex</t>
        </is>
      </c>
    </row>
    <row r="701">
      <c r="A701" s="2" t="inlineStr">
        <is>
          <t>Promo Deluxe Battle Deck: Ninetales</t>
        </is>
      </c>
      <c r="B701" s="3">
        <f>IF(I701&lt;&gt;"",I701,IF(J701&lt;&gt;"",J701,IF(K701&lt;&gt;"",K701,L701)))</f>
        <v>30.66</v>
      </c>
      <c r="C701" s="3">
        <f>MEDIAN(I701:L701)</f>
        <v>30.66</v>
      </c>
      <c r="D701" s="3">
        <f>ROUND(C701*(1-Settings!$B$2),2)</f>
        <v>21.46</v>
      </c>
      <c r="E701" s="3">
        <f>ROUND(C701*(1-Settings!$B$3),2)</f>
        <v>21.46</v>
      </c>
      <c r="F701" s="2" t="inlineStr">
        <is>
          <t>Pokemon</t>
        </is>
      </c>
      <c r="G701" s="2" t="inlineStr">
        <is>
          <t>Deck</t>
        </is>
      </c>
      <c r="H701" s="2" t="inlineStr">
        <is>
          <t>Promo</t>
        </is>
      </c>
      <c r="I701" s="3" t="n">
        <v>30.66</v>
      </c>
      <c r="J701" s="3" t="n"/>
      <c r="K701" s="3" t="n"/>
      <c r="L701" s="3" t="n"/>
      <c r="M701" s="2" t="inlineStr">
        <is>
          <t>PriceCharting</t>
        </is>
      </c>
      <c r="N701" s="4" t="inlineStr">
        <is>
          <t>https://www.pricecharting.com/game/pokemon-promo/deluxe-battle-deck-ninetales</t>
        </is>
      </c>
    </row>
    <row r="702">
      <c r="A702" s="2" t="inlineStr">
        <is>
          <t>Promo Deluxe Battle Deck: Zapdos</t>
        </is>
      </c>
      <c r="B702" s="3">
        <f>IF(I702&lt;&gt;"",I702,IF(J702&lt;&gt;"",J702,IF(K702&lt;&gt;"",K702,L702)))</f>
        <v>23.04</v>
      </c>
      <c r="C702" s="3">
        <f>MEDIAN(I702:L702)</f>
        <v>23.04</v>
      </c>
      <c r="D702" s="3">
        <f>ROUND(C702*(1-Settings!$B$2),2)</f>
        <v>16.13</v>
      </c>
      <c r="E702" s="3">
        <f>ROUND(C702*(1-Settings!$B$3),2)</f>
        <v>16.13</v>
      </c>
      <c r="F702" s="2" t="inlineStr">
        <is>
          <t>Pokemon</t>
        </is>
      </c>
      <c r="G702" s="2" t="inlineStr">
        <is>
          <t>Deck</t>
        </is>
      </c>
      <c r="H702" s="2" t="inlineStr">
        <is>
          <t>Promo</t>
        </is>
      </c>
      <c r="I702" s="3" t="n">
        <v>23.04</v>
      </c>
      <c r="J702" s="3" t="n"/>
      <c r="K702" s="3" t="n"/>
      <c r="L702" s="3" t="n"/>
      <c r="M702" s="2" t="inlineStr">
        <is>
          <t>PriceCharting</t>
        </is>
      </c>
      <c r="N702" s="4" t="inlineStr">
        <is>
          <t>https://www.pricecharting.com/game/pokemon-promo/deluxe-battle-deck-zapdos</t>
        </is>
      </c>
    </row>
    <row r="703">
      <c r="A703" s="2" t="inlineStr">
        <is>
          <t>Promo EX Battle Deck [Chien Pao]</t>
        </is>
      </c>
      <c r="B703" s="3">
        <f>IF(I703&lt;&gt;"",I703,IF(J703&lt;&gt;"",J703,IF(K703&lt;&gt;"",K703,L703)))</f>
        <v>16.7</v>
      </c>
      <c r="C703" s="3">
        <f>MEDIAN(I703:L703)</f>
        <v>16.7</v>
      </c>
      <c r="D703" s="3">
        <f>ROUND(C703*(1-Settings!$B$2),2)</f>
        <v>11.69</v>
      </c>
      <c r="E703" s="3">
        <f>ROUND(C703*(1-Settings!$B$3),2)</f>
        <v>11.69</v>
      </c>
      <c r="F703" s="2" t="inlineStr">
        <is>
          <t>Pokemon</t>
        </is>
      </c>
      <c r="G703" s="2" t="inlineStr">
        <is>
          <t>Deck</t>
        </is>
      </c>
      <c r="H703" s="2" t="inlineStr">
        <is>
          <t>Promo</t>
        </is>
      </c>
      <c r="I703" s="3" t="n">
        <v>16.7</v>
      </c>
      <c r="J703" s="3" t="n"/>
      <c r="K703" s="3" t="n"/>
      <c r="L703" s="3" t="n"/>
      <c r="M703" s="2" t="inlineStr">
        <is>
          <t>PriceCharting</t>
        </is>
      </c>
      <c r="N703" s="4" t="inlineStr">
        <is>
          <t>https://www.pricecharting.com/game/pokemon-promo/ex-battle-deck-chien-pao</t>
        </is>
      </c>
    </row>
    <row r="704">
      <c r="A704" s="2" t="inlineStr">
        <is>
          <t>Promo EX Battle Deck [Tapu Koko]</t>
        </is>
      </c>
      <c r="B704" s="3">
        <f>IF(I704&lt;&gt;"",I704,IF(J704&lt;&gt;"",J704,IF(K704&lt;&gt;"",K704,L704)))</f>
        <v>14.0</v>
      </c>
      <c r="C704" s="3">
        <f>MEDIAN(I704:L704)</f>
        <v>14.0</v>
      </c>
      <c r="D704" s="3">
        <f>ROUND(C704*(1-Settings!$B$2),2)</f>
        <v>9.8</v>
      </c>
      <c r="E704" s="3">
        <f>ROUND(C704*(1-Settings!$B$3),2)</f>
        <v>9.8</v>
      </c>
      <c r="F704" s="2" t="inlineStr">
        <is>
          <t>Pokemon</t>
        </is>
      </c>
      <c r="G704" s="2" t="inlineStr">
        <is>
          <t>Deck</t>
        </is>
      </c>
      <c r="H704" s="2" t="inlineStr">
        <is>
          <t>Promo</t>
        </is>
      </c>
      <c r="I704" s="3" t="n">
        <v>14</v>
      </c>
      <c r="J704" s="3" t="n"/>
      <c r="K704" s="3" t="n"/>
      <c r="L704" s="3" t="n"/>
      <c r="M704" s="2" t="inlineStr">
        <is>
          <t>PriceCharting</t>
        </is>
      </c>
      <c r="N704" s="4" t="inlineStr">
        <is>
          <t>https://www.pricecharting.com/game/pokemon-promo/ex-battle-deck-tapu-koko</t>
        </is>
      </c>
    </row>
    <row r="705">
      <c r="A705" s="2" t="inlineStr">
        <is>
          <t>Promo Ex Battle Deck: Houndoom Ex</t>
        </is>
      </c>
      <c r="B705" s="3">
        <f>IF(I705&lt;&gt;"",I705,IF(J705&lt;&gt;"",J705,IF(K705&lt;&gt;"",K705,L705)))</f>
        <v>26.0</v>
      </c>
      <c r="C705" s="3">
        <f>MEDIAN(I705:L705)</f>
        <v>26.0</v>
      </c>
      <c r="D705" s="3">
        <f>ROUND(C705*(1-Settings!$B$2),2)</f>
        <v>18.2</v>
      </c>
      <c r="E705" s="3">
        <f>ROUND(C705*(1-Settings!$B$3),2)</f>
        <v>18.2</v>
      </c>
      <c r="F705" s="2" t="inlineStr">
        <is>
          <t>Pokemon</t>
        </is>
      </c>
      <c r="G705" s="2" t="inlineStr">
        <is>
          <t>Deck</t>
        </is>
      </c>
      <c r="H705" s="2" t="inlineStr">
        <is>
          <t>Promo</t>
        </is>
      </c>
      <c r="I705" s="3" t="n">
        <v>26</v>
      </c>
      <c r="J705" s="3" t="n"/>
      <c r="K705" s="3" t="n"/>
      <c r="L705" s="3" t="n"/>
      <c r="M705" s="2" t="inlineStr">
        <is>
          <t>PriceCharting</t>
        </is>
      </c>
      <c r="N705" s="4" t="inlineStr">
        <is>
          <t>https://www.pricecharting.com/game/pokemon-promo/ex-battle-deck-houndoom-ex</t>
        </is>
      </c>
    </row>
    <row r="706">
      <c r="A706" s="2" t="inlineStr">
        <is>
          <t>Promo EX Battle Deck: Iron Leaves EX</t>
        </is>
      </c>
      <c r="B706" s="3">
        <f>IF(I706&lt;&gt;"",I706,IF(J706&lt;&gt;"",J706,IF(K706&lt;&gt;"",K706,L706)))</f>
        <v>24.16</v>
      </c>
      <c r="C706" s="3">
        <f>MEDIAN(I706:L706)</f>
        <v>24.16</v>
      </c>
      <c r="D706" s="3">
        <f>ROUND(C706*(1-Settings!$B$2),2)</f>
        <v>16.91</v>
      </c>
      <c r="E706" s="3">
        <f>ROUND(C706*(1-Settings!$B$3),2)</f>
        <v>16.91</v>
      </c>
      <c r="F706" s="2" t="inlineStr">
        <is>
          <t>Pokemon</t>
        </is>
      </c>
      <c r="G706" s="2" t="inlineStr">
        <is>
          <t>Deck</t>
        </is>
      </c>
      <c r="H706" s="2" t="inlineStr">
        <is>
          <t>Promo</t>
        </is>
      </c>
      <c r="I706" s="3" t="n">
        <v>24.16</v>
      </c>
      <c r="J706" s="3" t="n"/>
      <c r="K706" s="3" t="n"/>
      <c r="L706" s="3" t="n"/>
      <c r="M706" s="2" t="inlineStr">
        <is>
          <t>PriceCharting</t>
        </is>
      </c>
      <c r="N706" s="4" t="inlineStr">
        <is>
          <t>https://www.pricecharting.com/game/pokemon-promo/ex-battle-deck-iron-leaves-ex</t>
        </is>
      </c>
    </row>
    <row r="707">
      <c r="A707" s="2" t="inlineStr">
        <is>
          <t>Promo EX Battle Deck: Melmetal</t>
        </is>
      </c>
      <c r="B707" s="3">
        <f>IF(I707&lt;&gt;"",I707,IF(J707&lt;&gt;"",J707,IF(K707&lt;&gt;"",K707,L707)))</f>
        <v>18.45</v>
      </c>
      <c r="C707" s="3">
        <f>MEDIAN(I707:L707)</f>
        <v>18.45</v>
      </c>
      <c r="D707" s="3">
        <f>ROUND(C707*(1-Settings!$B$2),2)</f>
        <v>12.92</v>
      </c>
      <c r="E707" s="3">
        <f>ROUND(C707*(1-Settings!$B$3),2)</f>
        <v>12.92</v>
      </c>
      <c r="F707" s="2" t="inlineStr">
        <is>
          <t>Pokemon</t>
        </is>
      </c>
      <c r="G707" s="2" t="inlineStr">
        <is>
          <t>Deck</t>
        </is>
      </c>
      <c r="H707" s="2" t="inlineStr">
        <is>
          <t>Promo</t>
        </is>
      </c>
      <c r="I707" s="3" t="n">
        <v>18.45</v>
      </c>
      <c r="J707" s="3" t="n"/>
      <c r="K707" s="3" t="n"/>
      <c r="L707" s="3" t="n"/>
      <c r="M707" s="2" t="inlineStr">
        <is>
          <t>PriceCharting</t>
        </is>
      </c>
      <c r="N707" s="4" t="inlineStr">
        <is>
          <t>https://www.pricecharting.com/game/pokemon-promo/ex-battle-deck-melmetal</t>
        </is>
      </c>
    </row>
    <row r="708">
      <c r="A708" s="2" t="inlineStr">
        <is>
          <t>Promo Gardevoir V Battle Deck</t>
        </is>
      </c>
      <c r="B708" s="3">
        <f>IF(I708&lt;&gt;"",I708,IF(J708&lt;&gt;"",J708,IF(K708&lt;&gt;"",K708,L708)))</f>
        <v>15.39</v>
      </c>
      <c r="C708" s="3">
        <f>MEDIAN(I708:L708)</f>
        <v>15.39</v>
      </c>
      <c r="D708" s="3">
        <f>ROUND(C708*(1-Settings!$B$2),2)</f>
        <v>10.77</v>
      </c>
      <c r="E708" s="3">
        <f>ROUND(C708*(1-Settings!$B$3),2)</f>
        <v>10.77</v>
      </c>
      <c r="F708" s="2" t="inlineStr">
        <is>
          <t>Pokemon</t>
        </is>
      </c>
      <c r="G708" s="2" t="inlineStr">
        <is>
          <t>Deck</t>
        </is>
      </c>
      <c r="H708" s="2" t="inlineStr">
        <is>
          <t>Promo</t>
        </is>
      </c>
      <c r="I708" s="3" t="n">
        <v>15.39</v>
      </c>
      <c r="J708" s="3" t="n"/>
      <c r="K708" s="3" t="n"/>
      <c r="L708" s="3" t="n"/>
      <c r="M708" s="2" t="inlineStr">
        <is>
          <t>PriceCharting</t>
        </is>
      </c>
      <c r="N708" s="4" t="inlineStr">
        <is>
          <t>https://www.pricecharting.com/game/pokemon-promo/gardevoir-v-battle-deck</t>
        </is>
      </c>
    </row>
    <row r="709">
      <c r="A709" s="2" t="inlineStr">
        <is>
          <t>Promo League Battle Deck: Charizard Ex</t>
        </is>
      </c>
      <c r="B709" s="3">
        <f>IF(I709&lt;&gt;"",I709,IF(J709&lt;&gt;"",J709,IF(K709&lt;&gt;"",K709,L709)))</f>
        <v>128.21</v>
      </c>
      <c r="C709" s="3">
        <f>MEDIAN(I709:L709)</f>
        <v>128.21</v>
      </c>
      <c r="D709" s="3">
        <f>ROUND(C709*(1-Settings!$B$2),2)</f>
        <v>89.75</v>
      </c>
      <c r="E709" s="3">
        <f>ROUND(C709*(1-Settings!$B$3),2)</f>
        <v>89.75</v>
      </c>
      <c r="F709" s="2" t="inlineStr">
        <is>
          <t>Pokemon</t>
        </is>
      </c>
      <c r="G709" s="2" t="inlineStr">
        <is>
          <t>Deck</t>
        </is>
      </c>
      <c r="H709" s="2" t="inlineStr">
        <is>
          <t>Promo</t>
        </is>
      </c>
      <c r="I709" s="3" t="n">
        <v>128.21</v>
      </c>
      <c r="J709" s="3" t="n"/>
      <c r="K709" s="3" t="n"/>
      <c r="L709" s="3" t="n"/>
      <c r="M709" s="2" t="inlineStr">
        <is>
          <t>PriceCharting</t>
        </is>
      </c>
      <c r="N709" s="4" t="inlineStr">
        <is>
          <t>https://www.pricecharting.com/game/pokemon-promo/league-battle-deck-charizard-ex</t>
        </is>
      </c>
    </row>
    <row r="710">
      <c r="A710" s="2" t="inlineStr">
        <is>
          <t>Promo League Battle Deck: Gardevoir Ex</t>
        </is>
      </c>
      <c r="B710" s="3">
        <f>IF(I710&lt;&gt;"",I710,IF(J710&lt;&gt;"",J710,IF(K710&lt;&gt;"",K710,L710)))</f>
        <v>49.5</v>
      </c>
      <c r="C710" s="3">
        <f>MEDIAN(I710:L710)</f>
        <v>49.5</v>
      </c>
      <c r="D710" s="3">
        <f>ROUND(C710*(1-Settings!$B$2),2)</f>
        <v>34.65</v>
      </c>
      <c r="E710" s="3">
        <f>ROUND(C710*(1-Settings!$B$3),2)</f>
        <v>34.65</v>
      </c>
      <c r="F710" s="2" t="inlineStr">
        <is>
          <t>Pokemon</t>
        </is>
      </c>
      <c r="G710" s="2" t="inlineStr">
        <is>
          <t>Deck</t>
        </is>
      </c>
      <c r="H710" s="2" t="inlineStr">
        <is>
          <t>Promo</t>
        </is>
      </c>
      <c r="I710" s="3" t="n">
        <v>49.5</v>
      </c>
      <c r="J710" s="3" t="n"/>
      <c r="K710" s="3" t="n"/>
      <c r="L710" s="3" t="n"/>
      <c r="M710" s="2" t="inlineStr">
        <is>
          <t>PriceCharting</t>
        </is>
      </c>
      <c r="N710" s="4" t="inlineStr">
        <is>
          <t>https://www.pricecharting.com/game/pokemon-promo/league-battle-deck-gardevoir-ex</t>
        </is>
      </c>
    </row>
    <row r="711">
      <c r="A711" s="2" t="inlineStr">
        <is>
          <t>Promo League Battle Deck: Mega Lucario Ex</t>
        </is>
      </c>
      <c r="B711" s="3">
        <f>IF(I711&lt;&gt;"",I711,IF(J711&lt;&gt;"",J711,IF(K711&lt;&gt;"",K711,L711)))</f>
        <v>14.98</v>
      </c>
      <c r="C711" s="3">
        <f>MEDIAN(I711:L711)</f>
        <v>14.98</v>
      </c>
      <c r="D711" s="3">
        <f>ROUND(C711*(1-Settings!$B$2),2)</f>
        <v>10.49</v>
      </c>
      <c r="E711" s="3">
        <f>ROUND(C711*(1-Settings!$B$3),2)</f>
        <v>10.49</v>
      </c>
      <c r="F711" s="2" t="inlineStr">
        <is>
          <t>Pokemon</t>
        </is>
      </c>
      <c r="G711" s="2" t="inlineStr">
        <is>
          <t>Deck</t>
        </is>
      </c>
      <c r="H711" s="2" t="inlineStr">
        <is>
          <t>Promo</t>
        </is>
      </c>
      <c r="I711" s="3" t="n">
        <v>14.98</v>
      </c>
      <c r="J711" s="3" t="n"/>
      <c r="K711" s="3" t="n"/>
      <c r="L711" s="3" t="n"/>
      <c r="M711" s="2" t="inlineStr">
        <is>
          <t>PriceCharting</t>
        </is>
      </c>
      <c r="N711" s="4" t="inlineStr">
        <is>
          <t>https://www.pricecharting.com/game/pokemon-promo/league-battle-deck-mega-lucario-ex</t>
        </is>
      </c>
    </row>
    <row r="712">
      <c r="A712" s="2" t="inlineStr">
        <is>
          <t>Promo League Battle Deck: Mew VMAX</t>
        </is>
      </c>
      <c r="B712" s="3">
        <f>IF(I712&lt;&gt;"",I712,IF(J712&lt;&gt;"",J712,IF(K712&lt;&gt;"",K712,L712)))</f>
        <v>75.29</v>
      </c>
      <c r="C712" s="3">
        <f>MEDIAN(I712:L712)</f>
        <v>75.29</v>
      </c>
      <c r="D712" s="3">
        <f>ROUND(C712*(1-Settings!$B$2),2)</f>
        <v>52.7</v>
      </c>
      <c r="E712" s="3">
        <f>ROUND(C712*(1-Settings!$B$3),2)</f>
        <v>52.7</v>
      </c>
      <c r="F712" s="2" t="inlineStr">
        <is>
          <t>Pokemon</t>
        </is>
      </c>
      <c r="G712" s="2" t="inlineStr">
        <is>
          <t>Deck</t>
        </is>
      </c>
      <c r="H712" s="2" t="inlineStr">
        <is>
          <t>Promo</t>
        </is>
      </c>
      <c r="I712" s="3" t="n">
        <v>75.29000000000001</v>
      </c>
      <c r="J712" s="3" t="n"/>
      <c r="K712" s="3" t="n"/>
      <c r="L712" s="3" t="n"/>
      <c r="M712" s="2" t="inlineStr">
        <is>
          <t>PriceCharting</t>
        </is>
      </c>
      <c r="N712" s="4" t="inlineStr">
        <is>
          <t>https://www.pricecharting.com/game/pokemon-promo/league-battle-deck-mew-vmax</t>
        </is>
      </c>
    </row>
    <row r="713">
      <c r="A713" s="2" t="inlineStr">
        <is>
          <t>Promo League Battle Deck: Miraidon Ex</t>
        </is>
      </c>
      <c r="B713" s="3">
        <f>IF(I713&lt;&gt;"",I713,IF(J713&lt;&gt;"",J713,IF(K713&lt;&gt;"",K713,L713)))</f>
        <v>25.61</v>
      </c>
      <c r="C713" s="3">
        <f>MEDIAN(I713:L713)</f>
        <v>25.61</v>
      </c>
      <c r="D713" s="3">
        <f>ROUND(C713*(1-Settings!$B$2),2)</f>
        <v>17.93</v>
      </c>
      <c r="E713" s="3">
        <f>ROUND(C713*(1-Settings!$B$3),2)</f>
        <v>17.93</v>
      </c>
      <c r="F713" s="2" t="inlineStr">
        <is>
          <t>Pokemon</t>
        </is>
      </c>
      <c r="G713" s="2" t="inlineStr">
        <is>
          <t>Deck</t>
        </is>
      </c>
      <c r="H713" s="2" t="inlineStr">
        <is>
          <t>Promo</t>
        </is>
      </c>
      <c r="I713" s="3" t="n">
        <v>25.61</v>
      </c>
      <c r="J713" s="3" t="n"/>
      <c r="K713" s="3" t="n"/>
      <c r="L713" s="3" t="n"/>
      <c r="M713" s="2" t="inlineStr">
        <is>
          <t>PriceCharting</t>
        </is>
      </c>
      <c r="N713" s="4" t="inlineStr">
        <is>
          <t>https://www.pricecharting.com/game/pokemon-promo/league-battle-deck-miraidon-ex</t>
        </is>
      </c>
    </row>
    <row r="714">
      <c r="A714" s="2" t="inlineStr">
        <is>
          <t>Promo League Battle Deck: Shadow Rider Calyrex VMAX</t>
        </is>
      </c>
      <c r="B714" s="3">
        <f>IF(I714&lt;&gt;"",I714,IF(J714&lt;&gt;"",J714,IF(K714&lt;&gt;"",K714,L714)))</f>
        <v>19.7</v>
      </c>
      <c r="C714" s="3">
        <f>MEDIAN(I714:L714)</f>
        <v>19.7</v>
      </c>
      <c r="D714" s="3">
        <f>ROUND(C714*(1-Settings!$B$2),2)</f>
        <v>13.79</v>
      </c>
      <c r="E714" s="3">
        <f>ROUND(C714*(1-Settings!$B$3),2)</f>
        <v>13.79</v>
      </c>
      <c r="F714" s="2" t="inlineStr">
        <is>
          <t>Pokemon</t>
        </is>
      </c>
      <c r="G714" s="2" t="inlineStr">
        <is>
          <t>Deck</t>
        </is>
      </c>
      <c r="H714" s="2" t="inlineStr">
        <is>
          <t>Promo</t>
        </is>
      </c>
      <c r="I714" s="3" t="n">
        <v>19.7</v>
      </c>
      <c r="J714" s="3" t="n"/>
      <c r="K714" s="3" t="n"/>
      <c r="L714" s="3" t="n"/>
      <c r="M714" s="2" t="inlineStr">
        <is>
          <t>PriceCharting</t>
        </is>
      </c>
      <c r="N714" s="4" t="inlineStr">
        <is>
          <t>https://www.pricecharting.com/game/pokemon-promo/league-battle-deck-shadow-rider-calyrex-vmax</t>
        </is>
      </c>
    </row>
    <row r="715">
      <c r="A715" s="2" t="inlineStr">
        <is>
          <t>Promo League Battle Deck: Team Rocket's Mewtwo Ex</t>
        </is>
      </c>
      <c r="B715" s="3">
        <f>IF(I715&lt;&gt;"",I715,IF(J715&lt;&gt;"",J715,IF(K715&lt;&gt;"",K715,L715)))</f>
        <v>23.99</v>
      </c>
      <c r="C715" s="3">
        <f>MEDIAN(I715:L715)</f>
        <v>23.99</v>
      </c>
      <c r="D715" s="3">
        <f>ROUND(C715*(1-Settings!$B$2),2)</f>
        <v>16.79</v>
      </c>
      <c r="E715" s="3">
        <f>ROUND(C715*(1-Settings!$B$3),2)</f>
        <v>16.79</v>
      </c>
      <c r="F715" s="2" t="inlineStr">
        <is>
          <t>Pokemon</t>
        </is>
      </c>
      <c r="G715" s="2" t="inlineStr">
        <is>
          <t>Deck</t>
        </is>
      </c>
      <c r="H715" s="2" t="inlineStr">
        <is>
          <t>Promo</t>
        </is>
      </c>
      <c r="I715" s="3" t="n">
        <v>23.99</v>
      </c>
      <c r="J715" s="3" t="n"/>
      <c r="K715" s="3" t="n"/>
      <c r="L715" s="3" t="n"/>
      <c r="M715" s="2" t="inlineStr">
        <is>
          <t>PriceCharting</t>
        </is>
      </c>
      <c r="N715" s="4" t="inlineStr">
        <is>
          <t>https://www.pricecharting.com/game/pokemon-promo/league-battle-deck-team-rocket's-mewtwo-ex</t>
        </is>
      </c>
    </row>
    <row r="716">
      <c r="A716" s="2" t="inlineStr">
        <is>
          <t>Promo League Battle Deck: Zacian V</t>
        </is>
      </c>
      <c r="B716" s="3">
        <f>IF(I716&lt;&gt;"",I716,IF(J716&lt;&gt;"",J716,IF(K716&lt;&gt;"",K716,L716)))</f>
        <v>64.99</v>
      </c>
      <c r="C716" s="3">
        <f>MEDIAN(I716:L716)</f>
        <v>64.99</v>
      </c>
      <c r="D716" s="3">
        <f>ROUND(C716*(1-Settings!$B$2),2)</f>
        <v>45.49</v>
      </c>
      <c r="E716" s="3">
        <f>ROUND(C716*(1-Settings!$B$3),2)</f>
        <v>45.49</v>
      </c>
      <c r="F716" s="2" t="inlineStr">
        <is>
          <t>Pokemon</t>
        </is>
      </c>
      <c r="G716" s="2" t="inlineStr">
        <is>
          <t>Deck</t>
        </is>
      </c>
      <c r="H716" s="2" t="inlineStr">
        <is>
          <t>Promo</t>
        </is>
      </c>
      <c r="I716" s="3" t="n">
        <v>64.98999999999999</v>
      </c>
      <c r="J716" s="3" t="n"/>
      <c r="K716" s="3" t="n"/>
      <c r="L716" s="3" t="n"/>
      <c r="M716" s="2" t="inlineStr">
        <is>
          <t>PriceCharting</t>
        </is>
      </c>
      <c r="N716" s="4" t="inlineStr">
        <is>
          <t>https://www.pricecharting.com/game/pokemon-promo/league-battle-deck-zacian-v</t>
        </is>
      </c>
    </row>
    <row r="717">
      <c r="A717" s="2" t="inlineStr">
        <is>
          <t>Promo Lucario Ex Battle Deck</t>
        </is>
      </c>
      <c r="B717" s="3">
        <f>IF(I717&lt;&gt;"",I717,IF(J717&lt;&gt;"",J717,IF(K717&lt;&gt;"",K717,L717)))</f>
        <v>30.0</v>
      </c>
      <c r="C717" s="3">
        <f>MEDIAN(I717:L717)</f>
        <v>30.0</v>
      </c>
      <c r="D717" s="3">
        <f>ROUND(C717*(1-Settings!$B$2),2)</f>
        <v>21.0</v>
      </c>
      <c r="E717" s="3">
        <f>ROUND(C717*(1-Settings!$B$3),2)</f>
        <v>21.0</v>
      </c>
      <c r="F717" s="2" t="inlineStr">
        <is>
          <t>Pokemon</t>
        </is>
      </c>
      <c r="G717" s="2" t="inlineStr">
        <is>
          <t>Deck</t>
        </is>
      </c>
      <c r="H717" s="2" t="inlineStr">
        <is>
          <t>Promo</t>
        </is>
      </c>
      <c r="I717" s="3" t="n">
        <v>30</v>
      </c>
      <c r="J717" s="3" t="n"/>
      <c r="K717" s="3" t="n"/>
      <c r="L717" s="3" t="n"/>
      <c r="M717" s="2" t="inlineStr">
        <is>
          <t>PriceCharting</t>
        </is>
      </c>
      <c r="N717" s="4" t="inlineStr">
        <is>
          <t>https://www.pricecharting.com/game/pokemon-promo/lucario-ex-battle-deck</t>
        </is>
      </c>
    </row>
    <row r="718">
      <c r="A718" s="2" t="inlineStr">
        <is>
          <t>Promo Mega Battle Deck: Mega Diancie Ex</t>
        </is>
      </c>
      <c r="B718" s="3">
        <f>IF(I718&lt;&gt;"",I718,IF(J718&lt;&gt;"",J718,IF(K718&lt;&gt;"",K718,L718)))</f>
        <v>21.8</v>
      </c>
      <c r="C718" s="3">
        <f>MEDIAN(I718:L718)</f>
        <v>21.8</v>
      </c>
      <c r="D718" s="3">
        <f>ROUND(C718*(1-Settings!$B$2),2)</f>
        <v>15.26</v>
      </c>
      <c r="E718" s="3">
        <f>ROUND(C718*(1-Settings!$B$3),2)</f>
        <v>15.26</v>
      </c>
      <c r="F718" s="2" t="inlineStr">
        <is>
          <t>Pokemon</t>
        </is>
      </c>
      <c r="G718" s="2" t="inlineStr">
        <is>
          <t>Deck</t>
        </is>
      </c>
      <c r="H718" s="2" t="inlineStr">
        <is>
          <t>Promo</t>
        </is>
      </c>
      <c r="I718" s="3" t="n">
        <v>21.8</v>
      </c>
      <c r="J718" s="3" t="n"/>
      <c r="K718" s="3" t="n"/>
      <c r="L718" s="3" t="n"/>
      <c r="M718" s="2" t="inlineStr">
        <is>
          <t>PriceCharting</t>
        </is>
      </c>
      <c r="N718" s="4" t="inlineStr">
        <is>
          <t>https://www.pricecharting.com/game/pokemon-promo/mega-battle-deck-mega-diancie-ex</t>
        </is>
      </c>
    </row>
    <row r="719">
      <c r="A719" s="2" t="inlineStr">
        <is>
          <t>Promo Rival Battle Deck [Marnie]</t>
        </is>
      </c>
      <c r="B719" s="3">
        <f>IF(I719&lt;&gt;"",I719,IF(J719&lt;&gt;"",J719,IF(K719&lt;&gt;"",K719,L719)))</f>
        <v>60.58</v>
      </c>
      <c r="C719" s="3">
        <f>MEDIAN(I719:L719)</f>
        <v>60.58</v>
      </c>
      <c r="D719" s="3">
        <f>ROUND(C719*(1-Settings!$B$2),2)</f>
        <v>42.41</v>
      </c>
      <c r="E719" s="3">
        <f>ROUND(C719*(1-Settings!$B$3),2)</f>
        <v>42.41</v>
      </c>
      <c r="F719" s="2" t="inlineStr">
        <is>
          <t>Pokemon</t>
        </is>
      </c>
      <c r="G719" s="2" t="inlineStr">
        <is>
          <t>Deck</t>
        </is>
      </c>
      <c r="H719" s="2" t="inlineStr">
        <is>
          <t>Promo</t>
        </is>
      </c>
      <c r="I719" s="3" t="n">
        <v>60.58</v>
      </c>
      <c r="J719" s="3" t="n"/>
      <c r="K719" s="3" t="n"/>
      <c r="L719" s="3" t="n"/>
      <c r="M719" s="2" t="inlineStr">
        <is>
          <t>PriceCharting</t>
        </is>
      </c>
      <c r="N719" s="4" t="inlineStr">
        <is>
          <t>https://www.pricecharting.com/game/pokemon-promo/rival-battle-deck-marnie</t>
        </is>
      </c>
    </row>
    <row r="720">
      <c r="A720" s="2" t="inlineStr">
        <is>
          <t>Promo Rival Battle Deck [Steven]</t>
        </is>
      </c>
      <c r="B720" s="3">
        <f>IF(I720&lt;&gt;"",I720,IF(J720&lt;&gt;"",J720,IF(K720&lt;&gt;"",K720,L720)))</f>
        <v>34.33</v>
      </c>
      <c r="C720" s="3">
        <f>MEDIAN(I720:L720)</f>
        <v>34.33</v>
      </c>
      <c r="D720" s="3">
        <f>ROUND(C720*(1-Settings!$B$2),2)</f>
        <v>24.03</v>
      </c>
      <c r="E720" s="3">
        <f>ROUND(C720*(1-Settings!$B$3),2)</f>
        <v>24.03</v>
      </c>
      <c r="F720" s="2" t="inlineStr">
        <is>
          <t>Pokemon</t>
        </is>
      </c>
      <c r="G720" s="2" t="inlineStr">
        <is>
          <t>Deck</t>
        </is>
      </c>
      <c r="H720" s="2" t="inlineStr">
        <is>
          <t>Promo</t>
        </is>
      </c>
      <c r="I720" s="3" t="n">
        <v>34.33</v>
      </c>
      <c r="J720" s="3" t="n"/>
      <c r="K720" s="3" t="n"/>
      <c r="L720" s="3" t="n"/>
      <c r="M720" s="2" t="inlineStr">
        <is>
          <t>PriceCharting</t>
        </is>
      </c>
      <c r="N720" s="4" t="inlineStr">
        <is>
          <t>https://www.pricecharting.com/game/pokemon-promo/rival-battle-deck-steven</t>
        </is>
      </c>
    </row>
    <row r="721">
      <c r="A721" s="2" t="inlineStr">
        <is>
          <t>Promo Sealed Mega Battle Deck: Mega Gengar Ex</t>
        </is>
      </c>
      <c r="B721" s="3">
        <f>IF(I721&lt;&gt;"",I721,IF(J721&lt;&gt;"",J721,IF(K721&lt;&gt;"",K721,L721)))</f>
        <v>66.0</v>
      </c>
      <c r="C721" s="3">
        <f>MEDIAN(I721:L721)</f>
        <v>66.0</v>
      </c>
      <c r="D721" s="3">
        <f>ROUND(C721*(1-Settings!$B$2),2)</f>
        <v>46.2</v>
      </c>
      <c r="E721" s="3">
        <f>ROUND(C721*(1-Settings!$B$3),2)</f>
        <v>46.2</v>
      </c>
      <c r="F721" s="2" t="inlineStr">
        <is>
          <t>Pokemon</t>
        </is>
      </c>
      <c r="G721" s="2" t="inlineStr">
        <is>
          <t>Deck</t>
        </is>
      </c>
      <c r="H721" s="2" t="inlineStr">
        <is>
          <t>Promo</t>
        </is>
      </c>
      <c r="I721" s="3" t="n">
        <v>66</v>
      </c>
      <c r="J721" s="3" t="n"/>
      <c r="K721" s="3" t="n"/>
      <c r="L721" s="3" t="n"/>
      <c r="M721" s="2" t="inlineStr">
        <is>
          <t>PriceCharting</t>
        </is>
      </c>
      <c r="N721" s="4" t="inlineStr">
        <is>
          <t>https://www.pricecharting.com/game/pokemon-promo/sealed-mega-battle-deck-mega-gengar-ex</t>
        </is>
      </c>
    </row>
    <row r="722">
      <c r="A722" s="2" t="inlineStr">
        <is>
          <t>Promo V Battle Deck [Noivern]</t>
        </is>
      </c>
      <c r="B722" s="3">
        <f>IF(I722&lt;&gt;"",I722,IF(J722&lt;&gt;"",J722,IF(K722&lt;&gt;"",K722,L722)))</f>
        <v>9.99</v>
      </c>
      <c r="C722" s="3">
        <f>MEDIAN(I722:L722)</f>
        <v>9.99</v>
      </c>
      <c r="D722" s="3">
        <f>ROUND(C722*(1-Settings!$B$2),2)</f>
        <v>6.99</v>
      </c>
      <c r="E722" s="3">
        <f>ROUND(C722*(1-Settings!$B$3),2)</f>
        <v>6.99</v>
      </c>
      <c r="F722" s="2" t="inlineStr">
        <is>
          <t>Pokemon</t>
        </is>
      </c>
      <c r="G722" s="2" t="inlineStr">
        <is>
          <t>Deck</t>
        </is>
      </c>
      <c r="H722" s="2" t="inlineStr">
        <is>
          <t>Promo</t>
        </is>
      </c>
      <c r="I722" s="3" t="n">
        <v>9.99</v>
      </c>
      <c r="J722" s="3" t="n"/>
      <c r="K722" s="3" t="n"/>
      <c r="L722" s="3" t="n"/>
      <c r="M722" s="2" t="inlineStr">
        <is>
          <t>PriceCharting</t>
        </is>
      </c>
      <c r="N722" s="4" t="inlineStr">
        <is>
          <t>https://www.pricecharting.com/game/pokemon-promo/v-battle-deck-noivern</t>
        </is>
      </c>
    </row>
    <row r="723">
      <c r="A723" s="2" t="inlineStr">
        <is>
          <t>Promo V Battle Deck [Rayquaza V]</t>
        </is>
      </c>
      <c r="B723" s="3">
        <f>IF(I723&lt;&gt;"",I723,IF(J723&lt;&gt;"",J723,IF(K723&lt;&gt;"",K723,L723)))</f>
        <v>18.43</v>
      </c>
      <c r="C723" s="3">
        <f>MEDIAN(I723:L723)</f>
        <v>18.43</v>
      </c>
      <c r="D723" s="3">
        <f>ROUND(C723*(1-Settings!$B$2),2)</f>
        <v>12.9</v>
      </c>
      <c r="E723" s="3">
        <f>ROUND(C723*(1-Settings!$B$3),2)</f>
        <v>12.9</v>
      </c>
      <c r="F723" s="2" t="inlineStr">
        <is>
          <t>Pokemon</t>
        </is>
      </c>
      <c r="G723" s="2" t="inlineStr">
        <is>
          <t>Deck</t>
        </is>
      </c>
      <c r="H723" s="2" t="inlineStr">
        <is>
          <t>Promo</t>
        </is>
      </c>
      <c r="I723" s="3" t="n">
        <v>18.43</v>
      </c>
      <c r="J723" s="3" t="n"/>
      <c r="K723" s="3" t="n"/>
      <c r="L723" s="3" t="n"/>
      <c r="M723" s="2" t="inlineStr">
        <is>
          <t>PriceCharting</t>
        </is>
      </c>
      <c r="N723" s="4" t="inlineStr">
        <is>
          <t>https://www.pricecharting.com/game/pokemon-promo/v-battle-deck-rayquaza-v</t>
        </is>
      </c>
    </row>
    <row r="724">
      <c r="A724" s="2" t="inlineStr">
        <is>
          <t>Promo V Battle Deck [Zeraora V]</t>
        </is>
      </c>
      <c r="B724" s="3">
        <f>IF(I724&lt;&gt;"",I724,IF(J724&lt;&gt;"",J724,IF(K724&lt;&gt;"",K724,L724)))</f>
        <v>17.67</v>
      </c>
      <c r="C724" s="3">
        <f>MEDIAN(I724:L724)</f>
        <v>17.67</v>
      </c>
      <c r="D724" s="3">
        <f>ROUND(C724*(1-Settings!$B$2),2)</f>
        <v>12.37</v>
      </c>
      <c r="E724" s="3">
        <f>ROUND(C724*(1-Settings!$B$3),2)</f>
        <v>12.37</v>
      </c>
      <c r="F724" s="2" t="inlineStr">
        <is>
          <t>Pokemon</t>
        </is>
      </c>
      <c r="G724" s="2" t="inlineStr">
        <is>
          <t>Deck</t>
        </is>
      </c>
      <c r="H724" s="2" t="inlineStr">
        <is>
          <t>Promo</t>
        </is>
      </c>
      <c r="I724" s="3" t="n">
        <v>17.67</v>
      </c>
      <c r="J724" s="3" t="n"/>
      <c r="K724" s="3" t="n"/>
      <c r="L724" s="3" t="n"/>
      <c r="M724" s="2" t="inlineStr">
        <is>
          <t>PriceCharting</t>
        </is>
      </c>
      <c r="N724" s="4" t="inlineStr">
        <is>
          <t>https://www.pricecharting.com/game/pokemon-promo/v-battle-deck-zeraora-v</t>
        </is>
      </c>
    </row>
    <row r="725">
      <c r="A725" s="2" t="inlineStr">
        <is>
          <t>Promo V Battle Deck: Blastoise</t>
        </is>
      </c>
      <c r="B725" s="3">
        <f>IF(I725&lt;&gt;"",I725,IF(J725&lt;&gt;"",J725,IF(K725&lt;&gt;"",K725,L725)))</f>
        <v>25.95</v>
      </c>
      <c r="C725" s="3">
        <f>MEDIAN(I725:L725)</f>
        <v>25.95</v>
      </c>
      <c r="D725" s="3">
        <f>ROUND(C725*(1-Settings!$B$2),2)</f>
        <v>18.17</v>
      </c>
      <c r="E725" s="3">
        <f>ROUND(C725*(1-Settings!$B$3),2)</f>
        <v>18.17</v>
      </c>
      <c r="F725" s="2" t="inlineStr">
        <is>
          <t>Pokemon</t>
        </is>
      </c>
      <c r="G725" s="2" t="inlineStr">
        <is>
          <t>Deck</t>
        </is>
      </c>
      <c r="H725" s="2" t="inlineStr">
        <is>
          <t>Promo</t>
        </is>
      </c>
      <c r="I725" s="3" t="n">
        <v>25.95</v>
      </c>
      <c r="J725" s="3" t="n"/>
      <c r="K725" s="3" t="n"/>
      <c r="L725" s="3" t="n"/>
      <c r="M725" s="2" t="inlineStr">
        <is>
          <t>PriceCharting</t>
        </is>
      </c>
      <c r="N725" s="4" t="inlineStr">
        <is>
          <t>https://www.pricecharting.com/game/pokemon-promo/v-battle-deck-blastoise</t>
        </is>
      </c>
    </row>
    <row r="726">
      <c r="A726" s="2" t="inlineStr">
        <is>
          <t>Promo V Battle Deck: Venusaur</t>
        </is>
      </c>
      <c r="B726" s="3">
        <f>IF(I726&lt;&gt;"",I726,IF(J726&lt;&gt;"",J726,IF(K726&lt;&gt;"",K726,L726)))</f>
        <v>27.03</v>
      </c>
      <c r="C726" s="3">
        <f>MEDIAN(I726:L726)</f>
        <v>27.03</v>
      </c>
      <c r="D726" s="3">
        <f>ROUND(C726*(1-Settings!$B$2),2)</f>
        <v>18.92</v>
      </c>
      <c r="E726" s="3">
        <f>ROUND(C726*(1-Settings!$B$3),2)</f>
        <v>18.92</v>
      </c>
      <c r="F726" s="2" t="inlineStr">
        <is>
          <t>Pokemon</t>
        </is>
      </c>
      <c r="G726" s="2" t="inlineStr">
        <is>
          <t>Deck</t>
        </is>
      </c>
      <c r="H726" s="2" t="inlineStr">
        <is>
          <t>Promo</t>
        </is>
      </c>
      <c r="I726" s="3" t="n">
        <v>27.03</v>
      </c>
      <c r="J726" s="3" t="n"/>
      <c r="K726" s="3" t="n"/>
      <c r="L726" s="3" t="n"/>
      <c r="M726" s="2" t="inlineStr">
        <is>
          <t>PriceCharting</t>
        </is>
      </c>
      <c r="N726" s="4" t="inlineStr">
        <is>
          <t>https://www.pricecharting.com/game/pokemon-promo/v-battle-deck-venusaur</t>
        </is>
      </c>
    </row>
    <row r="727">
      <c r="A727" s="2" t="inlineStr">
        <is>
          <t>Start Deck 100</t>
        </is>
      </c>
      <c r="B727" s="3">
        <f>IF(I727&lt;&gt;"",I727,IF(J727&lt;&gt;"",J727,IF(K727&lt;&gt;"",K727,L727)))</f>
        <v>39.49</v>
      </c>
      <c r="C727" s="3">
        <f>MEDIAN(I727:L727)</f>
        <v>39.74</v>
      </c>
      <c r="D727" s="3">
        <f>ROUND(C727*(1-Settings!$B$2),2)</f>
        <v>27.82</v>
      </c>
      <c r="E727" s="3">
        <f>ROUND(C727*(1-Settings!$B$3),2)</f>
        <v>27.82</v>
      </c>
      <c r="F727" s="2" t="inlineStr">
        <is>
          <t>Pokemon</t>
        </is>
      </c>
      <c r="G727" s="2" t="inlineStr">
        <is>
          <t>Deck</t>
        </is>
      </c>
      <c r="H727" s="2" t="inlineStr">
        <is>
          <t>SI: Start Deck 100</t>
        </is>
      </c>
      <c r="I727" s="3" t="n"/>
      <c r="J727" s="3" t="n">
        <v>39.49</v>
      </c>
      <c r="K727" s="3" t="n"/>
      <c r="L727" s="3" t="n">
        <v>39.99</v>
      </c>
      <c r="M727" s="2" t="inlineStr">
        <is>
          <t>TCGplayer</t>
        </is>
      </c>
      <c r="O727" s="4" t="inlineStr">
        <is>
          <t>https://www.tcgplayer.com/product/644827</t>
        </is>
      </c>
    </row>
    <row r="728">
      <c r="A728" s="2" t="inlineStr">
        <is>
          <t>Skyridge Theme Deck [Mind Machine]</t>
        </is>
      </c>
      <c r="B728" s="3">
        <f>IF(I728&lt;&gt;"",I728,IF(J728&lt;&gt;"",J728,IF(K728&lt;&gt;"",K728,L728)))</f>
        <v>3999.99</v>
      </c>
      <c r="C728" s="3">
        <f>MEDIAN(I728:L728)</f>
        <v>3999.99</v>
      </c>
      <c r="D728" s="3">
        <f>ROUND(C728*(1-Settings!$B$2),2)</f>
        <v>2799.99</v>
      </c>
      <c r="E728" s="3">
        <f>ROUND(C728*(1-Settings!$B$3),2)</f>
        <v>2799.99</v>
      </c>
      <c r="F728" s="2" t="inlineStr">
        <is>
          <t>Pokemon</t>
        </is>
      </c>
      <c r="G728" s="2" t="inlineStr">
        <is>
          <t>Deck</t>
        </is>
      </c>
      <c r="H728" s="2" t="inlineStr">
        <is>
          <t>Skyridge</t>
        </is>
      </c>
      <c r="I728" s="3" t="n">
        <v>3999.99</v>
      </c>
      <c r="J728" s="3" t="n"/>
      <c r="K728" s="3" t="n"/>
      <c r="L728" s="3" t="n"/>
      <c r="M728" s="2" t="inlineStr">
        <is>
          <t>PriceCharting</t>
        </is>
      </c>
      <c r="N728" s="4" t="inlineStr">
        <is>
          <t>https://www.pricecharting.com/game/pokemon-skyridge/theme-deck-mind-machine</t>
        </is>
      </c>
    </row>
    <row r="729">
      <c r="A729" s="2" t="inlineStr">
        <is>
          <t>Burning Shadows Theme Deck - "Luminous Frost" [Alolan Ninetales]</t>
        </is>
      </c>
      <c r="B729" s="3">
        <f>IF(I729&lt;&gt;"",I729,IF(J729&lt;&gt;"",J729,IF(K729&lt;&gt;"",K729,L729)))</f>
        <v>21.81</v>
      </c>
      <c r="C729" s="3">
        <f>MEDIAN(I729:L729)</f>
        <v>21.81</v>
      </c>
      <c r="D729" s="3">
        <f>ROUND(C729*(1-Settings!$B$2),2)</f>
        <v>15.27</v>
      </c>
      <c r="E729" s="3">
        <f>ROUND(C729*(1-Settings!$B$3),2)</f>
        <v>15.27</v>
      </c>
      <c r="F729" s="2" t="inlineStr">
        <is>
          <t>Pokemon</t>
        </is>
      </c>
      <c r="G729" s="2" t="inlineStr">
        <is>
          <t>Deck</t>
        </is>
      </c>
      <c r="H729" s="2" t="inlineStr">
        <is>
          <t>SM - Burning Shadows</t>
        </is>
      </c>
      <c r="I729" s="3" t="n"/>
      <c r="J729" s="3" t="n">
        <v>21.81</v>
      </c>
      <c r="K729" s="3" t="n">
        <v>23.99</v>
      </c>
      <c r="L729" s="3" t="n">
        <v>19.95</v>
      </c>
      <c r="M729" s="2" t="inlineStr">
        <is>
          <t>TCGplayer</t>
        </is>
      </c>
      <c r="O729" s="4" t="inlineStr">
        <is>
          <t>https://www.tcgplayer.com/product/133778</t>
        </is>
      </c>
    </row>
    <row r="730">
      <c r="A730" s="2" t="inlineStr">
        <is>
          <t>Burning Shadows Theme Deck - "Rock Steady" [Lycanroc]</t>
        </is>
      </c>
      <c r="B730" s="3">
        <f>IF(I730&lt;&gt;"",I730,IF(J730&lt;&gt;"",J730,IF(K730&lt;&gt;"",K730,L730)))</f>
        <v>12.79</v>
      </c>
      <c r="C730" s="3">
        <f>MEDIAN(I730:L730)</f>
        <v>12.79</v>
      </c>
      <c r="D730" s="3">
        <f>ROUND(C730*(1-Settings!$B$2),2)</f>
        <v>8.95</v>
      </c>
      <c r="E730" s="3">
        <f>ROUND(C730*(1-Settings!$B$3),2)</f>
        <v>8.95</v>
      </c>
      <c r="F730" s="2" t="inlineStr">
        <is>
          <t>Pokemon</t>
        </is>
      </c>
      <c r="G730" s="2" t="inlineStr">
        <is>
          <t>Deck</t>
        </is>
      </c>
      <c r="H730" s="2" t="inlineStr">
        <is>
          <t>SM - Burning Shadows</t>
        </is>
      </c>
      <c r="I730" s="3" t="n"/>
      <c r="J730" s="3" t="n">
        <v>12.79</v>
      </c>
      <c r="K730" s="3" t="n">
        <v>16.87</v>
      </c>
      <c r="L730" s="3" t="n">
        <v>10</v>
      </c>
      <c r="M730" s="2" t="inlineStr">
        <is>
          <t>TCGplayer</t>
        </is>
      </c>
      <c r="O730" s="4" t="inlineStr">
        <is>
          <t>https://www.tcgplayer.com/product/133777</t>
        </is>
      </c>
    </row>
    <row r="731">
      <c r="A731" s="2" t="inlineStr">
        <is>
          <t>Battle Arena Deck [Mega Blastoise]</t>
        </is>
      </c>
      <c r="B731" s="3">
        <f>IF(I731&lt;&gt;"",I731,IF(J731&lt;&gt;"",J731,IF(K731&lt;&gt;"",K731,L731)))</f>
        <v>295.99</v>
      </c>
      <c r="C731" s="3">
        <f>MEDIAN(I731:L731)</f>
        <v>290.0</v>
      </c>
      <c r="D731" s="3">
        <f>ROUND(C731*(1-Settings!$B$2),2)</f>
        <v>203.0</v>
      </c>
      <c r="E731" s="3">
        <f>ROUND(C731*(1-Settings!$B$3),2)</f>
        <v>203.0</v>
      </c>
      <c r="F731" s="2" t="inlineStr">
        <is>
          <t>Pokemon</t>
        </is>
      </c>
      <c r="G731" s="2" t="inlineStr">
        <is>
          <t>Deck</t>
        </is>
      </c>
      <c r="H731" s="2" t="inlineStr">
        <is>
          <t>SM - Celestial Storm</t>
        </is>
      </c>
      <c r="I731" s="3" t="n"/>
      <c r="J731" s="3" t="n">
        <v>295.99</v>
      </c>
      <c r="K731" s="3" t="n">
        <v>290</v>
      </c>
      <c r="L731" s="3" t="n">
        <v>290</v>
      </c>
      <c r="M731" s="2" t="inlineStr">
        <is>
          <t>TCGplayer</t>
        </is>
      </c>
      <c r="O731" s="4" t="inlineStr">
        <is>
          <t>https://www.tcgplayer.com/product/175553</t>
        </is>
      </c>
    </row>
    <row r="732">
      <c r="A732" s="2" t="inlineStr">
        <is>
          <t>Battle Arena Deck [Mega Charizard X]</t>
        </is>
      </c>
      <c r="B732" s="3">
        <f>IF(I732&lt;&gt;"",I732,IF(J732&lt;&gt;"",J732,IF(K732&lt;&gt;"",K732,L732)))</f>
        <v>1500.0</v>
      </c>
      <c r="C732" s="3">
        <f>MEDIAN(I732:L732)</f>
        <v>1500.0</v>
      </c>
      <c r="D732" s="3">
        <f>ROUND(C732*(1-Settings!$B$2),2)</f>
        <v>1050.0</v>
      </c>
      <c r="E732" s="3">
        <f>ROUND(C732*(1-Settings!$B$3),2)</f>
        <v>1050.0</v>
      </c>
      <c r="F732" s="2" t="inlineStr">
        <is>
          <t>Pokemon</t>
        </is>
      </c>
      <c r="G732" s="2" t="inlineStr">
        <is>
          <t>Deck</t>
        </is>
      </c>
      <c r="H732" s="2" t="inlineStr">
        <is>
          <t>SM - Celestial Storm</t>
        </is>
      </c>
      <c r="I732" s="3" t="n"/>
      <c r="J732" s="3" t="n"/>
      <c r="K732" s="3" t="n">
        <v>1500</v>
      </c>
      <c r="L732" s="3" t="n">
        <v>1500</v>
      </c>
      <c r="M732" s="2" t="inlineStr">
        <is>
          <t>TCGplayer</t>
        </is>
      </c>
      <c r="O732" s="4" t="inlineStr">
        <is>
          <t>https://www.tcgplayer.com/product/175552</t>
        </is>
      </c>
    </row>
    <row r="733">
      <c r="A733" s="2" t="inlineStr">
        <is>
          <t>Celestial Storm Theme Deck - "Hydro Fury" [Swampert]</t>
        </is>
      </c>
      <c r="B733" s="3">
        <f>IF(I733&lt;&gt;"",I733,IF(J733&lt;&gt;"",J733,IF(K733&lt;&gt;"",K733,L733)))</f>
        <v>50.91</v>
      </c>
      <c r="C733" s="3">
        <f>MEDIAN(I733:L733)</f>
        <v>50.91</v>
      </c>
      <c r="D733" s="3">
        <f>ROUND(C733*(1-Settings!$B$2),2)</f>
        <v>35.64</v>
      </c>
      <c r="E733" s="3">
        <f>ROUND(C733*(1-Settings!$B$3),2)</f>
        <v>35.64</v>
      </c>
      <c r="F733" s="2" t="inlineStr">
        <is>
          <t>Pokemon</t>
        </is>
      </c>
      <c r="G733" s="2" t="inlineStr">
        <is>
          <t>Deck</t>
        </is>
      </c>
      <c r="H733" s="2" t="inlineStr">
        <is>
          <t>SM - Celestial Storm</t>
        </is>
      </c>
      <c r="I733" s="3" t="n"/>
      <c r="J733" s="3" t="n">
        <v>50.91</v>
      </c>
      <c r="K733" s="3" t="n"/>
      <c r="L733" s="3" t="n"/>
      <c r="M733" s="2" t="inlineStr">
        <is>
          <t>TCGplayer</t>
        </is>
      </c>
      <c r="O733" s="4" t="inlineStr">
        <is>
          <t>https://www.tcgplayer.com/product/170279</t>
        </is>
      </c>
    </row>
    <row r="734">
      <c r="A734" s="2" t="inlineStr">
        <is>
          <t>Celestial Storm Theme Deck - "Leaf Charge" [Sceptile]</t>
        </is>
      </c>
      <c r="B734" s="3">
        <f>IF(I734&lt;&gt;"",I734,IF(J734&lt;&gt;"",J734,IF(K734&lt;&gt;"",K734,L734)))</f>
        <v>46.99</v>
      </c>
      <c r="C734" s="3">
        <f>MEDIAN(I734:L734)</f>
        <v>52.49</v>
      </c>
      <c r="D734" s="3">
        <f>ROUND(C734*(1-Settings!$B$2),2)</f>
        <v>36.74</v>
      </c>
      <c r="E734" s="3">
        <f>ROUND(C734*(1-Settings!$B$3),2)</f>
        <v>36.74</v>
      </c>
      <c r="F734" s="2" t="inlineStr">
        <is>
          <t>Pokemon</t>
        </is>
      </c>
      <c r="G734" s="2" t="inlineStr">
        <is>
          <t>Deck</t>
        </is>
      </c>
      <c r="H734" s="2" t="inlineStr">
        <is>
          <t>SM - Celestial Storm</t>
        </is>
      </c>
      <c r="I734" s="3" t="n"/>
      <c r="J734" s="3" t="n">
        <v>46.99</v>
      </c>
      <c r="K734" s="3" t="n">
        <v>56.24</v>
      </c>
      <c r="L734" s="3" t="n">
        <v>52.49</v>
      </c>
      <c r="M734" s="2" t="inlineStr">
        <is>
          <t>TCGplayer</t>
        </is>
      </c>
      <c r="O734" s="4" t="inlineStr">
        <is>
          <t>https://www.tcgplayer.com/product/170278</t>
        </is>
      </c>
    </row>
    <row r="735">
      <c r="A735" s="2" t="inlineStr">
        <is>
          <t>Cosmic Eclipse Theme Deck [Kyogre]</t>
        </is>
      </c>
      <c r="B735" s="3">
        <f>IF(I735&lt;&gt;"",I735,IF(J735&lt;&gt;"",J735,IF(K735&lt;&gt;"",K735,L735)))</f>
        <v>56.81</v>
      </c>
      <c r="C735" s="3">
        <f>MEDIAN(I735:L735)</f>
        <v>56.81</v>
      </c>
      <c r="D735" s="3">
        <f>ROUND(C735*(1-Settings!$B$2),2)</f>
        <v>39.77</v>
      </c>
      <c r="E735" s="3">
        <f>ROUND(C735*(1-Settings!$B$3),2)</f>
        <v>39.77</v>
      </c>
      <c r="F735" s="2" t="inlineStr">
        <is>
          <t>Pokemon</t>
        </is>
      </c>
      <c r="G735" s="2" t="inlineStr">
        <is>
          <t>Deck</t>
        </is>
      </c>
      <c r="H735" s="2" t="inlineStr">
        <is>
          <t>SM - Cosmic Eclipse</t>
        </is>
      </c>
      <c r="I735" s="3" t="n"/>
      <c r="J735" s="3" t="n">
        <v>56.81</v>
      </c>
      <c r="K735" s="3" t="n"/>
      <c r="L735" s="3" t="n"/>
      <c r="M735" s="2" t="inlineStr">
        <is>
          <t>TCGplayer</t>
        </is>
      </c>
      <c r="O735" s="4" t="inlineStr">
        <is>
          <t>https://www.tcgplayer.com/product/199305</t>
        </is>
      </c>
    </row>
    <row r="736">
      <c r="A736" s="2" t="inlineStr">
        <is>
          <t>Crimson Invasion Theme Deck - "Clanging Thunder" [Kommo-o]</t>
        </is>
      </c>
      <c r="B736" s="3">
        <f>IF(I736&lt;&gt;"",I736,IF(J736&lt;&gt;"",J736,IF(K736&lt;&gt;"",K736,L736)))</f>
        <v>31.97</v>
      </c>
      <c r="C736" s="3">
        <f>MEDIAN(I736:L736)</f>
        <v>31.97</v>
      </c>
      <c r="D736" s="3">
        <f>ROUND(C736*(1-Settings!$B$2),2)</f>
        <v>22.38</v>
      </c>
      <c r="E736" s="3">
        <f>ROUND(C736*(1-Settings!$B$3),2)</f>
        <v>22.38</v>
      </c>
      <c r="F736" s="2" t="inlineStr">
        <is>
          <t>Pokemon</t>
        </is>
      </c>
      <c r="G736" s="2" t="inlineStr">
        <is>
          <t>Deck</t>
        </is>
      </c>
      <c r="H736" s="2" t="inlineStr">
        <is>
          <t>SM - Crimson Invasion</t>
        </is>
      </c>
      <c r="I736" s="3" t="n"/>
      <c r="J736" s="3" t="n">
        <v>31.97</v>
      </c>
      <c r="K736" s="3" t="n">
        <v>31.99</v>
      </c>
      <c r="L736" s="3" t="n">
        <v>28</v>
      </c>
      <c r="M736" s="2" t="inlineStr">
        <is>
          <t>TCGplayer</t>
        </is>
      </c>
      <c r="O736" s="4" t="inlineStr">
        <is>
          <t>https://www.tcgplayer.com/product/149379</t>
        </is>
      </c>
    </row>
    <row r="737">
      <c r="A737" s="2" t="inlineStr">
        <is>
          <t>Crimson Invasion Theme Deck - "Destruction Fang" [Hydreigon]</t>
        </is>
      </c>
      <c r="B737" s="3">
        <f>IF(I737&lt;&gt;"",I737,IF(J737&lt;&gt;"",J737,IF(K737&lt;&gt;"",K737,L737)))</f>
        <v>31.12</v>
      </c>
      <c r="C737" s="3">
        <f>MEDIAN(I737:L737)</f>
        <v>31.12</v>
      </c>
      <c r="D737" s="3">
        <f>ROUND(C737*(1-Settings!$B$2),2)</f>
        <v>21.78</v>
      </c>
      <c r="E737" s="3">
        <f>ROUND(C737*(1-Settings!$B$3),2)</f>
        <v>21.78</v>
      </c>
      <c r="F737" s="2" t="inlineStr">
        <is>
          <t>Pokemon</t>
        </is>
      </c>
      <c r="G737" s="2" t="inlineStr">
        <is>
          <t>Deck</t>
        </is>
      </c>
      <c r="H737" s="2" t="inlineStr">
        <is>
          <t>SM - Crimson Invasion</t>
        </is>
      </c>
      <c r="I737" s="3" t="n"/>
      <c r="J737" s="3" t="n">
        <v>31.12</v>
      </c>
      <c r="K737" s="3" t="n">
        <v>32.33</v>
      </c>
      <c r="L737" s="3" t="n">
        <v>24</v>
      </c>
      <c r="M737" s="2" t="inlineStr">
        <is>
          <t>TCGplayer</t>
        </is>
      </c>
      <c r="O737" s="4" t="inlineStr">
        <is>
          <t>https://www.tcgplayer.com/product/149380</t>
        </is>
      </c>
    </row>
    <row r="738">
      <c r="A738" s="2" t="inlineStr">
        <is>
          <t>Forbidden Light Theme Deck - "Tropical Takedown" [Alolan Exeggutor]</t>
        </is>
      </c>
      <c r="B738" s="3">
        <f>IF(I738&lt;&gt;"",I738,IF(J738&lt;&gt;"",J738,IF(K738&lt;&gt;"",K738,L738)))</f>
        <v>22.75</v>
      </c>
      <c r="C738" s="3">
        <f>MEDIAN(I738:L738)</f>
        <v>22.75</v>
      </c>
      <c r="D738" s="3">
        <f>ROUND(C738*(1-Settings!$B$2),2)</f>
        <v>15.93</v>
      </c>
      <c r="E738" s="3">
        <f>ROUND(C738*(1-Settings!$B$3),2)</f>
        <v>15.93</v>
      </c>
      <c r="F738" s="2" t="inlineStr">
        <is>
          <t>Pokemon</t>
        </is>
      </c>
      <c r="G738" s="2" t="inlineStr">
        <is>
          <t>Deck</t>
        </is>
      </c>
      <c r="H738" s="2" t="inlineStr">
        <is>
          <t>SM - Forbidden Light</t>
        </is>
      </c>
      <c r="I738" s="3" t="n"/>
      <c r="J738" s="3" t="n">
        <v>22.75</v>
      </c>
      <c r="K738" s="3" t="n"/>
      <c r="L738" s="3" t="n"/>
      <c r="M738" s="2" t="inlineStr">
        <is>
          <t>TCGplayer</t>
        </is>
      </c>
      <c r="O738" s="4" t="inlineStr">
        <is>
          <t>https://www.tcgplayer.com/product/164305</t>
        </is>
      </c>
    </row>
    <row r="739">
      <c r="A739" s="2" t="inlineStr">
        <is>
          <t>Forbidden Light Theme Deck - "Twilight Rogue" [Lycanroc]</t>
        </is>
      </c>
      <c r="B739" s="3">
        <f>IF(I739&lt;&gt;"",I739,IF(J739&lt;&gt;"",J739,IF(K739&lt;&gt;"",K739,L739)))</f>
        <v>24.95</v>
      </c>
      <c r="C739" s="3">
        <f>MEDIAN(I739:L739)</f>
        <v>29.66</v>
      </c>
      <c r="D739" s="3">
        <f>ROUND(C739*(1-Settings!$B$2),2)</f>
        <v>20.76</v>
      </c>
      <c r="E739" s="3">
        <f>ROUND(C739*(1-Settings!$B$3),2)</f>
        <v>20.76</v>
      </c>
      <c r="F739" s="2" t="inlineStr">
        <is>
          <t>Pokemon</t>
        </is>
      </c>
      <c r="G739" s="2" t="inlineStr">
        <is>
          <t>Deck</t>
        </is>
      </c>
      <c r="H739" s="2" t="inlineStr">
        <is>
          <t>SM - Forbidden Light</t>
        </is>
      </c>
      <c r="I739" s="3" t="n"/>
      <c r="J739" s="3" t="n">
        <v>24.95</v>
      </c>
      <c r="K739" s="3" t="n">
        <v>29.66</v>
      </c>
      <c r="L739" s="3" t="n">
        <v>29.66</v>
      </c>
      <c r="M739" s="2" t="inlineStr">
        <is>
          <t>TCGplayer</t>
        </is>
      </c>
      <c r="O739" s="4" t="inlineStr">
        <is>
          <t>https://www.tcgplayer.com/product/164306</t>
        </is>
      </c>
    </row>
    <row r="740">
      <c r="A740" s="2" t="inlineStr">
        <is>
          <t>Guardians Rising Theme Deck - "Hidden Moon" [Lunala]</t>
        </is>
      </c>
      <c r="B740" s="3">
        <f>IF(I740&lt;&gt;"",I740,IF(J740&lt;&gt;"",J740,IF(K740&lt;&gt;"",K740,L740)))</f>
        <v>26.76</v>
      </c>
      <c r="C740" s="3">
        <f>MEDIAN(I740:L740)</f>
        <v>25.88</v>
      </c>
      <c r="D740" s="3">
        <f>ROUND(C740*(1-Settings!$B$2),2)</f>
        <v>18.12</v>
      </c>
      <c r="E740" s="3">
        <f>ROUND(C740*(1-Settings!$B$3),2)</f>
        <v>18.12</v>
      </c>
      <c r="F740" s="2" t="inlineStr">
        <is>
          <t>Pokemon</t>
        </is>
      </c>
      <c r="G740" s="2" t="inlineStr">
        <is>
          <t>Deck</t>
        </is>
      </c>
      <c r="H740" s="2" t="inlineStr">
        <is>
          <t>SM - Guardians Rising</t>
        </is>
      </c>
      <c r="I740" s="3" t="n"/>
      <c r="J740" s="3" t="n">
        <v>26.76</v>
      </c>
      <c r="K740" s="3" t="n">
        <v>25.88</v>
      </c>
      <c r="L740" s="3" t="n">
        <v>20</v>
      </c>
      <c r="M740" s="2" t="inlineStr">
        <is>
          <t>TCGplayer</t>
        </is>
      </c>
      <c r="O740" s="4" t="inlineStr">
        <is>
          <t>https://www.tcgplayer.com/product/129891</t>
        </is>
      </c>
    </row>
    <row r="741">
      <c r="A741" s="2" t="inlineStr">
        <is>
          <t>Guardians Rising Theme Deck - "Steel Sun" [Solgaleo]</t>
        </is>
      </c>
      <c r="B741" s="3">
        <f>IF(I741&lt;&gt;"",I741,IF(J741&lt;&gt;"",J741,IF(K741&lt;&gt;"",K741,L741)))</f>
        <v>19.62</v>
      </c>
      <c r="C741" s="3">
        <f>MEDIAN(I741:L741)</f>
        <v>19.62</v>
      </c>
      <c r="D741" s="3">
        <f>ROUND(C741*(1-Settings!$B$2),2)</f>
        <v>13.73</v>
      </c>
      <c r="E741" s="3">
        <f>ROUND(C741*(1-Settings!$B$3),2)</f>
        <v>13.73</v>
      </c>
      <c r="F741" s="2" t="inlineStr">
        <is>
          <t>Pokemon</t>
        </is>
      </c>
      <c r="G741" s="2" t="inlineStr">
        <is>
          <t>Deck</t>
        </is>
      </c>
      <c r="H741" s="2" t="inlineStr">
        <is>
          <t>SM - Guardians Rising</t>
        </is>
      </c>
      <c r="I741" s="3" t="n"/>
      <c r="J741" s="3" t="n">
        <v>19.62</v>
      </c>
      <c r="K741" s="3" t="n">
        <v>21.69</v>
      </c>
      <c r="L741" s="3" t="n">
        <v>18</v>
      </c>
      <c r="M741" s="2" t="inlineStr">
        <is>
          <t>TCGplayer</t>
        </is>
      </c>
      <c r="O741" s="4" t="inlineStr">
        <is>
          <t>https://www.tcgplayer.com/product/129892</t>
        </is>
      </c>
    </row>
    <row r="742">
      <c r="A742" s="2" t="inlineStr">
        <is>
          <t>Lost Thunder Theme Deck - "Blazing Volcano" [Entei]</t>
        </is>
      </c>
      <c r="B742" s="3">
        <f>IF(I742&lt;&gt;"",I742,IF(J742&lt;&gt;"",J742,IF(K742&lt;&gt;"",K742,L742)))</f>
        <v>34.95</v>
      </c>
      <c r="C742" s="3">
        <f>MEDIAN(I742:L742)</f>
        <v>45.01</v>
      </c>
      <c r="D742" s="3">
        <f>ROUND(C742*(1-Settings!$B$2),2)</f>
        <v>31.51</v>
      </c>
      <c r="E742" s="3">
        <f>ROUND(C742*(1-Settings!$B$3),2)</f>
        <v>31.51</v>
      </c>
      <c r="F742" s="2" t="inlineStr">
        <is>
          <t>Pokemon</t>
        </is>
      </c>
      <c r="G742" s="2" t="inlineStr">
        <is>
          <t>Deck</t>
        </is>
      </c>
      <c r="H742" s="2" t="inlineStr">
        <is>
          <t>SM - Lost Thunder</t>
        </is>
      </c>
      <c r="I742" s="3" t="n"/>
      <c r="J742" s="3" t="n">
        <v>34.95</v>
      </c>
      <c r="K742" s="3" t="n">
        <v>50.1</v>
      </c>
      <c r="L742" s="3" t="n">
        <v>45.01</v>
      </c>
      <c r="M742" s="2" t="inlineStr">
        <is>
          <t>TCGplayer</t>
        </is>
      </c>
      <c r="O742" s="4" t="inlineStr">
        <is>
          <t>https://www.tcgplayer.com/product/177527</t>
        </is>
      </c>
    </row>
    <row r="743">
      <c r="A743" s="2" t="inlineStr">
        <is>
          <t>Lost Thunder Theme Deck - "Storm Caller" [Raikou]</t>
        </is>
      </c>
      <c r="B743" s="3">
        <f>IF(I743&lt;&gt;"",I743,IF(J743&lt;&gt;"",J743,IF(K743&lt;&gt;"",K743,L743)))</f>
        <v>62.49</v>
      </c>
      <c r="C743" s="3">
        <f>MEDIAN(I743:L743)</f>
        <v>47.72</v>
      </c>
      <c r="D743" s="3">
        <f>ROUND(C743*(1-Settings!$B$2),2)</f>
        <v>33.4</v>
      </c>
      <c r="E743" s="3">
        <f>ROUND(C743*(1-Settings!$B$3),2)</f>
        <v>33.4</v>
      </c>
      <c r="F743" s="2" t="inlineStr">
        <is>
          <t>Pokemon</t>
        </is>
      </c>
      <c r="G743" s="2" t="inlineStr">
        <is>
          <t>Deck</t>
        </is>
      </c>
      <c r="H743" s="2" t="inlineStr">
        <is>
          <t>SM - Lost Thunder</t>
        </is>
      </c>
      <c r="I743" s="3" t="n"/>
      <c r="J743" s="3" t="n"/>
      <c r="K743" s="3" t="n">
        <v>62.49</v>
      </c>
      <c r="L743" s="3" t="n">
        <v>32.95</v>
      </c>
      <c r="M743" s="2" t="inlineStr">
        <is>
          <t>TCGplayer</t>
        </is>
      </c>
      <c r="O743" s="4" t="inlineStr">
        <is>
          <t>https://www.tcgplayer.com/product/177528</t>
        </is>
      </c>
    </row>
    <row r="744">
      <c r="A744" s="2" t="inlineStr">
        <is>
          <t>Team Up Theme Deck - "Relentless Flame" [Charizard]</t>
        </is>
      </c>
      <c r="B744" s="3">
        <f>IF(I744&lt;&gt;"",I744,IF(J744&lt;&gt;"",J744,IF(K744&lt;&gt;"",K744,L744)))</f>
        <v>122.24</v>
      </c>
      <c r="C744" s="3">
        <f>MEDIAN(I744:L744)</f>
        <v>122.24</v>
      </c>
      <c r="D744" s="3">
        <f>ROUND(C744*(1-Settings!$B$2),2)</f>
        <v>85.57</v>
      </c>
      <c r="E744" s="3">
        <f>ROUND(C744*(1-Settings!$B$3),2)</f>
        <v>85.57</v>
      </c>
      <c r="F744" s="2" t="inlineStr">
        <is>
          <t>Pokemon</t>
        </is>
      </c>
      <c r="G744" s="2" t="inlineStr">
        <is>
          <t>Deck</t>
        </is>
      </c>
      <c r="H744" s="2" t="inlineStr">
        <is>
          <t>SM - Team Up</t>
        </is>
      </c>
      <c r="I744" s="3" t="n"/>
      <c r="J744" s="3" t="n">
        <v>122.24</v>
      </c>
      <c r="K744" s="3" t="n"/>
      <c r="L744" s="3" t="n"/>
      <c r="M744" s="2" t="inlineStr">
        <is>
          <t>TCGplayer</t>
        </is>
      </c>
      <c r="O744" s="4" t="inlineStr">
        <is>
          <t>https://www.tcgplayer.com/product/181705</t>
        </is>
      </c>
    </row>
    <row r="745">
      <c r="A745" s="2" t="inlineStr">
        <is>
          <t>Team Up Theme Deck - "Torrential Cannon" [Blastoise]</t>
        </is>
      </c>
      <c r="B745" s="3">
        <f>IF(I745&lt;&gt;"",I745,IF(J745&lt;&gt;"",J745,IF(K745&lt;&gt;"",K745,L745)))</f>
        <v>67.58</v>
      </c>
      <c r="C745" s="3">
        <f>MEDIAN(I745:L745)</f>
        <v>67.58</v>
      </c>
      <c r="D745" s="3">
        <f>ROUND(C745*(1-Settings!$B$2),2)</f>
        <v>47.31</v>
      </c>
      <c r="E745" s="3">
        <f>ROUND(C745*(1-Settings!$B$3),2)</f>
        <v>47.31</v>
      </c>
      <c r="F745" s="2" t="inlineStr">
        <is>
          <t>Pokemon</t>
        </is>
      </c>
      <c r="G745" s="2" t="inlineStr">
        <is>
          <t>Deck</t>
        </is>
      </c>
      <c r="H745" s="2" t="inlineStr">
        <is>
          <t>SM - Team Up</t>
        </is>
      </c>
      <c r="I745" s="3" t="n"/>
      <c r="J745" s="3" t="n">
        <v>67.58</v>
      </c>
      <c r="K745" s="3" t="n"/>
      <c r="L745" s="3" t="n"/>
      <c r="M745" s="2" t="inlineStr">
        <is>
          <t>TCGplayer</t>
        </is>
      </c>
      <c r="O745" s="4" t="inlineStr">
        <is>
          <t>https://www.tcgplayer.com/product/181706</t>
        </is>
      </c>
    </row>
    <row r="746">
      <c r="A746" s="2" t="inlineStr">
        <is>
          <t>Ultra Prism Theme Deck - "Imperial Command" [Empoleon]</t>
        </is>
      </c>
      <c r="B746" s="3">
        <f>IF(I746&lt;&gt;"",I746,IF(J746&lt;&gt;"",J746,IF(K746&lt;&gt;"",K746,L746)))</f>
        <v>39.95</v>
      </c>
      <c r="C746" s="3">
        <f>MEDIAN(I746:L746)</f>
        <v>39.95</v>
      </c>
      <c r="D746" s="3">
        <f>ROUND(C746*(1-Settings!$B$2),2)</f>
        <v>27.97</v>
      </c>
      <c r="E746" s="3">
        <f>ROUND(C746*(1-Settings!$B$3),2)</f>
        <v>27.97</v>
      </c>
      <c r="F746" s="2" t="inlineStr">
        <is>
          <t>Pokemon</t>
        </is>
      </c>
      <c r="G746" s="2" t="inlineStr">
        <is>
          <t>Deck</t>
        </is>
      </c>
      <c r="H746" s="2" t="inlineStr">
        <is>
          <t>SM - Ultra Prism</t>
        </is>
      </c>
      <c r="I746" s="3" t="n"/>
      <c r="J746" s="3" t="n">
        <v>39.95</v>
      </c>
      <c r="K746" s="3" t="n">
        <v>39.98</v>
      </c>
      <c r="L746" s="3" t="n">
        <v>29</v>
      </c>
      <c r="M746" s="2" t="inlineStr">
        <is>
          <t>TCGplayer</t>
        </is>
      </c>
      <c r="O746" s="4" t="inlineStr">
        <is>
          <t>https://www.tcgplayer.com/product/155666</t>
        </is>
      </c>
    </row>
    <row r="747">
      <c r="A747" s="2" t="inlineStr">
        <is>
          <t>Ultra Prism Theme Deck - "Mach Strike" [Garchomp]</t>
        </is>
      </c>
      <c r="B747" s="3">
        <f>IF(I747&lt;&gt;"",I747,IF(J747&lt;&gt;"",J747,IF(K747&lt;&gt;"",K747,L747)))</f>
        <v>39.41</v>
      </c>
      <c r="C747" s="3">
        <f>MEDIAN(I747:L747)</f>
        <v>70.0</v>
      </c>
      <c r="D747" s="3">
        <f>ROUND(C747*(1-Settings!$B$2),2)</f>
        <v>49.0</v>
      </c>
      <c r="E747" s="3">
        <f>ROUND(C747*(1-Settings!$B$3),2)</f>
        <v>49.0</v>
      </c>
      <c r="F747" s="2" t="inlineStr">
        <is>
          <t>Pokemon</t>
        </is>
      </c>
      <c r="G747" s="2" t="inlineStr">
        <is>
          <t>Deck</t>
        </is>
      </c>
      <c r="H747" s="2" t="inlineStr">
        <is>
          <t>SM - Ultra Prism</t>
        </is>
      </c>
      <c r="I747" s="3" t="n"/>
      <c r="J747" s="3" t="n">
        <v>39.41</v>
      </c>
      <c r="K747" s="3" t="n">
        <v>125</v>
      </c>
      <c r="L747" s="3" t="n">
        <v>70</v>
      </c>
      <c r="M747" s="2" t="inlineStr">
        <is>
          <t>TCGplayer</t>
        </is>
      </c>
      <c r="O747" s="4" t="inlineStr">
        <is>
          <t>https://www.tcgplayer.com/product/155665</t>
        </is>
      </c>
    </row>
    <row r="748">
      <c r="A748" s="2" t="inlineStr">
        <is>
          <t>Unbroken Bonds Battle Minds Theme Deck - [Mewtwo]</t>
        </is>
      </c>
      <c r="B748" s="3">
        <f>IF(I748&lt;&gt;"",I748,IF(J748&lt;&gt;"",J748,IF(K748&lt;&gt;"",K748,L748)))</f>
        <v>32.65</v>
      </c>
      <c r="C748" s="3">
        <f>MEDIAN(I748:L748)</f>
        <v>32.65</v>
      </c>
      <c r="D748" s="3">
        <f>ROUND(C748*(1-Settings!$B$2),2)</f>
        <v>22.86</v>
      </c>
      <c r="E748" s="3">
        <f>ROUND(C748*(1-Settings!$B$3),2)</f>
        <v>22.86</v>
      </c>
      <c r="F748" s="2" t="inlineStr">
        <is>
          <t>Pokemon</t>
        </is>
      </c>
      <c r="G748" s="2" t="inlineStr">
        <is>
          <t>Deck</t>
        </is>
      </c>
      <c r="H748" s="2" t="inlineStr">
        <is>
          <t>SM - Unbroken Bonds</t>
        </is>
      </c>
      <c r="I748" s="3" t="n"/>
      <c r="J748" s="3" t="n">
        <v>32.65</v>
      </c>
      <c r="K748" s="3" t="n"/>
      <c r="L748" s="3" t="n"/>
      <c r="M748" s="2" t="inlineStr">
        <is>
          <t>TCGplayer</t>
        </is>
      </c>
      <c r="O748" s="4" t="inlineStr">
        <is>
          <t>https://www.tcgplayer.com/product/188399</t>
        </is>
      </c>
    </row>
    <row r="749">
      <c r="A749" s="2" t="inlineStr">
        <is>
          <t>Unified Minds Theme Deck - "Laser Focus" [Necrozma]</t>
        </is>
      </c>
      <c r="B749" s="3">
        <f>IF(I749&lt;&gt;"",I749,IF(J749&lt;&gt;"",J749,IF(K749&lt;&gt;"",K749,L749)))</f>
        <v>40.49</v>
      </c>
      <c r="C749" s="3">
        <f>MEDIAN(I749:L749)</f>
        <v>35.245000000000005</v>
      </c>
      <c r="D749" s="3">
        <f>ROUND(C749*(1-Settings!$B$2),2)</f>
        <v>24.67</v>
      </c>
      <c r="E749" s="3">
        <f>ROUND(C749*(1-Settings!$B$3),2)</f>
        <v>24.67</v>
      </c>
      <c r="F749" s="2" t="inlineStr">
        <is>
          <t>Pokemon</t>
        </is>
      </c>
      <c r="G749" s="2" t="inlineStr">
        <is>
          <t>Deck</t>
        </is>
      </c>
      <c r="H749" s="2" t="inlineStr">
        <is>
          <t>SM - Unified Minds</t>
        </is>
      </c>
      <c r="I749" s="3" t="n"/>
      <c r="J749" s="3" t="n"/>
      <c r="K749" s="3" t="n">
        <v>40.49</v>
      </c>
      <c r="L749" s="3" t="n">
        <v>30</v>
      </c>
      <c r="M749" s="2" t="inlineStr">
        <is>
          <t>TCGplayer</t>
        </is>
      </c>
      <c r="O749" s="4" t="inlineStr">
        <is>
          <t>https://www.tcgplayer.com/product/191889</t>
        </is>
      </c>
    </row>
    <row r="750">
      <c r="A750" s="2" t="inlineStr">
        <is>
          <t>Unified Minds Theme Deck - "Soaring Storm" [Dragonite]</t>
        </is>
      </c>
      <c r="B750" s="3">
        <f>IF(I750&lt;&gt;"",I750,IF(J750&lt;&gt;"",J750,IF(K750&lt;&gt;"",K750,L750)))</f>
        <v>85.99</v>
      </c>
      <c r="C750" s="3">
        <f>MEDIAN(I750:L750)</f>
        <v>85.99</v>
      </c>
      <c r="D750" s="3">
        <f>ROUND(C750*(1-Settings!$B$2),2)</f>
        <v>60.19</v>
      </c>
      <c r="E750" s="3">
        <f>ROUND(C750*(1-Settings!$B$3),2)</f>
        <v>60.19</v>
      </c>
      <c r="F750" s="2" t="inlineStr">
        <is>
          <t>Pokemon</t>
        </is>
      </c>
      <c r="G750" s="2" t="inlineStr">
        <is>
          <t>Deck</t>
        </is>
      </c>
      <c r="H750" s="2" t="inlineStr">
        <is>
          <t>SM - Unified Minds</t>
        </is>
      </c>
      <c r="I750" s="3" t="n"/>
      <c r="J750" s="3" t="n">
        <v>85.98999999999999</v>
      </c>
      <c r="K750" s="3" t="n">
        <v>92.09</v>
      </c>
      <c r="L750" s="3" t="n">
        <v>83.65000000000001</v>
      </c>
      <c r="M750" s="2" t="inlineStr">
        <is>
          <t>TCGplayer</t>
        </is>
      </c>
      <c r="O750" s="4" t="inlineStr">
        <is>
          <t>https://www.tcgplayer.com/product/191888</t>
        </is>
      </c>
    </row>
    <row r="751">
      <c r="A751" s="2" t="inlineStr">
        <is>
          <t>Unified Minds Theme Deck [Set of 2]</t>
        </is>
      </c>
      <c r="B751" s="3">
        <f>IF(I751&lt;&gt;"",I751,IF(J751&lt;&gt;"",J751,IF(K751&lt;&gt;"",K751,L751)))</f>
        <v>157.98</v>
      </c>
      <c r="C751" s="3">
        <f>MEDIAN(I751:L751)</f>
        <v>157.98</v>
      </c>
      <c r="D751" s="3">
        <f>ROUND(C751*(1-Settings!$B$2),2)</f>
        <v>110.59</v>
      </c>
      <c r="E751" s="3">
        <f>ROUND(C751*(1-Settings!$B$3),2)</f>
        <v>110.59</v>
      </c>
      <c r="F751" s="2" t="inlineStr">
        <is>
          <t>Pokemon</t>
        </is>
      </c>
      <c r="G751" s="2" t="inlineStr">
        <is>
          <t>Deck</t>
        </is>
      </c>
      <c r="H751" s="2" t="inlineStr">
        <is>
          <t>SM - Unified Minds</t>
        </is>
      </c>
      <c r="I751" s="3" t="n"/>
      <c r="J751" s="3" t="n"/>
      <c r="K751" s="3" t="n">
        <v>157.98</v>
      </c>
      <c r="L751" s="3" t="n">
        <v>157.98</v>
      </c>
      <c r="M751" s="2" t="inlineStr">
        <is>
          <t>TCGplayer</t>
        </is>
      </c>
      <c r="O751" s="4" t="inlineStr">
        <is>
          <t>https://www.tcgplayer.com/product/194708</t>
        </is>
      </c>
    </row>
    <row r="752">
      <c r="A752" s="2" t="inlineStr">
        <is>
          <t>Sun &amp; Moon Base Set Theme Deck - "Bright Tide" [Primarina]</t>
        </is>
      </c>
      <c r="B752" s="3">
        <f>IF(I752&lt;&gt;"",I752,IF(J752&lt;&gt;"",J752,IF(K752&lt;&gt;"",K752,L752)))</f>
        <v>20.46</v>
      </c>
      <c r="C752" s="3">
        <f>MEDIAN(I752:L752)</f>
        <v>34.99</v>
      </c>
      <c r="D752" s="3">
        <f>ROUND(C752*(1-Settings!$B$2),2)</f>
        <v>24.49</v>
      </c>
      <c r="E752" s="3">
        <f>ROUND(C752*(1-Settings!$B$3),2)</f>
        <v>24.49</v>
      </c>
      <c r="F752" s="2" t="inlineStr">
        <is>
          <t>Pokemon</t>
        </is>
      </c>
      <c r="G752" s="2" t="inlineStr">
        <is>
          <t>Deck</t>
        </is>
      </c>
      <c r="H752" s="2" t="inlineStr">
        <is>
          <t>SM Base Set</t>
        </is>
      </c>
      <c r="I752" s="3" t="n"/>
      <c r="J752" s="3" t="n">
        <v>20.46</v>
      </c>
      <c r="K752" s="3" t="n">
        <v>49.98</v>
      </c>
      <c r="L752" s="3" t="n">
        <v>34.99</v>
      </c>
      <c r="M752" s="2" t="inlineStr">
        <is>
          <t>TCGplayer</t>
        </is>
      </c>
      <c r="O752" s="4" t="inlineStr">
        <is>
          <t>https://www.tcgplayer.com/product/126174</t>
        </is>
      </c>
    </row>
    <row r="753">
      <c r="A753" s="2" t="inlineStr">
        <is>
          <t>Sun &amp; Moon Base Set Theme Deck - "Forest Shadow" [Decidueye]</t>
        </is>
      </c>
      <c r="B753" s="3">
        <f>IF(I753&lt;&gt;"",I753,IF(J753&lt;&gt;"",J753,IF(K753&lt;&gt;"",K753,L753)))</f>
        <v>17.7</v>
      </c>
      <c r="C753" s="3">
        <f>MEDIAN(I753:L753)</f>
        <v>17.7</v>
      </c>
      <c r="D753" s="3">
        <f>ROUND(C753*(1-Settings!$B$2),2)</f>
        <v>12.39</v>
      </c>
      <c r="E753" s="3">
        <f>ROUND(C753*(1-Settings!$B$3),2)</f>
        <v>12.39</v>
      </c>
      <c r="F753" s="2" t="inlineStr">
        <is>
          <t>Pokemon</t>
        </is>
      </c>
      <c r="G753" s="2" t="inlineStr">
        <is>
          <t>Deck</t>
        </is>
      </c>
      <c r="H753" s="2" t="inlineStr">
        <is>
          <t>SM Base Set</t>
        </is>
      </c>
      <c r="I753" s="3" t="n"/>
      <c r="J753" s="3" t="n">
        <v>17.7</v>
      </c>
      <c r="K753" s="3" t="n">
        <v>19.99</v>
      </c>
      <c r="L753" s="3" t="n">
        <v>17.7</v>
      </c>
      <c r="M753" s="2" t="inlineStr">
        <is>
          <t>TCGplayer</t>
        </is>
      </c>
      <c r="O753" s="4" t="inlineStr">
        <is>
          <t>https://www.tcgplayer.com/product/126172</t>
        </is>
      </c>
    </row>
    <row r="754">
      <c r="A754" s="2" t="inlineStr">
        <is>
          <t>Sun &amp; Moon Base Set Theme Deck - "Roaring Heat" [Incineroar]</t>
        </is>
      </c>
      <c r="B754" s="3">
        <f>IF(I754&lt;&gt;"",I754,IF(J754&lt;&gt;"",J754,IF(K754&lt;&gt;"",K754,L754)))</f>
        <v>23.33</v>
      </c>
      <c r="C754" s="3">
        <f>MEDIAN(I754:L754)</f>
        <v>28.0</v>
      </c>
      <c r="D754" s="3">
        <f>ROUND(C754*(1-Settings!$B$2),2)</f>
        <v>19.6</v>
      </c>
      <c r="E754" s="3">
        <f>ROUND(C754*(1-Settings!$B$3),2)</f>
        <v>19.6</v>
      </c>
      <c r="F754" s="2" t="inlineStr">
        <is>
          <t>Pokemon</t>
        </is>
      </c>
      <c r="G754" s="2" t="inlineStr">
        <is>
          <t>Deck</t>
        </is>
      </c>
      <c r="H754" s="2" t="inlineStr">
        <is>
          <t>SM Base Set</t>
        </is>
      </c>
      <c r="I754" s="3" t="n"/>
      <c r="J754" s="3" t="n">
        <v>23.33</v>
      </c>
      <c r="K754" s="3" t="n">
        <v>29.56</v>
      </c>
      <c r="L754" s="3" t="n">
        <v>28</v>
      </c>
      <c r="M754" s="2" t="inlineStr">
        <is>
          <t>TCGplayer</t>
        </is>
      </c>
      <c r="O754" s="4" t="inlineStr">
        <is>
          <t>https://www.tcgplayer.com/product/126173</t>
        </is>
      </c>
    </row>
    <row r="755">
      <c r="A755" s="2" t="inlineStr">
        <is>
          <t>Sun &amp; Moon Trainer Kit: Alolan Sandslash &amp; Alolan Ninetales</t>
        </is>
      </c>
      <c r="B755" s="3">
        <f>IF(I755&lt;&gt;"",I755,IF(J755&lt;&gt;"",J755,IF(K755&lt;&gt;"",K755,L755)))</f>
        <v>59.56</v>
      </c>
      <c r="C755" s="3">
        <f>MEDIAN(I755:L755)</f>
        <v>59.56</v>
      </c>
      <c r="D755" s="3">
        <f>ROUND(C755*(1-Settings!$B$2),2)</f>
        <v>41.69</v>
      </c>
      <c r="E755" s="3">
        <f>ROUND(C755*(1-Settings!$B$3),2)</f>
        <v>41.69</v>
      </c>
      <c r="F755" s="2" t="inlineStr">
        <is>
          <t>Pokemon</t>
        </is>
      </c>
      <c r="G755" s="2" t="inlineStr">
        <is>
          <t>Deck</t>
        </is>
      </c>
      <c r="H755" s="2" t="inlineStr">
        <is>
          <t>SM Trainer Kit: Alolan Sandslash &amp; Alolan Ninetales</t>
        </is>
      </c>
      <c r="I755" s="3" t="n"/>
      <c r="J755" s="3" t="n">
        <v>59.56</v>
      </c>
      <c r="K755" s="3" t="n">
        <v>61.14</v>
      </c>
      <c r="L755" s="3" t="n">
        <v>55.99</v>
      </c>
      <c r="M755" s="2" t="inlineStr">
        <is>
          <t>TCGplayer</t>
        </is>
      </c>
      <c r="O755" s="4" t="inlineStr">
        <is>
          <t>https://www.tcgplayer.com/product/162111</t>
        </is>
      </c>
    </row>
    <row r="756">
      <c r="A756" s="2" t="inlineStr">
        <is>
          <t>Sun &amp; Moon Trainer Kit: Lycanroc &amp; Alolan Raichu</t>
        </is>
      </c>
      <c r="B756" s="3">
        <f>IF(I756&lt;&gt;"",I756,IF(J756&lt;&gt;"",J756,IF(K756&lt;&gt;"",K756,L756)))</f>
        <v>14.76</v>
      </c>
      <c r="C756" s="3">
        <f>MEDIAN(I756:L756)</f>
        <v>14.88</v>
      </c>
      <c r="D756" s="3">
        <f>ROUND(C756*(1-Settings!$B$2),2)</f>
        <v>10.42</v>
      </c>
      <c r="E756" s="3">
        <f>ROUND(C756*(1-Settings!$B$3),2)</f>
        <v>10.42</v>
      </c>
      <c r="F756" s="2" t="inlineStr">
        <is>
          <t>Pokemon</t>
        </is>
      </c>
      <c r="G756" s="2" t="inlineStr">
        <is>
          <t>Deck</t>
        </is>
      </c>
      <c r="H756" s="2" t="inlineStr">
        <is>
          <t>SM Trainer Kit: Lycanroc &amp; Alolan Raichu</t>
        </is>
      </c>
      <c r="I756" s="3" t="n"/>
      <c r="J756" s="3" t="n">
        <v>14.76</v>
      </c>
      <c r="K756" s="3" t="n">
        <v>15.03</v>
      </c>
      <c r="L756" s="3" t="n">
        <v>14.88</v>
      </c>
      <c r="M756" s="2" t="inlineStr">
        <is>
          <t>TCGplayer</t>
        </is>
      </c>
      <c r="O756" s="4" t="inlineStr">
        <is>
          <t>https://www.tcgplayer.com/product/152815</t>
        </is>
      </c>
    </row>
    <row r="757">
      <c r="A757" s="2" t="inlineStr">
        <is>
          <t>Start Deck 100 Battle Collection</t>
        </is>
      </c>
      <c r="B757" s="3">
        <f>IF(I757&lt;&gt;"",I757,IF(J757&lt;&gt;"",J757,IF(K757&lt;&gt;"",K757,L757)))</f>
        <v>27.84</v>
      </c>
      <c r="C757" s="3">
        <f>MEDIAN(I757:L757)</f>
        <v>24.915</v>
      </c>
      <c r="D757" s="3">
        <f>ROUND(C757*(1-Settings!$B$2),2)</f>
        <v>17.44</v>
      </c>
      <c r="E757" s="3">
        <f>ROUND(C757*(1-Settings!$B$3),2)</f>
        <v>17.44</v>
      </c>
      <c r="F757" s="2" t="inlineStr">
        <is>
          <t>Pokemon</t>
        </is>
      </c>
      <c r="G757" s="2" t="inlineStr">
        <is>
          <t>Deck</t>
        </is>
      </c>
      <c r="H757" s="2" t="inlineStr">
        <is>
          <t>Start Deck 100 Battle Collection</t>
        </is>
      </c>
      <c r="I757" s="3" t="n"/>
      <c r="J757" s="3" t="n">
        <v>27.84</v>
      </c>
      <c r="K757" s="3" t="n"/>
      <c r="L757" s="3" t="n">
        <v>21.99</v>
      </c>
      <c r="M757" s="2" t="inlineStr">
        <is>
          <t>TCGplayer</t>
        </is>
      </c>
      <c r="O757" s="4" t="inlineStr">
        <is>
          <t>https://www.tcgplayer.com/product/670145</t>
        </is>
      </c>
    </row>
    <row r="758">
      <c r="A758" s="2" t="inlineStr">
        <is>
          <t>Ancient Koraidon ex Starter Deck &amp; Build Set</t>
        </is>
      </c>
      <c r="B758" s="3">
        <f>IF(I758&lt;&gt;"",I758,IF(J758&lt;&gt;"",J758,IF(K758&lt;&gt;"",K758,L758)))</f>
        <v>39.99</v>
      </c>
      <c r="C758" s="3">
        <f>MEDIAN(I758:L758)</f>
        <v>39.99</v>
      </c>
      <c r="D758" s="3">
        <f>ROUND(C758*(1-Settings!$B$2),2)</f>
        <v>27.99</v>
      </c>
      <c r="E758" s="3">
        <f>ROUND(C758*(1-Settings!$B$3),2)</f>
        <v>27.99</v>
      </c>
      <c r="F758" s="2" t="inlineStr">
        <is>
          <t>Pokemon</t>
        </is>
      </c>
      <c r="G758" s="2" t="inlineStr">
        <is>
          <t>Deck</t>
        </is>
      </c>
      <c r="H758" s="2" t="inlineStr">
        <is>
          <t>SV: Ancient Koraidon ex Starter Deck &amp; Build Set</t>
        </is>
      </c>
      <c r="I758" s="3" t="n"/>
      <c r="J758" s="3" t="n"/>
      <c r="K758" s="3" t="n"/>
      <c r="L758" s="3" t="n">
        <v>39.99</v>
      </c>
      <c r="M758" s="2" t="inlineStr">
        <is>
          <t>TCGplayer</t>
        </is>
      </c>
      <c r="O758" s="4" t="inlineStr">
        <is>
          <t>https://www.tcgplayer.com/product/593969</t>
        </is>
      </c>
    </row>
    <row r="759">
      <c r="A759" s="2" t="inlineStr">
        <is>
          <t>Ceruledge ex Stellar Tera Type Starter Set</t>
        </is>
      </c>
      <c r="B759" s="3">
        <f>IF(I759&lt;&gt;"",I759,IF(J759&lt;&gt;"",J759,IF(K759&lt;&gt;"",K759,L759)))</f>
        <v>44.99</v>
      </c>
      <c r="C759" s="3">
        <f>MEDIAN(I759:L759)</f>
        <v>44.99</v>
      </c>
      <c r="D759" s="3">
        <f>ROUND(C759*(1-Settings!$B$2),2)</f>
        <v>31.49</v>
      </c>
      <c r="E759" s="3">
        <f>ROUND(C759*(1-Settings!$B$3),2)</f>
        <v>31.49</v>
      </c>
      <c r="F759" s="2" t="inlineStr">
        <is>
          <t>Pokemon</t>
        </is>
      </c>
      <c r="G759" s="2" t="inlineStr">
        <is>
          <t>Deck</t>
        </is>
      </c>
      <c r="H759" s="2" t="inlineStr">
        <is>
          <t>SV: Ceruledge ex Stellar Tera Type Starter Set</t>
        </is>
      </c>
      <c r="I759" s="3" t="n"/>
      <c r="J759" s="3" t="n">
        <v>44.99</v>
      </c>
      <c r="K759" s="3" t="n"/>
      <c r="L759" s="3" t="n">
        <v>44.99</v>
      </c>
      <c r="M759" s="2" t="inlineStr">
        <is>
          <t>TCGplayer</t>
        </is>
      </c>
      <c r="O759" s="4" t="inlineStr">
        <is>
          <t>https://www.tcgplayer.com/product/593910</t>
        </is>
      </c>
    </row>
    <row r="760">
      <c r="A760" s="2" t="inlineStr">
        <is>
          <t>Chien-Pao ex Battle Master Deck</t>
        </is>
      </c>
      <c r="B760" s="3">
        <f>IF(I760&lt;&gt;"",I760,IF(J760&lt;&gt;"",J760,IF(K760&lt;&gt;"",K760,L760)))</f>
        <v>22.0</v>
      </c>
      <c r="C760" s="3">
        <f>MEDIAN(I760:L760)</f>
        <v>22.0</v>
      </c>
      <c r="D760" s="3">
        <f>ROUND(C760*(1-Settings!$B$2),2)</f>
        <v>15.4</v>
      </c>
      <c r="E760" s="3">
        <f>ROUND(C760*(1-Settings!$B$3),2)</f>
        <v>15.4</v>
      </c>
      <c r="F760" s="2" t="inlineStr">
        <is>
          <t>Pokemon</t>
        </is>
      </c>
      <c r="G760" s="2" t="inlineStr">
        <is>
          <t>Deck</t>
        </is>
      </c>
      <c r="H760" s="2" t="inlineStr">
        <is>
          <t>SV: Chien-Pao ex Battle Master Deck</t>
        </is>
      </c>
      <c r="I760" s="3" t="n"/>
      <c r="J760" s="3" t="n"/>
      <c r="K760" s="3" t="n"/>
      <c r="L760" s="3" t="n">
        <v>22</v>
      </c>
      <c r="M760" s="2" t="inlineStr">
        <is>
          <t>TCGplayer</t>
        </is>
      </c>
      <c r="O760" s="4" t="inlineStr">
        <is>
          <t>https://www.tcgplayer.com/product/593967</t>
        </is>
      </c>
    </row>
    <row r="761">
      <c r="A761" s="2" t="inlineStr">
        <is>
          <t>ex Start Deck Fighting Koraidon</t>
        </is>
      </c>
      <c r="B761" s="3">
        <f>IF(I761&lt;&gt;"",I761,IF(J761&lt;&gt;"",J761,IF(K761&lt;&gt;"",K761,L761)))</f>
        <v>32.0</v>
      </c>
      <c r="C761" s="3">
        <f>MEDIAN(I761:L761)</f>
        <v>32.0</v>
      </c>
      <c r="D761" s="3">
        <f>ROUND(C761*(1-Settings!$B$2),2)</f>
        <v>22.4</v>
      </c>
      <c r="E761" s="3">
        <f>ROUND(C761*(1-Settings!$B$3),2)</f>
        <v>22.4</v>
      </c>
      <c r="F761" s="2" t="inlineStr">
        <is>
          <t>Pokemon</t>
        </is>
      </c>
      <c r="G761" s="2" t="inlineStr">
        <is>
          <t>Deck</t>
        </is>
      </c>
      <c r="H761" s="2" t="inlineStr">
        <is>
          <t>SV: ex Start Decks</t>
        </is>
      </c>
      <c r="I761" s="3" t="n"/>
      <c r="J761" s="3" t="n"/>
      <c r="K761" s="3" t="n"/>
      <c r="L761" s="3" t="n">
        <v>32</v>
      </c>
      <c r="M761" s="2" t="inlineStr">
        <is>
          <t>TCGplayer</t>
        </is>
      </c>
      <c r="O761" s="4" t="inlineStr">
        <is>
          <t>https://www.tcgplayer.com/product/594599</t>
        </is>
      </c>
    </row>
    <row r="762">
      <c r="A762" s="2" t="inlineStr">
        <is>
          <t>ex Start Deck Fire Victini</t>
        </is>
      </c>
      <c r="B762" s="3">
        <f>IF(I762&lt;&gt;"",I762,IF(J762&lt;&gt;"",J762,IF(K762&lt;&gt;"",K762,L762)))</f>
        <v>25.0</v>
      </c>
      <c r="C762" s="3">
        <f>MEDIAN(I762:L762)</f>
        <v>62.5</v>
      </c>
      <c r="D762" s="3">
        <f>ROUND(C762*(1-Settings!$B$2),2)</f>
        <v>43.75</v>
      </c>
      <c r="E762" s="3">
        <f>ROUND(C762*(1-Settings!$B$3),2)</f>
        <v>43.75</v>
      </c>
      <c r="F762" s="2" t="inlineStr">
        <is>
          <t>Pokemon</t>
        </is>
      </c>
      <c r="G762" s="2" t="inlineStr">
        <is>
          <t>Deck</t>
        </is>
      </c>
      <c r="H762" s="2" t="inlineStr">
        <is>
          <t>SV: ex Start Decks</t>
        </is>
      </c>
      <c r="I762" s="3" t="n"/>
      <c r="J762" s="3" t="n">
        <v>25</v>
      </c>
      <c r="K762" s="3" t="n"/>
      <c r="L762" s="3" t="n">
        <v>100</v>
      </c>
      <c r="M762" s="2" t="inlineStr">
        <is>
          <t>TCGplayer</t>
        </is>
      </c>
      <c r="O762" s="4" t="inlineStr">
        <is>
          <t>https://www.tcgplayer.com/product/594595</t>
        </is>
      </c>
    </row>
    <row r="763">
      <c r="A763" s="2" t="inlineStr">
        <is>
          <t>ex Start Deck Lightning Miraidon</t>
        </is>
      </c>
      <c r="B763" s="3">
        <f>IF(I763&lt;&gt;"",I763,IF(J763&lt;&gt;"",J763,IF(K763&lt;&gt;"",K763,L763)))</f>
        <v>22.0</v>
      </c>
      <c r="C763" s="3">
        <f>MEDIAN(I763:L763)</f>
        <v>22.0</v>
      </c>
      <c r="D763" s="3">
        <f>ROUND(C763*(1-Settings!$B$2),2)</f>
        <v>15.4</v>
      </c>
      <c r="E763" s="3">
        <f>ROUND(C763*(1-Settings!$B$3),2)</f>
        <v>15.4</v>
      </c>
      <c r="F763" s="2" t="inlineStr">
        <is>
          <t>Pokemon</t>
        </is>
      </c>
      <c r="G763" s="2" t="inlineStr">
        <is>
          <t>Deck</t>
        </is>
      </c>
      <c r="H763" s="2" t="inlineStr">
        <is>
          <t>SV: ex Start Decks</t>
        </is>
      </c>
      <c r="I763" s="3" t="n"/>
      <c r="J763" s="3" t="n"/>
      <c r="K763" s="3" t="n"/>
      <c r="L763" s="3" t="n">
        <v>22</v>
      </c>
      <c r="M763" s="2" t="inlineStr">
        <is>
          <t>TCGplayer</t>
        </is>
      </c>
      <c r="O763" s="4" t="inlineStr">
        <is>
          <t>https://www.tcgplayer.com/product/594597</t>
        </is>
      </c>
    </row>
    <row r="764">
      <c r="A764" s="2" t="inlineStr">
        <is>
          <t>ex Start Deck Psychic Pixy</t>
        </is>
      </c>
      <c r="B764" s="3">
        <f>IF(I764&lt;&gt;"",I764,IF(J764&lt;&gt;"",J764,IF(K764&lt;&gt;"",K764,L764)))</f>
        <v>25.0</v>
      </c>
      <c r="C764" s="3">
        <f>MEDIAN(I764:L764)</f>
        <v>25.0</v>
      </c>
      <c r="D764" s="3">
        <f>ROUND(C764*(1-Settings!$B$2),2)</f>
        <v>17.5</v>
      </c>
      <c r="E764" s="3">
        <f>ROUND(C764*(1-Settings!$B$3),2)</f>
        <v>17.5</v>
      </c>
      <c r="F764" s="2" t="inlineStr">
        <is>
          <t>Pokemon</t>
        </is>
      </c>
      <c r="G764" s="2" t="inlineStr">
        <is>
          <t>Deck</t>
        </is>
      </c>
      <c r="H764" s="2" t="inlineStr">
        <is>
          <t>SV: ex Start Decks</t>
        </is>
      </c>
      <c r="I764" s="3" t="n"/>
      <c r="J764" s="3" t="n"/>
      <c r="K764" s="3" t="n"/>
      <c r="L764" s="3" t="n">
        <v>25</v>
      </c>
      <c r="M764" s="2" t="inlineStr">
        <is>
          <t>TCGplayer</t>
        </is>
      </c>
      <c r="O764" s="4" t="inlineStr">
        <is>
          <t>https://www.tcgplayer.com/product/594598</t>
        </is>
      </c>
    </row>
    <row r="765">
      <c r="A765" s="2" t="inlineStr">
        <is>
          <t>ex Starter Set Fuecoco &amp; Ampharos ex</t>
        </is>
      </c>
      <c r="B765" s="3">
        <f>IF(I765&lt;&gt;"",I765,IF(J765&lt;&gt;"",J765,IF(K765&lt;&gt;"",K765,L765)))</f>
        <v>40.0</v>
      </c>
      <c r="C765" s="3">
        <f>MEDIAN(I765:L765)</f>
        <v>40.0</v>
      </c>
      <c r="D765" s="3">
        <f>ROUND(C765*(1-Settings!$B$2),2)</f>
        <v>28.0</v>
      </c>
      <c r="E765" s="3">
        <f>ROUND(C765*(1-Settings!$B$3),2)</f>
        <v>28.0</v>
      </c>
      <c r="F765" s="2" t="inlineStr">
        <is>
          <t>Pokemon</t>
        </is>
      </c>
      <c r="G765" s="2" t="inlineStr">
        <is>
          <t>Deck</t>
        </is>
      </c>
      <c r="H765" s="2" t="inlineStr">
        <is>
          <t>SV: ex Starter Set Fuecoco &amp; Ampharos ex</t>
        </is>
      </c>
      <c r="I765" s="3" t="n"/>
      <c r="J765" s="3" t="n"/>
      <c r="K765" s="3" t="n"/>
      <c r="L765" s="3" t="n">
        <v>40</v>
      </c>
      <c r="M765" s="2" t="inlineStr">
        <is>
          <t>TCGplayer</t>
        </is>
      </c>
      <c r="O765" s="4" t="inlineStr">
        <is>
          <t>https://www.tcgplayer.com/product/594376</t>
        </is>
      </c>
    </row>
    <row r="766">
      <c r="A766" s="2" t="inlineStr">
        <is>
          <t>ex Starter Set Marnie's Morpeko &amp; Grimmsnarl ex</t>
        </is>
      </c>
      <c r="B766" s="3">
        <f>IF(I766&lt;&gt;"",I766,IF(J766&lt;&gt;"",J766,IF(K766&lt;&gt;"",K766,L766)))</f>
        <v>49.0</v>
      </c>
      <c r="C766" s="3">
        <f>MEDIAN(I766:L766)</f>
        <v>49.495000000000005</v>
      </c>
      <c r="D766" s="3">
        <f>ROUND(C766*(1-Settings!$B$2),2)</f>
        <v>34.65</v>
      </c>
      <c r="E766" s="3">
        <f>ROUND(C766*(1-Settings!$B$3),2)</f>
        <v>34.65</v>
      </c>
      <c r="F766" s="2" t="inlineStr">
        <is>
          <t>Pokemon</t>
        </is>
      </c>
      <c r="G766" s="2" t="inlineStr">
        <is>
          <t>Deck</t>
        </is>
      </c>
      <c r="H766" s="2" t="inlineStr">
        <is>
          <t>SV: ex Starter Set Marnie's Morpeko &amp; Grimmsnarl ex</t>
        </is>
      </c>
      <c r="I766" s="3" t="n"/>
      <c r="J766" s="3" t="n">
        <v>49</v>
      </c>
      <c r="K766" s="3" t="n"/>
      <c r="L766" s="3" t="n">
        <v>49.99</v>
      </c>
      <c r="M766" s="2" t="inlineStr">
        <is>
          <t>TCGplayer</t>
        </is>
      </c>
      <c r="O766" s="4" t="inlineStr">
        <is>
          <t>https://www.tcgplayer.com/product/619294</t>
        </is>
      </c>
    </row>
    <row r="767">
      <c r="A767" s="2" t="inlineStr">
        <is>
          <t>ex Starter Set Pikachu ex &amp; Pawmot</t>
        </is>
      </c>
      <c r="B767" s="3">
        <f>IF(I767&lt;&gt;"",I767,IF(J767&lt;&gt;"",J767,IF(K767&lt;&gt;"",K767,L767)))</f>
        <v>20.0</v>
      </c>
      <c r="C767" s="3">
        <f>MEDIAN(I767:L767)</f>
        <v>20.0</v>
      </c>
      <c r="D767" s="3">
        <f>ROUND(C767*(1-Settings!$B$2),2)</f>
        <v>14.0</v>
      </c>
      <c r="E767" s="3">
        <f>ROUND(C767*(1-Settings!$B$3),2)</f>
        <v>14.0</v>
      </c>
      <c r="F767" s="2" t="inlineStr">
        <is>
          <t>Pokemon</t>
        </is>
      </c>
      <c r="G767" s="2" t="inlineStr">
        <is>
          <t>Deck</t>
        </is>
      </c>
      <c r="H767" s="2" t="inlineStr">
        <is>
          <t>SV: ex Starter Set Pikachu ex &amp; Pawmot</t>
        </is>
      </c>
      <c r="I767" s="3" t="n"/>
      <c r="J767" s="3" t="n">
        <v>20</v>
      </c>
      <c r="K767" s="3" t="n"/>
      <c r="L767" s="3" t="n"/>
      <c r="M767" s="2" t="inlineStr">
        <is>
          <t>TCGplayer</t>
        </is>
      </c>
      <c r="O767" s="4" t="inlineStr">
        <is>
          <t>https://www.tcgplayer.com/product/594169</t>
        </is>
      </c>
    </row>
    <row r="768">
      <c r="A768" s="2" t="inlineStr">
        <is>
          <t>ex Starter Set Quaxly &amp; Mimikyu ex</t>
        </is>
      </c>
      <c r="B768" s="3">
        <f>IF(I768&lt;&gt;"",I768,IF(J768&lt;&gt;"",J768,IF(K768&lt;&gt;"",K768,L768)))</f>
        <v>40.0</v>
      </c>
      <c r="C768" s="3">
        <f>MEDIAN(I768:L768)</f>
        <v>40.0</v>
      </c>
      <c r="D768" s="3">
        <f>ROUND(C768*(1-Settings!$B$2),2)</f>
        <v>28.0</v>
      </c>
      <c r="E768" s="3">
        <f>ROUND(C768*(1-Settings!$B$3),2)</f>
        <v>28.0</v>
      </c>
      <c r="F768" s="2" t="inlineStr">
        <is>
          <t>Pokemon</t>
        </is>
      </c>
      <c r="G768" s="2" t="inlineStr">
        <is>
          <t>Deck</t>
        </is>
      </c>
      <c r="H768" s="2" t="inlineStr">
        <is>
          <t>SV: ex Starter Set Quaxly &amp; Mimikyu ex</t>
        </is>
      </c>
      <c r="I768" s="3" t="n"/>
      <c r="J768" s="3" t="n"/>
      <c r="K768" s="3" t="n"/>
      <c r="L768" s="3" t="n">
        <v>40</v>
      </c>
      <c r="M768" s="2" t="inlineStr">
        <is>
          <t>TCGplayer</t>
        </is>
      </c>
      <c r="O768" s="4" t="inlineStr">
        <is>
          <t>https://www.tcgplayer.com/product/594377</t>
        </is>
      </c>
    </row>
    <row r="769">
      <c r="A769" s="2" t="inlineStr">
        <is>
          <t>ex Starter Set Sprigatito &amp; Lucario ex</t>
        </is>
      </c>
      <c r="B769" s="3">
        <f>IF(I769&lt;&gt;"",I769,IF(J769&lt;&gt;"",J769,IF(K769&lt;&gt;"",K769,L769)))</f>
        <v>40.0</v>
      </c>
      <c r="C769" s="3">
        <f>MEDIAN(I769:L769)</f>
        <v>40.0</v>
      </c>
      <c r="D769" s="3">
        <f>ROUND(C769*(1-Settings!$B$2),2)</f>
        <v>28.0</v>
      </c>
      <c r="E769" s="3">
        <f>ROUND(C769*(1-Settings!$B$3),2)</f>
        <v>28.0</v>
      </c>
      <c r="F769" s="2" t="inlineStr">
        <is>
          <t>Pokemon</t>
        </is>
      </c>
      <c r="G769" s="2" t="inlineStr">
        <is>
          <t>Deck</t>
        </is>
      </c>
      <c r="H769" s="2" t="inlineStr">
        <is>
          <t>SV: ex Starter Set Sprigatito &amp; Lucario ex</t>
        </is>
      </c>
      <c r="I769" s="3" t="n"/>
      <c r="J769" s="3" t="n"/>
      <c r="K769" s="3" t="n"/>
      <c r="L769" s="3" t="n">
        <v>40</v>
      </c>
      <c r="M769" s="2" t="inlineStr">
        <is>
          <t>TCGplayer</t>
        </is>
      </c>
      <c r="O769" s="4" t="inlineStr">
        <is>
          <t>https://www.tcgplayer.com/product/594375</t>
        </is>
      </c>
    </row>
    <row r="770">
      <c r="A770" s="2" t="inlineStr">
        <is>
          <t>ex Starter Set Steven's Beldum &amp; Metagross ex</t>
        </is>
      </c>
      <c r="B770" s="3">
        <f>IF(I770&lt;&gt;"",I770,IF(J770&lt;&gt;"",J770,IF(K770&lt;&gt;"",K770,L770)))</f>
        <v>30.0</v>
      </c>
      <c r="C770" s="3">
        <f>MEDIAN(I770:L770)</f>
        <v>29.990000000000002</v>
      </c>
      <c r="D770" s="3">
        <f>ROUND(C770*(1-Settings!$B$2),2)</f>
        <v>20.99</v>
      </c>
      <c r="E770" s="3">
        <f>ROUND(C770*(1-Settings!$B$3),2)</f>
        <v>20.99</v>
      </c>
      <c r="F770" s="2" t="inlineStr">
        <is>
          <t>Pokemon</t>
        </is>
      </c>
      <c r="G770" s="2" t="inlineStr">
        <is>
          <t>Deck</t>
        </is>
      </c>
      <c r="H770" s="2" t="inlineStr">
        <is>
          <t>SV: ex Starter Set Steven's Beldum &amp; Metagross ex</t>
        </is>
      </c>
      <c r="I770" s="3" t="n"/>
      <c r="J770" s="3" t="n">
        <v>30</v>
      </c>
      <c r="K770" s="3" t="n"/>
      <c r="L770" s="3" t="n">
        <v>29.98</v>
      </c>
      <c r="M770" s="2" t="inlineStr">
        <is>
          <t>TCGplayer</t>
        </is>
      </c>
      <c r="O770" s="4" t="inlineStr">
        <is>
          <t>https://www.tcgplayer.com/product/619293</t>
        </is>
      </c>
    </row>
    <row r="771">
      <c r="A771" s="2" t="inlineStr">
        <is>
          <t>Future Miraidon ex Starter Deck &amp; Build Set</t>
        </is>
      </c>
      <c r="B771" s="3">
        <f>IF(I771&lt;&gt;"",I771,IF(J771&lt;&gt;"",J771,IF(K771&lt;&gt;"",K771,L771)))</f>
        <v>55.0</v>
      </c>
      <c r="C771" s="3">
        <f>MEDIAN(I771:L771)</f>
        <v>55.0</v>
      </c>
      <c r="D771" s="3">
        <f>ROUND(C771*(1-Settings!$B$2),2)</f>
        <v>38.5</v>
      </c>
      <c r="E771" s="3">
        <f>ROUND(C771*(1-Settings!$B$3),2)</f>
        <v>38.5</v>
      </c>
      <c r="F771" s="2" t="inlineStr">
        <is>
          <t>Pokemon</t>
        </is>
      </c>
      <c r="G771" s="2" t="inlineStr">
        <is>
          <t>Deck</t>
        </is>
      </c>
      <c r="H771" s="2" t="inlineStr">
        <is>
          <t>SV: Future Miraidon ex Starter Deck &amp; Build Set</t>
        </is>
      </c>
      <c r="I771" s="3" t="n"/>
      <c r="J771" s="3" t="n"/>
      <c r="K771" s="3" t="n"/>
      <c r="L771" s="3" t="n">
        <v>55</v>
      </c>
      <c r="M771" s="2" t="inlineStr">
        <is>
          <t>TCGplayer</t>
        </is>
      </c>
      <c r="O771" s="4" t="inlineStr">
        <is>
          <t>https://www.tcgplayer.com/product/593970</t>
        </is>
      </c>
    </row>
    <row r="772">
      <c r="A772" s="2" t="inlineStr">
        <is>
          <t>Mewtwo ex Terastal Starter Set</t>
        </is>
      </c>
      <c r="B772" s="3">
        <f>IF(I772&lt;&gt;"",I772,IF(J772&lt;&gt;"",J772,IF(K772&lt;&gt;"",K772,L772)))</f>
        <v>24.1</v>
      </c>
      <c r="C772" s="3">
        <f>MEDIAN(I772:L772)</f>
        <v>24.1</v>
      </c>
      <c r="D772" s="3">
        <f>ROUND(C772*(1-Settings!$B$2),2)</f>
        <v>16.87</v>
      </c>
      <c r="E772" s="3">
        <f>ROUND(C772*(1-Settings!$B$3),2)</f>
        <v>16.87</v>
      </c>
      <c r="F772" s="2" t="inlineStr">
        <is>
          <t>Pokemon</t>
        </is>
      </c>
      <c r="G772" s="2" t="inlineStr">
        <is>
          <t>Deck</t>
        </is>
      </c>
      <c r="H772" s="2" t="inlineStr">
        <is>
          <t>SV: Mewtwo ex Terastal Starter Set</t>
        </is>
      </c>
      <c r="I772" s="3" t="n"/>
      <c r="J772" s="3" t="n">
        <v>24.1</v>
      </c>
      <c r="K772" s="3" t="n"/>
      <c r="L772" s="3" t="n"/>
      <c r="M772" s="2" t="inlineStr">
        <is>
          <t>TCGplayer</t>
        </is>
      </c>
      <c r="O772" s="4" t="inlineStr">
        <is>
          <t>https://www.tcgplayer.com/product/594100</t>
        </is>
      </c>
    </row>
    <row r="773">
      <c r="A773" s="2" t="inlineStr">
        <is>
          <t>Ruler of the Black Flame Deck Build Box</t>
        </is>
      </c>
      <c r="B773" s="3">
        <f>IF(I773&lt;&gt;"",I773,IF(J773&lt;&gt;"",J773,IF(K773&lt;&gt;"",K773,L773)))</f>
        <v>60.16</v>
      </c>
      <c r="C773" s="3">
        <f>MEDIAN(I773:L773)</f>
        <v>60.08</v>
      </c>
      <c r="D773" s="3">
        <f>ROUND(C773*(1-Settings!$B$2),2)</f>
        <v>42.06</v>
      </c>
      <c r="E773" s="3">
        <f>ROUND(C773*(1-Settings!$B$3),2)</f>
        <v>42.06</v>
      </c>
      <c r="F773" s="2" t="inlineStr">
        <is>
          <t>Pokemon</t>
        </is>
      </c>
      <c r="G773" s="2" t="inlineStr">
        <is>
          <t>Deck</t>
        </is>
      </c>
      <c r="H773" s="2" t="inlineStr">
        <is>
          <t>SV: Ruler of the Black Flame Deck Build Box</t>
        </is>
      </c>
      <c r="I773" s="3" t="n"/>
      <c r="J773" s="3" t="n">
        <v>60.16</v>
      </c>
      <c r="K773" s="3" t="n"/>
      <c r="L773" s="3" t="n">
        <v>60</v>
      </c>
      <c r="M773" s="2" t="inlineStr">
        <is>
          <t>TCGplayer</t>
        </is>
      </c>
      <c r="O773" s="4" t="inlineStr">
        <is>
          <t>https://www.tcgplayer.com/product/594102</t>
        </is>
      </c>
    </row>
    <row r="774">
      <c r="A774" s="2" t="inlineStr">
        <is>
          <t>Skeledirge ex Terastal Starter Deck</t>
        </is>
      </c>
      <c r="B774" s="3">
        <f>IF(I774&lt;&gt;"",I774,IF(J774&lt;&gt;"",J774,IF(K774&lt;&gt;"",K774,L774)))</f>
        <v>19.99</v>
      </c>
      <c r="C774" s="3">
        <f>MEDIAN(I774:L774)</f>
        <v>19.99</v>
      </c>
      <c r="D774" s="3">
        <f>ROUND(C774*(1-Settings!$B$2),2)</f>
        <v>13.99</v>
      </c>
      <c r="E774" s="3">
        <f>ROUND(C774*(1-Settings!$B$3),2)</f>
        <v>13.99</v>
      </c>
      <c r="F774" s="2" t="inlineStr">
        <is>
          <t>Pokemon</t>
        </is>
      </c>
      <c r="G774" s="2" t="inlineStr">
        <is>
          <t>Deck</t>
        </is>
      </c>
      <c r="H774" s="2" t="inlineStr">
        <is>
          <t>SV: Skeledirge ex Terastal Starter Set</t>
        </is>
      </c>
      <c r="I774" s="3" t="n"/>
      <c r="J774" s="3" t="n">
        <v>19.99</v>
      </c>
      <c r="K774" s="3" t="n"/>
      <c r="L774" s="3" t="n">
        <v>19.99</v>
      </c>
      <c r="M774" s="2" t="inlineStr">
        <is>
          <t>TCGplayer</t>
        </is>
      </c>
      <c r="O774" s="4" t="inlineStr">
        <is>
          <t>https://www.tcgplayer.com/product/594101</t>
        </is>
      </c>
    </row>
    <row r="775">
      <c r="A775" s="2" t="inlineStr">
        <is>
          <t>Sylveon ex Stellar Tera Type Starter Set</t>
        </is>
      </c>
      <c r="B775" s="3">
        <f>IF(I775&lt;&gt;"",I775,IF(J775&lt;&gt;"",J775,IF(K775&lt;&gt;"",K775,L775)))</f>
        <v>34.99</v>
      </c>
      <c r="C775" s="3">
        <f>MEDIAN(I775:L775)</f>
        <v>29.995</v>
      </c>
      <c r="D775" s="3">
        <f>ROUND(C775*(1-Settings!$B$2),2)</f>
        <v>21.0</v>
      </c>
      <c r="E775" s="3">
        <f>ROUND(C775*(1-Settings!$B$3),2)</f>
        <v>21.0</v>
      </c>
      <c r="F775" s="2" t="inlineStr">
        <is>
          <t>Pokemon</t>
        </is>
      </c>
      <c r="G775" s="2" t="inlineStr">
        <is>
          <t>Deck</t>
        </is>
      </c>
      <c r="H775" s="2" t="inlineStr">
        <is>
          <t>SV: Sylveon ex Stellar Tera Type Starter Set</t>
        </is>
      </c>
      <c r="I775" s="3" t="n"/>
      <c r="J775" s="3" t="n">
        <v>34.99</v>
      </c>
      <c r="K775" s="3" t="n"/>
      <c r="L775" s="3" t="n">
        <v>25</v>
      </c>
      <c r="M775" s="2" t="inlineStr">
        <is>
          <t>TCGplayer</t>
        </is>
      </c>
      <c r="O775" s="4" t="inlineStr">
        <is>
          <t>https://www.tcgplayer.com/product/593911</t>
        </is>
      </c>
    </row>
    <row r="776">
      <c r="A776" s="2" t="inlineStr">
        <is>
          <t>Terastal Charizard ex Battle Master Deck</t>
        </is>
      </c>
      <c r="B776" s="3">
        <f>IF(I776&lt;&gt;"",I776,IF(J776&lt;&gt;"",J776,IF(K776&lt;&gt;"",K776,L776)))</f>
        <v>32.99</v>
      </c>
      <c r="C776" s="3">
        <f>MEDIAN(I776:L776)</f>
        <v>51.489999999999995</v>
      </c>
      <c r="D776" s="3">
        <f>ROUND(C776*(1-Settings!$B$2),2)</f>
        <v>36.04</v>
      </c>
      <c r="E776" s="3">
        <f>ROUND(C776*(1-Settings!$B$3),2)</f>
        <v>36.04</v>
      </c>
      <c r="F776" s="2" t="inlineStr">
        <is>
          <t>Pokemon</t>
        </is>
      </c>
      <c r="G776" s="2" t="inlineStr">
        <is>
          <t>Deck</t>
        </is>
      </c>
      <c r="H776" s="2" t="inlineStr">
        <is>
          <t>SV: Terastal Charizard ex Battle Master Deck</t>
        </is>
      </c>
      <c r="I776" s="3" t="n"/>
      <c r="J776" s="3" t="n">
        <v>32.99</v>
      </c>
      <c r="K776" s="3" t="n"/>
      <c r="L776" s="3" t="n">
        <v>69.98999999999999</v>
      </c>
      <c r="M776" s="2" t="inlineStr">
        <is>
          <t>TCGplayer</t>
        </is>
      </c>
      <c r="O776" s="4" t="inlineStr">
        <is>
          <t>https://www.tcgplayer.com/product/593968</t>
        </is>
      </c>
    </row>
    <row r="777">
      <c r="A777" s="2" t="inlineStr">
        <is>
          <t>Venusaur, Charizard &amp; Blastoise Special Deck Set ex</t>
        </is>
      </c>
      <c r="B777" s="3">
        <f>IF(I777&lt;&gt;"",I777,IF(J777&lt;&gt;"",J777,IF(K777&lt;&gt;"",K777,L777)))</f>
        <v>265.97</v>
      </c>
      <c r="C777" s="3">
        <f>MEDIAN(I777:L777)</f>
        <v>272.985</v>
      </c>
      <c r="D777" s="3">
        <f>ROUND(C777*(1-Settings!$B$2),2)</f>
        <v>191.09</v>
      </c>
      <c r="E777" s="3">
        <f>ROUND(C777*(1-Settings!$B$3),2)</f>
        <v>191.09</v>
      </c>
      <c r="F777" s="2" t="inlineStr">
        <is>
          <t>Pokemon</t>
        </is>
      </c>
      <c r="G777" s="2" t="inlineStr">
        <is>
          <t>Deck</t>
        </is>
      </c>
      <c r="H777" s="2" t="inlineStr">
        <is>
          <t>SV: Venusaur, Charizard &amp; Blastoise Special Deck Set</t>
        </is>
      </c>
      <c r="I777" s="3" t="n"/>
      <c r="J777" s="3" t="n">
        <v>265.97</v>
      </c>
      <c r="K777" s="3" t="n"/>
      <c r="L777" s="3" t="n">
        <v>280</v>
      </c>
      <c r="M777" s="2" t="inlineStr">
        <is>
          <t>TCGplayer</t>
        </is>
      </c>
      <c r="O777" s="4" t="inlineStr">
        <is>
          <t>https://www.tcgplayer.com/product/594075</t>
        </is>
      </c>
    </row>
    <row r="778">
      <c r="A778" s="2" t="inlineStr">
        <is>
          <t>Generations Start Deck - Dialga ex &amp; Lucario ex</t>
        </is>
      </c>
      <c r="B778" s="3">
        <f>IF(I778&lt;&gt;"",I778,IF(J778&lt;&gt;"",J778,IF(K778&lt;&gt;"",K778,L778)))</f>
        <v>19.99</v>
      </c>
      <c r="C778" s="3">
        <f>MEDIAN(I778:L778)</f>
        <v>19.99</v>
      </c>
      <c r="D778" s="3">
        <f>ROUND(C778*(1-Settings!$B$2),2)</f>
        <v>13.99</v>
      </c>
      <c r="E778" s="3">
        <f>ROUND(C778*(1-Settings!$B$3),2)</f>
        <v>13.99</v>
      </c>
      <c r="F778" s="2" t="inlineStr">
        <is>
          <t>Pokemon</t>
        </is>
      </c>
      <c r="G778" s="2" t="inlineStr">
        <is>
          <t>Deck</t>
        </is>
      </c>
      <c r="H778" s="2" t="inlineStr">
        <is>
          <t>SVM: Generations Start Decks</t>
        </is>
      </c>
      <c r="I778" s="3" t="n"/>
      <c r="J778" s="3" t="n"/>
      <c r="K778" s="3" t="n"/>
      <c r="L778" s="3" t="n">
        <v>19.99</v>
      </c>
      <c r="M778" s="2" t="inlineStr">
        <is>
          <t>TCGplayer</t>
        </is>
      </c>
      <c r="O778" s="4" t="inlineStr">
        <is>
          <t>https://www.tcgplayer.com/product/643135</t>
        </is>
      </c>
    </row>
    <row r="779">
      <c r="A779" s="2" t="inlineStr">
        <is>
          <t>Generations Start Deck - Koraidon ex &amp; Paldean Clodsire ex</t>
        </is>
      </c>
      <c r="B779" s="3">
        <f>IF(I779&lt;&gt;"",I779,IF(J779&lt;&gt;"",J779,IF(K779&lt;&gt;"",K779,L779)))</f>
        <v>14.99</v>
      </c>
      <c r="C779" s="3">
        <f>MEDIAN(I779:L779)</f>
        <v>14.99</v>
      </c>
      <c r="D779" s="3">
        <f>ROUND(C779*(1-Settings!$B$2),2)</f>
        <v>10.49</v>
      </c>
      <c r="E779" s="3">
        <f>ROUND(C779*(1-Settings!$B$3),2)</f>
        <v>10.49</v>
      </c>
      <c r="F779" s="2" t="inlineStr">
        <is>
          <t>Pokemon</t>
        </is>
      </c>
      <c r="G779" s="2" t="inlineStr">
        <is>
          <t>Deck</t>
        </is>
      </c>
      <c r="H779" s="2" t="inlineStr">
        <is>
          <t>SVM: Generations Start Decks</t>
        </is>
      </c>
      <c r="I779" s="3" t="n"/>
      <c r="J779" s="3" t="n"/>
      <c r="K779" s="3" t="n"/>
      <c r="L779" s="3" t="n">
        <v>14.99</v>
      </c>
      <c r="M779" s="2" t="inlineStr">
        <is>
          <t>TCGplayer</t>
        </is>
      </c>
      <c r="O779" s="4" t="inlineStr">
        <is>
          <t>https://www.tcgplayer.com/product/643140</t>
        </is>
      </c>
    </row>
    <row r="780">
      <c r="A780" s="2" t="inlineStr">
        <is>
          <t>Generations Start Deck - Kyogre ex &amp; Blaziken ex</t>
        </is>
      </c>
      <c r="B780" s="3">
        <f>IF(I780&lt;&gt;"",I780,IF(J780&lt;&gt;"",J780,IF(K780&lt;&gt;"",K780,L780)))</f>
        <v>30.0</v>
      </c>
      <c r="C780" s="3">
        <f>MEDIAN(I780:L780)</f>
        <v>30.0</v>
      </c>
      <c r="D780" s="3">
        <f>ROUND(C780*(1-Settings!$B$2),2)</f>
        <v>21.0</v>
      </c>
      <c r="E780" s="3">
        <f>ROUND(C780*(1-Settings!$B$3),2)</f>
        <v>21.0</v>
      </c>
      <c r="F780" s="2" t="inlineStr">
        <is>
          <t>Pokemon</t>
        </is>
      </c>
      <c r="G780" s="2" t="inlineStr">
        <is>
          <t>Deck</t>
        </is>
      </c>
      <c r="H780" s="2" t="inlineStr">
        <is>
          <t>SVM: Generations Start Decks</t>
        </is>
      </c>
      <c r="I780" s="3" t="n"/>
      <c r="J780" s="3" t="n"/>
      <c r="K780" s="3" t="n"/>
      <c r="L780" s="3" t="n">
        <v>30</v>
      </c>
      <c r="M780" s="2" t="inlineStr">
        <is>
          <t>TCGplayer</t>
        </is>
      </c>
      <c r="O780" s="4" t="inlineStr">
        <is>
          <t>https://www.tcgplayer.com/product/643134</t>
        </is>
      </c>
    </row>
    <row r="781">
      <c r="A781" s="2" t="inlineStr">
        <is>
          <t>Generations Start Deck - Lugia ex &amp; Tyranitar ex</t>
        </is>
      </c>
      <c r="B781" s="3">
        <f>IF(I781&lt;&gt;"",I781,IF(J781&lt;&gt;"",J781,IF(K781&lt;&gt;"",K781,L781)))</f>
        <v>15.5</v>
      </c>
      <c r="C781" s="3">
        <f>MEDIAN(I781:L781)</f>
        <v>19.25</v>
      </c>
      <c r="D781" s="3">
        <f>ROUND(C781*(1-Settings!$B$2),2)</f>
        <v>13.48</v>
      </c>
      <c r="E781" s="3">
        <f>ROUND(C781*(1-Settings!$B$3),2)</f>
        <v>13.48</v>
      </c>
      <c r="F781" s="2" t="inlineStr">
        <is>
          <t>Pokemon</t>
        </is>
      </c>
      <c r="G781" s="2" t="inlineStr">
        <is>
          <t>Deck</t>
        </is>
      </c>
      <c r="H781" s="2" t="inlineStr">
        <is>
          <t>SVM: Generations Start Decks</t>
        </is>
      </c>
      <c r="I781" s="3" t="n"/>
      <c r="J781" s="3" t="n">
        <v>15.5</v>
      </c>
      <c r="K781" s="3" t="n"/>
      <c r="L781" s="3" t="n">
        <v>23</v>
      </c>
      <c r="M781" s="2" t="inlineStr">
        <is>
          <t>TCGplayer</t>
        </is>
      </c>
      <c r="O781" s="4" t="inlineStr">
        <is>
          <t>https://www.tcgplayer.com/product/643133</t>
        </is>
      </c>
    </row>
    <row r="782">
      <c r="A782" s="2" t="inlineStr">
        <is>
          <t>Generations Start Deck - Pikachu ex &amp; Snorlax ex</t>
        </is>
      </c>
      <c r="B782" s="3">
        <f>IF(I782&lt;&gt;"",I782,IF(J782&lt;&gt;"",J782,IF(K782&lt;&gt;"",K782,L782)))</f>
        <v>15.99</v>
      </c>
      <c r="C782" s="3">
        <f>MEDIAN(I782:L782)</f>
        <v>15.99</v>
      </c>
      <c r="D782" s="3">
        <f>ROUND(C782*(1-Settings!$B$2),2)</f>
        <v>11.19</v>
      </c>
      <c r="E782" s="3">
        <f>ROUND(C782*(1-Settings!$B$3),2)</f>
        <v>11.19</v>
      </c>
      <c r="F782" s="2" t="inlineStr">
        <is>
          <t>Pokemon</t>
        </is>
      </c>
      <c r="G782" s="2" t="inlineStr">
        <is>
          <t>Deck</t>
        </is>
      </c>
      <c r="H782" s="2" t="inlineStr">
        <is>
          <t>SVM: Generations Start Decks</t>
        </is>
      </c>
      <c r="I782" s="3" t="n"/>
      <c r="J782" s="3" t="n">
        <v>15.99</v>
      </c>
      <c r="K782" s="3" t="n"/>
      <c r="L782" s="3" t="n"/>
      <c r="M782" s="2" t="inlineStr">
        <is>
          <t>TCGplayer</t>
        </is>
      </c>
      <c r="O782" s="4" t="inlineStr">
        <is>
          <t>https://www.tcgplayer.com/product/643132</t>
        </is>
      </c>
    </row>
    <row r="783">
      <c r="A783" s="2" t="inlineStr">
        <is>
          <t>Generations Start Deck - Reshiram ex &amp; Amoonguss ex</t>
        </is>
      </c>
      <c r="B783" s="3">
        <f>IF(I783&lt;&gt;"",I783,IF(J783&lt;&gt;"",J783,IF(K783&lt;&gt;"",K783,L783)))</f>
        <v>14.99</v>
      </c>
      <c r="C783" s="3">
        <f>MEDIAN(I783:L783)</f>
        <v>14.99</v>
      </c>
      <c r="D783" s="3">
        <f>ROUND(C783*(1-Settings!$B$2),2)</f>
        <v>10.49</v>
      </c>
      <c r="E783" s="3">
        <f>ROUND(C783*(1-Settings!$B$3),2)</f>
        <v>10.49</v>
      </c>
      <c r="F783" s="2" t="inlineStr">
        <is>
          <t>Pokemon</t>
        </is>
      </c>
      <c r="G783" s="2" t="inlineStr">
        <is>
          <t>Deck</t>
        </is>
      </c>
      <c r="H783" s="2" t="inlineStr">
        <is>
          <t>SVM: Generations Start Decks</t>
        </is>
      </c>
      <c r="I783" s="3" t="n"/>
      <c r="J783" s="3" t="n"/>
      <c r="K783" s="3" t="n"/>
      <c r="L783" s="3" t="n">
        <v>14.99</v>
      </c>
      <c r="M783" s="2" t="inlineStr">
        <is>
          <t>TCGplayer</t>
        </is>
      </c>
      <c r="O783" s="4" t="inlineStr">
        <is>
          <t>https://www.tcgplayer.com/product/643136</t>
        </is>
      </c>
    </row>
    <row r="784">
      <c r="A784" s="2" t="inlineStr">
        <is>
          <t>Generations Start Deck - Tapu Koko ex &amp; Mimikyu ex</t>
        </is>
      </c>
      <c r="B784" s="3">
        <f>IF(I784&lt;&gt;"",I784,IF(J784&lt;&gt;"",J784,IF(K784&lt;&gt;"",K784,L784)))</f>
        <v>14.99</v>
      </c>
      <c r="C784" s="3">
        <f>MEDIAN(I784:L784)</f>
        <v>14.99</v>
      </c>
      <c r="D784" s="3">
        <f>ROUND(C784*(1-Settings!$B$2),2)</f>
        <v>10.49</v>
      </c>
      <c r="E784" s="3">
        <f>ROUND(C784*(1-Settings!$B$3),2)</f>
        <v>10.49</v>
      </c>
      <c r="F784" s="2" t="inlineStr">
        <is>
          <t>Pokemon</t>
        </is>
      </c>
      <c r="G784" s="2" t="inlineStr">
        <is>
          <t>Deck</t>
        </is>
      </c>
      <c r="H784" s="2" t="inlineStr">
        <is>
          <t>SVM: Generations Start Decks</t>
        </is>
      </c>
      <c r="I784" s="3" t="n"/>
      <c r="J784" s="3" t="n">
        <v>14.99</v>
      </c>
      <c r="K784" s="3" t="n"/>
      <c r="L784" s="3" t="n"/>
      <c r="M784" s="2" t="inlineStr">
        <is>
          <t>TCGplayer</t>
        </is>
      </c>
      <c r="O784" s="4" t="inlineStr">
        <is>
          <t>https://www.tcgplayer.com/product/643138</t>
        </is>
      </c>
    </row>
    <row r="785">
      <c r="A785" s="2" t="inlineStr">
        <is>
          <t>Generations Start Deck - Xerneas ex &amp; Noivern ex</t>
        </is>
      </c>
      <c r="B785" s="3">
        <f>IF(I785&lt;&gt;"",I785,IF(J785&lt;&gt;"",J785,IF(K785&lt;&gt;"",K785,L785)))</f>
        <v>14.99</v>
      </c>
      <c r="C785" s="3">
        <f>MEDIAN(I785:L785)</f>
        <v>14.99</v>
      </c>
      <c r="D785" s="3">
        <f>ROUND(C785*(1-Settings!$B$2),2)</f>
        <v>10.49</v>
      </c>
      <c r="E785" s="3">
        <f>ROUND(C785*(1-Settings!$B$3),2)</f>
        <v>10.49</v>
      </c>
      <c r="F785" s="2" t="inlineStr">
        <is>
          <t>Pokemon</t>
        </is>
      </c>
      <c r="G785" s="2" t="inlineStr">
        <is>
          <t>Deck</t>
        </is>
      </c>
      <c r="H785" s="2" t="inlineStr">
        <is>
          <t>SVM: Generations Start Decks</t>
        </is>
      </c>
      <c r="I785" s="3" t="n"/>
      <c r="J785" s="3" t="n"/>
      <c r="K785" s="3" t="n"/>
      <c r="L785" s="3" t="n">
        <v>14.99</v>
      </c>
      <c r="M785" s="2" t="inlineStr">
        <is>
          <t>TCGplayer</t>
        </is>
      </c>
      <c r="O785" s="4" t="inlineStr">
        <is>
          <t>https://www.tcgplayer.com/product/643137</t>
        </is>
      </c>
    </row>
    <row r="786">
      <c r="A786" s="2" t="inlineStr">
        <is>
          <t>Generations Start Deck - Zacian ex &amp; Alcremie ex</t>
        </is>
      </c>
      <c r="B786" s="3">
        <f>IF(I786&lt;&gt;"",I786,IF(J786&lt;&gt;"",J786,IF(K786&lt;&gt;"",K786,L786)))</f>
        <v>9.99</v>
      </c>
      <c r="C786" s="3">
        <f>MEDIAN(I786:L786)</f>
        <v>9.99</v>
      </c>
      <c r="D786" s="3">
        <f>ROUND(C786*(1-Settings!$B$2),2)</f>
        <v>6.99</v>
      </c>
      <c r="E786" s="3">
        <f>ROUND(C786*(1-Settings!$B$3),2)</f>
        <v>6.99</v>
      </c>
      <c r="F786" s="2" t="inlineStr">
        <is>
          <t>Pokemon</t>
        </is>
      </c>
      <c r="G786" s="2" t="inlineStr">
        <is>
          <t>Deck</t>
        </is>
      </c>
      <c r="H786" s="2" t="inlineStr">
        <is>
          <t>SVM: Generations Start Decks</t>
        </is>
      </c>
      <c r="I786" s="3" t="n"/>
      <c r="J786" s="3" t="n">
        <v>9.99</v>
      </c>
      <c r="K786" s="3" t="n"/>
      <c r="L786" s="3" t="n"/>
      <c r="M786" s="2" t="inlineStr">
        <is>
          <t>TCGplayer</t>
        </is>
      </c>
      <c r="O786" s="4" t="inlineStr">
        <is>
          <t>https://www.tcgplayer.com/product/643139</t>
        </is>
      </c>
    </row>
    <row r="787">
      <c r="A787" s="2" t="inlineStr">
        <is>
          <t>Start Deck Generations Special Battle Set</t>
        </is>
      </c>
      <c r="B787" s="3">
        <f>IF(I787&lt;&gt;"",I787,IF(J787&lt;&gt;"",J787,IF(K787&lt;&gt;"",K787,L787)))</f>
        <v>199.99</v>
      </c>
      <c r="C787" s="3">
        <f>MEDIAN(I787:L787)</f>
        <v>199.99</v>
      </c>
      <c r="D787" s="3">
        <f>ROUND(C787*(1-Settings!$B$2),2)</f>
        <v>139.99</v>
      </c>
      <c r="E787" s="3">
        <f>ROUND(C787*(1-Settings!$B$3),2)</f>
        <v>139.99</v>
      </c>
      <c r="F787" s="2" t="inlineStr">
        <is>
          <t>Pokemon</t>
        </is>
      </c>
      <c r="G787" s="2" t="inlineStr">
        <is>
          <t>Deck</t>
        </is>
      </c>
      <c r="H787" s="2" t="inlineStr">
        <is>
          <t>SVM: Generations Start Decks</t>
        </is>
      </c>
      <c r="I787" s="3" t="n"/>
      <c r="J787" s="3" t="n"/>
      <c r="K787" s="3" t="n"/>
      <c r="L787" s="3" t="n">
        <v>199.99</v>
      </c>
      <c r="M787" s="2" t="inlineStr">
        <is>
          <t>TCGplayer</t>
        </is>
      </c>
      <c r="O787" s="4" t="inlineStr">
        <is>
          <t>https://www.tcgplayer.com/product/656152</t>
        </is>
      </c>
    </row>
    <row r="788">
      <c r="A788" s="2" t="inlineStr">
        <is>
          <t>Sword &amp; Shield Theme Deck [Inteleon]</t>
        </is>
      </c>
      <c r="B788" s="3">
        <f>IF(I788&lt;&gt;"",I788,IF(J788&lt;&gt;"",J788,IF(K788&lt;&gt;"",K788,L788)))</f>
        <v>14.62</v>
      </c>
      <c r="C788" s="3">
        <f>MEDIAN(I788:L788)</f>
        <v>15.0</v>
      </c>
      <c r="D788" s="3">
        <f>ROUND(C788*(1-Settings!$B$2),2)</f>
        <v>10.5</v>
      </c>
      <c r="E788" s="3">
        <f>ROUND(C788*(1-Settings!$B$3),2)</f>
        <v>10.5</v>
      </c>
      <c r="F788" s="2" t="inlineStr">
        <is>
          <t>Pokemon</t>
        </is>
      </c>
      <c r="G788" s="2" t="inlineStr">
        <is>
          <t>Deck</t>
        </is>
      </c>
      <c r="H788" s="2" t="inlineStr">
        <is>
          <t>SWSH01: Sword &amp; Shield Base Set</t>
        </is>
      </c>
      <c r="I788" s="3" t="n"/>
      <c r="J788" s="3" t="n">
        <v>14.62</v>
      </c>
      <c r="K788" s="3" t="n">
        <v>20.11</v>
      </c>
      <c r="L788" s="3" t="n">
        <v>15</v>
      </c>
      <c r="M788" s="2" t="inlineStr">
        <is>
          <t>TCGplayer</t>
        </is>
      </c>
      <c r="O788" s="4" t="inlineStr">
        <is>
          <t>https://www.tcgplayer.com/product/206036</t>
        </is>
      </c>
    </row>
    <row r="789">
      <c r="A789" s="2" t="inlineStr">
        <is>
          <t>Sword &amp; Shield Theme Deck [Rillaboom]</t>
        </is>
      </c>
      <c r="B789" s="3">
        <f>IF(I789&lt;&gt;"",I789,IF(J789&lt;&gt;"",J789,IF(K789&lt;&gt;"",K789,L789)))</f>
        <v>14.71</v>
      </c>
      <c r="C789" s="3">
        <f>MEDIAN(I789:L789)</f>
        <v>14.71</v>
      </c>
      <c r="D789" s="3">
        <f>ROUND(C789*(1-Settings!$B$2),2)</f>
        <v>10.3</v>
      </c>
      <c r="E789" s="3">
        <f>ROUND(C789*(1-Settings!$B$3),2)</f>
        <v>10.3</v>
      </c>
      <c r="F789" s="2" t="inlineStr">
        <is>
          <t>Pokemon</t>
        </is>
      </c>
      <c r="G789" s="2" t="inlineStr">
        <is>
          <t>Deck</t>
        </is>
      </c>
      <c r="H789" s="2" t="inlineStr">
        <is>
          <t>SWSH01: Sword &amp; Shield Base Set</t>
        </is>
      </c>
      <c r="I789" s="3" t="n"/>
      <c r="J789" s="3" t="n">
        <v>14.71</v>
      </c>
      <c r="K789" s="3" t="n">
        <v>17</v>
      </c>
      <c r="L789" s="3" t="n">
        <v>14.71</v>
      </c>
      <c r="M789" s="2" t="inlineStr">
        <is>
          <t>TCGplayer</t>
        </is>
      </c>
      <c r="O789" s="4" t="inlineStr">
        <is>
          <t>https://www.tcgplayer.com/product/206037</t>
        </is>
      </c>
    </row>
    <row r="790">
      <c r="A790" s="2" t="inlineStr">
        <is>
          <t>Sword &amp; Shield Trial Deck [Set of 3]</t>
        </is>
      </c>
      <c r="B790" s="3">
        <f>IF(I790&lt;&gt;"",I790,IF(J790&lt;&gt;"",J790,IF(K790&lt;&gt;"",K790,L790)))</f>
        <v>72.94</v>
      </c>
      <c r="C790" s="3">
        <f>MEDIAN(I790:L790)</f>
        <v>72.94</v>
      </c>
      <c r="D790" s="3">
        <f>ROUND(C790*(1-Settings!$B$2),2)</f>
        <v>51.06</v>
      </c>
      <c r="E790" s="3">
        <f>ROUND(C790*(1-Settings!$B$3),2)</f>
        <v>51.06</v>
      </c>
      <c r="F790" s="2" t="inlineStr">
        <is>
          <t>Pokemon</t>
        </is>
      </c>
      <c r="G790" s="2" t="inlineStr">
        <is>
          <t>Deck</t>
        </is>
      </c>
      <c r="H790" s="2" t="inlineStr">
        <is>
          <t>SWSH01: Sword &amp; Shield Base Set</t>
        </is>
      </c>
      <c r="I790" s="3" t="n"/>
      <c r="J790" s="3" t="n"/>
      <c r="K790" s="3" t="n">
        <v>72.94</v>
      </c>
      <c r="L790" s="3" t="n">
        <v>72.94</v>
      </c>
      <c r="M790" s="2" t="inlineStr">
        <is>
          <t>TCGplayer</t>
        </is>
      </c>
      <c r="O790" s="4" t="inlineStr">
        <is>
          <t>https://www.tcgplayer.com/product/206044</t>
        </is>
      </c>
    </row>
    <row r="791">
      <c r="A791" s="2" t="inlineStr">
        <is>
          <t>Rebel Clash Theme Deck [Zacian]</t>
        </is>
      </c>
      <c r="B791" s="3">
        <f>IF(I791&lt;&gt;"",I791,IF(J791&lt;&gt;"",J791,IF(K791&lt;&gt;"",K791,L791)))</f>
        <v>24.12</v>
      </c>
      <c r="C791" s="3">
        <f>MEDIAN(I791:L791)</f>
        <v>24.12</v>
      </c>
      <c r="D791" s="3">
        <f>ROUND(C791*(1-Settings!$B$2),2)</f>
        <v>16.88</v>
      </c>
      <c r="E791" s="3">
        <f>ROUND(C791*(1-Settings!$B$3),2)</f>
        <v>16.88</v>
      </c>
      <c r="F791" s="2" t="inlineStr">
        <is>
          <t>Pokemon</t>
        </is>
      </c>
      <c r="G791" s="2" t="inlineStr">
        <is>
          <t>Deck</t>
        </is>
      </c>
      <c r="H791" s="2" t="inlineStr">
        <is>
          <t>SWSH02: Rebel Clash</t>
        </is>
      </c>
      <c r="I791" s="3" t="n"/>
      <c r="J791" s="3" t="n">
        <v>24.12</v>
      </c>
      <c r="K791" s="3" t="n">
        <v>25</v>
      </c>
      <c r="L791" s="3" t="n">
        <v>20</v>
      </c>
      <c r="M791" s="2" t="inlineStr">
        <is>
          <t>TCGplayer</t>
        </is>
      </c>
      <c r="O791" s="4" t="inlineStr">
        <is>
          <t>https://www.tcgplayer.com/product/210571</t>
        </is>
      </c>
    </row>
    <row r="792">
      <c r="A792" s="2" t="inlineStr">
        <is>
          <t>Rebel Clash Theme Deck [Zamazenta]</t>
        </is>
      </c>
      <c r="B792" s="3">
        <f>IF(I792&lt;&gt;"",I792,IF(J792&lt;&gt;"",J792,IF(K792&lt;&gt;"",K792,L792)))</f>
        <v>30.67</v>
      </c>
      <c r="C792" s="3">
        <f>MEDIAN(I792:L792)</f>
        <v>33.74</v>
      </c>
      <c r="D792" s="3">
        <f>ROUND(C792*(1-Settings!$B$2),2)</f>
        <v>23.62</v>
      </c>
      <c r="E792" s="3">
        <f>ROUND(C792*(1-Settings!$B$3),2)</f>
        <v>23.62</v>
      </c>
      <c r="F792" s="2" t="inlineStr">
        <is>
          <t>Pokemon</t>
        </is>
      </c>
      <c r="G792" s="2" t="inlineStr">
        <is>
          <t>Deck</t>
        </is>
      </c>
      <c r="H792" s="2" t="inlineStr">
        <is>
          <t>SWSH02: Rebel Clash</t>
        </is>
      </c>
      <c r="I792" s="3" t="n"/>
      <c r="J792" s="3" t="n">
        <v>30.67</v>
      </c>
      <c r="K792" s="3" t="n">
        <v>33.74</v>
      </c>
      <c r="L792" s="3" t="n">
        <v>33.74</v>
      </c>
      <c r="M792" s="2" t="inlineStr">
        <is>
          <t>TCGplayer</t>
        </is>
      </c>
      <c r="O792" s="4" t="inlineStr">
        <is>
          <t>https://www.tcgplayer.com/product/210570</t>
        </is>
      </c>
    </row>
    <row r="793">
      <c r="A793" s="2" t="inlineStr">
        <is>
          <t>Darkness Ablaze Theme Deck [Galarian Darmanitan]</t>
        </is>
      </c>
      <c r="B793" s="3">
        <f>IF(I793&lt;&gt;"",I793,IF(J793&lt;&gt;"",J793,IF(K793&lt;&gt;"",K793,L793)))</f>
        <v>24.0</v>
      </c>
      <c r="C793" s="3">
        <f>MEDIAN(I793:L793)</f>
        <v>22.0</v>
      </c>
      <c r="D793" s="3">
        <f>ROUND(C793*(1-Settings!$B$2),2)</f>
        <v>15.4</v>
      </c>
      <c r="E793" s="3">
        <f>ROUND(C793*(1-Settings!$B$3),2)</f>
        <v>15.4</v>
      </c>
      <c r="F793" s="2" t="inlineStr">
        <is>
          <t>Pokemon</t>
        </is>
      </c>
      <c r="G793" s="2" t="inlineStr">
        <is>
          <t>Deck</t>
        </is>
      </c>
      <c r="H793" s="2" t="inlineStr">
        <is>
          <t>SWSH03: Darkness Ablaze</t>
        </is>
      </c>
      <c r="I793" s="3" t="n"/>
      <c r="J793" s="3" t="n"/>
      <c r="K793" s="3" t="n">
        <v>24</v>
      </c>
      <c r="L793" s="3" t="n">
        <v>20</v>
      </c>
      <c r="M793" s="2" t="inlineStr">
        <is>
          <t>TCGplayer</t>
        </is>
      </c>
      <c r="O793" s="4" t="inlineStr">
        <is>
          <t>https://www.tcgplayer.com/product/216865</t>
        </is>
      </c>
    </row>
    <row r="794">
      <c r="A794" s="2" t="inlineStr">
        <is>
          <t>Darkness Ablaze Theme Deck [Galarian Sirfetch'd]</t>
        </is>
      </c>
      <c r="B794" s="3">
        <f>IF(I794&lt;&gt;"",I794,IF(J794&lt;&gt;"",J794,IF(K794&lt;&gt;"",K794,L794)))</f>
        <v>21.96</v>
      </c>
      <c r="C794" s="3">
        <f>MEDIAN(I794:L794)</f>
        <v>21.96</v>
      </c>
      <c r="D794" s="3">
        <f>ROUND(C794*(1-Settings!$B$2),2)</f>
        <v>15.37</v>
      </c>
      <c r="E794" s="3">
        <f>ROUND(C794*(1-Settings!$B$3),2)</f>
        <v>15.37</v>
      </c>
      <c r="F794" s="2" t="inlineStr">
        <is>
          <t>Pokemon</t>
        </is>
      </c>
      <c r="G794" s="2" t="inlineStr">
        <is>
          <t>Deck</t>
        </is>
      </c>
      <c r="H794" s="2" t="inlineStr">
        <is>
          <t>SWSH03: Darkness Ablaze</t>
        </is>
      </c>
      <c r="I794" s="3" t="n"/>
      <c r="J794" s="3" t="n">
        <v>21.96</v>
      </c>
      <c r="K794" s="3" t="n">
        <v>23.75</v>
      </c>
      <c r="L794" s="3" t="n">
        <v>19.55</v>
      </c>
      <c r="M794" s="2" t="inlineStr">
        <is>
          <t>TCGplayer</t>
        </is>
      </c>
      <c r="O794" s="4" t="inlineStr">
        <is>
          <t>https://www.tcgplayer.com/product/216866</t>
        </is>
      </c>
    </row>
    <row r="795">
      <c r="A795" s="2" t="inlineStr">
        <is>
          <t>Vivid Voltage Theme Deck [Charizard]</t>
        </is>
      </c>
      <c r="B795" s="3">
        <f>IF(I795&lt;&gt;"",I795,IF(J795&lt;&gt;"",J795,IF(K795&lt;&gt;"",K795,L795)))</f>
        <v>24.56</v>
      </c>
      <c r="C795" s="3">
        <f>MEDIAN(I795:L795)</f>
        <v>24.56</v>
      </c>
      <c r="D795" s="3">
        <f>ROUND(C795*(1-Settings!$B$2),2)</f>
        <v>17.19</v>
      </c>
      <c r="E795" s="3">
        <f>ROUND(C795*(1-Settings!$B$3),2)</f>
        <v>17.19</v>
      </c>
      <c r="F795" s="2" t="inlineStr">
        <is>
          <t>Pokemon</t>
        </is>
      </c>
      <c r="G795" s="2" t="inlineStr">
        <is>
          <t>Deck</t>
        </is>
      </c>
      <c r="H795" s="2" t="inlineStr">
        <is>
          <t>SWSH04: Vivid Voltage</t>
        </is>
      </c>
      <c r="I795" s="3" t="n"/>
      <c r="J795" s="3" t="n">
        <v>24.56</v>
      </c>
      <c r="K795" s="3" t="n">
        <v>25</v>
      </c>
      <c r="L795" s="3" t="n">
        <v>17.99</v>
      </c>
      <c r="M795" s="2" t="inlineStr">
        <is>
          <t>TCGplayer</t>
        </is>
      </c>
      <c r="O795" s="4" t="inlineStr">
        <is>
          <t>https://www.tcgplayer.com/product/221750</t>
        </is>
      </c>
    </row>
    <row r="796">
      <c r="A796" s="2" t="inlineStr">
        <is>
          <t>Vivid Voltage Theme Deck [Drednaw]</t>
        </is>
      </c>
      <c r="B796" s="3">
        <f>IF(I796&lt;&gt;"",I796,IF(J796&lt;&gt;"",J796,IF(K796&lt;&gt;"",K796,L796)))</f>
        <v>11.83</v>
      </c>
      <c r="C796" s="3">
        <f>MEDIAN(I796:L796)</f>
        <v>11.83</v>
      </c>
      <c r="D796" s="3">
        <f>ROUND(C796*(1-Settings!$B$2),2)</f>
        <v>8.28</v>
      </c>
      <c r="E796" s="3">
        <f>ROUND(C796*(1-Settings!$B$3),2)</f>
        <v>8.28</v>
      </c>
      <c r="F796" s="2" t="inlineStr">
        <is>
          <t>Pokemon</t>
        </is>
      </c>
      <c r="G796" s="2" t="inlineStr">
        <is>
          <t>Deck</t>
        </is>
      </c>
      <c r="H796" s="2" t="inlineStr">
        <is>
          <t>SWSH04: Vivid Voltage</t>
        </is>
      </c>
      <c r="I796" s="3" t="n"/>
      <c r="J796" s="3" t="n">
        <v>11.83</v>
      </c>
      <c r="K796" s="3" t="n">
        <v>15</v>
      </c>
      <c r="L796" s="3" t="n">
        <v>10</v>
      </c>
      <c r="M796" s="2" t="inlineStr">
        <is>
          <t>TCGplayer</t>
        </is>
      </c>
      <c r="O796" s="4" t="inlineStr">
        <is>
          <t>https://www.tcgplayer.com/product/221751</t>
        </is>
      </c>
    </row>
    <row r="797">
      <c r="A797" s="2" t="inlineStr">
        <is>
          <t>League Battle Deck [Mew VMAX]</t>
        </is>
      </c>
      <c r="B797" s="3">
        <f>IF(I797&lt;&gt;"",I797,IF(J797&lt;&gt;"",J797,IF(K797&lt;&gt;"",K797,L797)))</f>
        <v>67.39</v>
      </c>
      <c r="C797" s="3">
        <f>MEDIAN(I797:L797)</f>
        <v>74.99</v>
      </c>
      <c r="D797" s="3">
        <f>ROUND(C797*(1-Settings!$B$2),2)</f>
        <v>52.49</v>
      </c>
      <c r="E797" s="3">
        <f>ROUND(C797*(1-Settings!$B$3),2)</f>
        <v>52.49</v>
      </c>
      <c r="F797" s="2" t="inlineStr">
        <is>
          <t>Pokemon</t>
        </is>
      </c>
      <c r="G797" s="2" t="inlineStr">
        <is>
          <t>Deck</t>
        </is>
      </c>
      <c r="H797" s="2" t="inlineStr">
        <is>
          <t>SWSH08: Fusion Strike</t>
        </is>
      </c>
      <c r="I797" s="3" t="n"/>
      <c r="J797" s="3" t="n">
        <v>67.39</v>
      </c>
      <c r="K797" s="3" t="n">
        <v>92.45</v>
      </c>
      <c r="L797" s="3" t="n">
        <v>74.98999999999999</v>
      </c>
      <c r="M797" s="2" t="inlineStr">
        <is>
          <t>TCGplayer</t>
        </is>
      </c>
      <c r="O797" s="4" t="inlineStr">
        <is>
          <t>https://www.tcgplayer.com/product/283599</t>
        </is>
      </c>
    </row>
    <row r="798">
      <c r="A798" s="2" t="inlineStr">
        <is>
          <t>Team Rocket Theme Deck - "Devastation"</t>
        </is>
      </c>
      <c r="B798" s="3">
        <f>IF(I798&lt;&gt;"",I798,IF(J798&lt;&gt;"",J798,IF(K798&lt;&gt;"",K798,L798)))</f>
        <v>288.0</v>
      </c>
      <c r="C798" s="3">
        <f>MEDIAN(I798:L798)</f>
        <v>324.995</v>
      </c>
      <c r="D798" s="3">
        <f>ROUND(C798*(1-Settings!$B$2),2)</f>
        <v>227.5</v>
      </c>
      <c r="E798" s="3">
        <f>ROUND(C798*(1-Settings!$B$3),2)</f>
        <v>227.5</v>
      </c>
      <c r="F798" s="2" t="inlineStr">
        <is>
          <t>Pokemon</t>
        </is>
      </c>
      <c r="G798" s="2" t="inlineStr">
        <is>
          <t>Deck</t>
        </is>
      </c>
      <c r="H798" s="2" t="inlineStr">
        <is>
          <t>Team Rocket</t>
        </is>
      </c>
      <c r="I798" s="3" t="n">
        <v>288</v>
      </c>
      <c r="J798" s="3" t="n">
        <v>320</v>
      </c>
      <c r="K798" s="3" t="n">
        <v>337.5</v>
      </c>
      <c r="L798" s="3" t="n">
        <v>329.99</v>
      </c>
      <c r="M798" s="2" t="inlineStr">
        <is>
          <t>PriceCharting + TCGplayer</t>
        </is>
      </c>
      <c r="N798" s="4" t="inlineStr">
        <is>
          <t>https://www.pricecharting.com/game/pokemon-team-rocket/theme-deck-devastation</t>
        </is>
      </c>
      <c r="O798" s="4" t="inlineStr">
        <is>
          <t>https://www.tcgplayer.com/product/176942</t>
        </is>
      </c>
    </row>
    <row r="799">
      <c r="A799" s="2" t="inlineStr">
        <is>
          <t>Team Rocket Theme Deck - "Trouble"</t>
        </is>
      </c>
      <c r="B799" s="3">
        <f>IF(I799&lt;&gt;"",I799,IF(J799&lt;&gt;"",J799,IF(K799&lt;&gt;"",K799,L799)))</f>
        <v>254.38</v>
      </c>
      <c r="C799" s="3">
        <f>MEDIAN(I799:L799)</f>
        <v>254.95</v>
      </c>
      <c r="D799" s="3">
        <f>ROUND(C799*(1-Settings!$B$2),2)</f>
        <v>178.47</v>
      </c>
      <c r="E799" s="3">
        <f>ROUND(C799*(1-Settings!$B$3),2)</f>
        <v>178.47</v>
      </c>
      <c r="F799" s="2" t="inlineStr">
        <is>
          <t>Pokemon</t>
        </is>
      </c>
      <c r="G799" s="2" t="inlineStr">
        <is>
          <t>Deck</t>
        </is>
      </c>
      <c r="H799" s="2" t="inlineStr">
        <is>
          <t>Team Rocket</t>
        </is>
      </c>
      <c r="I799" s="3" t="n">
        <v>254.38</v>
      </c>
      <c r="J799" s="3" t="n"/>
      <c r="K799" s="3" t="n">
        <v>259.93</v>
      </c>
      <c r="L799" s="3" t="n">
        <v>254.95</v>
      </c>
      <c r="M799" s="2" t="inlineStr">
        <is>
          <t>PriceCharting + TCGplayer</t>
        </is>
      </c>
      <c r="N799" s="4" t="inlineStr">
        <is>
          <t>https://www.pricecharting.com/game/pokemon-team-rocket/theme-deck-trouble</t>
        </is>
      </c>
      <c r="O799" s="4" t="inlineStr">
        <is>
          <t>https://www.tcgplayer.com/product/176943</t>
        </is>
      </c>
    </row>
    <row r="800">
      <c r="A800" s="2" t="inlineStr">
        <is>
          <t>Team Up Blastoise Theme Deck - Torrential Cannon</t>
        </is>
      </c>
      <c r="B800" s="3">
        <f>IF(I800&lt;&gt;"",I800,IF(J800&lt;&gt;"",J800,IF(K800&lt;&gt;"",K800,L800)))</f>
        <v>68.63</v>
      </c>
      <c r="C800" s="3">
        <f>MEDIAN(I800:L800)</f>
        <v>68.63</v>
      </c>
      <c r="D800" s="3">
        <f>ROUND(C800*(1-Settings!$B$2),2)</f>
        <v>48.04</v>
      </c>
      <c r="E800" s="3">
        <f>ROUND(C800*(1-Settings!$B$3),2)</f>
        <v>48.04</v>
      </c>
      <c r="F800" s="2" t="inlineStr">
        <is>
          <t>Pokemon</t>
        </is>
      </c>
      <c r="G800" s="2" t="inlineStr">
        <is>
          <t>Deck</t>
        </is>
      </c>
      <c r="H800" s="2" t="inlineStr">
        <is>
          <t>Team Up</t>
        </is>
      </c>
      <c r="I800" s="3" t="n">
        <v>68.63</v>
      </c>
      <c r="J800" s="3" t="n"/>
      <c r="K800" s="3" t="n"/>
      <c r="L800" s="3" t="n"/>
      <c r="M800" s="2" t="inlineStr">
        <is>
          <t>PriceCharting</t>
        </is>
      </c>
      <c r="N800" s="4" t="inlineStr">
        <is>
          <t>https://www.pricecharting.com/game/pokemon-team-up/blastoise-theme-deck-torrential-cannon</t>
        </is>
      </c>
    </row>
    <row r="801">
      <c r="A801" s="2" t="inlineStr">
        <is>
          <t>Team Up Charizard Theme Deck - Relentless Flame</t>
        </is>
      </c>
      <c r="B801" s="3">
        <f>IF(I801&lt;&gt;"",I801,IF(J801&lt;&gt;"",J801,IF(K801&lt;&gt;"",K801,L801)))</f>
        <v>87.5</v>
      </c>
      <c r="C801" s="3">
        <f>MEDIAN(I801:L801)</f>
        <v>87.5</v>
      </c>
      <c r="D801" s="3">
        <f>ROUND(C801*(1-Settings!$B$2),2)</f>
        <v>61.25</v>
      </c>
      <c r="E801" s="3">
        <f>ROUND(C801*(1-Settings!$B$3),2)</f>
        <v>61.25</v>
      </c>
      <c r="F801" s="2" t="inlineStr">
        <is>
          <t>Pokemon</t>
        </is>
      </c>
      <c r="G801" s="2" t="inlineStr">
        <is>
          <t>Deck</t>
        </is>
      </c>
      <c r="H801" s="2" t="inlineStr">
        <is>
          <t>Team Up</t>
        </is>
      </c>
      <c r="I801" s="3" t="n">
        <v>87.5</v>
      </c>
      <c r="J801" s="3" t="n"/>
      <c r="K801" s="3" t="n"/>
      <c r="L801" s="3" t="n"/>
      <c r="M801" s="2" t="inlineStr">
        <is>
          <t>PriceCharting</t>
        </is>
      </c>
      <c r="N801" s="4" t="inlineStr">
        <is>
          <t>https://www.pricecharting.com/game/pokemon-team-up/charizard-theme-deck-relentless-flame</t>
        </is>
      </c>
    </row>
    <row r="802">
      <c r="A802" s="2" t="inlineStr">
        <is>
          <t>Triple Starter Deck Set VMAX</t>
        </is>
      </c>
      <c r="B802" s="3">
        <f>IF(I802&lt;&gt;"",I802,IF(J802&lt;&gt;"",J802,IF(K802&lt;&gt;"",K802,L802)))</f>
        <v>149.0</v>
      </c>
      <c r="C802" s="3">
        <f>MEDIAN(I802:L802)</f>
        <v>149.0</v>
      </c>
      <c r="D802" s="3">
        <f>ROUND(C802*(1-Settings!$B$2),2)</f>
        <v>104.3</v>
      </c>
      <c r="E802" s="3">
        <f>ROUND(C802*(1-Settings!$B$3),2)</f>
        <v>104.3</v>
      </c>
      <c r="F802" s="2" t="inlineStr">
        <is>
          <t>Pokemon</t>
        </is>
      </c>
      <c r="G802" s="2" t="inlineStr">
        <is>
          <t>Deck</t>
        </is>
      </c>
      <c r="H802" s="2" t="inlineStr">
        <is>
          <t>Triple Starter Deck Set VMAX</t>
        </is>
      </c>
      <c r="I802" s="3" t="n"/>
      <c r="J802" s="3" t="n"/>
      <c r="K802" s="3" t="n"/>
      <c r="L802" s="3" t="n">
        <v>149</v>
      </c>
      <c r="M802" s="2" t="inlineStr">
        <is>
          <t>TCGplayer</t>
        </is>
      </c>
      <c r="O802" s="4" t="inlineStr">
        <is>
          <t>https://www.tcgplayer.com/product/656429</t>
        </is>
      </c>
    </row>
    <row r="803">
      <c r="A803" s="2" t="inlineStr">
        <is>
          <t>Unified Minds Dragonite Theme Deck - Soaring Storm</t>
        </is>
      </c>
      <c r="B803" s="3">
        <f>IF(I803&lt;&gt;"",I803,IF(J803&lt;&gt;"",J803,IF(K803&lt;&gt;"",K803,L803)))</f>
        <v>84.99</v>
      </c>
      <c r="C803" s="3">
        <f>MEDIAN(I803:L803)</f>
        <v>84.99</v>
      </c>
      <c r="D803" s="3">
        <f>ROUND(C803*(1-Settings!$B$2),2)</f>
        <v>59.49</v>
      </c>
      <c r="E803" s="3">
        <f>ROUND(C803*(1-Settings!$B$3),2)</f>
        <v>59.49</v>
      </c>
      <c r="F803" s="2" t="inlineStr">
        <is>
          <t>Pokemon</t>
        </is>
      </c>
      <c r="G803" s="2" t="inlineStr">
        <is>
          <t>Deck</t>
        </is>
      </c>
      <c r="H803" s="2" t="inlineStr">
        <is>
          <t>Unified Minds</t>
        </is>
      </c>
      <c r="I803" s="3" t="n">
        <v>84.98999999999999</v>
      </c>
      <c r="J803" s="3" t="n"/>
      <c r="K803" s="3" t="n"/>
      <c r="L803" s="3" t="n"/>
      <c r="M803" s="2" t="inlineStr">
        <is>
          <t>PriceCharting</t>
        </is>
      </c>
      <c r="N803" s="4" t="inlineStr">
        <is>
          <t>https://www.pricecharting.com/game/pokemon-unified-minds/dragonite-theme-deck-soaring-storm</t>
        </is>
      </c>
    </row>
    <row r="804">
      <c r="A804" s="2" t="inlineStr">
        <is>
          <t>Unified Minds Necrozma Theme Deck - Laser Focus</t>
        </is>
      </c>
      <c r="B804" s="3">
        <f>IF(I804&lt;&gt;"",I804,IF(J804&lt;&gt;"",J804,IF(K804&lt;&gt;"",K804,L804)))</f>
        <v>30.34</v>
      </c>
      <c r="C804" s="3">
        <f>MEDIAN(I804:L804)</f>
        <v>30.34</v>
      </c>
      <c r="D804" s="3">
        <f>ROUND(C804*(1-Settings!$B$2),2)</f>
        <v>21.24</v>
      </c>
      <c r="E804" s="3">
        <f>ROUND(C804*(1-Settings!$B$3),2)</f>
        <v>21.24</v>
      </c>
      <c r="F804" s="2" t="inlineStr">
        <is>
          <t>Pokemon</t>
        </is>
      </c>
      <c r="G804" s="2" t="inlineStr">
        <is>
          <t>Deck</t>
        </is>
      </c>
      <c r="H804" s="2" t="inlineStr">
        <is>
          <t>Unified Minds</t>
        </is>
      </c>
      <c r="I804" s="3" t="n">
        <v>30.34</v>
      </c>
      <c r="J804" s="3" t="n"/>
      <c r="K804" s="3" t="n"/>
      <c r="L804" s="3" t="n"/>
      <c r="M804" s="2" t="inlineStr">
        <is>
          <t>PriceCharting</t>
        </is>
      </c>
      <c r="N804" s="4" t="inlineStr">
        <is>
          <t>https://www.pricecharting.com/game/pokemon-unified-minds/necrozma-theme-deck-laser-focus</t>
        </is>
      </c>
    </row>
    <row r="805">
      <c r="A805" s="2" t="inlineStr">
        <is>
          <t>Vivid Voltage Charizard Theme Deck</t>
        </is>
      </c>
      <c r="B805" s="3">
        <f>IF(I805&lt;&gt;"",I805,IF(J805&lt;&gt;"",J805,IF(K805&lt;&gt;"",K805,L805)))</f>
        <v>24.87</v>
      </c>
      <c r="C805" s="3">
        <f>MEDIAN(I805:L805)</f>
        <v>24.87</v>
      </c>
      <c r="D805" s="3">
        <f>ROUND(C805*(1-Settings!$B$2),2)</f>
        <v>17.41</v>
      </c>
      <c r="E805" s="3">
        <f>ROUND(C805*(1-Settings!$B$3),2)</f>
        <v>17.41</v>
      </c>
      <c r="F805" s="2" t="inlineStr">
        <is>
          <t>Pokemon</t>
        </is>
      </c>
      <c r="G805" s="2" t="inlineStr">
        <is>
          <t>Deck</t>
        </is>
      </c>
      <c r="H805" s="2" t="inlineStr">
        <is>
          <t>Vivid Voltage</t>
        </is>
      </c>
      <c r="I805" s="3" t="n">
        <v>24.87</v>
      </c>
      <c r="J805" s="3" t="n"/>
      <c r="K805" s="3" t="n"/>
      <c r="L805" s="3" t="n"/>
      <c r="M805" s="2" t="inlineStr">
        <is>
          <t>PriceCharting</t>
        </is>
      </c>
      <c r="N805" s="4" t="inlineStr">
        <is>
          <t>https://www.pricecharting.com/game/pokemon-vivid-voltage/charizard-theme-deck</t>
        </is>
      </c>
    </row>
    <row r="806">
      <c r="A806" s="2" t="inlineStr">
        <is>
          <t>Vivid Voltage Drednaw Theme Deck</t>
        </is>
      </c>
      <c r="B806" s="3">
        <f>IF(I806&lt;&gt;"",I806,IF(J806&lt;&gt;"",J806,IF(K806&lt;&gt;"",K806,L806)))</f>
        <v>12.1</v>
      </c>
      <c r="C806" s="3">
        <f>MEDIAN(I806:L806)</f>
        <v>12.1</v>
      </c>
      <c r="D806" s="3">
        <f>ROUND(C806*(1-Settings!$B$2),2)</f>
        <v>8.47</v>
      </c>
      <c r="E806" s="3">
        <f>ROUND(C806*(1-Settings!$B$3),2)</f>
        <v>8.47</v>
      </c>
      <c r="F806" s="2" t="inlineStr">
        <is>
          <t>Pokemon</t>
        </is>
      </c>
      <c r="G806" s="2" t="inlineStr">
        <is>
          <t>Deck</t>
        </is>
      </c>
      <c r="H806" s="2" t="inlineStr">
        <is>
          <t>Vivid Voltage</t>
        </is>
      </c>
      <c r="I806" s="3" t="n">
        <v>12.1</v>
      </c>
      <c r="J806" s="3" t="n"/>
      <c r="K806" s="3" t="n"/>
      <c r="L806" s="3" t="n"/>
      <c r="M806" s="2" t="inlineStr">
        <is>
          <t>PriceCharting</t>
        </is>
      </c>
      <c r="N806" s="4" t="inlineStr">
        <is>
          <t>https://www.pricecharting.com/game/pokemon-vivid-voltage/drednaw-theme-deck</t>
        </is>
      </c>
    </row>
    <row r="807">
      <c r="A807" s="2" t="inlineStr">
        <is>
          <t>2023 World Championships Yokohama Deck: Pikachu ex</t>
        </is>
      </c>
      <c r="B807" s="3">
        <f>IF(I807&lt;&gt;"",I807,IF(J807&lt;&gt;"",J807,IF(K807&lt;&gt;"",K807,L807)))</f>
        <v>486.33</v>
      </c>
      <c r="C807" s="3">
        <f>MEDIAN(I807:L807)</f>
        <v>260.65999999999997</v>
      </c>
      <c r="D807" s="3">
        <f>ROUND(C807*(1-Settings!$B$2),2)</f>
        <v>182.46</v>
      </c>
      <c r="E807" s="3">
        <f>ROUND(C807*(1-Settings!$B$3),2)</f>
        <v>182.46</v>
      </c>
      <c r="F807" s="2" t="inlineStr">
        <is>
          <t>Pokemon</t>
        </is>
      </c>
      <c r="G807" s="2" t="inlineStr">
        <is>
          <t>Deck</t>
        </is>
      </c>
      <c r="H807" s="2" t="inlineStr">
        <is>
          <t>WCS23: 2023 World Championships Yokohama Deck: Pikachu</t>
        </is>
      </c>
      <c r="I807" s="3" t="n"/>
      <c r="J807" s="3" t="n">
        <v>486.33</v>
      </c>
      <c r="K807" s="3" t="n"/>
      <c r="L807" s="3" t="n">
        <v>34.99</v>
      </c>
      <c r="M807" s="2" t="inlineStr">
        <is>
          <t>TCGplayer</t>
        </is>
      </c>
      <c r="O807" s="4" t="inlineStr">
        <is>
          <t>https://www.tcgplayer.com/product/594103</t>
        </is>
      </c>
    </row>
    <row r="808">
      <c r="A808" s="2" t="inlineStr">
        <is>
          <t>2016 World Championship Deck: Cody Walinski (Ninja Blitz)</t>
        </is>
      </c>
      <c r="B808" s="3">
        <f>IF(I808&lt;&gt;"",I808,IF(J808&lt;&gt;"",J808,IF(K808&lt;&gt;"",K808,L808)))</f>
        <v>99.99</v>
      </c>
      <c r="C808" s="3">
        <f>MEDIAN(I808:L808)</f>
        <v>99.99</v>
      </c>
      <c r="D808" s="3">
        <f>ROUND(C808*(1-Settings!$B$2),2)</f>
        <v>69.99</v>
      </c>
      <c r="E808" s="3">
        <f>ROUND(C808*(1-Settings!$B$3),2)</f>
        <v>69.99</v>
      </c>
      <c r="F808" s="2" t="inlineStr">
        <is>
          <t>Pokemon</t>
        </is>
      </c>
      <c r="G808" s="2" t="inlineStr">
        <is>
          <t>Deck</t>
        </is>
      </c>
      <c r="H808" s="2" t="inlineStr">
        <is>
          <t>World Championship Decks</t>
        </is>
      </c>
      <c r="I808" s="3" t="n"/>
      <c r="J808" s="3" t="n">
        <v>99.98999999999999</v>
      </c>
      <c r="K808" s="3" t="n"/>
      <c r="L808" s="3" t="n"/>
      <c r="M808" s="2" t="inlineStr">
        <is>
          <t>TCGplayer</t>
        </is>
      </c>
      <c r="O808" s="4" t="inlineStr">
        <is>
          <t>https://www.tcgplayer.com/product/170457</t>
        </is>
      </c>
    </row>
    <row r="809">
      <c r="A809" s="2" t="inlineStr">
        <is>
          <t>2017 World Championship Deck: Diego Cassiraga (Infinite Force)</t>
        </is>
      </c>
      <c r="B809" s="3">
        <f>IF(I809&lt;&gt;"",I809,IF(J809&lt;&gt;"",J809,IF(K809&lt;&gt;"",K809,L809)))</f>
        <v>67.46</v>
      </c>
      <c r="C809" s="3">
        <f>MEDIAN(I809:L809)</f>
        <v>66.22999999999999</v>
      </c>
      <c r="D809" s="3">
        <f>ROUND(C809*(1-Settings!$B$2),2)</f>
        <v>46.36</v>
      </c>
      <c r="E809" s="3">
        <f>ROUND(C809*(1-Settings!$B$3),2)</f>
        <v>46.36</v>
      </c>
      <c r="F809" s="2" t="inlineStr">
        <is>
          <t>Pokemon</t>
        </is>
      </c>
      <c r="G809" s="2" t="inlineStr">
        <is>
          <t>Deck</t>
        </is>
      </c>
      <c r="H809" s="2" t="inlineStr">
        <is>
          <t>World Championship Decks</t>
        </is>
      </c>
      <c r="I809" s="3" t="n"/>
      <c r="J809" s="3" t="n">
        <v>67.45999999999999</v>
      </c>
      <c r="K809" s="3" t="n"/>
      <c r="L809" s="3" t="n">
        <v>65</v>
      </c>
      <c r="M809" s="2" t="inlineStr">
        <is>
          <t>TCGplayer</t>
        </is>
      </c>
      <c r="O809" s="4" t="inlineStr">
        <is>
          <t>https://www.tcgplayer.com/product/175267</t>
        </is>
      </c>
    </row>
    <row r="810">
      <c r="A810" s="2" t="inlineStr">
        <is>
          <t>2017 World Championship Deck: Kabu Fukase (Samurai Sniper)</t>
        </is>
      </c>
      <c r="B810" s="3">
        <f>IF(I810&lt;&gt;"",I810,IF(J810&lt;&gt;"",J810,IF(K810&lt;&gt;"",K810,L810)))</f>
        <v>43.05</v>
      </c>
      <c r="C810" s="3">
        <f>MEDIAN(I810:L810)</f>
        <v>43.05</v>
      </c>
      <c r="D810" s="3">
        <f>ROUND(C810*(1-Settings!$B$2),2)</f>
        <v>30.14</v>
      </c>
      <c r="E810" s="3">
        <f>ROUND(C810*(1-Settings!$B$3),2)</f>
        <v>30.14</v>
      </c>
      <c r="F810" s="2" t="inlineStr">
        <is>
          <t>Pokemon</t>
        </is>
      </c>
      <c r="G810" s="2" t="inlineStr">
        <is>
          <t>Deck</t>
        </is>
      </c>
      <c r="H810" s="2" t="inlineStr">
        <is>
          <t>World Championship Decks</t>
        </is>
      </c>
      <c r="I810" s="3" t="n"/>
      <c r="J810" s="3" t="n">
        <v>43.05</v>
      </c>
      <c r="K810" s="3" t="n"/>
      <c r="L810" s="3" t="n"/>
      <c r="M810" s="2" t="inlineStr">
        <is>
          <t>TCGplayer</t>
        </is>
      </c>
      <c r="O810" s="4" t="inlineStr">
        <is>
          <t>https://www.tcgplayer.com/product/175268</t>
        </is>
      </c>
    </row>
    <row r="811">
      <c r="A811" s="2" t="inlineStr">
        <is>
          <t>2017 World Championship Deck: Zachary Bokhari (Ice Path FTW)</t>
        </is>
      </c>
      <c r="B811" s="3">
        <f>IF(I811&lt;&gt;"",I811,IF(J811&lt;&gt;"",J811,IF(K811&lt;&gt;"",K811,L811)))</f>
        <v>66.98</v>
      </c>
      <c r="C811" s="3">
        <f>MEDIAN(I811:L811)</f>
        <v>66.98</v>
      </c>
      <c r="D811" s="3">
        <f>ROUND(C811*(1-Settings!$B$2),2)</f>
        <v>46.89</v>
      </c>
      <c r="E811" s="3">
        <f>ROUND(C811*(1-Settings!$B$3),2)</f>
        <v>46.89</v>
      </c>
      <c r="F811" s="2" t="inlineStr">
        <is>
          <t>Pokemon</t>
        </is>
      </c>
      <c r="G811" s="2" t="inlineStr">
        <is>
          <t>Deck</t>
        </is>
      </c>
      <c r="H811" s="2" t="inlineStr">
        <is>
          <t>World Championship Decks</t>
        </is>
      </c>
      <c r="I811" s="3" t="n"/>
      <c r="J811" s="3" t="n">
        <v>66.98</v>
      </c>
      <c r="K811" s="3" t="n"/>
      <c r="L811" s="3" t="n"/>
      <c r="M811" s="2" t="inlineStr">
        <is>
          <t>TCGplayer</t>
        </is>
      </c>
      <c r="O811" s="4" t="inlineStr">
        <is>
          <t>https://www.tcgplayer.com/product/175266</t>
        </is>
      </c>
    </row>
    <row r="812">
      <c r="A812" s="2" t="inlineStr">
        <is>
          <t>2019 World Championship Deck: Kaya Lichtleitner (Fire Box)</t>
        </is>
      </c>
      <c r="B812" s="3">
        <f>IF(I812&lt;&gt;"",I812,IF(J812&lt;&gt;"",J812,IF(K812&lt;&gt;"",K812,L812)))</f>
        <v>94.95</v>
      </c>
      <c r="C812" s="3">
        <f>MEDIAN(I812:L812)</f>
        <v>94.95</v>
      </c>
      <c r="D812" s="3">
        <f>ROUND(C812*(1-Settings!$B$2),2)</f>
        <v>66.47</v>
      </c>
      <c r="E812" s="3">
        <f>ROUND(C812*(1-Settings!$B$3),2)</f>
        <v>66.47</v>
      </c>
      <c r="F812" s="2" t="inlineStr">
        <is>
          <t>Pokemon</t>
        </is>
      </c>
      <c r="G812" s="2" t="inlineStr">
        <is>
          <t>Deck</t>
        </is>
      </c>
      <c r="H812" s="2" t="inlineStr">
        <is>
          <t>World Championship Decks</t>
        </is>
      </c>
      <c r="I812" s="3" t="n"/>
      <c r="J812" s="3" t="n">
        <v>94.95</v>
      </c>
      <c r="K812" s="3" t="n"/>
      <c r="L812" s="3" t="n"/>
      <c r="M812" s="2" t="inlineStr">
        <is>
          <t>TCGplayer</t>
        </is>
      </c>
      <c r="O812" s="4" t="inlineStr">
        <is>
          <t>https://www.tcgplayer.com/product/200137</t>
        </is>
      </c>
    </row>
    <row r="813">
      <c r="A813" s="2" t="inlineStr">
        <is>
          <t>2019 World Championship Deck: Shintaro Ito (Mind Blown)</t>
        </is>
      </c>
      <c r="B813" s="3">
        <f>IF(I813&lt;&gt;"",I813,IF(J813&lt;&gt;"",J813,IF(K813&lt;&gt;"",K813,L813)))</f>
        <v>99.99</v>
      </c>
      <c r="C813" s="3">
        <f>MEDIAN(I813:L813)</f>
        <v>99.99</v>
      </c>
      <c r="D813" s="3">
        <f>ROUND(C813*(1-Settings!$B$2),2)</f>
        <v>69.99</v>
      </c>
      <c r="E813" s="3">
        <f>ROUND(C813*(1-Settings!$B$3),2)</f>
        <v>69.99</v>
      </c>
      <c r="F813" s="2" t="inlineStr">
        <is>
          <t>Pokemon</t>
        </is>
      </c>
      <c r="G813" s="2" t="inlineStr">
        <is>
          <t>Deck</t>
        </is>
      </c>
      <c r="H813" s="2" t="inlineStr">
        <is>
          <t>World Championship Decks</t>
        </is>
      </c>
      <c r="I813" s="3" t="n"/>
      <c r="J813" s="3" t="n"/>
      <c r="K813" s="3" t="n">
        <v>99.98999999999999</v>
      </c>
      <c r="L813" s="3" t="n">
        <v>99.98999999999999</v>
      </c>
      <c r="M813" s="2" t="inlineStr">
        <is>
          <t>TCGplayer</t>
        </is>
      </c>
      <c r="O813" s="4" t="inlineStr">
        <is>
          <t>https://www.tcgplayer.com/product/200136</t>
        </is>
      </c>
    </row>
    <row r="814">
      <c r="A814" s="2" t="inlineStr">
        <is>
          <t>2022 World Championship Deck: Andre Chiasson (The Shape of Mew)</t>
        </is>
      </c>
      <c r="B814" s="3">
        <f>IF(I814&lt;&gt;"",I814,IF(J814&lt;&gt;"",J814,IF(K814&lt;&gt;"",K814,L814)))</f>
        <v>30.59</v>
      </c>
      <c r="C814" s="3">
        <f>MEDIAN(I814:L814)</f>
        <v>30.59</v>
      </c>
      <c r="D814" s="3">
        <f>ROUND(C814*(1-Settings!$B$2),2)</f>
        <v>21.41</v>
      </c>
      <c r="E814" s="3">
        <f>ROUND(C814*(1-Settings!$B$3),2)</f>
        <v>21.41</v>
      </c>
      <c r="F814" s="2" t="inlineStr">
        <is>
          <t>Pokemon</t>
        </is>
      </c>
      <c r="G814" s="2" t="inlineStr">
        <is>
          <t>Deck</t>
        </is>
      </c>
      <c r="H814" s="2" t="inlineStr">
        <is>
          <t>World Championship Decks</t>
        </is>
      </c>
      <c r="I814" s="3" t="n"/>
      <c r="J814" s="3" t="n">
        <v>30.59</v>
      </c>
      <c r="K814" s="3" t="n">
        <v>30.63</v>
      </c>
      <c r="L814" s="3" t="n">
        <v>29.05</v>
      </c>
      <c r="M814" s="2" t="inlineStr">
        <is>
          <t>TCGplayer</t>
        </is>
      </c>
      <c r="O814" s="4" t="inlineStr">
        <is>
          <t>https://www.tcgplayer.com/product/475656</t>
        </is>
      </c>
    </row>
    <row r="815">
      <c r="A815" s="2" t="inlineStr">
        <is>
          <t>2022 World Championship Deck: Ondrej Skubal (ADP)</t>
        </is>
      </c>
      <c r="B815" s="3">
        <f>IF(I815&lt;&gt;"",I815,IF(J815&lt;&gt;"",J815,IF(K815&lt;&gt;"",K815,L815)))</f>
        <v>34.57</v>
      </c>
      <c r="C815" s="3">
        <f>MEDIAN(I815:L815)</f>
        <v>34.02</v>
      </c>
      <c r="D815" s="3">
        <f>ROUND(C815*(1-Settings!$B$2),2)</f>
        <v>23.81</v>
      </c>
      <c r="E815" s="3">
        <f>ROUND(C815*(1-Settings!$B$3),2)</f>
        <v>23.81</v>
      </c>
      <c r="F815" s="2" t="inlineStr">
        <is>
          <t>Pokemon</t>
        </is>
      </c>
      <c r="G815" s="2" t="inlineStr">
        <is>
          <t>Deck</t>
        </is>
      </c>
      <c r="H815" s="2" t="inlineStr">
        <is>
          <t>World Championship Decks</t>
        </is>
      </c>
      <c r="I815" s="3" t="n"/>
      <c r="J815" s="3" t="n">
        <v>34.57</v>
      </c>
      <c r="K815" s="3" t="n">
        <v>34.02</v>
      </c>
      <c r="L815" s="3" t="n">
        <v>28</v>
      </c>
      <c r="M815" s="2" t="inlineStr">
        <is>
          <t>TCGplayer</t>
        </is>
      </c>
      <c r="O815" s="4" t="inlineStr">
        <is>
          <t>https://www.tcgplayer.com/product/475657</t>
        </is>
      </c>
    </row>
    <row r="816">
      <c r="A816" s="2" t="inlineStr">
        <is>
          <t>2022 World Championship Deck: Rikuto Ohashi (Ice Rider Palkia)</t>
        </is>
      </c>
      <c r="B816" s="3">
        <f>IF(I816&lt;&gt;"",I816,IF(J816&lt;&gt;"",J816,IF(K816&lt;&gt;"",K816,L816)))</f>
        <v>19.36</v>
      </c>
      <c r="C816" s="3">
        <f>MEDIAN(I816:L816)</f>
        <v>19.7</v>
      </c>
      <c r="D816" s="3">
        <f>ROUND(C816*(1-Settings!$B$2),2)</f>
        <v>13.79</v>
      </c>
      <c r="E816" s="3">
        <f>ROUND(C816*(1-Settings!$B$3),2)</f>
        <v>13.79</v>
      </c>
      <c r="F816" s="2" t="inlineStr">
        <is>
          <t>Pokemon</t>
        </is>
      </c>
      <c r="G816" s="2" t="inlineStr">
        <is>
          <t>Deck</t>
        </is>
      </c>
      <c r="H816" s="2" t="inlineStr">
        <is>
          <t>World Championship Decks</t>
        </is>
      </c>
      <c r="I816" s="3" t="n"/>
      <c r="J816" s="3" t="n">
        <v>19.36</v>
      </c>
      <c r="K816" s="3" t="n">
        <v>25.48</v>
      </c>
      <c r="L816" s="3" t="n">
        <v>19.7</v>
      </c>
      <c r="M816" s="2" t="inlineStr">
        <is>
          <t>TCGplayer</t>
        </is>
      </c>
      <c r="O816" s="4" t="inlineStr">
        <is>
          <t>https://www.tcgplayer.com/product/475658</t>
        </is>
      </c>
    </row>
    <row r="817">
      <c r="A817" s="2" t="inlineStr">
        <is>
          <t>2022 World Championship Deck: Sebastian Lashmet (Cheryl Again)</t>
        </is>
      </c>
      <c r="B817" s="3">
        <f>IF(I817&lt;&gt;"",I817,IF(J817&lt;&gt;"",J817,IF(K817&lt;&gt;"",K817,L817)))</f>
        <v>18.24</v>
      </c>
      <c r="C817" s="3">
        <f>MEDIAN(I817:L817)</f>
        <v>18.24</v>
      </c>
      <c r="D817" s="3">
        <f>ROUND(C817*(1-Settings!$B$2),2)</f>
        <v>12.77</v>
      </c>
      <c r="E817" s="3">
        <f>ROUND(C817*(1-Settings!$B$3),2)</f>
        <v>12.77</v>
      </c>
      <c r="F817" s="2" t="inlineStr">
        <is>
          <t>Pokemon</t>
        </is>
      </c>
      <c r="G817" s="2" t="inlineStr">
        <is>
          <t>Deck</t>
        </is>
      </c>
      <c r="H817" s="2" t="inlineStr">
        <is>
          <t>World Championship Decks</t>
        </is>
      </c>
      <c r="I817" s="3" t="n"/>
      <c r="J817" s="3" t="n">
        <v>18.24</v>
      </c>
      <c r="K817" s="3" t="n">
        <v>24.97</v>
      </c>
      <c r="L817" s="3" t="n">
        <v>16.42</v>
      </c>
      <c r="M817" s="2" t="inlineStr">
        <is>
          <t>TCGplayer</t>
        </is>
      </c>
      <c r="O817" s="4" t="inlineStr">
        <is>
          <t>https://www.tcgplayer.com/product/475659</t>
        </is>
      </c>
    </row>
    <row r="818">
      <c r="A818" s="2" t="inlineStr">
        <is>
          <t>2023 World Championship Deck [Set of 4]</t>
        </is>
      </c>
      <c r="B818" s="3">
        <f>IF(I818&lt;&gt;"",I818,IF(J818&lt;&gt;"",J818,IF(K818&lt;&gt;"",K818,L818)))</f>
        <v>83.54</v>
      </c>
      <c r="C818" s="3">
        <f>MEDIAN(I818:L818)</f>
        <v>169.99</v>
      </c>
      <c r="D818" s="3">
        <f>ROUND(C818*(1-Settings!$B$2),2)</f>
        <v>118.99</v>
      </c>
      <c r="E818" s="3">
        <f>ROUND(C818*(1-Settings!$B$3),2)</f>
        <v>118.99</v>
      </c>
      <c r="F818" s="2" t="inlineStr">
        <is>
          <t>Pokemon</t>
        </is>
      </c>
      <c r="G818" s="2" t="inlineStr">
        <is>
          <t>Deck</t>
        </is>
      </c>
      <c r="H818" s="2" t="inlineStr">
        <is>
          <t>World Championship Decks</t>
        </is>
      </c>
      <c r="I818" s="3" t="n"/>
      <c r="J818" s="3" t="n">
        <v>83.54000000000001</v>
      </c>
      <c r="K818" s="3" t="n">
        <v>177.47</v>
      </c>
      <c r="L818" s="3" t="n">
        <v>169.99</v>
      </c>
      <c r="M818" s="2" t="inlineStr">
        <is>
          <t>TCGplayer</t>
        </is>
      </c>
      <c r="O818" s="4" t="inlineStr">
        <is>
          <t>https://www.tcgplayer.com/product/532027</t>
        </is>
      </c>
    </row>
    <row r="819">
      <c r="A819" s="2" t="inlineStr">
        <is>
          <t>2023 World Championship Deck: Gabriel Fernandez (Colorless Lugia)</t>
        </is>
      </c>
      <c r="B819" s="3">
        <f>IF(I819&lt;&gt;"",I819,IF(J819&lt;&gt;"",J819,IF(K819&lt;&gt;"",K819,L819)))</f>
        <v>35.05</v>
      </c>
      <c r="C819" s="3">
        <f>MEDIAN(I819:L819)</f>
        <v>56.0</v>
      </c>
      <c r="D819" s="3">
        <f>ROUND(C819*(1-Settings!$B$2),2)</f>
        <v>39.2</v>
      </c>
      <c r="E819" s="3">
        <f>ROUND(C819*(1-Settings!$B$3),2)</f>
        <v>39.2</v>
      </c>
      <c r="F819" s="2" t="inlineStr">
        <is>
          <t>Pokemon</t>
        </is>
      </c>
      <c r="G819" s="2" t="inlineStr">
        <is>
          <t>Deck</t>
        </is>
      </c>
      <c r="H819" s="2" t="inlineStr">
        <is>
          <t>World Championship Decks</t>
        </is>
      </c>
      <c r="I819" s="3" t="n"/>
      <c r="J819" s="3" t="n">
        <v>35.05</v>
      </c>
      <c r="K819" s="3" t="n">
        <v>59.99</v>
      </c>
      <c r="L819" s="3" t="n">
        <v>56</v>
      </c>
      <c r="M819" s="2" t="inlineStr">
        <is>
          <t>TCGplayer</t>
        </is>
      </c>
      <c r="O819" s="4" t="inlineStr">
        <is>
          <t>https://www.tcgplayer.com/product/532028</t>
        </is>
      </c>
    </row>
    <row r="820">
      <c r="A820" s="2" t="inlineStr">
        <is>
          <t>2023 World Championship Deck: Shao Tong Yen (Lost Box Kyogre)</t>
        </is>
      </c>
      <c r="B820" s="3">
        <f>IF(I820&lt;&gt;"",I820,IF(J820&lt;&gt;"",J820,IF(K820&lt;&gt;"",K820,L820)))</f>
        <v>30.67</v>
      </c>
      <c r="C820" s="3">
        <f>MEDIAN(I820:L820)</f>
        <v>30.67</v>
      </c>
      <c r="D820" s="3">
        <f>ROUND(C820*(1-Settings!$B$2),2)</f>
        <v>21.47</v>
      </c>
      <c r="E820" s="3">
        <f>ROUND(C820*(1-Settings!$B$3),2)</f>
        <v>21.47</v>
      </c>
      <c r="F820" s="2" t="inlineStr">
        <is>
          <t>Pokemon</t>
        </is>
      </c>
      <c r="G820" s="2" t="inlineStr">
        <is>
          <t>Deck</t>
        </is>
      </c>
      <c r="H820" s="2" t="inlineStr">
        <is>
          <t>World Championship Decks</t>
        </is>
      </c>
      <c r="I820" s="3" t="n"/>
      <c r="J820" s="3" t="n">
        <v>30.67</v>
      </c>
      <c r="K820" s="3" t="n">
        <v>39.97</v>
      </c>
      <c r="L820" s="3" t="n">
        <v>24.99</v>
      </c>
      <c r="M820" s="2" t="inlineStr">
        <is>
          <t>TCGplayer</t>
        </is>
      </c>
      <c r="O820" s="4" t="inlineStr">
        <is>
          <t>https://www.tcgplayer.com/product/532031</t>
        </is>
      </c>
    </row>
    <row r="821">
      <c r="A821" s="2" t="inlineStr">
        <is>
          <t>2023 World Championship Deck: Tord Reklev (Psychic Elegance)</t>
        </is>
      </c>
      <c r="B821" s="3">
        <f>IF(I821&lt;&gt;"",I821,IF(J821&lt;&gt;"",J821,IF(K821&lt;&gt;"",K821,L821)))</f>
        <v>36.22</v>
      </c>
      <c r="C821" s="3">
        <f>MEDIAN(I821:L821)</f>
        <v>36.22</v>
      </c>
      <c r="D821" s="3">
        <f>ROUND(C821*(1-Settings!$B$2),2)</f>
        <v>25.35</v>
      </c>
      <c r="E821" s="3">
        <f>ROUND(C821*(1-Settings!$B$3),2)</f>
        <v>25.35</v>
      </c>
      <c r="F821" s="2" t="inlineStr">
        <is>
          <t>Pokemon</t>
        </is>
      </c>
      <c r="G821" s="2" t="inlineStr">
        <is>
          <t>Deck</t>
        </is>
      </c>
      <c r="H821" s="2" t="inlineStr">
        <is>
          <t>World Championship Decks</t>
        </is>
      </c>
      <c r="I821" s="3" t="n"/>
      <c r="J821" s="3" t="n">
        <v>36.22</v>
      </c>
      <c r="K821" s="3" t="n">
        <v>40.49</v>
      </c>
      <c r="L821" s="3" t="n">
        <v>24.99</v>
      </c>
      <c r="M821" s="2" t="inlineStr">
        <is>
          <t>TCGplayer</t>
        </is>
      </c>
      <c r="O821" s="4" t="inlineStr">
        <is>
          <t>https://www.tcgplayer.com/product/532030</t>
        </is>
      </c>
    </row>
    <row r="822">
      <c r="A822" s="2" t="inlineStr">
        <is>
          <t>2023 World Championship Deck: Vance Kelley (Mew's Revenge)</t>
        </is>
      </c>
      <c r="B822" s="3">
        <f>IF(I822&lt;&gt;"",I822,IF(J822&lt;&gt;"",J822,IF(K822&lt;&gt;"",K822,L822)))</f>
        <v>36.01</v>
      </c>
      <c r="C822" s="3">
        <f>MEDIAN(I822:L822)</f>
        <v>36.01</v>
      </c>
      <c r="D822" s="3">
        <f>ROUND(C822*(1-Settings!$B$2),2)</f>
        <v>25.21</v>
      </c>
      <c r="E822" s="3">
        <f>ROUND(C822*(1-Settings!$B$3),2)</f>
        <v>25.21</v>
      </c>
      <c r="F822" s="2" t="inlineStr">
        <is>
          <t>Pokemon</t>
        </is>
      </c>
      <c r="G822" s="2" t="inlineStr">
        <is>
          <t>Deck</t>
        </is>
      </c>
      <c r="H822" s="2" t="inlineStr">
        <is>
          <t>World Championship Decks</t>
        </is>
      </c>
      <c r="I822" s="3" t="n"/>
      <c r="J822" s="3" t="n">
        <v>36.01</v>
      </c>
      <c r="K822" s="3" t="n">
        <v>38.99</v>
      </c>
      <c r="L822" s="3" t="n">
        <v>5</v>
      </c>
      <c r="M822" s="2" t="inlineStr">
        <is>
          <t>TCGplayer</t>
        </is>
      </c>
      <c r="O822" s="4" t="inlineStr">
        <is>
          <t>https://www.tcgplayer.com/product/532029</t>
        </is>
      </c>
    </row>
    <row r="823">
      <c r="A823" s="2" t="inlineStr">
        <is>
          <t>2024 World Championship Deck: Evan Pavelski (Regidrago VSTAR)</t>
        </is>
      </c>
      <c r="B823" s="3">
        <f>IF(I823&lt;&gt;"",I823,IF(J823&lt;&gt;"",J823,IF(K823&lt;&gt;"",K823,L823)))</f>
        <v>20.26</v>
      </c>
      <c r="C823" s="3">
        <f>MEDIAN(I823:L823)</f>
        <v>20.0</v>
      </c>
      <c r="D823" s="3">
        <f>ROUND(C823*(1-Settings!$B$2),2)</f>
        <v>14.0</v>
      </c>
      <c r="E823" s="3">
        <f>ROUND(C823*(1-Settings!$B$3),2)</f>
        <v>14.0</v>
      </c>
      <c r="F823" s="2" t="inlineStr">
        <is>
          <t>Pokemon</t>
        </is>
      </c>
      <c r="G823" s="2" t="inlineStr">
        <is>
          <t>Deck</t>
        </is>
      </c>
      <c r="H823" s="2" t="inlineStr">
        <is>
          <t>World Championship Decks</t>
        </is>
      </c>
      <c r="I823" s="3" t="n"/>
      <c r="J823" s="3" t="n">
        <v>20.26</v>
      </c>
      <c r="K823" s="3" t="n">
        <v>20</v>
      </c>
      <c r="L823" s="3" t="n">
        <v>20</v>
      </c>
      <c r="M823" s="2" t="inlineStr">
        <is>
          <t>TCGplayer</t>
        </is>
      </c>
      <c r="O823" s="4" t="inlineStr">
        <is>
          <t>https://www.tcgplayer.com/product/616300</t>
        </is>
      </c>
    </row>
    <row r="824">
      <c r="A824" s="2" t="inlineStr">
        <is>
          <t>2024 World Championship Deck: Fernando Cifuentes (Crushing Thorn)</t>
        </is>
      </c>
      <c r="B824" s="3">
        <f>IF(I824&lt;&gt;"",I824,IF(J824&lt;&gt;"",J824,IF(K824&lt;&gt;"",K824,L824)))</f>
        <v>14.65</v>
      </c>
      <c r="C824" s="3">
        <f>MEDIAN(I824:L824)</f>
        <v>15.0</v>
      </c>
      <c r="D824" s="3">
        <f>ROUND(C824*(1-Settings!$B$2),2)</f>
        <v>10.5</v>
      </c>
      <c r="E824" s="3">
        <f>ROUND(C824*(1-Settings!$B$3),2)</f>
        <v>10.5</v>
      </c>
      <c r="F824" s="2" t="inlineStr">
        <is>
          <t>Pokemon</t>
        </is>
      </c>
      <c r="G824" s="2" t="inlineStr">
        <is>
          <t>Deck</t>
        </is>
      </c>
      <c r="H824" s="2" t="inlineStr">
        <is>
          <t>World Championship Decks</t>
        </is>
      </c>
      <c r="I824" s="3" t="n"/>
      <c r="J824" s="3" t="n">
        <v>14.65</v>
      </c>
      <c r="K824" s="3" t="n">
        <v>15.99</v>
      </c>
      <c r="L824" s="3" t="n">
        <v>15</v>
      </c>
      <c r="M824" s="2" t="inlineStr">
        <is>
          <t>TCGplayer</t>
        </is>
      </c>
      <c r="O824" s="4" t="inlineStr">
        <is>
          <t>https://www.tcgplayer.com/product/616299</t>
        </is>
      </c>
    </row>
    <row r="825">
      <c r="A825" s="2" t="inlineStr">
        <is>
          <t>2024 World Championship Deck: Jesse Parker (The 'Don)</t>
        </is>
      </c>
      <c r="B825" s="3">
        <f>IF(I825&lt;&gt;"",I825,IF(J825&lt;&gt;"",J825,IF(K825&lt;&gt;"",K825,L825)))</f>
        <v>20.12</v>
      </c>
      <c r="C825" s="3">
        <f>MEDIAN(I825:L825)</f>
        <v>20.12</v>
      </c>
      <c r="D825" s="3">
        <f>ROUND(C825*(1-Settings!$B$2),2)</f>
        <v>14.08</v>
      </c>
      <c r="E825" s="3">
        <f>ROUND(C825*(1-Settings!$B$3),2)</f>
        <v>14.08</v>
      </c>
      <c r="F825" s="2" t="inlineStr">
        <is>
          <t>Pokemon</t>
        </is>
      </c>
      <c r="G825" s="2" t="inlineStr">
        <is>
          <t>Deck</t>
        </is>
      </c>
      <c r="H825" s="2" t="inlineStr">
        <is>
          <t>World Championship Decks</t>
        </is>
      </c>
      <c r="I825" s="3" t="n"/>
      <c r="J825" s="3" t="n">
        <v>20.12</v>
      </c>
      <c r="K825" s="3" t="n">
        <v>23.75</v>
      </c>
      <c r="L825" s="3" t="n">
        <v>14.62</v>
      </c>
      <c r="M825" s="2" t="inlineStr">
        <is>
          <t>TCGplayer</t>
        </is>
      </c>
      <c r="O825" s="4" t="inlineStr">
        <is>
          <t>https://www.tcgplayer.com/product/616302</t>
        </is>
      </c>
    </row>
    <row r="826">
      <c r="A826" s="2" t="inlineStr">
        <is>
          <t>2024 World Championship Deck: Sakuya Ota (Ancient Toolbox)</t>
        </is>
      </c>
      <c r="B826" s="3">
        <f>IF(I826&lt;&gt;"",I826,IF(J826&lt;&gt;"",J826,IF(K826&lt;&gt;"",K826,L826)))</f>
        <v>14.96</v>
      </c>
      <c r="C826" s="3">
        <f>MEDIAN(I826:L826)</f>
        <v>22.99</v>
      </c>
      <c r="D826" s="3">
        <f>ROUND(C826*(1-Settings!$B$2),2)</f>
        <v>16.09</v>
      </c>
      <c r="E826" s="3">
        <f>ROUND(C826*(1-Settings!$B$3),2)</f>
        <v>16.09</v>
      </c>
      <c r="F826" s="2" t="inlineStr">
        <is>
          <t>Pokemon</t>
        </is>
      </c>
      <c r="G826" s="2" t="inlineStr">
        <is>
          <t>Deck</t>
        </is>
      </c>
      <c r="H826" s="2" t="inlineStr">
        <is>
          <t>World Championship Decks</t>
        </is>
      </c>
      <c r="I826" s="3" t="n"/>
      <c r="J826" s="3" t="n">
        <v>14.96</v>
      </c>
      <c r="K826" s="3" t="n">
        <v>26</v>
      </c>
      <c r="L826" s="3" t="n">
        <v>22.99</v>
      </c>
      <c r="M826" s="2" t="inlineStr">
        <is>
          <t>TCGplayer</t>
        </is>
      </c>
      <c r="O826" s="4" t="inlineStr">
        <is>
          <t>https://www.tcgplayer.com/product/616301</t>
        </is>
      </c>
    </row>
    <row r="827">
      <c r="A827" s="2" t="inlineStr">
        <is>
          <t>2025 World Championship Deck: Jose Cruz Galindo-Resendiz (Pult Bomb)</t>
        </is>
      </c>
      <c r="B827" s="3">
        <f>IF(I827&lt;&gt;"",I827,IF(J827&lt;&gt;"",J827,IF(K827&lt;&gt;"",K827,L827)))</f>
        <v>24.28</v>
      </c>
      <c r="C827" s="3">
        <f>MEDIAN(I827:L827)</f>
        <v>24.28</v>
      </c>
      <c r="D827" s="3">
        <f>ROUND(C827*(1-Settings!$B$2),2)</f>
        <v>17.0</v>
      </c>
      <c r="E827" s="3">
        <f>ROUND(C827*(1-Settings!$B$3),2)</f>
        <v>17.0</v>
      </c>
      <c r="F827" s="2" t="inlineStr">
        <is>
          <t>Pokemon</t>
        </is>
      </c>
      <c r="G827" s="2" t="inlineStr">
        <is>
          <t>Deck</t>
        </is>
      </c>
      <c r="H827" s="2" t="inlineStr">
        <is>
          <t>World Championship Decks</t>
        </is>
      </c>
      <c r="I827" s="3" t="n"/>
      <c r="J827" s="3" t="n">
        <v>24.28</v>
      </c>
      <c r="K827" s="3" t="n">
        <v>28.94</v>
      </c>
      <c r="L827" s="3" t="n">
        <v>20.95</v>
      </c>
      <c r="M827" s="2" t="inlineStr">
        <is>
          <t>TCGplayer</t>
        </is>
      </c>
      <c r="O827" s="4" t="inlineStr">
        <is>
          <t>https://www.tcgplayer.com/product/696639</t>
        </is>
      </c>
    </row>
    <row r="828">
      <c r="A828" s="2" t="inlineStr">
        <is>
          <t>2025 World Championship Deck: Liao Fu Guan (Joltdengo)</t>
        </is>
      </c>
      <c r="B828" s="3">
        <f>IF(I828&lt;&gt;"",I828,IF(J828&lt;&gt;"",J828,IF(K828&lt;&gt;"",K828,L828)))</f>
        <v>22.84</v>
      </c>
      <c r="C828" s="3">
        <f>MEDIAN(I828:L828)</f>
        <v>22.84</v>
      </c>
      <c r="D828" s="3">
        <f>ROUND(C828*(1-Settings!$B$2),2)</f>
        <v>15.99</v>
      </c>
      <c r="E828" s="3">
        <f>ROUND(C828*(1-Settings!$B$3),2)</f>
        <v>15.99</v>
      </c>
      <c r="F828" s="2" t="inlineStr">
        <is>
          <t>Pokemon</t>
        </is>
      </c>
      <c r="G828" s="2" t="inlineStr">
        <is>
          <t>Deck</t>
        </is>
      </c>
      <c r="H828" s="2" t="inlineStr">
        <is>
          <t>World Championship Decks</t>
        </is>
      </c>
      <c r="I828" s="3" t="n"/>
      <c r="J828" s="3" t="n">
        <v>22.84</v>
      </c>
      <c r="K828" s="3" t="n">
        <v>26.71</v>
      </c>
      <c r="L828" s="3" t="n">
        <v>19.97</v>
      </c>
      <c r="M828" s="2" t="inlineStr">
        <is>
          <t>TCGplayer</t>
        </is>
      </c>
      <c r="O828" s="4" t="inlineStr">
        <is>
          <t>https://www.tcgplayer.com/product/696637</t>
        </is>
      </c>
    </row>
    <row r="829">
      <c r="A829" s="2" t="inlineStr">
        <is>
          <t>2025 World Championship Deck: Riley McKay (Flutter Devo Gardevoir)</t>
        </is>
      </c>
      <c r="B829" s="3">
        <f>IF(I829&lt;&gt;"",I829,IF(J829&lt;&gt;"",J829,IF(K829&lt;&gt;"",K829,L829)))</f>
        <v>27.03</v>
      </c>
      <c r="C829" s="3">
        <f>MEDIAN(I829:L829)</f>
        <v>27.03</v>
      </c>
      <c r="D829" s="3">
        <f>ROUND(C829*(1-Settings!$B$2),2)</f>
        <v>18.92</v>
      </c>
      <c r="E829" s="3">
        <f>ROUND(C829*(1-Settings!$B$3),2)</f>
        <v>18.92</v>
      </c>
      <c r="F829" s="2" t="inlineStr">
        <is>
          <t>Pokemon</t>
        </is>
      </c>
      <c r="G829" s="2" t="inlineStr">
        <is>
          <t>Deck</t>
        </is>
      </c>
      <c r="H829" s="2" t="inlineStr">
        <is>
          <t>World Championship Decks</t>
        </is>
      </c>
      <c r="I829" s="3" t="n"/>
      <c r="J829" s="3" t="n">
        <v>27.03</v>
      </c>
      <c r="K829" s="3" t="n">
        <v>27.99</v>
      </c>
      <c r="L829" s="3" t="n">
        <v>1</v>
      </c>
      <c r="M829" s="2" t="inlineStr">
        <is>
          <t>TCGplayer</t>
        </is>
      </c>
      <c r="O829" s="4" t="inlineStr">
        <is>
          <t>https://www.tcgplayer.com/product/696636</t>
        </is>
      </c>
    </row>
    <row r="830">
      <c r="A830" s="2" t="inlineStr">
        <is>
          <t>2025 World Championship Deck: Yuyu Okita (JP Raging Bolt)</t>
        </is>
      </c>
      <c r="B830" s="3">
        <f>IF(I830&lt;&gt;"",I830,IF(J830&lt;&gt;"",J830,IF(K830&lt;&gt;"",K830,L830)))</f>
        <v>22.61</v>
      </c>
      <c r="C830" s="3">
        <f>MEDIAN(I830:L830)</f>
        <v>22.61</v>
      </c>
      <c r="D830" s="3">
        <f>ROUND(C830*(1-Settings!$B$2),2)</f>
        <v>15.83</v>
      </c>
      <c r="E830" s="3">
        <f>ROUND(C830*(1-Settings!$B$3),2)</f>
        <v>15.83</v>
      </c>
      <c r="F830" s="2" t="inlineStr">
        <is>
          <t>Pokemon</t>
        </is>
      </c>
      <c r="G830" s="2" t="inlineStr">
        <is>
          <t>Deck</t>
        </is>
      </c>
      <c r="H830" s="2" t="inlineStr">
        <is>
          <t>World Championship Decks</t>
        </is>
      </c>
      <c r="I830" s="3" t="n"/>
      <c r="J830" s="3" t="n">
        <v>22.61</v>
      </c>
      <c r="K830" s="3" t="n">
        <v>23.42</v>
      </c>
      <c r="L830" s="3" t="n">
        <v>19.97</v>
      </c>
      <c r="M830" s="2" t="inlineStr">
        <is>
          <t>TCGplayer</t>
        </is>
      </c>
      <c r="O830" s="4" t="inlineStr">
        <is>
          <t>https://www.tcgplayer.com/product/696638</t>
        </is>
      </c>
    </row>
    <row r="831">
      <c r="A831" s="2" t="inlineStr">
        <is>
          <t>Ancient Origins Theme Deck - "Stone Heart" [Regirock]</t>
        </is>
      </c>
      <c r="B831" s="3">
        <f>IF(I831&lt;&gt;"",I831,IF(J831&lt;&gt;"",J831,IF(K831&lt;&gt;"",K831,L831)))</f>
        <v>38.99</v>
      </c>
      <c r="C831" s="3">
        <f>MEDIAN(I831:L831)</f>
        <v>39.97</v>
      </c>
      <c r="D831" s="3">
        <f>ROUND(C831*(1-Settings!$B$2),2)</f>
        <v>27.98</v>
      </c>
      <c r="E831" s="3">
        <f>ROUND(C831*(1-Settings!$B$3),2)</f>
        <v>27.98</v>
      </c>
      <c r="F831" s="2" t="inlineStr">
        <is>
          <t>Pokemon</t>
        </is>
      </c>
      <c r="G831" s="2" t="inlineStr">
        <is>
          <t>Deck</t>
        </is>
      </c>
      <c r="H831" s="2" t="inlineStr">
        <is>
          <t>XY - Ancient Origins</t>
        </is>
      </c>
      <c r="I831" s="3" t="n"/>
      <c r="J831" s="3" t="n">
        <v>38.99</v>
      </c>
      <c r="K831" s="3" t="n">
        <v>39.98</v>
      </c>
      <c r="L831" s="3" t="n">
        <v>39.97</v>
      </c>
      <c r="M831" s="2" t="inlineStr">
        <is>
          <t>TCGplayer</t>
        </is>
      </c>
      <c r="O831" s="4" t="inlineStr">
        <is>
          <t>https://www.tcgplayer.com/product/100492</t>
        </is>
      </c>
    </row>
    <row r="832">
      <c r="A832" s="2" t="inlineStr">
        <is>
          <t>BREAKpoint Theme Deck - "Electric Eye" [Luxray]</t>
        </is>
      </c>
      <c r="B832" s="3">
        <f>IF(I832&lt;&gt;"",I832,IF(J832&lt;&gt;"",J832,IF(K832&lt;&gt;"",K832,L832)))</f>
        <v>49.95</v>
      </c>
      <c r="C832" s="3">
        <f>MEDIAN(I832:L832)</f>
        <v>49.95</v>
      </c>
      <c r="D832" s="3">
        <f>ROUND(C832*(1-Settings!$B$2),2)</f>
        <v>34.97</v>
      </c>
      <c r="E832" s="3">
        <f>ROUND(C832*(1-Settings!$B$3),2)</f>
        <v>34.97</v>
      </c>
      <c r="F832" s="2" t="inlineStr">
        <is>
          <t>Pokemon</t>
        </is>
      </c>
      <c r="G832" s="2" t="inlineStr">
        <is>
          <t>Deck</t>
        </is>
      </c>
      <c r="H832" s="2" t="inlineStr">
        <is>
          <t>XY - BREAKpoint</t>
        </is>
      </c>
      <c r="I832" s="3" t="n"/>
      <c r="J832" s="3" t="n">
        <v>49.95</v>
      </c>
      <c r="K832" s="3" t="n"/>
      <c r="L832" s="3" t="n"/>
      <c r="M832" s="2" t="inlineStr">
        <is>
          <t>TCGplayer</t>
        </is>
      </c>
      <c r="O832" s="4" t="inlineStr">
        <is>
          <t>https://www.tcgplayer.com/product/113531</t>
        </is>
      </c>
    </row>
    <row r="833">
      <c r="A833" s="2" t="inlineStr">
        <is>
          <t>BREAKpoint Theme Deck - "Wave Slasher" [Greninja]</t>
        </is>
      </c>
      <c r="B833" s="3">
        <f>IF(I833&lt;&gt;"",I833,IF(J833&lt;&gt;"",J833,IF(K833&lt;&gt;"",K833,L833)))</f>
        <v>48.0</v>
      </c>
      <c r="C833" s="3">
        <f>MEDIAN(I833:L833)</f>
        <v>48.0</v>
      </c>
      <c r="D833" s="3">
        <f>ROUND(C833*(1-Settings!$B$2),2)</f>
        <v>33.6</v>
      </c>
      <c r="E833" s="3">
        <f>ROUND(C833*(1-Settings!$B$3),2)</f>
        <v>33.6</v>
      </c>
      <c r="F833" s="2" t="inlineStr">
        <is>
          <t>Pokemon</t>
        </is>
      </c>
      <c r="G833" s="2" t="inlineStr">
        <is>
          <t>Deck</t>
        </is>
      </c>
      <c r="H833" s="2" t="inlineStr">
        <is>
          <t>XY - BREAKpoint</t>
        </is>
      </c>
      <c r="I833" s="3" t="n"/>
      <c r="J833" s="3" t="n">
        <v>48</v>
      </c>
      <c r="K833" s="3" t="n"/>
      <c r="L833" s="3" t="n"/>
      <c r="M833" s="2" t="inlineStr">
        <is>
          <t>TCGplayer</t>
        </is>
      </c>
      <c r="O833" s="4" t="inlineStr">
        <is>
          <t>https://www.tcgplayer.com/product/113530</t>
        </is>
      </c>
    </row>
    <row r="834">
      <c r="A834" s="2" t="inlineStr">
        <is>
          <t>BREAKthrough Theme Deck - "Night Striker" [Noivern]</t>
        </is>
      </c>
      <c r="B834" s="3">
        <f>IF(I834&lt;&gt;"",I834,IF(J834&lt;&gt;"",J834,IF(K834&lt;&gt;"",K834,L834)))</f>
        <v>41.46</v>
      </c>
      <c r="C834" s="3">
        <f>MEDIAN(I834:L834)</f>
        <v>41.46</v>
      </c>
      <c r="D834" s="3">
        <f>ROUND(C834*(1-Settings!$B$2),2)</f>
        <v>29.02</v>
      </c>
      <c r="E834" s="3">
        <f>ROUND(C834*(1-Settings!$B$3),2)</f>
        <v>29.02</v>
      </c>
      <c r="F834" s="2" t="inlineStr">
        <is>
          <t>Pokemon</t>
        </is>
      </c>
      <c r="G834" s="2" t="inlineStr">
        <is>
          <t>Deck</t>
        </is>
      </c>
      <c r="H834" s="2" t="inlineStr">
        <is>
          <t>XY - BREAKthrough</t>
        </is>
      </c>
      <c r="I834" s="3" t="n"/>
      <c r="J834" s="3" t="n">
        <v>41.46</v>
      </c>
      <c r="K834" s="3" t="n"/>
      <c r="L834" s="3" t="n"/>
      <c r="M834" s="2" t="inlineStr">
        <is>
          <t>TCGplayer</t>
        </is>
      </c>
      <c r="O834" s="4" t="inlineStr">
        <is>
          <t>https://www.tcgplayer.com/product/107103</t>
        </is>
      </c>
    </row>
    <row r="835">
      <c r="A835" s="2" t="inlineStr">
        <is>
          <t>Evolutions Theme Deck - "Mewtwo Mayhem" [Mewtwo]</t>
        </is>
      </c>
      <c r="B835" s="3">
        <f>IF(I835&lt;&gt;"",I835,IF(J835&lt;&gt;"",J835,IF(K835&lt;&gt;"",K835,L835)))</f>
        <v>53.26</v>
      </c>
      <c r="C835" s="3">
        <f>MEDIAN(I835:L835)</f>
        <v>60.0</v>
      </c>
      <c r="D835" s="3">
        <f>ROUND(C835*(1-Settings!$B$2),2)</f>
        <v>42.0</v>
      </c>
      <c r="E835" s="3">
        <f>ROUND(C835*(1-Settings!$B$3),2)</f>
        <v>42.0</v>
      </c>
      <c r="F835" s="2" t="inlineStr">
        <is>
          <t>Pokemon</t>
        </is>
      </c>
      <c r="G835" s="2" t="inlineStr">
        <is>
          <t>Deck</t>
        </is>
      </c>
      <c r="H835" s="2" t="inlineStr">
        <is>
          <t>XY - Evolutions</t>
        </is>
      </c>
      <c r="I835" s="3" t="n"/>
      <c r="J835" s="3" t="n">
        <v>53.26</v>
      </c>
      <c r="K835" s="3" t="n">
        <v>69.97</v>
      </c>
      <c r="L835" s="3" t="n">
        <v>60</v>
      </c>
      <c r="M835" s="2" t="inlineStr">
        <is>
          <t>TCGplayer</t>
        </is>
      </c>
      <c r="O835" s="4" t="inlineStr">
        <is>
          <t>https://www.tcgplayer.com/product/123450</t>
        </is>
      </c>
    </row>
    <row r="836">
      <c r="A836" s="2" t="inlineStr">
        <is>
          <t>Evolutions Theme Deck - "Pikachu Power" [Pikachu]</t>
        </is>
      </c>
      <c r="B836" s="3">
        <f>IF(I836&lt;&gt;"",I836,IF(J836&lt;&gt;"",J836,IF(K836&lt;&gt;"",K836,L836)))</f>
        <v>42.33</v>
      </c>
      <c r="C836" s="3">
        <f>MEDIAN(I836:L836)</f>
        <v>53.98</v>
      </c>
      <c r="D836" s="3">
        <f>ROUND(C836*(1-Settings!$B$2),2)</f>
        <v>37.79</v>
      </c>
      <c r="E836" s="3">
        <f>ROUND(C836*(1-Settings!$B$3),2)</f>
        <v>37.79</v>
      </c>
      <c r="F836" s="2" t="inlineStr">
        <is>
          <t>Pokemon</t>
        </is>
      </c>
      <c r="G836" s="2" t="inlineStr">
        <is>
          <t>Deck</t>
        </is>
      </c>
      <c r="H836" s="2" t="inlineStr">
        <is>
          <t>XY - Evolutions</t>
        </is>
      </c>
      <c r="I836" s="3" t="n"/>
      <c r="J836" s="3" t="n">
        <v>42.33</v>
      </c>
      <c r="K836" s="3" t="n">
        <v>54</v>
      </c>
      <c r="L836" s="3" t="n">
        <v>53.98</v>
      </c>
      <c r="M836" s="2" t="inlineStr">
        <is>
          <t>TCGplayer</t>
        </is>
      </c>
      <c r="O836" s="4" t="inlineStr">
        <is>
          <t>https://www.tcgplayer.com/product/123449</t>
        </is>
      </c>
    </row>
    <row r="837">
      <c r="A837" s="2" t="inlineStr">
        <is>
          <t>Fates Collide Theme Deck - "Battle Ruler" [Zygarde]</t>
        </is>
      </c>
      <c r="B837" s="3">
        <f>IF(I837&lt;&gt;"",I837,IF(J837&lt;&gt;"",J837,IF(K837&lt;&gt;"",K837,L837)))</f>
        <v>25.8</v>
      </c>
      <c r="C837" s="3">
        <f>MEDIAN(I837:L837)</f>
        <v>24.74</v>
      </c>
      <c r="D837" s="3">
        <f>ROUND(C837*(1-Settings!$B$2),2)</f>
        <v>17.32</v>
      </c>
      <c r="E837" s="3">
        <f>ROUND(C837*(1-Settings!$B$3),2)</f>
        <v>17.32</v>
      </c>
      <c r="F837" s="2" t="inlineStr">
        <is>
          <t>Pokemon</t>
        </is>
      </c>
      <c r="G837" s="2" t="inlineStr">
        <is>
          <t>Deck</t>
        </is>
      </c>
      <c r="H837" s="2" t="inlineStr">
        <is>
          <t>XY - Fates Collide</t>
        </is>
      </c>
      <c r="I837" s="3" t="n"/>
      <c r="J837" s="3" t="n">
        <v>25.8</v>
      </c>
      <c r="K837" s="3" t="n">
        <v>24.74</v>
      </c>
      <c r="L837" s="3" t="n">
        <v>24.49</v>
      </c>
      <c r="M837" s="2" t="inlineStr">
        <is>
          <t>TCGplayer</t>
        </is>
      </c>
      <c r="O837" s="4" t="inlineStr">
        <is>
          <t>https://www.tcgplayer.com/product/117480</t>
        </is>
      </c>
    </row>
    <row r="838">
      <c r="A838" s="2" t="inlineStr">
        <is>
          <t>Fates Collide Theme Deck - "Sky Guardian" [Lugia]</t>
        </is>
      </c>
      <c r="B838" s="3">
        <f>IF(I838&lt;&gt;"",I838,IF(J838&lt;&gt;"",J838,IF(K838&lt;&gt;"",K838,L838)))</f>
        <v>119.87</v>
      </c>
      <c r="C838" s="3">
        <f>MEDIAN(I838:L838)</f>
        <v>119.87</v>
      </c>
      <c r="D838" s="3">
        <f>ROUND(C838*(1-Settings!$B$2),2)</f>
        <v>83.91</v>
      </c>
      <c r="E838" s="3">
        <f>ROUND(C838*(1-Settings!$B$3),2)</f>
        <v>83.91</v>
      </c>
      <c r="F838" s="2" t="inlineStr">
        <is>
          <t>Pokemon</t>
        </is>
      </c>
      <c r="G838" s="2" t="inlineStr">
        <is>
          <t>Deck</t>
        </is>
      </c>
      <c r="H838" s="2" t="inlineStr">
        <is>
          <t>XY - Fates Collide</t>
        </is>
      </c>
      <c r="I838" s="3" t="n"/>
      <c r="J838" s="3" t="n">
        <v>119.87</v>
      </c>
      <c r="K838" s="3" t="n"/>
      <c r="L838" s="3" t="n"/>
      <c r="M838" s="2" t="inlineStr">
        <is>
          <t>TCGplayer</t>
        </is>
      </c>
      <c r="O838" s="4" t="inlineStr">
        <is>
          <t>https://www.tcgplayer.com/product/117479</t>
        </is>
      </c>
    </row>
    <row r="839">
      <c r="A839" s="2" t="inlineStr">
        <is>
          <t>Flashfire Theme Deck - "Brilliant Thunder" [Heliolisk]</t>
        </is>
      </c>
      <c r="B839" s="3">
        <f>IF(I839&lt;&gt;"",I839,IF(J839&lt;&gt;"",J839,IF(K839&lt;&gt;"",K839,L839)))</f>
        <v>44.0</v>
      </c>
      <c r="C839" s="3">
        <f>MEDIAN(I839:L839)</f>
        <v>39.47</v>
      </c>
      <c r="D839" s="3">
        <f>ROUND(C839*(1-Settings!$B$2),2)</f>
        <v>27.63</v>
      </c>
      <c r="E839" s="3">
        <f>ROUND(C839*(1-Settings!$B$3),2)</f>
        <v>27.63</v>
      </c>
      <c r="F839" s="2" t="inlineStr">
        <is>
          <t>Pokemon</t>
        </is>
      </c>
      <c r="G839" s="2" t="inlineStr">
        <is>
          <t>Deck</t>
        </is>
      </c>
      <c r="H839" s="2" t="inlineStr">
        <is>
          <t>XY - Flashfire</t>
        </is>
      </c>
      <c r="I839" s="3" t="n"/>
      <c r="J839" s="3" t="n">
        <v>44</v>
      </c>
      <c r="K839" s="3" t="n">
        <v>39.47</v>
      </c>
      <c r="L839" s="3" t="n">
        <v>38</v>
      </c>
      <c r="M839" s="2" t="inlineStr">
        <is>
          <t>TCGplayer</t>
        </is>
      </c>
      <c r="O839" s="4" t="inlineStr">
        <is>
          <t>https://www.tcgplayer.com/product/91596</t>
        </is>
      </c>
    </row>
    <row r="840">
      <c r="A840" s="2" t="inlineStr">
        <is>
          <t>Flashfire Theme Deck - "Mystic Typhoon" [Meowstic]</t>
        </is>
      </c>
      <c r="B840" s="3">
        <f>IF(I840&lt;&gt;"",I840,IF(J840&lt;&gt;"",J840,IF(K840&lt;&gt;"",K840,L840)))</f>
        <v>69.95</v>
      </c>
      <c r="C840" s="3">
        <f>MEDIAN(I840:L840)</f>
        <v>99.95</v>
      </c>
      <c r="D840" s="3">
        <f>ROUND(C840*(1-Settings!$B$2),2)</f>
        <v>69.97</v>
      </c>
      <c r="E840" s="3">
        <f>ROUND(C840*(1-Settings!$B$3),2)</f>
        <v>69.97</v>
      </c>
      <c r="F840" s="2" t="inlineStr">
        <is>
          <t>Pokemon</t>
        </is>
      </c>
      <c r="G840" s="2" t="inlineStr">
        <is>
          <t>Deck</t>
        </is>
      </c>
      <c r="H840" s="2" t="inlineStr">
        <is>
          <t>XY - Flashfire</t>
        </is>
      </c>
      <c r="I840" s="3" t="n"/>
      <c r="J840" s="3" t="n">
        <v>69.95</v>
      </c>
      <c r="K840" s="3" t="n">
        <v>99.95</v>
      </c>
      <c r="L840" s="3" t="n">
        <v>99.95</v>
      </c>
      <c r="M840" s="2" t="inlineStr">
        <is>
          <t>TCGplayer</t>
        </is>
      </c>
      <c r="O840" s="4" t="inlineStr">
        <is>
          <t>https://www.tcgplayer.com/product/91597</t>
        </is>
      </c>
    </row>
    <row r="841">
      <c r="A841" s="2" t="inlineStr">
        <is>
          <t>Furious Fists Theme Deck - "Enchanted Echo" [Sylveon]</t>
        </is>
      </c>
      <c r="B841" s="3">
        <f>IF(I841&lt;&gt;"",I841,IF(J841&lt;&gt;"",J841,IF(K841&lt;&gt;"",K841,L841)))</f>
        <v>350.0</v>
      </c>
      <c r="C841" s="3">
        <f>MEDIAN(I841:L841)</f>
        <v>350.0</v>
      </c>
      <c r="D841" s="3">
        <f>ROUND(C841*(1-Settings!$B$2),2)</f>
        <v>245.0</v>
      </c>
      <c r="E841" s="3">
        <f>ROUND(C841*(1-Settings!$B$3),2)</f>
        <v>245.0</v>
      </c>
      <c r="F841" s="2" t="inlineStr">
        <is>
          <t>Pokemon</t>
        </is>
      </c>
      <c r="G841" s="2" t="inlineStr">
        <is>
          <t>Deck</t>
        </is>
      </c>
      <c r="H841" s="2" t="inlineStr">
        <is>
          <t>XY - Furious Fists</t>
        </is>
      </c>
      <c r="I841" s="3" t="n"/>
      <c r="J841" s="3" t="n">
        <v>350</v>
      </c>
      <c r="K841" s="3" t="n"/>
      <c r="L841" s="3" t="n"/>
      <c r="M841" s="2" t="inlineStr">
        <is>
          <t>TCGplayer</t>
        </is>
      </c>
      <c r="O841" s="4" t="inlineStr">
        <is>
          <t>https://www.tcgplayer.com/product/92218</t>
        </is>
      </c>
    </row>
    <row r="842">
      <c r="A842" s="2" t="inlineStr">
        <is>
          <t>Phantom Forces Theme Deck - "Bolt Twister" [Galvantula]</t>
        </is>
      </c>
      <c r="B842" s="3">
        <f>IF(I842&lt;&gt;"",I842,IF(J842&lt;&gt;"",J842,IF(K842&lt;&gt;"",K842,L842)))</f>
        <v>29.36</v>
      </c>
      <c r="C842" s="3">
        <f>MEDIAN(I842:L842)</f>
        <v>34.99</v>
      </c>
      <c r="D842" s="3">
        <f>ROUND(C842*(1-Settings!$B$2),2)</f>
        <v>24.49</v>
      </c>
      <c r="E842" s="3">
        <f>ROUND(C842*(1-Settings!$B$3),2)</f>
        <v>24.49</v>
      </c>
      <c r="F842" s="2" t="inlineStr">
        <is>
          <t>Pokemon</t>
        </is>
      </c>
      <c r="G842" s="2" t="inlineStr">
        <is>
          <t>Deck</t>
        </is>
      </c>
      <c r="H842" s="2" t="inlineStr">
        <is>
          <t>XY - Phantom Forces</t>
        </is>
      </c>
      <c r="I842" s="3" t="n"/>
      <c r="J842" s="3" t="n">
        <v>29.36</v>
      </c>
      <c r="K842" s="3" t="n">
        <v>34.99</v>
      </c>
      <c r="L842" s="3" t="n">
        <v>34.99</v>
      </c>
      <c r="M842" s="2" t="inlineStr">
        <is>
          <t>TCGplayer</t>
        </is>
      </c>
      <c r="O842" s="4" t="inlineStr">
        <is>
          <t>https://www.tcgplayer.com/product/94625</t>
        </is>
      </c>
    </row>
    <row r="843">
      <c r="A843" s="2" t="inlineStr">
        <is>
          <t>Phantom Forces Theme Deck - "Burning Winds" [Talonflame]</t>
        </is>
      </c>
      <c r="B843" s="3">
        <f>IF(I843&lt;&gt;"",I843,IF(J843&lt;&gt;"",J843,IF(K843&lt;&gt;"",K843,L843)))</f>
        <v>26.42</v>
      </c>
      <c r="C843" s="3">
        <f>MEDIAN(I843:L843)</f>
        <v>34.99</v>
      </c>
      <c r="D843" s="3">
        <f>ROUND(C843*(1-Settings!$B$2),2)</f>
        <v>24.49</v>
      </c>
      <c r="E843" s="3">
        <f>ROUND(C843*(1-Settings!$B$3),2)</f>
        <v>24.49</v>
      </c>
      <c r="F843" s="2" t="inlineStr">
        <is>
          <t>Pokemon</t>
        </is>
      </c>
      <c r="G843" s="2" t="inlineStr">
        <is>
          <t>Deck</t>
        </is>
      </c>
      <c r="H843" s="2" t="inlineStr">
        <is>
          <t>XY - Phantom Forces</t>
        </is>
      </c>
      <c r="I843" s="3" t="n"/>
      <c r="J843" s="3" t="n">
        <v>26.42</v>
      </c>
      <c r="K843" s="3" t="n">
        <v>34.99</v>
      </c>
      <c r="L843" s="3" t="n">
        <v>34.99</v>
      </c>
      <c r="M843" s="2" t="inlineStr">
        <is>
          <t>TCGplayer</t>
        </is>
      </c>
      <c r="O843" s="4" t="inlineStr">
        <is>
          <t>https://www.tcgplayer.com/product/94624</t>
        </is>
      </c>
    </row>
    <row r="844">
      <c r="A844" s="2" t="inlineStr">
        <is>
          <t>Primal Clash Theme Deck - "Earth's Pulse" [Groudon]</t>
        </is>
      </c>
      <c r="B844" s="3">
        <f>IF(I844&lt;&gt;"",I844,IF(J844&lt;&gt;"",J844,IF(K844&lt;&gt;"",K844,L844)))</f>
        <v>119.99</v>
      </c>
      <c r="C844" s="3">
        <f>MEDIAN(I844:L844)</f>
        <v>119.99</v>
      </c>
      <c r="D844" s="3">
        <f>ROUND(C844*(1-Settings!$B$2),2)</f>
        <v>83.99</v>
      </c>
      <c r="E844" s="3">
        <f>ROUND(C844*(1-Settings!$B$3),2)</f>
        <v>83.99</v>
      </c>
      <c r="F844" s="2" t="inlineStr">
        <is>
          <t>Pokemon</t>
        </is>
      </c>
      <c r="G844" s="2" t="inlineStr">
        <is>
          <t>Deck</t>
        </is>
      </c>
      <c r="H844" s="2" t="inlineStr">
        <is>
          <t>XY - Primal Clash</t>
        </is>
      </c>
      <c r="I844" s="3" t="n"/>
      <c r="J844" s="3" t="n"/>
      <c r="K844" s="3" t="n"/>
      <c r="L844" s="3" t="n">
        <v>119.99</v>
      </c>
      <c r="M844" s="2" t="inlineStr">
        <is>
          <t>TCGplayer</t>
        </is>
      </c>
      <c r="O844" s="4" t="inlineStr">
        <is>
          <t>https://www.tcgplayer.com/product/97753</t>
        </is>
      </c>
    </row>
    <row r="845">
      <c r="A845" s="2" t="inlineStr">
        <is>
          <t>Primal Clash Theme Deck - "Ocean's Core" [Kyogre]</t>
        </is>
      </c>
      <c r="B845" s="3">
        <f>IF(I845&lt;&gt;"",I845,IF(J845&lt;&gt;"",J845,IF(K845&lt;&gt;"",K845,L845)))</f>
        <v>199.99</v>
      </c>
      <c r="C845" s="3">
        <f>MEDIAN(I845:L845)</f>
        <v>159.99</v>
      </c>
      <c r="D845" s="3">
        <f>ROUND(C845*(1-Settings!$B$2),2)</f>
        <v>111.99</v>
      </c>
      <c r="E845" s="3">
        <f>ROUND(C845*(1-Settings!$B$3),2)</f>
        <v>111.99</v>
      </c>
      <c r="F845" s="2" t="inlineStr">
        <is>
          <t>Pokemon</t>
        </is>
      </c>
      <c r="G845" s="2" t="inlineStr">
        <is>
          <t>Deck</t>
        </is>
      </c>
      <c r="H845" s="2" t="inlineStr">
        <is>
          <t>XY - Primal Clash</t>
        </is>
      </c>
      <c r="I845" s="3" t="n"/>
      <c r="J845" s="3" t="n"/>
      <c r="K845" s="3" t="n">
        <v>199.99</v>
      </c>
      <c r="L845" s="3" t="n">
        <v>119.99</v>
      </c>
      <c r="M845" s="2" t="inlineStr">
        <is>
          <t>TCGplayer</t>
        </is>
      </c>
      <c r="O845" s="4" t="inlineStr">
        <is>
          <t>https://www.tcgplayer.com/product/97752</t>
        </is>
      </c>
    </row>
    <row r="846">
      <c r="A846" s="2" t="inlineStr">
        <is>
          <t>Roaring Skies Theme Deck - "Aurora Blast" [Articuno]</t>
        </is>
      </c>
      <c r="B846" s="3">
        <f>IF(I846&lt;&gt;"",I846,IF(J846&lt;&gt;"",J846,IF(K846&lt;&gt;"",K846,L846)))</f>
        <v>199.99</v>
      </c>
      <c r="C846" s="3">
        <f>MEDIAN(I846:L846)</f>
        <v>199.99</v>
      </c>
      <c r="D846" s="3">
        <f>ROUND(C846*(1-Settings!$B$2),2)</f>
        <v>139.99</v>
      </c>
      <c r="E846" s="3">
        <f>ROUND(C846*(1-Settings!$B$3),2)</f>
        <v>139.99</v>
      </c>
      <c r="F846" s="2" t="inlineStr">
        <is>
          <t>Pokemon</t>
        </is>
      </c>
      <c r="G846" s="2" t="inlineStr">
        <is>
          <t>Deck</t>
        </is>
      </c>
      <c r="H846" s="2" t="inlineStr">
        <is>
          <t>XY - Roaring Skies</t>
        </is>
      </c>
      <c r="I846" s="3" t="n"/>
      <c r="J846" s="3" t="n"/>
      <c r="K846" s="3" t="n">
        <v>199.99</v>
      </c>
      <c r="L846" s="3" t="n">
        <v>199.99</v>
      </c>
      <c r="M846" s="2" t="inlineStr">
        <is>
          <t>TCGplayer</t>
        </is>
      </c>
      <c r="O846" s="4" t="inlineStr">
        <is>
          <t>https://www.tcgplayer.com/product/98029</t>
        </is>
      </c>
    </row>
    <row r="847">
      <c r="A847" s="2" t="inlineStr">
        <is>
          <t>Steam Siege Theme Deck - "Gears of Fire" [Volcanion]</t>
        </is>
      </c>
      <c r="B847" s="3">
        <f>IF(I847&lt;&gt;"",I847,IF(J847&lt;&gt;"",J847,IF(K847&lt;&gt;"",K847,L847)))</f>
        <v>20.06</v>
      </c>
      <c r="C847" s="3">
        <f>MEDIAN(I847:L847)</f>
        <v>21.66</v>
      </c>
      <c r="D847" s="3">
        <f>ROUND(C847*(1-Settings!$B$2),2)</f>
        <v>15.16</v>
      </c>
      <c r="E847" s="3">
        <f>ROUND(C847*(1-Settings!$B$3),2)</f>
        <v>15.16</v>
      </c>
      <c r="F847" s="2" t="inlineStr">
        <is>
          <t>Pokemon</t>
        </is>
      </c>
      <c r="G847" s="2" t="inlineStr">
        <is>
          <t>Deck</t>
        </is>
      </c>
      <c r="H847" s="2" t="inlineStr">
        <is>
          <t>XY - Steam Siege</t>
        </is>
      </c>
      <c r="I847" s="3" t="n"/>
      <c r="J847" s="3" t="n">
        <v>20.06</v>
      </c>
      <c r="K847" s="3" t="n">
        <v>21.95</v>
      </c>
      <c r="L847" s="3" t="n">
        <v>21.66</v>
      </c>
      <c r="M847" s="2" t="inlineStr">
        <is>
          <t>TCGplayer</t>
        </is>
      </c>
      <c r="O847" s="4" t="inlineStr">
        <is>
          <t>https://www.tcgplayer.com/product/120698</t>
        </is>
      </c>
    </row>
    <row r="848">
      <c r="A848" s="2" t="inlineStr">
        <is>
          <t>Steam Siege Theme Deck - "Ring of Lightning" [Hoopa]</t>
        </is>
      </c>
      <c r="B848" s="3">
        <f>IF(I848&lt;&gt;"",I848,IF(J848&lt;&gt;"",J848,IF(K848&lt;&gt;"",K848,L848)))</f>
        <v>22.91</v>
      </c>
      <c r="C848" s="3">
        <f>MEDIAN(I848:L848)</f>
        <v>49.99</v>
      </c>
      <c r="D848" s="3">
        <f>ROUND(C848*(1-Settings!$B$2),2)</f>
        <v>34.99</v>
      </c>
      <c r="E848" s="3">
        <f>ROUND(C848*(1-Settings!$B$3),2)</f>
        <v>34.99</v>
      </c>
      <c r="F848" s="2" t="inlineStr">
        <is>
          <t>Pokemon</t>
        </is>
      </c>
      <c r="G848" s="2" t="inlineStr">
        <is>
          <t>Deck</t>
        </is>
      </c>
      <c r="H848" s="2" t="inlineStr">
        <is>
          <t>XY - Steam Siege</t>
        </is>
      </c>
      <c r="I848" s="3" t="n"/>
      <c r="J848" s="3" t="n">
        <v>22.91</v>
      </c>
      <c r="K848" s="3" t="n">
        <v>49.99</v>
      </c>
      <c r="L848" s="3" t="n">
        <v>49.99</v>
      </c>
      <c r="M848" s="2" t="inlineStr">
        <is>
          <t>TCGplayer</t>
        </is>
      </c>
      <c r="O848" s="4" t="inlineStr">
        <is>
          <t>https://www.tcgplayer.com/product/120699</t>
        </is>
      </c>
    </row>
    <row r="849">
      <c r="A849" s="2" t="inlineStr">
        <is>
          <t>XY Base Set Theme Deck - "Destruction Rush" [Yveltal]</t>
        </is>
      </c>
      <c r="B849" s="3">
        <f>IF(I849&lt;&gt;"",I849,IF(J849&lt;&gt;"",J849,IF(K849&lt;&gt;"",K849,L849)))</f>
        <v>29.98</v>
      </c>
      <c r="C849" s="3">
        <f>MEDIAN(I849:L849)</f>
        <v>29.98</v>
      </c>
      <c r="D849" s="3">
        <f>ROUND(C849*(1-Settings!$B$2),2)</f>
        <v>20.99</v>
      </c>
      <c r="E849" s="3">
        <f>ROUND(C849*(1-Settings!$B$3),2)</f>
        <v>20.99</v>
      </c>
      <c r="F849" s="2" t="inlineStr">
        <is>
          <t>Pokemon</t>
        </is>
      </c>
      <c r="G849" s="2" t="inlineStr">
        <is>
          <t>Deck</t>
        </is>
      </c>
      <c r="H849" s="2" t="inlineStr">
        <is>
          <t>XY Base Set</t>
        </is>
      </c>
      <c r="I849" s="3" t="n"/>
      <c r="J849" s="3" t="n">
        <v>29.98</v>
      </c>
      <c r="K849" s="3" t="n"/>
      <c r="L849" s="3" t="n"/>
      <c r="M849" s="2" t="inlineStr">
        <is>
          <t>TCGplayer</t>
        </is>
      </c>
      <c r="O849" s="4" t="inlineStr">
        <is>
          <t>https://www.tcgplayer.com/product/91604</t>
        </is>
      </c>
    </row>
    <row r="850">
      <c r="A850" s="2" t="inlineStr">
        <is>
          <t>XY Trainer Kit: Pikachu Libre &amp; Suicune</t>
        </is>
      </c>
      <c r="B850" s="3">
        <f>IF(I850&lt;&gt;"",I850,IF(J850&lt;&gt;"",J850,IF(K850&lt;&gt;"",K850,L850)))</f>
        <v>417.5</v>
      </c>
      <c r="C850" s="3">
        <f>MEDIAN(I850:L850)</f>
        <v>209.75</v>
      </c>
      <c r="D850" s="3">
        <f>ROUND(C850*(1-Settings!$B$2),2)</f>
        <v>146.83</v>
      </c>
      <c r="E850" s="3">
        <f>ROUND(C850*(1-Settings!$B$3),2)</f>
        <v>146.83</v>
      </c>
      <c r="F850" s="2" t="inlineStr">
        <is>
          <t>Pokemon</t>
        </is>
      </c>
      <c r="G850" s="2" t="inlineStr">
        <is>
          <t>Deck</t>
        </is>
      </c>
      <c r="H850" s="2" t="inlineStr">
        <is>
          <t>XY Trainer Kit: Pikachu Libre &amp; Suicune</t>
        </is>
      </c>
      <c r="I850" s="3" t="n"/>
      <c r="J850" s="3" t="n">
        <v>417.5</v>
      </c>
      <c r="K850" s="3" t="n"/>
      <c r="L850" s="3" t="n">
        <v>2</v>
      </c>
      <c r="M850" s="2" t="inlineStr">
        <is>
          <t>TCGplayer</t>
        </is>
      </c>
      <c r="O850" s="4" t="inlineStr">
        <is>
          <t>https://www.tcgplayer.com/product/118797</t>
        </is>
      </c>
    </row>
    <row r="851">
      <c r="A851" s="2" t="inlineStr">
        <is>
          <t>XY Trainer Kit: Sylveon &amp; Noivern</t>
        </is>
      </c>
      <c r="B851" s="3">
        <f>IF(I851&lt;&gt;"",I851,IF(J851&lt;&gt;"",J851,IF(K851&lt;&gt;"",K851,L851)))</f>
        <v>3999.99</v>
      </c>
      <c r="C851" s="3">
        <f>MEDIAN(I851:L851)</f>
        <v>3999.99</v>
      </c>
      <c r="D851" s="3">
        <f>ROUND(C851*(1-Settings!$B$2),2)</f>
        <v>2799.99</v>
      </c>
      <c r="E851" s="3">
        <f>ROUND(C851*(1-Settings!$B$3),2)</f>
        <v>2799.99</v>
      </c>
      <c r="F851" s="2" t="inlineStr">
        <is>
          <t>Pokemon</t>
        </is>
      </c>
      <c r="G851" s="2" t="inlineStr">
        <is>
          <t>Deck</t>
        </is>
      </c>
      <c r="H851" s="2" t="inlineStr">
        <is>
          <t>XY Trainer Kit: Sylveon &amp; Noivern</t>
        </is>
      </c>
      <c r="I851" s="3" t="n"/>
      <c r="J851" s="3" t="n"/>
      <c r="K851" s="3" t="n"/>
      <c r="L851" s="3" t="n">
        <v>3999.99</v>
      </c>
      <c r="M851" s="2" t="inlineStr">
        <is>
          <t>TCGplayer</t>
        </is>
      </c>
      <c r="O851" s="4" t="inlineStr">
        <is>
          <t>https://www.tcgplayer.com/product/97728</t>
        </is>
      </c>
    </row>
    <row r="852">
      <c r="A852" s="2" t="inlineStr">
        <is>
          <t>First Partner Packs [Set of 8] + Binder</t>
        </is>
      </c>
      <c r="B852" s="3">
        <f>IF(I852&lt;&gt;"",I852,IF(J852&lt;&gt;"",J852,IF(K852&lt;&gt;"",K852,L852)))</f>
        <v>294.65</v>
      </c>
      <c r="C852" s="3">
        <f>MEDIAN(I852:L852)</f>
        <v>345.0</v>
      </c>
      <c r="D852" s="3">
        <f>ROUND(C852*(1-Settings!$B$2),2)</f>
        <v>241.5</v>
      </c>
      <c r="E852" s="3">
        <f>ROUND(C852*(1-Settings!$B$3),2)</f>
        <v>241.5</v>
      </c>
      <c r="F852" s="2" t="inlineStr">
        <is>
          <t>Pokemon</t>
        </is>
      </c>
      <c r="G852" s="2" t="inlineStr">
        <is>
          <t>Other</t>
        </is>
      </c>
      <c r="H852" s="2" t="inlineStr">
        <is>
          <t>First Partner Pack</t>
        </is>
      </c>
      <c r="I852" s="3" t="n"/>
      <c r="J852" s="3" t="n">
        <v>294.65</v>
      </c>
      <c r="K852" s="3" t="n">
        <v>352.8</v>
      </c>
      <c r="L852" s="3" t="n">
        <v>345</v>
      </c>
      <c r="M852" s="2" t="inlineStr">
        <is>
          <t>TCGplayer</t>
        </is>
      </c>
      <c r="O852" s="4" t="inlineStr">
        <is>
          <t>https://www.tcgplayer.com/product/261803</t>
        </is>
      </c>
    </row>
    <row r="853">
      <c r="A853" s="2" t="inlineStr">
        <is>
          <t>McDonald's Japan Promo Booster (2025)</t>
        </is>
      </c>
      <c r="B853" s="3">
        <f>IF(I853&lt;&gt;"",I853,IF(J853&lt;&gt;"",J853,IF(K853&lt;&gt;"",K853,L853)))</f>
        <v>35.74</v>
      </c>
      <c r="C853" s="3">
        <f>MEDIAN(I853:L853)</f>
        <v>33.89</v>
      </c>
      <c r="D853" s="3">
        <f>ROUND(C853*(1-Settings!$B$2),2)</f>
        <v>23.72</v>
      </c>
      <c r="E853" s="3">
        <f>ROUND(C853*(1-Settings!$B$3),2)</f>
        <v>23.72</v>
      </c>
      <c r="F853" s="2" t="inlineStr">
        <is>
          <t>Pokemon</t>
        </is>
      </c>
      <c r="G853" s="2" t="inlineStr">
        <is>
          <t>Other</t>
        </is>
      </c>
      <c r="H853" s="2" t="inlineStr">
        <is>
          <t>M-P Promotional Cards</t>
        </is>
      </c>
      <c r="I853" s="3" t="n"/>
      <c r="J853" s="3" t="n">
        <v>35.74</v>
      </c>
      <c r="K853" s="3" t="n"/>
      <c r="L853" s="3" t="n">
        <v>32.04</v>
      </c>
      <c r="M853" s="2" t="inlineStr">
        <is>
          <t>TCGplayer</t>
        </is>
      </c>
      <c r="O853" s="4" t="inlineStr">
        <is>
          <t>https://www.tcgplayer.com/product/651131</t>
        </is>
      </c>
    </row>
    <row r="854">
      <c r="A854" s="2" t="inlineStr">
        <is>
          <t>2 Booster Packs &amp; Celebi Collector's Pin</t>
        </is>
      </c>
      <c r="B854" s="3">
        <f>IF(I854&lt;&gt;"",I854,IF(J854&lt;&gt;"",J854,IF(K854&lt;&gt;"",K854,L854)))</f>
        <v>38.52</v>
      </c>
      <c r="C854" s="3">
        <f>MEDIAN(I854:L854)</f>
        <v>38.52</v>
      </c>
      <c r="D854" s="3">
        <f>ROUND(C854*(1-Settings!$B$2),2)</f>
        <v>26.96</v>
      </c>
      <c r="E854" s="3">
        <f>ROUND(C854*(1-Settings!$B$3),2)</f>
        <v>26.96</v>
      </c>
      <c r="F854" s="2" t="inlineStr">
        <is>
          <t>Pokemon</t>
        </is>
      </c>
      <c r="G854" s="2" t="inlineStr">
        <is>
          <t>Other</t>
        </is>
      </c>
      <c r="H854" s="2" t="inlineStr">
        <is>
          <t>Miscellaneous Cards &amp; Products</t>
        </is>
      </c>
      <c r="I854" s="3" t="n"/>
      <c r="J854" s="3" t="n">
        <v>38.52</v>
      </c>
      <c r="K854" s="3" t="n">
        <v>39.86</v>
      </c>
      <c r="L854" s="3" t="n">
        <v>29.99</v>
      </c>
      <c r="M854" s="2" t="inlineStr">
        <is>
          <t>TCGplayer</t>
        </is>
      </c>
      <c r="O854" s="4" t="inlineStr">
        <is>
          <t>https://www.tcgplayer.com/product/625049</t>
        </is>
      </c>
    </row>
    <row r="855">
      <c r="A855" s="2" t="inlineStr">
        <is>
          <t>2 Booster Packs &amp; Jirachi Collector's Pin</t>
        </is>
      </c>
      <c r="B855" s="3">
        <f>IF(I855&lt;&gt;"",I855,IF(J855&lt;&gt;"",J855,IF(K855&lt;&gt;"",K855,L855)))</f>
        <v>37.55</v>
      </c>
      <c r="C855" s="3">
        <f>MEDIAN(I855:L855)</f>
        <v>47.33</v>
      </c>
      <c r="D855" s="3">
        <f>ROUND(C855*(1-Settings!$B$2),2)</f>
        <v>33.13</v>
      </c>
      <c r="E855" s="3">
        <f>ROUND(C855*(1-Settings!$B$3),2)</f>
        <v>33.13</v>
      </c>
      <c r="F855" s="2" t="inlineStr">
        <is>
          <t>Pokemon</t>
        </is>
      </c>
      <c r="G855" s="2" t="inlineStr">
        <is>
          <t>Other</t>
        </is>
      </c>
      <c r="H855" s="2" t="inlineStr">
        <is>
          <t>Miscellaneous Cards &amp; Products</t>
        </is>
      </c>
      <c r="I855" s="3" t="n"/>
      <c r="J855" s="3" t="n">
        <v>37.55</v>
      </c>
      <c r="K855" s="3" t="n">
        <v>56.99</v>
      </c>
      <c r="L855" s="3" t="n">
        <v>47.33</v>
      </c>
      <c r="M855" s="2" t="inlineStr">
        <is>
          <t>TCGplayer</t>
        </is>
      </c>
      <c r="O855" s="4" t="inlineStr">
        <is>
          <t>https://www.tcgplayer.com/product/625038</t>
        </is>
      </c>
    </row>
    <row r="856">
      <c r="A856" s="2" t="inlineStr">
        <is>
          <t>2 Booster Packs &amp; Latias Collector's Pin</t>
        </is>
      </c>
      <c r="B856" s="3">
        <f>IF(I856&lt;&gt;"",I856,IF(J856&lt;&gt;"",J856,IF(K856&lt;&gt;"",K856,L856)))</f>
        <v>41.58</v>
      </c>
      <c r="C856" s="3">
        <f>MEDIAN(I856:L856)</f>
        <v>41.58</v>
      </c>
      <c r="D856" s="3">
        <f>ROUND(C856*(1-Settings!$B$2),2)</f>
        <v>29.11</v>
      </c>
      <c r="E856" s="3">
        <f>ROUND(C856*(1-Settings!$B$3),2)</f>
        <v>29.11</v>
      </c>
      <c r="F856" s="2" t="inlineStr">
        <is>
          <t>Pokemon</t>
        </is>
      </c>
      <c r="G856" s="2" t="inlineStr">
        <is>
          <t>Other</t>
        </is>
      </c>
      <c r="H856" s="2" t="inlineStr">
        <is>
          <t>Miscellaneous Cards &amp; Products</t>
        </is>
      </c>
      <c r="I856" s="3" t="n"/>
      <c r="J856" s="3" t="n">
        <v>41.58</v>
      </c>
      <c r="K856" s="3" t="n">
        <v>43.24</v>
      </c>
      <c r="L856" s="3" t="n">
        <v>34.99</v>
      </c>
      <c r="M856" s="2" t="inlineStr">
        <is>
          <t>TCGplayer</t>
        </is>
      </c>
      <c r="O856" s="4" t="inlineStr">
        <is>
          <t>https://www.tcgplayer.com/product/625050</t>
        </is>
      </c>
    </row>
    <row r="857">
      <c r="A857" s="2" t="inlineStr">
        <is>
          <t>Blastoise V/Venusaur V Battle Decks [Set of 2]</t>
        </is>
      </c>
      <c r="B857" s="3">
        <f>IF(I857&lt;&gt;"",I857,IF(J857&lt;&gt;"",J857,IF(K857&lt;&gt;"",K857,L857)))</f>
        <v>58.29</v>
      </c>
      <c r="C857" s="3">
        <f>MEDIAN(I857:L857)</f>
        <v>74.0</v>
      </c>
      <c r="D857" s="3">
        <f>ROUND(C857*(1-Settings!$B$2),2)</f>
        <v>51.8</v>
      </c>
      <c r="E857" s="3">
        <f>ROUND(C857*(1-Settings!$B$3),2)</f>
        <v>51.8</v>
      </c>
      <c r="F857" s="2" t="inlineStr">
        <is>
          <t>Pokemon</t>
        </is>
      </c>
      <c r="G857" s="2" t="inlineStr">
        <is>
          <t>Other</t>
        </is>
      </c>
      <c r="H857" s="2" t="inlineStr">
        <is>
          <t>Miscellaneous Cards &amp; Products</t>
        </is>
      </c>
      <c r="I857" s="3" t="n"/>
      <c r="J857" s="3" t="n">
        <v>58.29</v>
      </c>
      <c r="K857" s="3" t="n">
        <v>74</v>
      </c>
      <c r="L857" s="3" t="n">
        <v>74</v>
      </c>
      <c r="M857" s="2" t="inlineStr">
        <is>
          <t>TCGplayer</t>
        </is>
      </c>
      <c r="O857" s="4" t="inlineStr">
        <is>
          <t>https://www.tcgplayer.com/product/239237</t>
        </is>
      </c>
    </row>
    <row r="858">
      <c r="A858" s="2" t="inlineStr">
        <is>
          <t>Deoxys V / Zeraora V Battle Decks [Set of 2]</t>
        </is>
      </c>
      <c r="B858" s="3">
        <f>IF(I858&lt;&gt;"",I858,IF(J858&lt;&gt;"",J858,IF(K858&lt;&gt;"",K858,L858)))</f>
        <v>30.37</v>
      </c>
      <c r="C858" s="3">
        <f>MEDIAN(I858:L858)</f>
        <v>30.37</v>
      </c>
      <c r="D858" s="3">
        <f>ROUND(C858*(1-Settings!$B$2),2)</f>
        <v>21.26</v>
      </c>
      <c r="E858" s="3">
        <f>ROUND(C858*(1-Settings!$B$3),2)</f>
        <v>21.26</v>
      </c>
      <c r="F858" s="2" t="inlineStr">
        <is>
          <t>Pokemon</t>
        </is>
      </c>
      <c r="G858" s="2" t="inlineStr">
        <is>
          <t>Other</t>
        </is>
      </c>
      <c r="H858" s="2" t="inlineStr">
        <is>
          <t>Miscellaneous Cards &amp; Products</t>
        </is>
      </c>
      <c r="I858" s="3" t="n"/>
      <c r="J858" s="3" t="n">
        <v>30.37</v>
      </c>
      <c r="K858" s="3" t="n">
        <v>43.98</v>
      </c>
      <c r="L858" s="3" t="n">
        <v>15</v>
      </c>
      <c r="M858" s="2" t="inlineStr">
        <is>
          <t>TCGplayer</t>
        </is>
      </c>
      <c r="O858" s="4" t="inlineStr">
        <is>
          <t>https://www.tcgplayer.com/product/280859</t>
        </is>
      </c>
    </row>
    <row r="859">
      <c r="A859" s="2" t="inlineStr">
        <is>
          <t>Gardevoir V/Victini V Battle Decks [Set of 2]</t>
        </is>
      </c>
      <c r="B859" s="3">
        <f>IF(I859&lt;&gt;"",I859,IF(J859&lt;&gt;"",J859,IF(K859&lt;&gt;"",K859,L859)))</f>
        <v>45.6</v>
      </c>
      <c r="C859" s="3">
        <f>MEDIAN(I859:L859)</f>
        <v>39.99</v>
      </c>
      <c r="D859" s="3">
        <f>ROUND(C859*(1-Settings!$B$2),2)</f>
        <v>27.99</v>
      </c>
      <c r="E859" s="3">
        <f>ROUND(C859*(1-Settings!$B$3),2)</f>
        <v>27.99</v>
      </c>
      <c r="F859" s="2" t="inlineStr">
        <is>
          <t>Pokemon</t>
        </is>
      </c>
      <c r="G859" s="2" t="inlineStr">
        <is>
          <t>Other</t>
        </is>
      </c>
      <c r="H859" s="2" t="inlineStr">
        <is>
          <t>Miscellaneous Cards &amp; Products</t>
        </is>
      </c>
      <c r="I859" s="3" t="n"/>
      <c r="J859" s="3" t="n">
        <v>45.6</v>
      </c>
      <c r="K859" s="3" t="n">
        <v>39.99</v>
      </c>
      <c r="L859" s="3" t="n">
        <v>35.94</v>
      </c>
      <c r="M859" s="2" t="inlineStr">
        <is>
          <t>TCGplayer</t>
        </is>
      </c>
      <c r="O859" s="4" t="inlineStr">
        <is>
          <t>https://www.tcgplayer.com/product/239236</t>
        </is>
      </c>
    </row>
    <row r="860">
      <c r="A860" s="2" t="inlineStr">
        <is>
          <t>Holiday Calendar 2023</t>
        </is>
      </c>
      <c r="B860" s="3">
        <f>IF(I860&lt;&gt;"",I860,IF(J860&lt;&gt;"",J860,IF(K860&lt;&gt;"",K860,L860)))</f>
        <v>103.78</v>
      </c>
      <c r="C860" s="3">
        <f>MEDIAN(I860:L860)</f>
        <v>129.99</v>
      </c>
      <c r="D860" s="3">
        <f>ROUND(C860*(1-Settings!$B$2),2)</f>
        <v>90.99</v>
      </c>
      <c r="E860" s="3">
        <f>ROUND(C860*(1-Settings!$B$3),2)</f>
        <v>90.99</v>
      </c>
      <c r="F860" s="2" t="inlineStr">
        <is>
          <t>Pokemon</t>
        </is>
      </c>
      <c r="G860" s="2" t="inlineStr">
        <is>
          <t>Other</t>
        </is>
      </c>
      <c r="H860" s="2" t="inlineStr">
        <is>
          <t>Miscellaneous Cards &amp; Products</t>
        </is>
      </c>
      <c r="I860" s="3" t="n"/>
      <c r="J860" s="3" t="n">
        <v>103.78</v>
      </c>
      <c r="K860" s="3" t="n">
        <v>199.97</v>
      </c>
      <c r="L860" s="3" t="n">
        <v>129.99</v>
      </c>
      <c r="M860" s="2" t="inlineStr">
        <is>
          <t>TCGplayer</t>
        </is>
      </c>
      <c r="O860" s="4" t="inlineStr">
        <is>
          <t>https://www.tcgplayer.com/product/505939</t>
        </is>
      </c>
    </row>
    <row r="861">
      <c r="A861" s="2" t="inlineStr">
        <is>
          <t>Holiday Calendar 2024</t>
        </is>
      </c>
      <c r="B861" s="3">
        <f>IF(I861&lt;&gt;"",I861,IF(J861&lt;&gt;"",J861,IF(K861&lt;&gt;"",K861,L861)))</f>
        <v>68.6</v>
      </c>
      <c r="C861" s="3">
        <f>MEDIAN(I861:L861)</f>
        <v>99.0</v>
      </c>
      <c r="D861" s="3">
        <f>ROUND(C861*(1-Settings!$B$2),2)</f>
        <v>69.3</v>
      </c>
      <c r="E861" s="3">
        <f>ROUND(C861*(1-Settings!$B$3),2)</f>
        <v>69.3</v>
      </c>
      <c r="F861" s="2" t="inlineStr">
        <is>
          <t>Pokemon</t>
        </is>
      </c>
      <c r="G861" s="2" t="inlineStr">
        <is>
          <t>Other</t>
        </is>
      </c>
      <c r="H861" s="2" t="inlineStr">
        <is>
          <t>Miscellaneous Cards &amp; Products</t>
        </is>
      </c>
      <c r="I861" s="3" t="n"/>
      <c r="J861" s="3" t="n">
        <v>68.59999999999999</v>
      </c>
      <c r="K861" s="3" t="n">
        <v>139.5</v>
      </c>
      <c r="L861" s="3" t="n">
        <v>99</v>
      </c>
      <c r="M861" s="2" t="inlineStr">
        <is>
          <t>TCGplayer</t>
        </is>
      </c>
      <c r="O861" s="4" t="inlineStr">
        <is>
          <t>https://www.tcgplayer.com/product/559089</t>
        </is>
      </c>
    </row>
    <row r="862">
      <c r="A862" s="2" t="inlineStr">
        <is>
          <t>Holiday Calendar 2025</t>
        </is>
      </c>
      <c r="B862" s="3">
        <f>IF(I862&lt;&gt;"",I862,IF(J862&lt;&gt;"",J862,IF(K862&lt;&gt;"",K862,L862)))</f>
        <v>101.82</v>
      </c>
      <c r="C862" s="3">
        <f>MEDIAN(I862:L862)</f>
        <v>101.82</v>
      </c>
      <c r="D862" s="3">
        <f>ROUND(C862*(1-Settings!$B$2),2)</f>
        <v>71.27</v>
      </c>
      <c r="E862" s="3">
        <f>ROUND(C862*(1-Settings!$B$3),2)</f>
        <v>71.27</v>
      </c>
      <c r="F862" s="2" t="inlineStr">
        <is>
          <t>Pokemon</t>
        </is>
      </c>
      <c r="G862" s="2" t="inlineStr">
        <is>
          <t>Other</t>
        </is>
      </c>
      <c r="H862" s="2" t="inlineStr">
        <is>
          <t>Miscellaneous Cards &amp; Products</t>
        </is>
      </c>
      <c r="I862" s="3" t="n"/>
      <c r="J862" s="3" t="n">
        <v>101.82</v>
      </c>
      <c r="K862" s="3" t="n">
        <v>122.9</v>
      </c>
      <c r="L862" s="3" t="n">
        <v>99.98999999999999</v>
      </c>
      <c r="M862" s="2" t="inlineStr">
        <is>
          <t>TCGplayer</t>
        </is>
      </c>
      <c r="O862" s="4" t="inlineStr">
        <is>
          <t>https://www.tcgplayer.com/product/639828</t>
        </is>
      </c>
    </row>
    <row r="863">
      <c r="A863" s="2" t="inlineStr">
        <is>
          <t>Lycanroc V / Corviknight V Battle Decks [Set of 2]</t>
        </is>
      </c>
      <c r="B863" s="3">
        <f>IF(I863&lt;&gt;"",I863,IF(J863&lt;&gt;"",J863,IF(K863&lt;&gt;"",K863,L863)))</f>
        <v>25.89</v>
      </c>
      <c r="C863" s="3">
        <f>MEDIAN(I863:L863)</f>
        <v>25.89</v>
      </c>
      <c r="D863" s="3">
        <f>ROUND(C863*(1-Settings!$B$2),2)</f>
        <v>18.12</v>
      </c>
      <c r="E863" s="3">
        <f>ROUND(C863*(1-Settings!$B$3),2)</f>
        <v>18.12</v>
      </c>
      <c r="F863" s="2" t="inlineStr">
        <is>
          <t>Pokemon</t>
        </is>
      </c>
      <c r="G863" s="2" t="inlineStr">
        <is>
          <t>Other</t>
        </is>
      </c>
      <c r="H863" s="2" t="inlineStr">
        <is>
          <t>Miscellaneous Cards &amp; Products</t>
        </is>
      </c>
      <c r="I863" s="3" t="n"/>
      <c r="J863" s="3" t="n">
        <v>25.89</v>
      </c>
      <c r="K863" s="3" t="n">
        <v>29.49</v>
      </c>
      <c r="L863" s="3" t="n">
        <v>20</v>
      </c>
      <c r="M863" s="2" t="inlineStr">
        <is>
          <t>TCGplayer</t>
        </is>
      </c>
      <c r="O863" s="4" t="inlineStr">
        <is>
          <t>https://www.tcgplayer.com/product/264764</t>
        </is>
      </c>
    </row>
    <row r="864">
      <c r="A864" s="2" t="inlineStr">
        <is>
          <t>Mabosstiff ex Showcase</t>
        </is>
      </c>
      <c r="B864" s="3">
        <f>IF(I864&lt;&gt;"",I864,IF(J864&lt;&gt;"",J864,IF(K864&lt;&gt;"",K864,L864)))</f>
        <v>22.61</v>
      </c>
      <c r="C864" s="3">
        <f>MEDIAN(I864:L864)</f>
        <v>22.61</v>
      </c>
      <c r="D864" s="3">
        <f>ROUND(C864*(1-Settings!$B$2),2)</f>
        <v>15.83</v>
      </c>
      <c r="E864" s="3">
        <f>ROUND(C864*(1-Settings!$B$3),2)</f>
        <v>15.83</v>
      </c>
      <c r="F864" s="2" t="inlineStr">
        <is>
          <t>Pokemon</t>
        </is>
      </c>
      <c r="G864" s="2" t="inlineStr">
        <is>
          <t>Other</t>
        </is>
      </c>
      <c r="H864" s="2" t="inlineStr">
        <is>
          <t>Miscellaneous Cards &amp; Products</t>
        </is>
      </c>
      <c r="I864" s="3" t="n"/>
      <c r="J864" s="3" t="n">
        <v>22.61</v>
      </c>
      <c r="K864" s="3" t="n">
        <v>28.41</v>
      </c>
      <c r="L864" s="3" t="n">
        <v>14</v>
      </c>
      <c r="M864" s="2" t="inlineStr">
        <is>
          <t>TCGplayer</t>
        </is>
      </c>
      <c r="O864" s="4" t="inlineStr">
        <is>
          <t>https://www.tcgplayer.com/product/633081</t>
        </is>
      </c>
    </row>
    <row r="865">
      <c r="A865" s="2" t="inlineStr">
        <is>
          <t>Mimikyu ex Showcase</t>
        </is>
      </c>
      <c r="B865" s="3">
        <f>IF(I865&lt;&gt;"",I865,IF(J865&lt;&gt;"",J865,IF(K865&lt;&gt;"",K865,L865)))</f>
        <v>58.88</v>
      </c>
      <c r="C865" s="3">
        <f>MEDIAN(I865:L865)</f>
        <v>59.98</v>
      </c>
      <c r="D865" s="3">
        <f>ROUND(C865*(1-Settings!$B$2),2)</f>
        <v>41.99</v>
      </c>
      <c r="E865" s="3">
        <f>ROUND(C865*(1-Settings!$B$3),2)</f>
        <v>41.99</v>
      </c>
      <c r="F865" s="2" t="inlineStr">
        <is>
          <t>Pokemon</t>
        </is>
      </c>
      <c r="G865" s="2" t="inlineStr">
        <is>
          <t>Other</t>
        </is>
      </c>
      <c r="H865" s="2" t="inlineStr">
        <is>
          <t>Miscellaneous Cards &amp; Products</t>
        </is>
      </c>
      <c r="I865" s="3" t="n"/>
      <c r="J865" s="3" t="n">
        <v>58.88</v>
      </c>
      <c r="K865" s="3" t="n">
        <v>89.44</v>
      </c>
      <c r="L865" s="3" t="n">
        <v>59.98</v>
      </c>
      <c r="M865" s="2" t="inlineStr">
        <is>
          <t>TCGplayer</t>
        </is>
      </c>
      <c r="O865" s="4" t="inlineStr">
        <is>
          <t>https://www.tcgplayer.com/product/498043</t>
        </is>
      </c>
    </row>
    <row r="866">
      <c r="A866" s="2" t="inlineStr">
        <is>
          <t>Pikachu V Showcase</t>
        </is>
      </c>
      <c r="B866" s="3">
        <f>IF(I866&lt;&gt;"",I866,IF(J866&lt;&gt;"",J866,IF(K866&lt;&gt;"",K866,L866)))</f>
        <v>80.0</v>
      </c>
      <c r="C866" s="3">
        <f>MEDIAN(I866:L866)</f>
        <v>62.495000000000005</v>
      </c>
      <c r="D866" s="3">
        <f>ROUND(C866*(1-Settings!$B$2),2)</f>
        <v>43.75</v>
      </c>
      <c r="E866" s="3">
        <f>ROUND(C866*(1-Settings!$B$3),2)</f>
        <v>43.75</v>
      </c>
      <c r="F866" s="2" t="inlineStr">
        <is>
          <t>Pokemon</t>
        </is>
      </c>
      <c r="G866" s="2" t="inlineStr">
        <is>
          <t>Other</t>
        </is>
      </c>
      <c r="H866" s="2" t="inlineStr">
        <is>
          <t>Miscellaneous Cards &amp; Products</t>
        </is>
      </c>
      <c r="I866" s="3" t="n"/>
      <c r="J866" s="3" t="n"/>
      <c r="K866" s="3" t="n">
        <v>80</v>
      </c>
      <c r="L866" s="3" t="n">
        <v>44.99</v>
      </c>
      <c r="M866" s="2" t="inlineStr">
        <is>
          <t>TCGplayer</t>
        </is>
      </c>
      <c r="O866" s="4" t="inlineStr">
        <is>
          <t>https://www.tcgplayer.com/product/265706</t>
        </is>
      </c>
    </row>
    <row r="867">
      <c r="A867" s="2" t="inlineStr">
        <is>
          <t>Pokemon TCG: Trainer's Toolkit (2020)</t>
        </is>
      </c>
      <c r="B867" s="3">
        <f>IF(I867&lt;&gt;"",I867,IF(J867&lt;&gt;"",J867,IF(K867&lt;&gt;"",K867,L867)))</f>
        <v>150.34</v>
      </c>
      <c r="C867" s="3">
        <f>MEDIAN(I867:L867)</f>
        <v>179.99</v>
      </c>
      <c r="D867" s="3">
        <f>ROUND(C867*(1-Settings!$B$2),2)</f>
        <v>125.99</v>
      </c>
      <c r="E867" s="3">
        <f>ROUND(C867*(1-Settings!$B$3),2)</f>
        <v>125.99</v>
      </c>
      <c r="F867" s="2" t="inlineStr">
        <is>
          <t>Pokemon</t>
        </is>
      </c>
      <c r="G867" s="2" t="inlineStr">
        <is>
          <t>Other</t>
        </is>
      </c>
      <c r="H867" s="2" t="inlineStr">
        <is>
          <t>Miscellaneous Cards &amp; Products</t>
        </is>
      </c>
      <c r="I867" s="3" t="n"/>
      <c r="J867" s="3" t="n">
        <v>150.34</v>
      </c>
      <c r="K867" s="3" t="n">
        <v>275</v>
      </c>
      <c r="L867" s="3" t="n">
        <v>179.99</v>
      </c>
      <c r="M867" s="2" t="inlineStr">
        <is>
          <t>TCGplayer</t>
        </is>
      </c>
      <c r="O867" s="4" t="inlineStr">
        <is>
          <t>https://www.tcgplayer.com/product/214360</t>
        </is>
      </c>
    </row>
    <row r="868">
      <c r="A868" s="2" t="inlineStr">
        <is>
          <t>Pokemon TCG: Trainer's Toolkit (2021)</t>
        </is>
      </c>
      <c r="B868" s="3">
        <f>IF(I868&lt;&gt;"",I868,IF(J868&lt;&gt;"",J868,IF(K868&lt;&gt;"",K868,L868)))</f>
        <v>39.47</v>
      </c>
      <c r="C868" s="3">
        <f>MEDIAN(I868:L868)</f>
        <v>52.49</v>
      </c>
      <c r="D868" s="3">
        <f>ROUND(C868*(1-Settings!$B$2),2)</f>
        <v>36.74</v>
      </c>
      <c r="E868" s="3">
        <f>ROUND(C868*(1-Settings!$B$3),2)</f>
        <v>36.74</v>
      </c>
      <c r="F868" s="2" t="inlineStr">
        <is>
          <t>Pokemon</t>
        </is>
      </c>
      <c r="G868" s="2" t="inlineStr">
        <is>
          <t>Other</t>
        </is>
      </c>
      <c r="H868" s="2" t="inlineStr">
        <is>
          <t>Miscellaneous Cards &amp; Products</t>
        </is>
      </c>
      <c r="I868" s="3" t="n"/>
      <c r="J868" s="3" t="n">
        <v>39.47</v>
      </c>
      <c r="K868" s="3" t="n">
        <v>82.98</v>
      </c>
      <c r="L868" s="3" t="n">
        <v>52.49</v>
      </c>
      <c r="M868" s="2" t="inlineStr">
        <is>
          <t>TCGplayer</t>
        </is>
      </c>
      <c r="O868" s="4" t="inlineStr">
        <is>
          <t>https://www.tcgplayer.com/product/241109</t>
        </is>
      </c>
    </row>
    <row r="869">
      <c r="A869" s="2" t="inlineStr">
        <is>
          <t>Pokemon TCG: Trainer's Toolkit (2022)</t>
        </is>
      </c>
      <c r="B869" s="3">
        <f>IF(I869&lt;&gt;"",I869,IF(J869&lt;&gt;"",J869,IF(K869&lt;&gt;"",K869,L869)))</f>
        <v>69.65</v>
      </c>
      <c r="C869" s="3">
        <f>MEDIAN(I869:L869)</f>
        <v>69.65</v>
      </c>
      <c r="D869" s="3">
        <f>ROUND(C869*(1-Settings!$B$2),2)</f>
        <v>48.76</v>
      </c>
      <c r="E869" s="3">
        <f>ROUND(C869*(1-Settings!$B$3),2)</f>
        <v>48.76</v>
      </c>
      <c r="F869" s="2" t="inlineStr">
        <is>
          <t>Pokemon</t>
        </is>
      </c>
      <c r="G869" s="2" t="inlineStr">
        <is>
          <t>Other</t>
        </is>
      </c>
      <c r="H869" s="2" t="inlineStr">
        <is>
          <t>Miscellaneous Cards &amp; Products</t>
        </is>
      </c>
      <c r="I869" s="3" t="n"/>
      <c r="J869" s="3" t="n">
        <v>69.65000000000001</v>
      </c>
      <c r="K869" s="3" t="n">
        <v>103.94</v>
      </c>
      <c r="L869" s="3" t="n">
        <v>68.56</v>
      </c>
      <c r="M869" s="2" t="inlineStr">
        <is>
          <t>TCGplayer</t>
        </is>
      </c>
      <c r="O869" s="4" t="inlineStr">
        <is>
          <t>https://www.tcgplayer.com/product/275938</t>
        </is>
      </c>
    </row>
    <row r="870">
      <c r="A870" s="2" t="inlineStr">
        <is>
          <t>Pokemon TCG: Trainer's Toolkit (2023)</t>
        </is>
      </c>
      <c r="B870" s="3">
        <f>IF(I870&lt;&gt;"",I870,IF(J870&lt;&gt;"",J870,IF(K870&lt;&gt;"",K870,L870)))</f>
        <v>53.35</v>
      </c>
      <c r="C870" s="3">
        <f>MEDIAN(I870:L870)</f>
        <v>53.35</v>
      </c>
      <c r="D870" s="3">
        <f>ROUND(C870*(1-Settings!$B$2),2)</f>
        <v>37.35</v>
      </c>
      <c r="E870" s="3">
        <f>ROUND(C870*(1-Settings!$B$3),2)</f>
        <v>37.35</v>
      </c>
      <c r="F870" s="2" t="inlineStr">
        <is>
          <t>Pokemon</t>
        </is>
      </c>
      <c r="G870" s="2" t="inlineStr">
        <is>
          <t>Other</t>
        </is>
      </c>
      <c r="H870" s="2" t="inlineStr">
        <is>
          <t>Miscellaneous Cards &amp; Products</t>
        </is>
      </c>
      <c r="I870" s="3" t="n"/>
      <c r="J870" s="3" t="n">
        <v>53.35</v>
      </c>
      <c r="K870" s="3" t="n">
        <v>54.8</v>
      </c>
      <c r="L870" s="3" t="n">
        <v>2.49</v>
      </c>
      <c r="M870" s="2" t="inlineStr">
        <is>
          <t>TCGplayer</t>
        </is>
      </c>
      <c r="O870" s="4" t="inlineStr">
        <is>
          <t>https://www.tcgplayer.com/product/497380</t>
        </is>
      </c>
    </row>
    <row r="871">
      <c r="A871" s="2" t="inlineStr">
        <is>
          <t>Pokemon TCG: Trainer's Toolkit (2024)</t>
        </is>
      </c>
      <c r="B871" s="3">
        <f>IF(I871&lt;&gt;"",I871,IF(J871&lt;&gt;"",J871,IF(K871&lt;&gt;"",K871,L871)))</f>
        <v>39.58</v>
      </c>
      <c r="C871" s="3">
        <f>MEDIAN(I871:L871)</f>
        <v>39.58</v>
      </c>
      <c r="D871" s="3">
        <f>ROUND(C871*(1-Settings!$B$2),2)</f>
        <v>27.71</v>
      </c>
      <c r="E871" s="3">
        <f>ROUND(C871*(1-Settings!$B$3),2)</f>
        <v>27.71</v>
      </c>
      <c r="F871" s="2" t="inlineStr">
        <is>
          <t>Pokemon</t>
        </is>
      </c>
      <c r="G871" s="2" t="inlineStr">
        <is>
          <t>Other</t>
        </is>
      </c>
      <c r="H871" s="2" t="inlineStr">
        <is>
          <t>Miscellaneous Cards &amp; Products</t>
        </is>
      </c>
      <c r="I871" s="3" t="n"/>
      <c r="J871" s="3" t="n">
        <v>39.58</v>
      </c>
      <c r="K871" s="3" t="n">
        <v>42.49</v>
      </c>
      <c r="L871" s="3" t="n">
        <v>34.99</v>
      </c>
      <c r="M871" s="2" t="inlineStr">
        <is>
          <t>TCGplayer</t>
        </is>
      </c>
      <c r="O871" s="4" t="inlineStr">
        <is>
          <t>https://www.tcgplayer.com/product/564274</t>
        </is>
      </c>
    </row>
    <row r="872">
      <c r="A872" s="2" t="inlineStr">
        <is>
          <t>Pokemon TCG: Trainer's Toolkit (2025)</t>
        </is>
      </c>
      <c r="B872" s="3">
        <f>IF(I872&lt;&gt;"",I872,IF(J872&lt;&gt;"",J872,IF(K872&lt;&gt;"",K872,L872)))</f>
        <v>41.42</v>
      </c>
      <c r="C872" s="3">
        <f>MEDIAN(I872:L872)</f>
        <v>41.42</v>
      </c>
      <c r="D872" s="3">
        <f>ROUND(C872*(1-Settings!$B$2),2)</f>
        <v>28.99</v>
      </c>
      <c r="E872" s="3">
        <f>ROUND(C872*(1-Settings!$B$3),2)</f>
        <v>28.99</v>
      </c>
      <c r="F872" s="2" t="inlineStr">
        <is>
          <t>Pokemon</t>
        </is>
      </c>
      <c r="G872" s="2" t="inlineStr">
        <is>
          <t>Other</t>
        </is>
      </c>
      <c r="H872" s="2" t="inlineStr">
        <is>
          <t>Miscellaneous Cards &amp; Products</t>
        </is>
      </c>
      <c r="I872" s="3" t="n"/>
      <c r="J872" s="3" t="n">
        <v>41.42</v>
      </c>
      <c r="K872" s="3" t="n">
        <v>43.4</v>
      </c>
      <c r="L872" s="3" t="n">
        <v>5</v>
      </c>
      <c r="M872" s="2" t="inlineStr">
        <is>
          <t>TCGplayer</t>
        </is>
      </c>
      <c r="O872" s="4" t="inlineStr">
        <is>
          <t>https://www.tcgplayer.com/product/653203</t>
        </is>
      </c>
    </row>
    <row r="873">
      <c r="A873" s="2" t="inlineStr">
        <is>
          <t>Pokemon TCG: Twin Mini Portfolio &amp; Booster Packs [Mega Mewtwo &amp; Guzzlord]</t>
        </is>
      </c>
      <c r="B873" s="3">
        <f>IF(I873&lt;&gt;"",I873,IF(J873&lt;&gt;"",J873,IF(K873&lt;&gt;"",K873,L873)))</f>
        <v>99.99</v>
      </c>
      <c r="C873" s="3">
        <f>MEDIAN(I873:L873)</f>
        <v>99.99</v>
      </c>
      <c r="D873" s="3">
        <f>ROUND(C873*(1-Settings!$B$2),2)</f>
        <v>69.99</v>
      </c>
      <c r="E873" s="3">
        <f>ROUND(C873*(1-Settings!$B$3),2)</f>
        <v>69.99</v>
      </c>
      <c r="F873" s="2" t="inlineStr">
        <is>
          <t>Pokemon</t>
        </is>
      </c>
      <c r="G873" s="2" t="inlineStr">
        <is>
          <t>Other</t>
        </is>
      </c>
      <c r="H873" s="2" t="inlineStr">
        <is>
          <t>Miscellaneous Cards &amp; Products</t>
        </is>
      </c>
      <c r="I873" s="3" t="n"/>
      <c r="J873" s="3" t="n"/>
      <c r="K873" s="3" t="n">
        <v>99.98999999999999</v>
      </c>
      <c r="L873" s="3" t="n">
        <v>99.98999999999999</v>
      </c>
      <c r="M873" s="2" t="inlineStr">
        <is>
          <t>TCGplayer</t>
        </is>
      </c>
      <c r="O873" s="4" t="inlineStr">
        <is>
          <t>https://www.tcgplayer.com/product/624518</t>
        </is>
      </c>
    </row>
    <row r="874">
      <c r="A874" s="2" t="inlineStr">
        <is>
          <t>Rayquaza V / Noivern V Battle Decks [Set of 2]</t>
        </is>
      </c>
      <c r="B874" s="3">
        <f>IF(I874&lt;&gt;"",I874,IF(J874&lt;&gt;"",J874,IF(K874&lt;&gt;"",K874,L874)))</f>
        <v>32.6</v>
      </c>
      <c r="C874" s="3">
        <f>MEDIAN(I874:L874)</f>
        <v>111.11</v>
      </c>
      <c r="D874" s="3">
        <f>ROUND(C874*(1-Settings!$B$2),2)</f>
        <v>77.78</v>
      </c>
      <c r="E874" s="3">
        <f>ROUND(C874*(1-Settings!$B$3),2)</f>
        <v>77.78</v>
      </c>
      <c r="F874" s="2" t="inlineStr">
        <is>
          <t>Pokemon</t>
        </is>
      </c>
      <c r="G874" s="2" t="inlineStr">
        <is>
          <t>Other</t>
        </is>
      </c>
      <c r="H874" s="2" t="inlineStr">
        <is>
          <t>Miscellaneous Cards &amp; Products</t>
        </is>
      </c>
      <c r="I874" s="3" t="n"/>
      <c r="J874" s="3" t="n">
        <v>32.6</v>
      </c>
      <c r="K874" s="3" t="n">
        <v>111.11</v>
      </c>
      <c r="L874" s="3" t="n">
        <v>111.11</v>
      </c>
      <c r="M874" s="2" t="inlineStr">
        <is>
          <t>TCGplayer</t>
        </is>
      </c>
      <c r="O874" s="4" t="inlineStr">
        <is>
          <t>https://www.tcgplayer.com/product/245731</t>
        </is>
      </c>
    </row>
    <row r="875">
      <c r="A875" s="2" t="inlineStr">
        <is>
          <t>Victini ex/Miraidon ex Battle Decks [Set of 2]</t>
        </is>
      </c>
      <c r="B875" s="3">
        <f>IF(I875&lt;&gt;"",I875,IF(J875&lt;&gt;"",J875,IF(K875&lt;&gt;"",K875,L875)))</f>
        <v>24.9</v>
      </c>
      <c r="C875" s="3">
        <f>MEDIAN(I875:L875)</f>
        <v>24.9</v>
      </c>
      <c r="D875" s="3">
        <f>ROUND(C875*(1-Settings!$B$2),2)</f>
        <v>17.43</v>
      </c>
      <c r="E875" s="3">
        <f>ROUND(C875*(1-Settings!$B$3),2)</f>
        <v>17.43</v>
      </c>
      <c r="F875" s="2" t="inlineStr">
        <is>
          <t>Pokemon</t>
        </is>
      </c>
      <c r="G875" s="2" t="inlineStr">
        <is>
          <t>Other</t>
        </is>
      </c>
      <c r="H875" s="2" t="inlineStr">
        <is>
          <t>Miscellaneous Cards &amp; Products</t>
        </is>
      </c>
      <c r="I875" s="3" t="n"/>
      <c r="J875" s="3" t="n">
        <v>24.9</v>
      </c>
      <c r="K875" s="3" t="n"/>
      <c r="L875" s="3" t="n"/>
      <c r="M875" s="2" t="inlineStr">
        <is>
          <t>TCGplayer</t>
        </is>
      </c>
      <c r="O875" s="4" t="inlineStr">
        <is>
          <t>https://www.tcgplayer.com/product/616920</t>
        </is>
      </c>
    </row>
    <row r="876">
      <c r="A876" s="2" t="inlineStr">
        <is>
          <t>Virizion V Showcase</t>
        </is>
      </c>
      <c r="B876" s="3">
        <f>IF(I876&lt;&gt;"",I876,IF(J876&lt;&gt;"",J876,IF(K876&lt;&gt;"",K876,L876)))</f>
        <v>37.49</v>
      </c>
      <c r="C876" s="3">
        <f>MEDIAN(I876:L876)</f>
        <v>60.0</v>
      </c>
      <c r="D876" s="3">
        <f>ROUND(C876*(1-Settings!$B$2),2)</f>
        <v>42.0</v>
      </c>
      <c r="E876" s="3">
        <f>ROUND(C876*(1-Settings!$B$3),2)</f>
        <v>42.0</v>
      </c>
      <c r="F876" s="2" t="inlineStr">
        <is>
          <t>Pokemon</t>
        </is>
      </c>
      <c r="G876" s="2" t="inlineStr">
        <is>
          <t>Other</t>
        </is>
      </c>
      <c r="H876" s="2" t="inlineStr">
        <is>
          <t>Miscellaneous Cards &amp; Products</t>
        </is>
      </c>
      <c r="I876" s="3" t="n"/>
      <c r="J876" s="3" t="n">
        <v>37.49</v>
      </c>
      <c r="K876" s="3" t="n">
        <v>62.49</v>
      </c>
      <c r="L876" s="3" t="n">
        <v>60</v>
      </c>
      <c r="M876" s="2" t="inlineStr">
        <is>
          <t>TCGplayer</t>
        </is>
      </c>
      <c r="O876" s="4" t="inlineStr">
        <is>
          <t>https://www.tcgplayer.com/product/659947</t>
        </is>
      </c>
    </row>
    <row r="877">
      <c r="A877" s="2" t="inlineStr">
        <is>
          <t>My First Battle [Charmander &amp; Squirtle]</t>
        </is>
      </c>
      <c r="B877" s="3">
        <f>IF(I877&lt;&gt;"",I877,IF(J877&lt;&gt;"",J877,IF(K877&lt;&gt;"",K877,L877)))</f>
        <v>69.5</v>
      </c>
      <c r="C877" s="3">
        <f>MEDIAN(I877:L877)</f>
        <v>71.0</v>
      </c>
      <c r="D877" s="3">
        <f>ROUND(C877*(1-Settings!$B$2),2)</f>
        <v>49.7</v>
      </c>
      <c r="E877" s="3">
        <f>ROUND(C877*(1-Settings!$B$3),2)</f>
        <v>49.7</v>
      </c>
      <c r="F877" s="2" t="inlineStr">
        <is>
          <t>Pokemon</t>
        </is>
      </c>
      <c r="G877" s="2" t="inlineStr">
        <is>
          <t>Other</t>
        </is>
      </c>
      <c r="H877" s="2" t="inlineStr">
        <is>
          <t>My First Battle</t>
        </is>
      </c>
      <c r="I877" s="3" t="n"/>
      <c r="J877" s="3" t="n">
        <v>69.5</v>
      </c>
      <c r="K877" s="3" t="n">
        <v>99.95</v>
      </c>
      <c r="L877" s="3" t="n">
        <v>71</v>
      </c>
      <c r="M877" s="2" t="inlineStr">
        <is>
          <t>TCGplayer</t>
        </is>
      </c>
      <c r="O877" s="4" t="inlineStr">
        <is>
          <t>https://www.tcgplayer.com/product/520782</t>
        </is>
      </c>
    </row>
    <row r="878">
      <c r="A878" s="2" t="inlineStr">
        <is>
          <t>My First Battle [Pikachu &amp; Bulbasaur]</t>
        </is>
      </c>
      <c r="B878" s="3">
        <f>IF(I878&lt;&gt;"",I878,IF(J878&lt;&gt;"",J878,IF(K878&lt;&gt;"",K878,L878)))</f>
        <v>79.8</v>
      </c>
      <c r="C878" s="3">
        <f>MEDIAN(I878:L878)</f>
        <v>89.67</v>
      </c>
      <c r="D878" s="3">
        <f>ROUND(C878*(1-Settings!$B$2),2)</f>
        <v>62.77</v>
      </c>
      <c r="E878" s="3">
        <f>ROUND(C878*(1-Settings!$B$3),2)</f>
        <v>62.77</v>
      </c>
      <c r="F878" s="2" t="inlineStr">
        <is>
          <t>Pokemon</t>
        </is>
      </c>
      <c r="G878" s="2" t="inlineStr">
        <is>
          <t>Other</t>
        </is>
      </c>
      <c r="H878" s="2" t="inlineStr">
        <is>
          <t>My First Battle</t>
        </is>
      </c>
      <c r="I878" s="3" t="n"/>
      <c r="J878" s="3" t="n">
        <v>79.8</v>
      </c>
      <c r="K878" s="3" t="n">
        <v>99.95</v>
      </c>
      <c r="L878" s="3" t="n">
        <v>89.67</v>
      </c>
      <c r="M878" s="2" t="inlineStr">
        <is>
          <t>TCGplayer</t>
        </is>
      </c>
      <c r="O878" s="4" t="inlineStr">
        <is>
          <t>https://www.tcgplayer.com/product/520781</t>
        </is>
      </c>
    </row>
    <row r="879">
      <c r="A879" s="2" t="inlineStr">
        <is>
          <t>Neo Destiny Booster Pack [Unlimited Edition]</t>
        </is>
      </c>
      <c r="B879" s="3">
        <f>IF(I879&lt;&gt;"",I879,IF(J879&lt;&gt;"",J879,IF(K879&lt;&gt;"",K879,L879)))</f>
        <v>1610.0</v>
      </c>
      <c r="C879" s="3">
        <f>MEDIAN(I879:L879)</f>
        <v>1610.0</v>
      </c>
      <c r="D879" s="3">
        <f>ROUND(C879*(1-Settings!$B$2),2)</f>
        <v>1127.0</v>
      </c>
      <c r="E879" s="3">
        <f>ROUND(C879*(1-Settings!$B$3),2)</f>
        <v>1127.0</v>
      </c>
      <c r="F879" s="2" t="inlineStr">
        <is>
          <t>Pokemon</t>
        </is>
      </c>
      <c r="G879" s="2" t="inlineStr">
        <is>
          <t>Other</t>
        </is>
      </c>
      <c r="H879" s="2" t="inlineStr">
        <is>
          <t>Neo Destiny</t>
        </is>
      </c>
      <c r="I879" s="3" t="n"/>
      <c r="J879" s="3" t="n"/>
      <c r="K879" s="3" t="n">
        <v>1610</v>
      </c>
      <c r="L879" s="3" t="n">
        <v>1610</v>
      </c>
      <c r="M879" s="2" t="inlineStr">
        <is>
          <t>TCGplayer</t>
        </is>
      </c>
      <c r="O879" s="4" t="inlineStr">
        <is>
          <t>https://www.tcgplayer.com/product/138147</t>
        </is>
      </c>
    </row>
    <row r="880">
      <c r="A880" s="2" t="inlineStr">
        <is>
          <t>Pokemon GO Melmetal V/Mewtwo V Battle Decks [Set of 2]</t>
        </is>
      </c>
      <c r="B880" s="3">
        <f>IF(I880&lt;&gt;"",I880,IF(J880&lt;&gt;"",J880,IF(K880&lt;&gt;"",K880,L880)))</f>
        <v>34.62</v>
      </c>
      <c r="C880" s="3">
        <f>MEDIAN(I880:L880)</f>
        <v>34.62</v>
      </c>
      <c r="D880" s="3">
        <f>ROUND(C880*(1-Settings!$B$2),2)</f>
        <v>24.23</v>
      </c>
      <c r="E880" s="3">
        <f>ROUND(C880*(1-Settings!$B$3),2)</f>
        <v>24.23</v>
      </c>
      <c r="F880" s="2" t="inlineStr">
        <is>
          <t>Pokemon</t>
        </is>
      </c>
      <c r="G880" s="2" t="inlineStr">
        <is>
          <t>Other</t>
        </is>
      </c>
      <c r="H880" s="2" t="inlineStr">
        <is>
          <t>Pokemon GO</t>
        </is>
      </c>
      <c r="I880" s="3" t="n"/>
      <c r="J880" s="3" t="n">
        <v>34.62</v>
      </c>
      <c r="K880" s="3" t="n">
        <v>36.49</v>
      </c>
      <c r="L880" s="3" t="n">
        <v>21.55</v>
      </c>
      <c r="M880" s="2" t="inlineStr">
        <is>
          <t>TCGplayer</t>
        </is>
      </c>
      <c r="O880" s="4" t="inlineStr">
        <is>
          <t>https://www.tcgplayer.com/product/271504</t>
        </is>
      </c>
    </row>
    <row r="881">
      <c r="A881" s="2" t="inlineStr">
        <is>
          <t>Promo Battle Arena Decks: Kyurem</t>
        </is>
      </c>
      <c r="B881" s="3">
        <f>IF(I881&lt;&gt;"",I881,IF(J881&lt;&gt;"",J881,IF(K881&lt;&gt;"",K881,L881)))</f>
        <v>49.74</v>
      </c>
      <c r="C881" s="3">
        <f>MEDIAN(I881:L881)</f>
        <v>49.74</v>
      </c>
      <c r="D881" s="3">
        <f>ROUND(C881*(1-Settings!$B$2),2)</f>
        <v>34.82</v>
      </c>
      <c r="E881" s="3">
        <f>ROUND(C881*(1-Settings!$B$3),2)</f>
        <v>34.82</v>
      </c>
      <c r="F881" s="2" t="inlineStr">
        <is>
          <t>Pokemon</t>
        </is>
      </c>
      <c r="G881" s="2" t="inlineStr">
        <is>
          <t>Other</t>
        </is>
      </c>
      <c r="H881" s="2" t="inlineStr">
        <is>
          <t>Promo</t>
        </is>
      </c>
      <c r="I881" s="3" t="n">
        <v>49.74</v>
      </c>
      <c r="J881" s="3" t="n"/>
      <c r="K881" s="3" t="n"/>
      <c r="L881" s="3" t="n"/>
      <c r="M881" s="2" t="inlineStr">
        <is>
          <t>PriceCharting</t>
        </is>
      </c>
      <c r="N881" s="4" t="inlineStr">
        <is>
          <t>https://www.pricecharting.com/game/pokemon-promo/battle-arena-decks-kyurem</t>
        </is>
      </c>
    </row>
    <row r="882">
      <c r="A882" s="2" t="inlineStr">
        <is>
          <t>Roaring Skies Mega Evolution Collector's Pin Blisters [Rayquaza]</t>
        </is>
      </c>
      <c r="B882" s="3">
        <f>IF(I882&lt;&gt;"",I882,IF(J882&lt;&gt;"",J882,IF(K882&lt;&gt;"",K882,L882)))</f>
        <v>355.0</v>
      </c>
      <c r="C882" s="3">
        <f>MEDIAN(I882:L882)</f>
        <v>355.0</v>
      </c>
      <c r="D882" s="3">
        <f>ROUND(C882*(1-Settings!$B$2),2)</f>
        <v>248.5</v>
      </c>
      <c r="E882" s="3">
        <f>ROUND(C882*(1-Settings!$B$3),2)</f>
        <v>248.5</v>
      </c>
      <c r="F882" s="2" t="inlineStr">
        <is>
          <t>Pokemon</t>
        </is>
      </c>
      <c r="G882" s="2" t="inlineStr">
        <is>
          <t>Other</t>
        </is>
      </c>
      <c r="H882" s="2" t="inlineStr">
        <is>
          <t>Roaring Skies</t>
        </is>
      </c>
      <c r="I882" s="3" t="n">
        <v>355</v>
      </c>
      <c r="J882" s="3" t="n"/>
      <c r="K882" s="3" t="n"/>
      <c r="L882" s="3" t="n"/>
      <c r="M882" s="2" t="inlineStr">
        <is>
          <t>PriceCharting</t>
        </is>
      </c>
      <c r="N882" s="4" t="inlineStr">
        <is>
          <t>https://www.pricecharting.com/game/pokemon-roaring-skies/mega-evolution-collector's-pin-blisters-rayquaza</t>
        </is>
      </c>
    </row>
    <row r="883">
      <c r="A883" s="2" t="inlineStr">
        <is>
          <t>Battle Arena Decks: Black Kyurem EX vs White Kyurem EX</t>
        </is>
      </c>
      <c r="B883" s="3">
        <f>IF(I883&lt;&gt;"",I883,IF(J883&lt;&gt;"",J883,IF(K883&lt;&gt;"",K883,L883)))</f>
        <v>56.32</v>
      </c>
      <c r="C883" s="3">
        <f>MEDIAN(I883:L883)</f>
        <v>79.94</v>
      </c>
      <c r="D883" s="3">
        <f>ROUND(C883*(1-Settings!$B$2),2)</f>
        <v>55.96</v>
      </c>
      <c r="E883" s="3">
        <f>ROUND(C883*(1-Settings!$B$3),2)</f>
        <v>55.96</v>
      </c>
      <c r="F883" s="2" t="inlineStr">
        <is>
          <t>Pokemon</t>
        </is>
      </c>
      <c r="G883" s="2" t="inlineStr">
        <is>
          <t>Other</t>
        </is>
      </c>
      <c r="H883" s="2" t="inlineStr">
        <is>
          <t>SM - Guardians Rising</t>
        </is>
      </c>
      <c r="I883" s="3" t="n"/>
      <c r="J883" s="3" t="n">
        <v>56.32</v>
      </c>
      <c r="K883" s="3" t="n">
        <v>87.47</v>
      </c>
      <c r="L883" s="3" t="n">
        <v>79.94</v>
      </c>
      <c r="M883" s="2" t="inlineStr">
        <is>
          <t>TCGplayer</t>
        </is>
      </c>
      <c r="O883" s="4" t="inlineStr">
        <is>
          <t>https://www.tcgplayer.com/product/133810</t>
        </is>
      </c>
    </row>
    <row r="884">
      <c r="A884" s="2" t="inlineStr">
        <is>
          <t>Legendary Battle Decks [Ho-Oh]</t>
        </is>
      </c>
      <c r="B884" s="3">
        <f>IF(I884&lt;&gt;"",I884,IF(J884&lt;&gt;"",J884,IF(K884&lt;&gt;"",K884,L884)))</f>
        <v>42.95</v>
      </c>
      <c r="C884" s="3">
        <f>MEDIAN(I884:L884)</f>
        <v>50.0</v>
      </c>
      <c r="D884" s="3">
        <f>ROUND(C884*(1-Settings!$B$2),2)</f>
        <v>35.0</v>
      </c>
      <c r="E884" s="3">
        <f>ROUND(C884*(1-Settings!$B$3),2)</f>
        <v>35.0</v>
      </c>
      <c r="F884" s="2" t="inlineStr">
        <is>
          <t>Pokemon</t>
        </is>
      </c>
      <c r="G884" s="2" t="inlineStr">
        <is>
          <t>Other</t>
        </is>
      </c>
      <c r="H884" s="2" t="inlineStr">
        <is>
          <t>SM - Guardians Rising</t>
        </is>
      </c>
      <c r="I884" s="3" t="n"/>
      <c r="J884" s="3" t="n">
        <v>42.95</v>
      </c>
      <c r="K884" s="3" t="n">
        <v>76.98</v>
      </c>
      <c r="L884" s="3" t="n">
        <v>50</v>
      </c>
      <c r="M884" s="2" t="inlineStr">
        <is>
          <t>TCGplayer</t>
        </is>
      </c>
      <c r="O884" s="4" t="inlineStr">
        <is>
          <t>https://www.tcgplayer.com/product/133811</t>
        </is>
      </c>
    </row>
    <row r="885">
      <c r="A885" s="2" t="inlineStr">
        <is>
          <t>Legendary Battle Decks [Lugia]</t>
        </is>
      </c>
      <c r="B885" s="3">
        <f>IF(I885&lt;&gt;"",I885,IF(J885&lt;&gt;"",J885,IF(K885&lt;&gt;"",K885,L885)))</f>
        <v>48.2</v>
      </c>
      <c r="C885" s="3">
        <f>MEDIAN(I885:L885)</f>
        <v>84.99</v>
      </c>
      <c r="D885" s="3">
        <f>ROUND(C885*(1-Settings!$B$2),2)</f>
        <v>59.49</v>
      </c>
      <c r="E885" s="3">
        <f>ROUND(C885*(1-Settings!$B$3),2)</f>
        <v>59.49</v>
      </c>
      <c r="F885" s="2" t="inlineStr">
        <is>
          <t>Pokemon</t>
        </is>
      </c>
      <c r="G885" s="2" t="inlineStr">
        <is>
          <t>Other</t>
        </is>
      </c>
      <c r="H885" s="2" t="inlineStr">
        <is>
          <t>SM - Guardians Rising</t>
        </is>
      </c>
      <c r="I885" s="3" t="n"/>
      <c r="J885" s="3" t="n">
        <v>48.2</v>
      </c>
      <c r="K885" s="3" t="n">
        <v>94.97</v>
      </c>
      <c r="L885" s="3" t="n">
        <v>84.98999999999999</v>
      </c>
      <c r="M885" s="2" t="inlineStr">
        <is>
          <t>TCGplayer</t>
        </is>
      </c>
      <c r="O885" s="4" t="inlineStr">
        <is>
          <t>https://www.tcgplayer.com/product/133812</t>
        </is>
      </c>
    </row>
    <row r="886">
      <c r="A886" s="2" t="inlineStr">
        <is>
          <t>Sky-Splitting Charisma Booster Pack</t>
        </is>
      </c>
      <c r="B886" s="3">
        <f>IF(I886&lt;&gt;"",I886,IF(J886&lt;&gt;"",J886,IF(K886&lt;&gt;"",K886,L886)))</f>
        <v>59.99</v>
      </c>
      <c r="C886" s="3">
        <f>MEDIAN(I886:L886)</f>
        <v>59.99</v>
      </c>
      <c r="D886" s="3">
        <f>ROUND(C886*(1-Settings!$B$2),2)</f>
        <v>41.99</v>
      </c>
      <c r="E886" s="3">
        <f>ROUND(C886*(1-Settings!$B$3),2)</f>
        <v>41.99</v>
      </c>
      <c r="F886" s="2" t="inlineStr">
        <is>
          <t>Pokemon</t>
        </is>
      </c>
      <c r="G886" s="2" t="inlineStr">
        <is>
          <t>Other</t>
        </is>
      </c>
      <c r="H886" s="2" t="inlineStr">
        <is>
          <t>SM7: Sky-Splitting Charisma</t>
        </is>
      </c>
      <c r="I886" s="3" t="n"/>
      <c r="J886" s="3" t="n"/>
      <c r="K886" s="3" t="n"/>
      <c r="L886" s="3" t="n">
        <v>59.99</v>
      </c>
      <c r="M886" s="2" t="inlineStr">
        <is>
          <t>TCGplayer</t>
        </is>
      </c>
      <c r="O886" s="4" t="inlineStr">
        <is>
          <t>https://www.tcgplayer.com/product/576907</t>
        </is>
      </c>
    </row>
    <row r="887">
      <c r="A887" s="2" t="inlineStr">
        <is>
          <t>Stellar Crown Tinkaton 3 Pack Blister</t>
        </is>
      </c>
      <c r="B887" s="3">
        <f>IF(I887&lt;&gt;"",I887,IF(J887&lt;&gt;"",J887,IF(K887&lt;&gt;"",K887,L887)))</f>
        <v>36.51</v>
      </c>
      <c r="C887" s="3">
        <f>MEDIAN(I887:L887)</f>
        <v>36.51</v>
      </c>
      <c r="D887" s="3">
        <f>ROUND(C887*(1-Settings!$B$2),2)</f>
        <v>25.56</v>
      </c>
      <c r="E887" s="3">
        <f>ROUND(C887*(1-Settings!$B$3),2)</f>
        <v>25.56</v>
      </c>
      <c r="F887" s="2" t="inlineStr">
        <is>
          <t>Pokemon</t>
        </is>
      </c>
      <c r="G887" s="2" t="inlineStr">
        <is>
          <t>Other</t>
        </is>
      </c>
      <c r="H887" s="2" t="inlineStr">
        <is>
          <t>Stellar Crown</t>
        </is>
      </c>
      <c r="I887" s="3" t="n">
        <v>36.51</v>
      </c>
      <c r="J887" s="3" t="n"/>
      <c r="K887" s="3" t="n"/>
      <c r="L887" s="3" t="n"/>
      <c r="M887" s="2" t="inlineStr">
        <is>
          <t>PriceCharting</t>
        </is>
      </c>
      <c r="N887" s="4" t="inlineStr">
        <is>
          <t>https://www.pricecharting.com/game/pokemon-stellar-crown/tinkaton-3-pack-blister</t>
        </is>
      </c>
    </row>
    <row r="888">
      <c r="A888" s="2" t="inlineStr">
        <is>
          <t>Scarlet &amp; Violet Elite Trainer Boxes [Set of 2]</t>
        </is>
      </c>
      <c r="B888" s="3">
        <f>IF(I888&lt;&gt;"",I888,IF(J888&lt;&gt;"",J888,IF(K888&lt;&gt;"",K888,L888)))</f>
        <v>269.63</v>
      </c>
      <c r="C888" s="3">
        <f>MEDIAN(I888:L888)</f>
        <v>280.0</v>
      </c>
      <c r="D888" s="3">
        <f>ROUND(C888*(1-Settings!$B$2),2)</f>
        <v>196.0</v>
      </c>
      <c r="E888" s="3">
        <f>ROUND(C888*(1-Settings!$B$3),2)</f>
        <v>196.0</v>
      </c>
      <c r="F888" s="2" t="inlineStr">
        <is>
          <t>Pokemon</t>
        </is>
      </c>
      <c r="G888" s="2" t="inlineStr">
        <is>
          <t>Other</t>
        </is>
      </c>
      <c r="H888" s="2" t="inlineStr">
        <is>
          <t>SV01: Scarlet &amp; Violet Base Set</t>
        </is>
      </c>
      <c r="I888" s="3" t="n"/>
      <c r="J888" s="3" t="n">
        <v>269.63</v>
      </c>
      <c r="K888" s="3" t="n">
        <v>312.44</v>
      </c>
      <c r="L888" s="3" t="n">
        <v>280</v>
      </c>
      <c r="M888" s="2" t="inlineStr">
        <is>
          <t>TCGplayer</t>
        </is>
      </c>
      <c r="O888" s="4" t="inlineStr">
        <is>
          <t>https://www.tcgplayer.com/product/489369</t>
        </is>
      </c>
    </row>
    <row r="889">
      <c r="A889" s="2" t="inlineStr">
        <is>
          <t>Paradox Rift Elite Trainer Boxes [Set of 2]</t>
        </is>
      </c>
      <c r="B889" s="3">
        <f>IF(I889&lt;&gt;"",I889,IF(J889&lt;&gt;"",J889,IF(K889&lt;&gt;"",K889,L889)))</f>
        <v>322.9</v>
      </c>
      <c r="C889" s="3">
        <f>MEDIAN(I889:L889)</f>
        <v>330.0</v>
      </c>
      <c r="D889" s="3">
        <f>ROUND(C889*(1-Settings!$B$2),2)</f>
        <v>231.0</v>
      </c>
      <c r="E889" s="3">
        <f>ROUND(C889*(1-Settings!$B$3),2)</f>
        <v>231.0</v>
      </c>
      <c r="F889" s="2" t="inlineStr">
        <is>
          <t>Pokemon</t>
        </is>
      </c>
      <c r="G889" s="2" t="inlineStr">
        <is>
          <t>Other</t>
        </is>
      </c>
      <c r="H889" s="2" t="inlineStr">
        <is>
          <t>SV04: Paradox Rift</t>
        </is>
      </c>
      <c r="I889" s="3" t="n"/>
      <c r="J889" s="3" t="n">
        <v>322.9</v>
      </c>
      <c r="K889" s="3" t="n">
        <v>339.98</v>
      </c>
      <c r="L889" s="3" t="n">
        <v>330</v>
      </c>
      <c r="M889" s="2" t="inlineStr">
        <is>
          <t>TCGplayer</t>
        </is>
      </c>
      <c r="O889" s="4" t="inlineStr">
        <is>
          <t>https://www.tcgplayer.com/product/512834</t>
        </is>
      </c>
    </row>
    <row r="890">
      <c r="A890" s="2" t="inlineStr">
        <is>
          <t>Destined Rivals Single Pack Blister [Eevee]</t>
        </is>
      </c>
      <c r="B890" s="3">
        <f>IF(I890&lt;&gt;"",I890,IF(J890&lt;&gt;"",J890,IF(K890&lt;&gt;"",K890,L890)))</f>
        <v>18.38</v>
      </c>
      <c r="C890" s="3">
        <f>MEDIAN(I890:L890)</f>
        <v>18.38</v>
      </c>
      <c r="D890" s="3">
        <f>ROUND(C890*(1-Settings!$B$2),2)</f>
        <v>12.87</v>
      </c>
      <c r="E890" s="3">
        <f>ROUND(C890*(1-Settings!$B$3),2)</f>
        <v>12.87</v>
      </c>
      <c r="F890" s="2" t="inlineStr">
        <is>
          <t>Pokemon</t>
        </is>
      </c>
      <c r="G890" s="2" t="inlineStr">
        <is>
          <t>Other</t>
        </is>
      </c>
      <c r="H890" s="2" t="inlineStr">
        <is>
          <t>SV10: Destined Rivals</t>
        </is>
      </c>
      <c r="I890" s="3" t="n"/>
      <c r="J890" s="3" t="n">
        <v>18.38</v>
      </c>
      <c r="K890" s="3" t="n">
        <v>20</v>
      </c>
      <c r="L890" s="3" t="n">
        <v>14.99</v>
      </c>
      <c r="M890" s="2" t="inlineStr">
        <is>
          <t>TCGplayer</t>
        </is>
      </c>
      <c r="O890" s="4" t="inlineStr">
        <is>
          <t>https://www.tcgplayer.com/product/633105</t>
        </is>
      </c>
    </row>
    <row r="891">
      <c r="A891" s="2" t="inlineStr">
        <is>
          <t>Destined Rivals Single Pack Blister [Zarude]</t>
        </is>
      </c>
      <c r="B891" s="3">
        <f>IF(I891&lt;&gt;"",I891,IF(J891&lt;&gt;"",J891,IF(K891&lt;&gt;"",K891,L891)))</f>
        <v>14.24</v>
      </c>
      <c r="C891" s="3">
        <f>MEDIAN(I891:L891)</f>
        <v>14.24</v>
      </c>
      <c r="D891" s="3">
        <f>ROUND(C891*(1-Settings!$B$2),2)</f>
        <v>9.97</v>
      </c>
      <c r="E891" s="3">
        <f>ROUND(C891*(1-Settings!$B$3),2)</f>
        <v>9.97</v>
      </c>
      <c r="F891" s="2" t="inlineStr">
        <is>
          <t>Pokemon</t>
        </is>
      </c>
      <c r="G891" s="2" t="inlineStr">
        <is>
          <t>Other</t>
        </is>
      </c>
      <c r="H891" s="2" t="inlineStr">
        <is>
          <t>SV10: Destined Rivals</t>
        </is>
      </c>
      <c r="I891" s="3" t="n"/>
      <c r="J891" s="3" t="n">
        <v>14.24</v>
      </c>
      <c r="K891" s="3" t="n">
        <v>15.99</v>
      </c>
      <c r="L891" s="3" t="n">
        <v>10</v>
      </c>
      <c r="M891" s="2" t="inlineStr">
        <is>
          <t>TCGplayer</t>
        </is>
      </c>
      <c r="O891" s="4" t="inlineStr">
        <is>
          <t>https://www.tcgplayer.com/product/633106</t>
        </is>
      </c>
    </row>
    <row r="892">
      <c r="A892" s="2" t="inlineStr">
        <is>
          <t>Glory of Team Rocket Gang Briefcase</t>
        </is>
      </c>
      <c r="B892" s="3">
        <f>IF(I892&lt;&gt;"",I892,IF(J892&lt;&gt;"",J892,IF(K892&lt;&gt;"",K892,L892)))</f>
        <v>470.16</v>
      </c>
      <c r="C892" s="3">
        <f>MEDIAN(I892:L892)</f>
        <v>434.58000000000004</v>
      </c>
      <c r="D892" s="3">
        <f>ROUND(C892*(1-Settings!$B$2),2)</f>
        <v>304.21</v>
      </c>
      <c r="E892" s="3">
        <f>ROUND(C892*(1-Settings!$B$3),2)</f>
        <v>304.21</v>
      </c>
      <c r="F892" s="2" t="inlineStr">
        <is>
          <t>Pokemon</t>
        </is>
      </c>
      <c r="G892" s="2" t="inlineStr">
        <is>
          <t>Other</t>
        </is>
      </c>
      <c r="H892" s="2" t="inlineStr">
        <is>
          <t>SV10: The Glory of Team Rocket</t>
        </is>
      </c>
      <c r="I892" s="3" t="n"/>
      <c r="J892" s="3" t="n">
        <v>470.16</v>
      </c>
      <c r="K892" s="3" t="n"/>
      <c r="L892" s="3" t="n">
        <v>399</v>
      </c>
      <c r="M892" s="2" t="inlineStr">
        <is>
          <t>TCGplayer</t>
        </is>
      </c>
      <c r="O892" s="4" t="inlineStr">
        <is>
          <t>https://www.tcgplayer.com/product/690290</t>
        </is>
      </c>
    </row>
    <row r="893">
      <c r="A893" s="2" t="inlineStr">
        <is>
          <t>Paldean Fates Tech Sticker Collections [Set of 3]</t>
        </is>
      </c>
      <c r="B893" s="3">
        <f>IF(I893&lt;&gt;"",I893,IF(J893&lt;&gt;"",J893,IF(K893&lt;&gt;"",K893,L893)))</f>
        <v>219.46</v>
      </c>
      <c r="C893" s="3">
        <f>MEDIAN(I893:L893)</f>
        <v>224.99</v>
      </c>
      <c r="D893" s="3">
        <f>ROUND(C893*(1-Settings!$B$2),2)</f>
        <v>157.49</v>
      </c>
      <c r="E893" s="3">
        <f>ROUND(C893*(1-Settings!$B$3),2)</f>
        <v>157.49</v>
      </c>
      <c r="F893" s="2" t="inlineStr">
        <is>
          <t>Pokemon</t>
        </is>
      </c>
      <c r="G893" s="2" t="inlineStr">
        <is>
          <t>Other</t>
        </is>
      </c>
      <c r="H893" s="2" t="inlineStr">
        <is>
          <t>SV: Paldean Fates</t>
        </is>
      </c>
      <c r="I893" s="3" t="n"/>
      <c r="J893" s="3" t="n">
        <v>219.46</v>
      </c>
      <c r="K893" s="3" t="n">
        <v>250</v>
      </c>
      <c r="L893" s="3" t="n">
        <v>224.99</v>
      </c>
      <c r="M893" s="2" t="inlineStr">
        <is>
          <t>TCGplayer</t>
        </is>
      </c>
      <c r="O893" s="4" t="inlineStr">
        <is>
          <t>https://www.tcgplayer.com/product/528229</t>
        </is>
      </c>
    </row>
    <row r="894">
      <c r="A894" s="2" t="inlineStr">
        <is>
          <t>Sam's Club 151 (4 Mini Tins + 4 Promo Cards Bundle)</t>
        </is>
      </c>
      <c r="B894" s="3">
        <f>IF(I894&lt;&gt;"",I894,IF(J894&lt;&gt;"",J894,IF(K894&lt;&gt;"",K894,L894)))</f>
        <v>215.86</v>
      </c>
      <c r="C894" s="3">
        <f>MEDIAN(I894:L894)</f>
        <v>215.86</v>
      </c>
      <c r="D894" s="3">
        <f>ROUND(C894*(1-Settings!$B$2),2)</f>
        <v>151.1</v>
      </c>
      <c r="E894" s="3">
        <f>ROUND(C894*(1-Settings!$B$3),2)</f>
        <v>151.1</v>
      </c>
      <c r="F894" s="2" t="inlineStr">
        <is>
          <t>Pokemon</t>
        </is>
      </c>
      <c r="G894" s="2" t="inlineStr">
        <is>
          <t>Other</t>
        </is>
      </c>
      <c r="H894" s="2" t="inlineStr">
        <is>
          <t>SV: Scarlet &amp; Violet 151</t>
        </is>
      </c>
      <c r="I894" s="3" t="n"/>
      <c r="J894" s="3" t="n">
        <v>215.86</v>
      </c>
      <c r="K894" s="3" t="n">
        <v>232</v>
      </c>
      <c r="L894" s="3" t="n">
        <v>48.96</v>
      </c>
      <c r="M894" s="2" t="inlineStr">
        <is>
          <t>TCGplayer</t>
        </is>
      </c>
      <c r="O894" s="4" t="inlineStr">
        <is>
          <t>https://www.tcgplayer.com/product/662302</t>
        </is>
      </c>
    </row>
    <row r="895">
      <c r="A895" s="2" t="inlineStr">
        <is>
          <t>Pokemon Trading Card Game Classic</t>
        </is>
      </c>
      <c r="B895" s="3">
        <f>IF(I895&lt;&gt;"",I895,IF(J895&lt;&gt;"",J895,IF(K895&lt;&gt;"",K895,L895)))</f>
        <v>524.28</v>
      </c>
      <c r="C895" s="3">
        <f>MEDIAN(I895:L895)</f>
        <v>524.28</v>
      </c>
      <c r="D895" s="3">
        <f>ROUND(C895*(1-Settings!$B$2),2)</f>
        <v>367.0</v>
      </c>
      <c r="E895" s="3">
        <f>ROUND(C895*(1-Settings!$B$3),2)</f>
        <v>367.0</v>
      </c>
      <c r="F895" s="2" t="inlineStr">
        <is>
          <t>Pokemon</t>
        </is>
      </c>
      <c r="G895" s="2" t="inlineStr">
        <is>
          <t>Other</t>
        </is>
      </c>
      <c r="H895" s="2" t="inlineStr">
        <is>
          <t>Trading Card Game Classic</t>
        </is>
      </c>
      <c r="I895" s="3" t="n"/>
      <c r="J895" s="3" t="n">
        <v>524.28</v>
      </c>
      <c r="K895" s="3" t="n">
        <v>599.99</v>
      </c>
      <c r="L895" s="3" t="n">
        <v>64</v>
      </c>
      <c r="M895" s="2" t="inlineStr">
        <is>
          <t>TCGplayer</t>
        </is>
      </c>
      <c r="O895" s="4" t="inlineStr">
        <is>
          <t>https://www.tcgplayer.com/product/518886</t>
        </is>
      </c>
    </row>
    <row r="896">
      <c r="A896" s="2" t="inlineStr">
        <is>
          <t>Battle Arena Decks: Xerneas vs Yveltal</t>
        </is>
      </c>
      <c r="B896" s="3">
        <f>IF(I896&lt;&gt;"",I896,IF(J896&lt;&gt;"",J896,IF(K896&lt;&gt;"",K896,L896)))</f>
        <v>90.0</v>
      </c>
      <c r="C896" s="3">
        <f>MEDIAN(I896:L896)</f>
        <v>90.0</v>
      </c>
      <c r="D896" s="3">
        <f>ROUND(C896*(1-Settings!$B$2),2)</f>
        <v>63.0</v>
      </c>
      <c r="E896" s="3">
        <f>ROUND(C896*(1-Settings!$B$3),2)</f>
        <v>63.0</v>
      </c>
      <c r="F896" s="2" t="inlineStr">
        <is>
          <t>Pokemon</t>
        </is>
      </c>
      <c r="G896" s="2" t="inlineStr">
        <is>
          <t>Other</t>
        </is>
      </c>
      <c r="H896" s="2" t="inlineStr">
        <is>
          <t>XY - Furious Fists</t>
        </is>
      </c>
      <c r="I896" s="3" t="n"/>
      <c r="J896" s="3" t="n">
        <v>90</v>
      </c>
      <c r="K896" s="3" t="n"/>
      <c r="L896" s="3" t="n"/>
      <c r="M896" s="2" t="inlineStr">
        <is>
          <t>TCGplayer</t>
        </is>
      </c>
      <c r="O896" s="4" t="inlineStr">
        <is>
          <t>https://www.tcgplayer.com/product/97779</t>
        </is>
      </c>
    </row>
    <row r="897">
      <c r="A897" s="2" t="inlineStr">
        <is>
          <t>Mega Evolution Collector's Pin Blisters [Latios]</t>
        </is>
      </c>
      <c r="B897" s="3">
        <f>IF(I897&lt;&gt;"",I897,IF(J897&lt;&gt;"",J897,IF(K897&lt;&gt;"",K897,L897)))</f>
        <v>700.0</v>
      </c>
      <c r="C897" s="3">
        <f>MEDIAN(I897:L897)</f>
        <v>700.0</v>
      </c>
      <c r="D897" s="3">
        <f>ROUND(C897*(1-Settings!$B$2),2)</f>
        <v>490.0</v>
      </c>
      <c r="E897" s="3">
        <f>ROUND(C897*(1-Settings!$B$3),2)</f>
        <v>490.0</v>
      </c>
      <c r="F897" s="2" t="inlineStr">
        <is>
          <t>Pokemon</t>
        </is>
      </c>
      <c r="G897" s="2" t="inlineStr">
        <is>
          <t>Other</t>
        </is>
      </c>
      <c r="H897" s="2" t="inlineStr">
        <is>
          <t>XY - Roaring Skies</t>
        </is>
      </c>
      <c r="I897" s="3" t="n"/>
      <c r="J897" s="3" t="n"/>
      <c r="K897" s="3" t="n">
        <v>700</v>
      </c>
      <c r="L897" s="3" t="n">
        <v>700</v>
      </c>
      <c r="M897" s="2" t="inlineStr">
        <is>
          <t>TCGplayer</t>
        </is>
      </c>
      <c r="O897" s="4" t="inlineStr">
        <is>
          <t>https://www.tcgplayer.com/product/99150</t>
        </is>
      </c>
    </row>
    <row r="898">
      <c r="A898" s="2" t="inlineStr">
        <is>
          <t>Battle Arena Decks: Keldeo EX vs Rayquaza EX</t>
        </is>
      </c>
      <c r="B898" s="3">
        <f>IF(I898&lt;&gt;"",I898,IF(J898&lt;&gt;"",J898,IF(K898&lt;&gt;"",K898,L898)))</f>
        <v>192.61</v>
      </c>
      <c r="C898" s="3">
        <f>MEDIAN(I898:L898)</f>
        <v>299.97</v>
      </c>
      <c r="D898" s="3">
        <f>ROUND(C898*(1-Settings!$B$2),2)</f>
        <v>209.98</v>
      </c>
      <c r="E898" s="3">
        <f>ROUND(C898*(1-Settings!$B$3),2)</f>
        <v>209.98</v>
      </c>
      <c r="F898" s="2" t="inlineStr">
        <is>
          <t>Pokemon</t>
        </is>
      </c>
      <c r="G898" s="2" t="inlineStr">
        <is>
          <t>Other</t>
        </is>
      </c>
      <c r="H898" s="2" t="inlineStr">
        <is>
          <t>XY - Steam Siege</t>
        </is>
      </c>
      <c r="I898" s="3" t="n"/>
      <c r="J898" s="3" t="n">
        <v>192.61</v>
      </c>
      <c r="K898" s="3" t="n">
        <v>324.98</v>
      </c>
      <c r="L898" s="3" t="n">
        <v>299.97</v>
      </c>
      <c r="M898" s="2" t="inlineStr">
        <is>
          <t>TCGplayer</t>
        </is>
      </c>
      <c r="O898" s="4" t="inlineStr">
        <is>
          <t>https://www.tcgplayer.com/product/123439</t>
        </is>
      </c>
    </row>
    <row r="899">
      <c r="A899" s="2" t="inlineStr">
        <is>
          <t>Legendary Battle Decks [Moltres]</t>
        </is>
      </c>
      <c r="B899" s="3">
        <f>IF(I899&lt;&gt;"",I899,IF(J899&lt;&gt;"",J899,IF(K899&lt;&gt;"",K899,L899)))</f>
        <v>94.95</v>
      </c>
      <c r="C899" s="3">
        <f>MEDIAN(I899:L899)</f>
        <v>94.95</v>
      </c>
      <c r="D899" s="3">
        <f>ROUND(C899*(1-Settings!$B$2),2)</f>
        <v>66.47</v>
      </c>
      <c r="E899" s="3">
        <f>ROUND(C899*(1-Settings!$B$3),2)</f>
        <v>66.47</v>
      </c>
      <c r="F899" s="2" t="inlineStr">
        <is>
          <t>Pokemon</t>
        </is>
      </c>
      <c r="G899" s="2" t="inlineStr">
        <is>
          <t>Other</t>
        </is>
      </c>
      <c r="H899" s="2" t="inlineStr">
        <is>
          <t>XY - Steam Siege</t>
        </is>
      </c>
      <c r="I899" s="3" t="n"/>
      <c r="J899" s="3" t="n">
        <v>94.95</v>
      </c>
      <c r="K899" s="3" t="n"/>
      <c r="L899" s="3" t="n"/>
      <c r="M899" s="2" t="inlineStr">
        <is>
          <t>TCGplayer</t>
        </is>
      </c>
      <c r="O899" s="4" t="inlineStr">
        <is>
          <t>https://www.tcgplayer.com/product/177156</t>
        </is>
      </c>
    </row>
    <row r="900">
      <c r="A900" s="2" t="inlineStr">
        <is>
          <t>Legendary Battle Decks [Zapdos]</t>
        </is>
      </c>
      <c r="B900" s="3">
        <f>IF(I900&lt;&gt;"",I900,IF(J900&lt;&gt;"",J900,IF(K900&lt;&gt;"",K900,L900)))</f>
        <v>81.98</v>
      </c>
      <c r="C900" s="3">
        <f>MEDIAN(I900:L900)</f>
        <v>81.98</v>
      </c>
      <c r="D900" s="3">
        <f>ROUND(C900*(1-Settings!$B$2),2)</f>
        <v>57.39</v>
      </c>
      <c r="E900" s="3">
        <f>ROUND(C900*(1-Settings!$B$3),2)</f>
        <v>57.39</v>
      </c>
      <c r="F900" s="2" t="inlineStr">
        <is>
          <t>Pokemon</t>
        </is>
      </c>
      <c r="G900" s="2" t="inlineStr">
        <is>
          <t>Other</t>
        </is>
      </c>
      <c r="H900" s="2" t="inlineStr">
        <is>
          <t>XY - Steam Siege</t>
        </is>
      </c>
      <c r="I900" s="3" t="n"/>
      <c r="J900" s="3" t="n">
        <v>81.98</v>
      </c>
      <c r="K900" s="3" t="n"/>
      <c r="L900" s="3" t="n"/>
      <c r="M900" s="2" t="inlineStr">
        <is>
          <t>TCGplayer</t>
        </is>
      </c>
      <c r="O900" s="4" t="inlineStr">
        <is>
          <t>https://www.tcgplayer.com/product/177157</t>
        </is>
      </c>
    </row>
  </sheetData>
  <autoFilter ref="A1:O900"/>
  <hyperlinks>
    <hyperlink xmlns:r="http://schemas.openxmlformats.org/officeDocument/2006/relationships" ref="N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N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O114" r:id="rId113"/>
    <hyperlink xmlns:r="http://schemas.openxmlformats.org/officeDocument/2006/relationships" ref="N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N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O227" r:id="rId227"/>
    <hyperlink xmlns:r="http://schemas.openxmlformats.org/officeDocument/2006/relationships" ref="N228" r:id="rId228"/>
    <hyperlink xmlns:r="http://schemas.openxmlformats.org/officeDocument/2006/relationships" ref="N229" r:id="rId229"/>
    <hyperlink xmlns:r="http://schemas.openxmlformats.org/officeDocument/2006/relationships" ref="O229" r:id="rId230"/>
    <hyperlink xmlns:r="http://schemas.openxmlformats.org/officeDocument/2006/relationships" ref="N230" r:id="rId231"/>
    <hyperlink xmlns:r="http://schemas.openxmlformats.org/officeDocument/2006/relationships" ref="O230" r:id="rId232"/>
    <hyperlink xmlns:r="http://schemas.openxmlformats.org/officeDocument/2006/relationships" ref="N231" r:id="rId233"/>
    <hyperlink xmlns:r="http://schemas.openxmlformats.org/officeDocument/2006/relationships" ref="O231" r:id="rId234"/>
    <hyperlink xmlns:r="http://schemas.openxmlformats.org/officeDocument/2006/relationships" ref="N232" r:id="rId235"/>
    <hyperlink xmlns:r="http://schemas.openxmlformats.org/officeDocument/2006/relationships" ref="O232" r:id="rId236"/>
    <hyperlink xmlns:r="http://schemas.openxmlformats.org/officeDocument/2006/relationships" ref="O233" r:id="rId237"/>
    <hyperlink xmlns:r="http://schemas.openxmlformats.org/officeDocument/2006/relationships" ref="O234" r:id="rId238"/>
    <hyperlink xmlns:r="http://schemas.openxmlformats.org/officeDocument/2006/relationships" ref="O235" r:id="rId239"/>
    <hyperlink xmlns:r="http://schemas.openxmlformats.org/officeDocument/2006/relationships" ref="O236" r:id="rId240"/>
    <hyperlink xmlns:r="http://schemas.openxmlformats.org/officeDocument/2006/relationships" ref="O237" r:id="rId241"/>
    <hyperlink xmlns:r="http://schemas.openxmlformats.org/officeDocument/2006/relationships" ref="N238" r:id="rId242"/>
    <hyperlink xmlns:r="http://schemas.openxmlformats.org/officeDocument/2006/relationships" ref="O239" r:id="rId243"/>
    <hyperlink xmlns:r="http://schemas.openxmlformats.org/officeDocument/2006/relationships" ref="O240" r:id="rId244"/>
    <hyperlink xmlns:r="http://schemas.openxmlformats.org/officeDocument/2006/relationships" ref="O241" r:id="rId245"/>
    <hyperlink xmlns:r="http://schemas.openxmlformats.org/officeDocument/2006/relationships" ref="O242" r:id="rId246"/>
    <hyperlink xmlns:r="http://schemas.openxmlformats.org/officeDocument/2006/relationships" ref="O243" r:id="rId247"/>
    <hyperlink xmlns:r="http://schemas.openxmlformats.org/officeDocument/2006/relationships" ref="O244" r:id="rId248"/>
    <hyperlink xmlns:r="http://schemas.openxmlformats.org/officeDocument/2006/relationships" ref="O245" r:id="rId249"/>
    <hyperlink xmlns:r="http://schemas.openxmlformats.org/officeDocument/2006/relationships" ref="O246" r:id="rId250"/>
    <hyperlink xmlns:r="http://schemas.openxmlformats.org/officeDocument/2006/relationships" ref="O247" r:id="rId251"/>
    <hyperlink xmlns:r="http://schemas.openxmlformats.org/officeDocument/2006/relationships" ref="O248" r:id="rId252"/>
    <hyperlink xmlns:r="http://schemas.openxmlformats.org/officeDocument/2006/relationships" ref="O249" r:id="rId253"/>
    <hyperlink xmlns:r="http://schemas.openxmlformats.org/officeDocument/2006/relationships" ref="O250" r:id="rId254"/>
    <hyperlink xmlns:r="http://schemas.openxmlformats.org/officeDocument/2006/relationships" ref="O251" r:id="rId255"/>
    <hyperlink xmlns:r="http://schemas.openxmlformats.org/officeDocument/2006/relationships" ref="O252" r:id="rId256"/>
    <hyperlink xmlns:r="http://schemas.openxmlformats.org/officeDocument/2006/relationships" ref="O253" r:id="rId257"/>
    <hyperlink xmlns:r="http://schemas.openxmlformats.org/officeDocument/2006/relationships" ref="O254" r:id="rId258"/>
    <hyperlink xmlns:r="http://schemas.openxmlformats.org/officeDocument/2006/relationships" ref="O255" r:id="rId259"/>
    <hyperlink xmlns:r="http://schemas.openxmlformats.org/officeDocument/2006/relationships" ref="O256" r:id="rId260"/>
    <hyperlink xmlns:r="http://schemas.openxmlformats.org/officeDocument/2006/relationships" ref="O257" r:id="rId261"/>
    <hyperlink xmlns:r="http://schemas.openxmlformats.org/officeDocument/2006/relationships" ref="O258" r:id="rId262"/>
    <hyperlink xmlns:r="http://schemas.openxmlformats.org/officeDocument/2006/relationships" ref="O259" r:id="rId263"/>
    <hyperlink xmlns:r="http://schemas.openxmlformats.org/officeDocument/2006/relationships" ref="O260" r:id="rId264"/>
    <hyperlink xmlns:r="http://schemas.openxmlformats.org/officeDocument/2006/relationships" ref="O261" r:id="rId265"/>
    <hyperlink xmlns:r="http://schemas.openxmlformats.org/officeDocument/2006/relationships" ref="O262" r:id="rId266"/>
    <hyperlink xmlns:r="http://schemas.openxmlformats.org/officeDocument/2006/relationships" ref="O263" r:id="rId267"/>
    <hyperlink xmlns:r="http://schemas.openxmlformats.org/officeDocument/2006/relationships" ref="O264" r:id="rId268"/>
    <hyperlink xmlns:r="http://schemas.openxmlformats.org/officeDocument/2006/relationships" ref="O265" r:id="rId269"/>
    <hyperlink xmlns:r="http://schemas.openxmlformats.org/officeDocument/2006/relationships" ref="O266" r:id="rId270"/>
    <hyperlink xmlns:r="http://schemas.openxmlformats.org/officeDocument/2006/relationships" ref="O267" r:id="rId271"/>
    <hyperlink xmlns:r="http://schemas.openxmlformats.org/officeDocument/2006/relationships" ref="O268" r:id="rId272"/>
    <hyperlink xmlns:r="http://schemas.openxmlformats.org/officeDocument/2006/relationships" ref="O269" r:id="rId273"/>
    <hyperlink xmlns:r="http://schemas.openxmlformats.org/officeDocument/2006/relationships" ref="O270" r:id="rId274"/>
    <hyperlink xmlns:r="http://schemas.openxmlformats.org/officeDocument/2006/relationships" ref="O271" r:id="rId275"/>
    <hyperlink xmlns:r="http://schemas.openxmlformats.org/officeDocument/2006/relationships" ref="O272" r:id="rId276"/>
    <hyperlink xmlns:r="http://schemas.openxmlformats.org/officeDocument/2006/relationships" ref="O273" r:id="rId277"/>
    <hyperlink xmlns:r="http://schemas.openxmlformats.org/officeDocument/2006/relationships" ref="O274" r:id="rId278"/>
    <hyperlink xmlns:r="http://schemas.openxmlformats.org/officeDocument/2006/relationships" ref="O275" r:id="rId279"/>
    <hyperlink xmlns:r="http://schemas.openxmlformats.org/officeDocument/2006/relationships" ref="O276" r:id="rId280"/>
    <hyperlink xmlns:r="http://schemas.openxmlformats.org/officeDocument/2006/relationships" ref="O277" r:id="rId281"/>
    <hyperlink xmlns:r="http://schemas.openxmlformats.org/officeDocument/2006/relationships" ref="O278" r:id="rId282"/>
    <hyperlink xmlns:r="http://schemas.openxmlformats.org/officeDocument/2006/relationships" ref="O279" r:id="rId283"/>
    <hyperlink xmlns:r="http://schemas.openxmlformats.org/officeDocument/2006/relationships" ref="N280" r:id="rId284"/>
    <hyperlink xmlns:r="http://schemas.openxmlformats.org/officeDocument/2006/relationships" ref="O280" r:id="rId285"/>
    <hyperlink xmlns:r="http://schemas.openxmlformats.org/officeDocument/2006/relationships" ref="O281" r:id="rId286"/>
    <hyperlink xmlns:r="http://schemas.openxmlformats.org/officeDocument/2006/relationships" ref="O282" r:id="rId287"/>
    <hyperlink xmlns:r="http://schemas.openxmlformats.org/officeDocument/2006/relationships" ref="O283" r:id="rId288"/>
    <hyperlink xmlns:r="http://schemas.openxmlformats.org/officeDocument/2006/relationships" ref="O284" r:id="rId289"/>
    <hyperlink xmlns:r="http://schemas.openxmlformats.org/officeDocument/2006/relationships" ref="O285" r:id="rId290"/>
    <hyperlink xmlns:r="http://schemas.openxmlformats.org/officeDocument/2006/relationships" ref="O286" r:id="rId291"/>
    <hyperlink xmlns:r="http://schemas.openxmlformats.org/officeDocument/2006/relationships" ref="O287" r:id="rId292"/>
    <hyperlink xmlns:r="http://schemas.openxmlformats.org/officeDocument/2006/relationships" ref="O288" r:id="rId293"/>
    <hyperlink xmlns:r="http://schemas.openxmlformats.org/officeDocument/2006/relationships" ref="O289" r:id="rId294"/>
    <hyperlink xmlns:r="http://schemas.openxmlformats.org/officeDocument/2006/relationships" ref="N290" r:id="rId295"/>
    <hyperlink xmlns:r="http://schemas.openxmlformats.org/officeDocument/2006/relationships" ref="O290" r:id="rId296"/>
    <hyperlink xmlns:r="http://schemas.openxmlformats.org/officeDocument/2006/relationships" ref="O291" r:id="rId297"/>
    <hyperlink xmlns:r="http://schemas.openxmlformats.org/officeDocument/2006/relationships" ref="O292" r:id="rId298"/>
    <hyperlink xmlns:r="http://schemas.openxmlformats.org/officeDocument/2006/relationships" ref="O293" r:id="rId299"/>
    <hyperlink xmlns:r="http://schemas.openxmlformats.org/officeDocument/2006/relationships" ref="O294" r:id="rId300"/>
    <hyperlink xmlns:r="http://schemas.openxmlformats.org/officeDocument/2006/relationships" ref="O295" r:id="rId301"/>
    <hyperlink xmlns:r="http://schemas.openxmlformats.org/officeDocument/2006/relationships" ref="N296" r:id="rId302"/>
    <hyperlink xmlns:r="http://schemas.openxmlformats.org/officeDocument/2006/relationships" ref="O297" r:id="rId303"/>
    <hyperlink xmlns:r="http://schemas.openxmlformats.org/officeDocument/2006/relationships" ref="O298" r:id="rId304"/>
    <hyperlink xmlns:r="http://schemas.openxmlformats.org/officeDocument/2006/relationships" ref="O299" r:id="rId305"/>
    <hyperlink xmlns:r="http://schemas.openxmlformats.org/officeDocument/2006/relationships" ref="O300" r:id="rId306"/>
    <hyperlink xmlns:r="http://schemas.openxmlformats.org/officeDocument/2006/relationships" ref="O301" r:id="rId307"/>
    <hyperlink xmlns:r="http://schemas.openxmlformats.org/officeDocument/2006/relationships" ref="O302" r:id="rId308"/>
    <hyperlink xmlns:r="http://schemas.openxmlformats.org/officeDocument/2006/relationships" ref="O303" r:id="rId309"/>
    <hyperlink xmlns:r="http://schemas.openxmlformats.org/officeDocument/2006/relationships" ref="O304" r:id="rId310"/>
    <hyperlink xmlns:r="http://schemas.openxmlformats.org/officeDocument/2006/relationships" ref="O305" r:id="rId311"/>
    <hyperlink xmlns:r="http://schemas.openxmlformats.org/officeDocument/2006/relationships" ref="O306" r:id="rId312"/>
    <hyperlink xmlns:r="http://schemas.openxmlformats.org/officeDocument/2006/relationships" ref="O307" r:id="rId313"/>
    <hyperlink xmlns:r="http://schemas.openxmlformats.org/officeDocument/2006/relationships" ref="O308" r:id="rId314"/>
    <hyperlink xmlns:r="http://schemas.openxmlformats.org/officeDocument/2006/relationships" ref="O309" r:id="rId315"/>
    <hyperlink xmlns:r="http://schemas.openxmlformats.org/officeDocument/2006/relationships" ref="O310" r:id="rId316"/>
    <hyperlink xmlns:r="http://schemas.openxmlformats.org/officeDocument/2006/relationships" ref="O311" r:id="rId317"/>
    <hyperlink xmlns:r="http://schemas.openxmlformats.org/officeDocument/2006/relationships" ref="O312" r:id="rId318"/>
    <hyperlink xmlns:r="http://schemas.openxmlformats.org/officeDocument/2006/relationships" ref="O313" r:id="rId319"/>
    <hyperlink xmlns:r="http://schemas.openxmlformats.org/officeDocument/2006/relationships" ref="O314" r:id="rId320"/>
    <hyperlink xmlns:r="http://schemas.openxmlformats.org/officeDocument/2006/relationships" ref="O315" r:id="rId321"/>
    <hyperlink xmlns:r="http://schemas.openxmlformats.org/officeDocument/2006/relationships" ref="O316" r:id="rId322"/>
    <hyperlink xmlns:r="http://schemas.openxmlformats.org/officeDocument/2006/relationships" ref="O317" r:id="rId323"/>
    <hyperlink xmlns:r="http://schemas.openxmlformats.org/officeDocument/2006/relationships" ref="O318" r:id="rId324"/>
    <hyperlink xmlns:r="http://schemas.openxmlformats.org/officeDocument/2006/relationships" ref="O319" r:id="rId325"/>
    <hyperlink xmlns:r="http://schemas.openxmlformats.org/officeDocument/2006/relationships" ref="O320" r:id="rId326"/>
    <hyperlink xmlns:r="http://schemas.openxmlformats.org/officeDocument/2006/relationships" ref="O321" r:id="rId327"/>
    <hyperlink xmlns:r="http://schemas.openxmlformats.org/officeDocument/2006/relationships" ref="O322" r:id="rId328"/>
    <hyperlink xmlns:r="http://schemas.openxmlformats.org/officeDocument/2006/relationships" ref="O323" r:id="rId329"/>
    <hyperlink xmlns:r="http://schemas.openxmlformats.org/officeDocument/2006/relationships" ref="O324" r:id="rId330"/>
    <hyperlink xmlns:r="http://schemas.openxmlformats.org/officeDocument/2006/relationships" ref="O325" r:id="rId331"/>
    <hyperlink xmlns:r="http://schemas.openxmlformats.org/officeDocument/2006/relationships" ref="O326" r:id="rId332"/>
    <hyperlink xmlns:r="http://schemas.openxmlformats.org/officeDocument/2006/relationships" ref="O327" r:id="rId333"/>
    <hyperlink xmlns:r="http://schemas.openxmlformats.org/officeDocument/2006/relationships" ref="O328" r:id="rId334"/>
    <hyperlink xmlns:r="http://schemas.openxmlformats.org/officeDocument/2006/relationships" ref="O329" r:id="rId335"/>
    <hyperlink xmlns:r="http://schemas.openxmlformats.org/officeDocument/2006/relationships" ref="O330" r:id="rId336"/>
    <hyperlink xmlns:r="http://schemas.openxmlformats.org/officeDocument/2006/relationships" ref="O331" r:id="rId337"/>
    <hyperlink xmlns:r="http://schemas.openxmlformats.org/officeDocument/2006/relationships" ref="O332" r:id="rId338"/>
    <hyperlink xmlns:r="http://schemas.openxmlformats.org/officeDocument/2006/relationships" ref="O333" r:id="rId339"/>
    <hyperlink xmlns:r="http://schemas.openxmlformats.org/officeDocument/2006/relationships" ref="O334" r:id="rId340"/>
    <hyperlink xmlns:r="http://schemas.openxmlformats.org/officeDocument/2006/relationships" ref="O335" r:id="rId341"/>
    <hyperlink xmlns:r="http://schemas.openxmlformats.org/officeDocument/2006/relationships" ref="O336" r:id="rId342"/>
    <hyperlink xmlns:r="http://schemas.openxmlformats.org/officeDocument/2006/relationships" ref="O337" r:id="rId343"/>
    <hyperlink xmlns:r="http://schemas.openxmlformats.org/officeDocument/2006/relationships" ref="O338" r:id="rId344"/>
    <hyperlink xmlns:r="http://schemas.openxmlformats.org/officeDocument/2006/relationships" ref="O339" r:id="rId345"/>
    <hyperlink xmlns:r="http://schemas.openxmlformats.org/officeDocument/2006/relationships" ref="O340" r:id="rId346"/>
    <hyperlink xmlns:r="http://schemas.openxmlformats.org/officeDocument/2006/relationships" ref="O341" r:id="rId347"/>
    <hyperlink xmlns:r="http://schemas.openxmlformats.org/officeDocument/2006/relationships" ref="O342" r:id="rId348"/>
    <hyperlink xmlns:r="http://schemas.openxmlformats.org/officeDocument/2006/relationships" ref="O343" r:id="rId349"/>
    <hyperlink xmlns:r="http://schemas.openxmlformats.org/officeDocument/2006/relationships" ref="O344" r:id="rId350"/>
    <hyperlink xmlns:r="http://schemas.openxmlformats.org/officeDocument/2006/relationships" ref="N345" r:id="rId351"/>
    <hyperlink xmlns:r="http://schemas.openxmlformats.org/officeDocument/2006/relationships" ref="O346" r:id="rId352"/>
    <hyperlink xmlns:r="http://schemas.openxmlformats.org/officeDocument/2006/relationships" ref="O347" r:id="rId353"/>
    <hyperlink xmlns:r="http://schemas.openxmlformats.org/officeDocument/2006/relationships" ref="O348" r:id="rId354"/>
    <hyperlink xmlns:r="http://schemas.openxmlformats.org/officeDocument/2006/relationships" ref="O349" r:id="rId355"/>
    <hyperlink xmlns:r="http://schemas.openxmlformats.org/officeDocument/2006/relationships" ref="N350" r:id="rId356"/>
    <hyperlink xmlns:r="http://schemas.openxmlformats.org/officeDocument/2006/relationships" ref="N351" r:id="rId357"/>
    <hyperlink xmlns:r="http://schemas.openxmlformats.org/officeDocument/2006/relationships" ref="N352" r:id="rId358"/>
    <hyperlink xmlns:r="http://schemas.openxmlformats.org/officeDocument/2006/relationships" ref="N353" r:id="rId359"/>
    <hyperlink xmlns:r="http://schemas.openxmlformats.org/officeDocument/2006/relationships" ref="N354" r:id="rId360"/>
    <hyperlink xmlns:r="http://schemas.openxmlformats.org/officeDocument/2006/relationships" ref="N355" r:id="rId361"/>
    <hyperlink xmlns:r="http://schemas.openxmlformats.org/officeDocument/2006/relationships" ref="N356" r:id="rId362"/>
    <hyperlink xmlns:r="http://schemas.openxmlformats.org/officeDocument/2006/relationships" ref="N357" r:id="rId363"/>
    <hyperlink xmlns:r="http://schemas.openxmlformats.org/officeDocument/2006/relationships" ref="N358" r:id="rId364"/>
    <hyperlink xmlns:r="http://schemas.openxmlformats.org/officeDocument/2006/relationships" ref="N359" r:id="rId365"/>
    <hyperlink xmlns:r="http://schemas.openxmlformats.org/officeDocument/2006/relationships" ref="N360" r:id="rId366"/>
    <hyperlink xmlns:r="http://schemas.openxmlformats.org/officeDocument/2006/relationships" ref="N361" r:id="rId367"/>
    <hyperlink xmlns:r="http://schemas.openxmlformats.org/officeDocument/2006/relationships" ref="O362" r:id="rId368"/>
    <hyperlink xmlns:r="http://schemas.openxmlformats.org/officeDocument/2006/relationships" ref="O363" r:id="rId369"/>
    <hyperlink xmlns:r="http://schemas.openxmlformats.org/officeDocument/2006/relationships" ref="N364" r:id="rId370"/>
    <hyperlink xmlns:r="http://schemas.openxmlformats.org/officeDocument/2006/relationships" ref="O364" r:id="rId371"/>
    <hyperlink xmlns:r="http://schemas.openxmlformats.org/officeDocument/2006/relationships" ref="O365" r:id="rId372"/>
    <hyperlink xmlns:r="http://schemas.openxmlformats.org/officeDocument/2006/relationships" ref="O366" r:id="rId373"/>
    <hyperlink xmlns:r="http://schemas.openxmlformats.org/officeDocument/2006/relationships" ref="O367" r:id="rId374"/>
    <hyperlink xmlns:r="http://schemas.openxmlformats.org/officeDocument/2006/relationships" ref="O368" r:id="rId375"/>
    <hyperlink xmlns:r="http://schemas.openxmlformats.org/officeDocument/2006/relationships" ref="O369" r:id="rId376"/>
    <hyperlink xmlns:r="http://schemas.openxmlformats.org/officeDocument/2006/relationships" ref="O370" r:id="rId377"/>
    <hyperlink xmlns:r="http://schemas.openxmlformats.org/officeDocument/2006/relationships" ref="O371" r:id="rId378"/>
    <hyperlink xmlns:r="http://schemas.openxmlformats.org/officeDocument/2006/relationships" ref="O372" r:id="rId379"/>
    <hyperlink xmlns:r="http://schemas.openxmlformats.org/officeDocument/2006/relationships" ref="O373" r:id="rId380"/>
    <hyperlink xmlns:r="http://schemas.openxmlformats.org/officeDocument/2006/relationships" ref="O374" r:id="rId381"/>
    <hyperlink xmlns:r="http://schemas.openxmlformats.org/officeDocument/2006/relationships" ref="O375" r:id="rId382"/>
    <hyperlink xmlns:r="http://schemas.openxmlformats.org/officeDocument/2006/relationships" ref="O376" r:id="rId383"/>
    <hyperlink xmlns:r="http://schemas.openxmlformats.org/officeDocument/2006/relationships" ref="O377" r:id="rId384"/>
    <hyperlink xmlns:r="http://schemas.openxmlformats.org/officeDocument/2006/relationships" ref="O378" r:id="rId385"/>
    <hyperlink xmlns:r="http://schemas.openxmlformats.org/officeDocument/2006/relationships" ref="O379" r:id="rId386"/>
    <hyperlink xmlns:r="http://schemas.openxmlformats.org/officeDocument/2006/relationships" ref="O380" r:id="rId387"/>
    <hyperlink xmlns:r="http://schemas.openxmlformats.org/officeDocument/2006/relationships" ref="O381" r:id="rId388"/>
    <hyperlink xmlns:r="http://schemas.openxmlformats.org/officeDocument/2006/relationships" ref="O382" r:id="rId389"/>
    <hyperlink xmlns:r="http://schemas.openxmlformats.org/officeDocument/2006/relationships" ref="O383" r:id="rId390"/>
    <hyperlink xmlns:r="http://schemas.openxmlformats.org/officeDocument/2006/relationships" ref="O384" r:id="rId391"/>
    <hyperlink xmlns:r="http://schemas.openxmlformats.org/officeDocument/2006/relationships" ref="O385" r:id="rId392"/>
    <hyperlink xmlns:r="http://schemas.openxmlformats.org/officeDocument/2006/relationships" ref="O386" r:id="rId393"/>
    <hyperlink xmlns:r="http://schemas.openxmlformats.org/officeDocument/2006/relationships" ref="O387" r:id="rId394"/>
    <hyperlink xmlns:r="http://schemas.openxmlformats.org/officeDocument/2006/relationships" ref="O388" r:id="rId395"/>
    <hyperlink xmlns:r="http://schemas.openxmlformats.org/officeDocument/2006/relationships" ref="O389" r:id="rId396"/>
    <hyperlink xmlns:r="http://schemas.openxmlformats.org/officeDocument/2006/relationships" ref="O390" r:id="rId397"/>
    <hyperlink xmlns:r="http://schemas.openxmlformats.org/officeDocument/2006/relationships" ref="O391" r:id="rId398"/>
    <hyperlink xmlns:r="http://schemas.openxmlformats.org/officeDocument/2006/relationships" ref="O392" r:id="rId399"/>
    <hyperlink xmlns:r="http://schemas.openxmlformats.org/officeDocument/2006/relationships" ref="O393" r:id="rId400"/>
    <hyperlink xmlns:r="http://schemas.openxmlformats.org/officeDocument/2006/relationships" ref="O394" r:id="rId401"/>
    <hyperlink xmlns:r="http://schemas.openxmlformats.org/officeDocument/2006/relationships" ref="O395" r:id="rId402"/>
    <hyperlink xmlns:r="http://schemas.openxmlformats.org/officeDocument/2006/relationships" ref="O396" r:id="rId403"/>
    <hyperlink xmlns:r="http://schemas.openxmlformats.org/officeDocument/2006/relationships" ref="O397" r:id="rId404"/>
    <hyperlink xmlns:r="http://schemas.openxmlformats.org/officeDocument/2006/relationships" ref="O398" r:id="rId405"/>
    <hyperlink xmlns:r="http://schemas.openxmlformats.org/officeDocument/2006/relationships" ref="O399" r:id="rId406"/>
    <hyperlink xmlns:r="http://schemas.openxmlformats.org/officeDocument/2006/relationships" ref="O400" r:id="rId407"/>
    <hyperlink xmlns:r="http://schemas.openxmlformats.org/officeDocument/2006/relationships" ref="O401" r:id="rId408"/>
    <hyperlink xmlns:r="http://schemas.openxmlformats.org/officeDocument/2006/relationships" ref="O402" r:id="rId409"/>
    <hyperlink xmlns:r="http://schemas.openxmlformats.org/officeDocument/2006/relationships" ref="O403" r:id="rId410"/>
    <hyperlink xmlns:r="http://schemas.openxmlformats.org/officeDocument/2006/relationships" ref="O404" r:id="rId411"/>
    <hyperlink xmlns:r="http://schemas.openxmlformats.org/officeDocument/2006/relationships" ref="O405" r:id="rId412"/>
    <hyperlink xmlns:r="http://schemas.openxmlformats.org/officeDocument/2006/relationships" ref="O406" r:id="rId413"/>
    <hyperlink xmlns:r="http://schemas.openxmlformats.org/officeDocument/2006/relationships" ref="O407" r:id="rId414"/>
    <hyperlink xmlns:r="http://schemas.openxmlformats.org/officeDocument/2006/relationships" ref="O408" r:id="rId415"/>
    <hyperlink xmlns:r="http://schemas.openxmlformats.org/officeDocument/2006/relationships" ref="O409" r:id="rId416"/>
    <hyperlink xmlns:r="http://schemas.openxmlformats.org/officeDocument/2006/relationships" ref="O410" r:id="rId417"/>
    <hyperlink xmlns:r="http://schemas.openxmlformats.org/officeDocument/2006/relationships" ref="O411" r:id="rId418"/>
    <hyperlink xmlns:r="http://schemas.openxmlformats.org/officeDocument/2006/relationships" ref="O412" r:id="rId419"/>
    <hyperlink xmlns:r="http://schemas.openxmlformats.org/officeDocument/2006/relationships" ref="O413" r:id="rId420"/>
    <hyperlink xmlns:r="http://schemas.openxmlformats.org/officeDocument/2006/relationships" ref="O414" r:id="rId421"/>
    <hyperlink xmlns:r="http://schemas.openxmlformats.org/officeDocument/2006/relationships" ref="O415" r:id="rId422"/>
    <hyperlink xmlns:r="http://schemas.openxmlformats.org/officeDocument/2006/relationships" ref="O416" r:id="rId423"/>
    <hyperlink xmlns:r="http://schemas.openxmlformats.org/officeDocument/2006/relationships" ref="O417" r:id="rId424"/>
    <hyperlink xmlns:r="http://schemas.openxmlformats.org/officeDocument/2006/relationships" ref="O418" r:id="rId425"/>
    <hyperlink xmlns:r="http://schemas.openxmlformats.org/officeDocument/2006/relationships" ref="O419" r:id="rId426"/>
    <hyperlink xmlns:r="http://schemas.openxmlformats.org/officeDocument/2006/relationships" ref="O420" r:id="rId427"/>
    <hyperlink xmlns:r="http://schemas.openxmlformats.org/officeDocument/2006/relationships" ref="O421" r:id="rId428"/>
    <hyperlink xmlns:r="http://schemas.openxmlformats.org/officeDocument/2006/relationships" ref="O422" r:id="rId429"/>
    <hyperlink xmlns:r="http://schemas.openxmlformats.org/officeDocument/2006/relationships" ref="O423" r:id="rId430"/>
    <hyperlink xmlns:r="http://schemas.openxmlformats.org/officeDocument/2006/relationships" ref="O424" r:id="rId431"/>
    <hyperlink xmlns:r="http://schemas.openxmlformats.org/officeDocument/2006/relationships" ref="O425" r:id="rId432"/>
    <hyperlink xmlns:r="http://schemas.openxmlformats.org/officeDocument/2006/relationships" ref="O426" r:id="rId433"/>
    <hyperlink xmlns:r="http://schemas.openxmlformats.org/officeDocument/2006/relationships" ref="N427" r:id="rId434"/>
    <hyperlink xmlns:r="http://schemas.openxmlformats.org/officeDocument/2006/relationships" ref="O427" r:id="rId435"/>
    <hyperlink xmlns:r="http://schemas.openxmlformats.org/officeDocument/2006/relationships" ref="O428" r:id="rId436"/>
    <hyperlink xmlns:r="http://schemas.openxmlformats.org/officeDocument/2006/relationships" ref="O429" r:id="rId437"/>
    <hyperlink xmlns:r="http://schemas.openxmlformats.org/officeDocument/2006/relationships" ref="O430" r:id="rId438"/>
    <hyperlink xmlns:r="http://schemas.openxmlformats.org/officeDocument/2006/relationships" ref="N431" r:id="rId439"/>
    <hyperlink xmlns:r="http://schemas.openxmlformats.org/officeDocument/2006/relationships" ref="O431" r:id="rId440"/>
    <hyperlink xmlns:r="http://schemas.openxmlformats.org/officeDocument/2006/relationships" ref="O432" r:id="rId441"/>
    <hyperlink xmlns:r="http://schemas.openxmlformats.org/officeDocument/2006/relationships" ref="O433" r:id="rId442"/>
    <hyperlink xmlns:r="http://schemas.openxmlformats.org/officeDocument/2006/relationships" ref="O434" r:id="rId443"/>
    <hyperlink xmlns:r="http://schemas.openxmlformats.org/officeDocument/2006/relationships" ref="O435" r:id="rId444"/>
    <hyperlink xmlns:r="http://schemas.openxmlformats.org/officeDocument/2006/relationships" ref="O436" r:id="rId445"/>
    <hyperlink xmlns:r="http://schemas.openxmlformats.org/officeDocument/2006/relationships" ref="O437" r:id="rId446"/>
    <hyperlink xmlns:r="http://schemas.openxmlformats.org/officeDocument/2006/relationships" ref="O438" r:id="rId447"/>
    <hyperlink xmlns:r="http://schemas.openxmlformats.org/officeDocument/2006/relationships" ref="O439" r:id="rId448"/>
    <hyperlink xmlns:r="http://schemas.openxmlformats.org/officeDocument/2006/relationships" ref="O440" r:id="rId449"/>
    <hyperlink xmlns:r="http://schemas.openxmlformats.org/officeDocument/2006/relationships" ref="O441" r:id="rId450"/>
    <hyperlink xmlns:r="http://schemas.openxmlformats.org/officeDocument/2006/relationships" ref="O442" r:id="rId451"/>
    <hyperlink xmlns:r="http://schemas.openxmlformats.org/officeDocument/2006/relationships" ref="O443" r:id="rId452"/>
    <hyperlink xmlns:r="http://schemas.openxmlformats.org/officeDocument/2006/relationships" ref="O444" r:id="rId453"/>
    <hyperlink xmlns:r="http://schemas.openxmlformats.org/officeDocument/2006/relationships" ref="N445" r:id="rId454"/>
    <hyperlink xmlns:r="http://schemas.openxmlformats.org/officeDocument/2006/relationships" ref="O445" r:id="rId455"/>
    <hyperlink xmlns:r="http://schemas.openxmlformats.org/officeDocument/2006/relationships" ref="O446" r:id="rId456"/>
    <hyperlink xmlns:r="http://schemas.openxmlformats.org/officeDocument/2006/relationships" ref="O447" r:id="rId457"/>
    <hyperlink xmlns:r="http://schemas.openxmlformats.org/officeDocument/2006/relationships" ref="O448" r:id="rId458"/>
    <hyperlink xmlns:r="http://schemas.openxmlformats.org/officeDocument/2006/relationships" ref="O449" r:id="rId459"/>
    <hyperlink xmlns:r="http://schemas.openxmlformats.org/officeDocument/2006/relationships" ref="O450" r:id="rId460"/>
    <hyperlink xmlns:r="http://schemas.openxmlformats.org/officeDocument/2006/relationships" ref="O451" r:id="rId461"/>
    <hyperlink xmlns:r="http://schemas.openxmlformats.org/officeDocument/2006/relationships" ref="O452" r:id="rId462"/>
    <hyperlink xmlns:r="http://schemas.openxmlformats.org/officeDocument/2006/relationships" ref="O453" r:id="rId463"/>
    <hyperlink xmlns:r="http://schemas.openxmlformats.org/officeDocument/2006/relationships" ref="O454" r:id="rId464"/>
    <hyperlink xmlns:r="http://schemas.openxmlformats.org/officeDocument/2006/relationships" ref="O455" r:id="rId465"/>
    <hyperlink xmlns:r="http://schemas.openxmlformats.org/officeDocument/2006/relationships" ref="O456" r:id="rId466"/>
    <hyperlink xmlns:r="http://schemas.openxmlformats.org/officeDocument/2006/relationships" ref="O457" r:id="rId467"/>
    <hyperlink xmlns:r="http://schemas.openxmlformats.org/officeDocument/2006/relationships" ref="O458" r:id="rId468"/>
    <hyperlink xmlns:r="http://schemas.openxmlformats.org/officeDocument/2006/relationships" ref="O459" r:id="rId469"/>
    <hyperlink xmlns:r="http://schemas.openxmlformats.org/officeDocument/2006/relationships" ref="O460" r:id="rId470"/>
    <hyperlink xmlns:r="http://schemas.openxmlformats.org/officeDocument/2006/relationships" ref="O461" r:id="rId471"/>
    <hyperlink xmlns:r="http://schemas.openxmlformats.org/officeDocument/2006/relationships" ref="O462" r:id="rId472"/>
    <hyperlink xmlns:r="http://schemas.openxmlformats.org/officeDocument/2006/relationships" ref="O463" r:id="rId473"/>
    <hyperlink xmlns:r="http://schemas.openxmlformats.org/officeDocument/2006/relationships" ref="O464" r:id="rId474"/>
    <hyperlink xmlns:r="http://schemas.openxmlformats.org/officeDocument/2006/relationships" ref="O465" r:id="rId475"/>
    <hyperlink xmlns:r="http://schemas.openxmlformats.org/officeDocument/2006/relationships" ref="O466" r:id="rId476"/>
    <hyperlink xmlns:r="http://schemas.openxmlformats.org/officeDocument/2006/relationships" ref="O467" r:id="rId477"/>
    <hyperlink xmlns:r="http://schemas.openxmlformats.org/officeDocument/2006/relationships" ref="O468" r:id="rId478"/>
    <hyperlink xmlns:r="http://schemas.openxmlformats.org/officeDocument/2006/relationships" ref="N469" r:id="rId479"/>
    <hyperlink xmlns:r="http://schemas.openxmlformats.org/officeDocument/2006/relationships" ref="O469" r:id="rId480"/>
    <hyperlink xmlns:r="http://schemas.openxmlformats.org/officeDocument/2006/relationships" ref="O470" r:id="rId481"/>
    <hyperlink xmlns:r="http://schemas.openxmlformats.org/officeDocument/2006/relationships" ref="O471" r:id="rId482"/>
    <hyperlink xmlns:r="http://schemas.openxmlformats.org/officeDocument/2006/relationships" ref="O472" r:id="rId483"/>
    <hyperlink xmlns:r="http://schemas.openxmlformats.org/officeDocument/2006/relationships" ref="O473" r:id="rId484"/>
    <hyperlink xmlns:r="http://schemas.openxmlformats.org/officeDocument/2006/relationships" ref="O474" r:id="rId485"/>
    <hyperlink xmlns:r="http://schemas.openxmlformats.org/officeDocument/2006/relationships" ref="O475" r:id="rId486"/>
    <hyperlink xmlns:r="http://schemas.openxmlformats.org/officeDocument/2006/relationships" ref="O476" r:id="rId487"/>
    <hyperlink xmlns:r="http://schemas.openxmlformats.org/officeDocument/2006/relationships" ref="O477" r:id="rId488"/>
    <hyperlink xmlns:r="http://schemas.openxmlformats.org/officeDocument/2006/relationships" ref="O478" r:id="rId489"/>
    <hyperlink xmlns:r="http://schemas.openxmlformats.org/officeDocument/2006/relationships" ref="O479" r:id="rId490"/>
    <hyperlink xmlns:r="http://schemas.openxmlformats.org/officeDocument/2006/relationships" ref="O480" r:id="rId491"/>
    <hyperlink xmlns:r="http://schemas.openxmlformats.org/officeDocument/2006/relationships" ref="O481" r:id="rId492"/>
    <hyperlink xmlns:r="http://schemas.openxmlformats.org/officeDocument/2006/relationships" ref="O482" r:id="rId493"/>
    <hyperlink xmlns:r="http://schemas.openxmlformats.org/officeDocument/2006/relationships" ref="O483" r:id="rId494"/>
    <hyperlink xmlns:r="http://schemas.openxmlformats.org/officeDocument/2006/relationships" ref="O484" r:id="rId495"/>
    <hyperlink xmlns:r="http://schemas.openxmlformats.org/officeDocument/2006/relationships" ref="O485" r:id="rId496"/>
    <hyperlink xmlns:r="http://schemas.openxmlformats.org/officeDocument/2006/relationships" ref="O486" r:id="rId497"/>
    <hyperlink xmlns:r="http://schemas.openxmlformats.org/officeDocument/2006/relationships" ref="N487" r:id="rId498"/>
    <hyperlink xmlns:r="http://schemas.openxmlformats.org/officeDocument/2006/relationships" ref="O487" r:id="rId499"/>
    <hyperlink xmlns:r="http://schemas.openxmlformats.org/officeDocument/2006/relationships" ref="O488" r:id="rId500"/>
    <hyperlink xmlns:r="http://schemas.openxmlformats.org/officeDocument/2006/relationships" ref="O489" r:id="rId501"/>
    <hyperlink xmlns:r="http://schemas.openxmlformats.org/officeDocument/2006/relationships" ref="O490" r:id="rId502"/>
    <hyperlink xmlns:r="http://schemas.openxmlformats.org/officeDocument/2006/relationships" ref="O491" r:id="rId503"/>
    <hyperlink xmlns:r="http://schemas.openxmlformats.org/officeDocument/2006/relationships" ref="O492" r:id="rId504"/>
    <hyperlink xmlns:r="http://schemas.openxmlformats.org/officeDocument/2006/relationships" ref="O493" r:id="rId505"/>
    <hyperlink xmlns:r="http://schemas.openxmlformats.org/officeDocument/2006/relationships" ref="O494" r:id="rId506"/>
    <hyperlink xmlns:r="http://schemas.openxmlformats.org/officeDocument/2006/relationships" ref="O495" r:id="rId507"/>
    <hyperlink xmlns:r="http://schemas.openxmlformats.org/officeDocument/2006/relationships" ref="O496" r:id="rId508"/>
    <hyperlink xmlns:r="http://schemas.openxmlformats.org/officeDocument/2006/relationships" ref="O497" r:id="rId509"/>
    <hyperlink xmlns:r="http://schemas.openxmlformats.org/officeDocument/2006/relationships" ref="O498" r:id="rId510"/>
    <hyperlink xmlns:r="http://schemas.openxmlformats.org/officeDocument/2006/relationships" ref="O499" r:id="rId511"/>
    <hyperlink xmlns:r="http://schemas.openxmlformats.org/officeDocument/2006/relationships" ref="O500" r:id="rId512"/>
    <hyperlink xmlns:r="http://schemas.openxmlformats.org/officeDocument/2006/relationships" ref="O501" r:id="rId513"/>
    <hyperlink xmlns:r="http://schemas.openxmlformats.org/officeDocument/2006/relationships" ref="N502" r:id="rId514"/>
    <hyperlink xmlns:r="http://schemas.openxmlformats.org/officeDocument/2006/relationships" ref="O502" r:id="rId515"/>
    <hyperlink xmlns:r="http://schemas.openxmlformats.org/officeDocument/2006/relationships" ref="O503" r:id="rId516"/>
    <hyperlink xmlns:r="http://schemas.openxmlformats.org/officeDocument/2006/relationships" ref="O504" r:id="rId517"/>
    <hyperlink xmlns:r="http://schemas.openxmlformats.org/officeDocument/2006/relationships" ref="O505" r:id="rId518"/>
    <hyperlink xmlns:r="http://schemas.openxmlformats.org/officeDocument/2006/relationships" ref="O506" r:id="rId519"/>
    <hyperlink xmlns:r="http://schemas.openxmlformats.org/officeDocument/2006/relationships" ref="O507" r:id="rId520"/>
    <hyperlink xmlns:r="http://schemas.openxmlformats.org/officeDocument/2006/relationships" ref="O508" r:id="rId521"/>
    <hyperlink xmlns:r="http://schemas.openxmlformats.org/officeDocument/2006/relationships" ref="O509" r:id="rId522"/>
    <hyperlink xmlns:r="http://schemas.openxmlformats.org/officeDocument/2006/relationships" ref="O510" r:id="rId523"/>
    <hyperlink xmlns:r="http://schemas.openxmlformats.org/officeDocument/2006/relationships" ref="O511" r:id="rId524"/>
    <hyperlink xmlns:r="http://schemas.openxmlformats.org/officeDocument/2006/relationships" ref="O512" r:id="rId525"/>
    <hyperlink xmlns:r="http://schemas.openxmlformats.org/officeDocument/2006/relationships" ref="O513" r:id="rId526"/>
    <hyperlink xmlns:r="http://schemas.openxmlformats.org/officeDocument/2006/relationships" ref="O514" r:id="rId527"/>
    <hyperlink xmlns:r="http://schemas.openxmlformats.org/officeDocument/2006/relationships" ref="O515" r:id="rId528"/>
    <hyperlink xmlns:r="http://schemas.openxmlformats.org/officeDocument/2006/relationships" ref="O516" r:id="rId529"/>
    <hyperlink xmlns:r="http://schemas.openxmlformats.org/officeDocument/2006/relationships" ref="O517" r:id="rId530"/>
    <hyperlink xmlns:r="http://schemas.openxmlformats.org/officeDocument/2006/relationships" ref="O518" r:id="rId531"/>
    <hyperlink xmlns:r="http://schemas.openxmlformats.org/officeDocument/2006/relationships" ref="O519" r:id="rId532"/>
    <hyperlink xmlns:r="http://schemas.openxmlformats.org/officeDocument/2006/relationships" ref="O520" r:id="rId533"/>
    <hyperlink xmlns:r="http://schemas.openxmlformats.org/officeDocument/2006/relationships" ref="O521" r:id="rId534"/>
    <hyperlink xmlns:r="http://schemas.openxmlformats.org/officeDocument/2006/relationships" ref="O522" r:id="rId535"/>
    <hyperlink xmlns:r="http://schemas.openxmlformats.org/officeDocument/2006/relationships" ref="O523" r:id="rId536"/>
    <hyperlink xmlns:r="http://schemas.openxmlformats.org/officeDocument/2006/relationships" ref="O524" r:id="rId537"/>
    <hyperlink xmlns:r="http://schemas.openxmlformats.org/officeDocument/2006/relationships" ref="O525" r:id="rId538"/>
    <hyperlink xmlns:r="http://schemas.openxmlformats.org/officeDocument/2006/relationships" ref="O526" r:id="rId539"/>
    <hyperlink xmlns:r="http://schemas.openxmlformats.org/officeDocument/2006/relationships" ref="O527" r:id="rId540"/>
    <hyperlink xmlns:r="http://schemas.openxmlformats.org/officeDocument/2006/relationships" ref="O528" r:id="rId541"/>
    <hyperlink xmlns:r="http://schemas.openxmlformats.org/officeDocument/2006/relationships" ref="O529" r:id="rId542"/>
    <hyperlink xmlns:r="http://schemas.openxmlformats.org/officeDocument/2006/relationships" ref="O530" r:id="rId543"/>
    <hyperlink xmlns:r="http://schemas.openxmlformats.org/officeDocument/2006/relationships" ref="O531" r:id="rId544"/>
    <hyperlink xmlns:r="http://schemas.openxmlformats.org/officeDocument/2006/relationships" ref="O532" r:id="rId545"/>
    <hyperlink xmlns:r="http://schemas.openxmlformats.org/officeDocument/2006/relationships" ref="O533" r:id="rId546"/>
    <hyperlink xmlns:r="http://schemas.openxmlformats.org/officeDocument/2006/relationships" ref="O534" r:id="rId547"/>
    <hyperlink xmlns:r="http://schemas.openxmlformats.org/officeDocument/2006/relationships" ref="O535" r:id="rId548"/>
    <hyperlink xmlns:r="http://schemas.openxmlformats.org/officeDocument/2006/relationships" ref="O536" r:id="rId549"/>
    <hyperlink xmlns:r="http://schemas.openxmlformats.org/officeDocument/2006/relationships" ref="O537" r:id="rId550"/>
    <hyperlink xmlns:r="http://schemas.openxmlformats.org/officeDocument/2006/relationships" ref="O538" r:id="rId551"/>
    <hyperlink xmlns:r="http://schemas.openxmlformats.org/officeDocument/2006/relationships" ref="O539" r:id="rId552"/>
    <hyperlink xmlns:r="http://schemas.openxmlformats.org/officeDocument/2006/relationships" ref="N540" r:id="rId553"/>
    <hyperlink xmlns:r="http://schemas.openxmlformats.org/officeDocument/2006/relationships" ref="N541" r:id="rId554"/>
    <hyperlink xmlns:r="http://schemas.openxmlformats.org/officeDocument/2006/relationships" ref="O542" r:id="rId555"/>
    <hyperlink xmlns:r="http://schemas.openxmlformats.org/officeDocument/2006/relationships" ref="O543" r:id="rId556"/>
    <hyperlink xmlns:r="http://schemas.openxmlformats.org/officeDocument/2006/relationships" ref="N544" r:id="rId557"/>
    <hyperlink xmlns:r="http://schemas.openxmlformats.org/officeDocument/2006/relationships" ref="N545" r:id="rId558"/>
    <hyperlink xmlns:r="http://schemas.openxmlformats.org/officeDocument/2006/relationships" ref="O546" r:id="rId559"/>
    <hyperlink xmlns:r="http://schemas.openxmlformats.org/officeDocument/2006/relationships" ref="O547" r:id="rId560"/>
    <hyperlink xmlns:r="http://schemas.openxmlformats.org/officeDocument/2006/relationships" ref="O548" r:id="rId561"/>
    <hyperlink xmlns:r="http://schemas.openxmlformats.org/officeDocument/2006/relationships" ref="O549" r:id="rId562"/>
    <hyperlink xmlns:r="http://schemas.openxmlformats.org/officeDocument/2006/relationships" ref="N550" r:id="rId563"/>
    <hyperlink xmlns:r="http://schemas.openxmlformats.org/officeDocument/2006/relationships" ref="O550" r:id="rId564"/>
    <hyperlink xmlns:r="http://schemas.openxmlformats.org/officeDocument/2006/relationships" ref="N551" r:id="rId565"/>
    <hyperlink xmlns:r="http://schemas.openxmlformats.org/officeDocument/2006/relationships" ref="N552" r:id="rId566"/>
    <hyperlink xmlns:r="http://schemas.openxmlformats.org/officeDocument/2006/relationships" ref="N553" r:id="rId567"/>
    <hyperlink xmlns:r="http://schemas.openxmlformats.org/officeDocument/2006/relationships" ref="N554" r:id="rId568"/>
    <hyperlink xmlns:r="http://schemas.openxmlformats.org/officeDocument/2006/relationships" ref="O555" r:id="rId569"/>
    <hyperlink xmlns:r="http://schemas.openxmlformats.org/officeDocument/2006/relationships" ref="O556" r:id="rId570"/>
    <hyperlink xmlns:r="http://schemas.openxmlformats.org/officeDocument/2006/relationships" ref="O557" r:id="rId571"/>
    <hyperlink xmlns:r="http://schemas.openxmlformats.org/officeDocument/2006/relationships" ref="O558" r:id="rId572"/>
    <hyperlink xmlns:r="http://schemas.openxmlformats.org/officeDocument/2006/relationships" ref="O559" r:id="rId573"/>
    <hyperlink xmlns:r="http://schemas.openxmlformats.org/officeDocument/2006/relationships" ref="O560" r:id="rId574"/>
    <hyperlink xmlns:r="http://schemas.openxmlformats.org/officeDocument/2006/relationships" ref="O561" r:id="rId575"/>
    <hyperlink xmlns:r="http://schemas.openxmlformats.org/officeDocument/2006/relationships" ref="O562" r:id="rId576"/>
    <hyperlink xmlns:r="http://schemas.openxmlformats.org/officeDocument/2006/relationships" ref="N563" r:id="rId577"/>
    <hyperlink xmlns:r="http://schemas.openxmlformats.org/officeDocument/2006/relationships" ref="N564" r:id="rId578"/>
    <hyperlink xmlns:r="http://schemas.openxmlformats.org/officeDocument/2006/relationships" ref="N565" r:id="rId579"/>
    <hyperlink xmlns:r="http://schemas.openxmlformats.org/officeDocument/2006/relationships" ref="N566" r:id="rId580"/>
    <hyperlink xmlns:r="http://schemas.openxmlformats.org/officeDocument/2006/relationships" ref="N567" r:id="rId581"/>
    <hyperlink xmlns:r="http://schemas.openxmlformats.org/officeDocument/2006/relationships" ref="O568" r:id="rId582"/>
    <hyperlink xmlns:r="http://schemas.openxmlformats.org/officeDocument/2006/relationships" ref="O569" r:id="rId583"/>
    <hyperlink xmlns:r="http://schemas.openxmlformats.org/officeDocument/2006/relationships" ref="O570" r:id="rId584"/>
    <hyperlink xmlns:r="http://schemas.openxmlformats.org/officeDocument/2006/relationships" ref="O571" r:id="rId585"/>
    <hyperlink xmlns:r="http://schemas.openxmlformats.org/officeDocument/2006/relationships" ref="O572" r:id="rId586"/>
    <hyperlink xmlns:r="http://schemas.openxmlformats.org/officeDocument/2006/relationships" ref="N573" r:id="rId587"/>
    <hyperlink xmlns:r="http://schemas.openxmlformats.org/officeDocument/2006/relationships" ref="N574" r:id="rId588"/>
    <hyperlink xmlns:r="http://schemas.openxmlformats.org/officeDocument/2006/relationships" ref="O575" r:id="rId589"/>
    <hyperlink xmlns:r="http://schemas.openxmlformats.org/officeDocument/2006/relationships" ref="O576" r:id="rId590"/>
    <hyperlink xmlns:r="http://schemas.openxmlformats.org/officeDocument/2006/relationships" ref="O577" r:id="rId591"/>
    <hyperlink xmlns:r="http://schemas.openxmlformats.org/officeDocument/2006/relationships" ref="O578" r:id="rId592"/>
    <hyperlink xmlns:r="http://schemas.openxmlformats.org/officeDocument/2006/relationships" ref="N579" r:id="rId593"/>
    <hyperlink xmlns:r="http://schemas.openxmlformats.org/officeDocument/2006/relationships" ref="N580" r:id="rId594"/>
    <hyperlink xmlns:r="http://schemas.openxmlformats.org/officeDocument/2006/relationships" ref="N581" r:id="rId595"/>
    <hyperlink xmlns:r="http://schemas.openxmlformats.org/officeDocument/2006/relationships" ref="O582" r:id="rId596"/>
    <hyperlink xmlns:r="http://schemas.openxmlformats.org/officeDocument/2006/relationships" ref="O583" r:id="rId597"/>
    <hyperlink xmlns:r="http://schemas.openxmlformats.org/officeDocument/2006/relationships" ref="N584" r:id="rId598"/>
    <hyperlink xmlns:r="http://schemas.openxmlformats.org/officeDocument/2006/relationships" ref="N585" r:id="rId599"/>
    <hyperlink xmlns:r="http://schemas.openxmlformats.org/officeDocument/2006/relationships" ref="N586" r:id="rId600"/>
    <hyperlink xmlns:r="http://schemas.openxmlformats.org/officeDocument/2006/relationships" ref="N587" r:id="rId601"/>
    <hyperlink xmlns:r="http://schemas.openxmlformats.org/officeDocument/2006/relationships" ref="O588" r:id="rId602"/>
    <hyperlink xmlns:r="http://schemas.openxmlformats.org/officeDocument/2006/relationships" ref="O589" r:id="rId603"/>
    <hyperlink xmlns:r="http://schemas.openxmlformats.org/officeDocument/2006/relationships" ref="O590" r:id="rId604"/>
    <hyperlink xmlns:r="http://schemas.openxmlformats.org/officeDocument/2006/relationships" ref="N591" r:id="rId605"/>
    <hyperlink xmlns:r="http://schemas.openxmlformats.org/officeDocument/2006/relationships" ref="N592" r:id="rId606"/>
    <hyperlink xmlns:r="http://schemas.openxmlformats.org/officeDocument/2006/relationships" ref="O593" r:id="rId607"/>
    <hyperlink xmlns:r="http://schemas.openxmlformats.org/officeDocument/2006/relationships" ref="O594" r:id="rId608"/>
    <hyperlink xmlns:r="http://schemas.openxmlformats.org/officeDocument/2006/relationships" ref="O595" r:id="rId609"/>
    <hyperlink xmlns:r="http://schemas.openxmlformats.org/officeDocument/2006/relationships" ref="N596" r:id="rId610"/>
    <hyperlink xmlns:r="http://schemas.openxmlformats.org/officeDocument/2006/relationships" ref="N597" r:id="rId611"/>
    <hyperlink xmlns:r="http://schemas.openxmlformats.org/officeDocument/2006/relationships" ref="N598" r:id="rId612"/>
    <hyperlink xmlns:r="http://schemas.openxmlformats.org/officeDocument/2006/relationships" ref="N599" r:id="rId613"/>
    <hyperlink xmlns:r="http://schemas.openxmlformats.org/officeDocument/2006/relationships" ref="N600" r:id="rId614"/>
    <hyperlink xmlns:r="http://schemas.openxmlformats.org/officeDocument/2006/relationships" ref="N601" r:id="rId615"/>
    <hyperlink xmlns:r="http://schemas.openxmlformats.org/officeDocument/2006/relationships" ref="N602" r:id="rId616"/>
    <hyperlink xmlns:r="http://schemas.openxmlformats.org/officeDocument/2006/relationships" ref="N603" r:id="rId617"/>
    <hyperlink xmlns:r="http://schemas.openxmlformats.org/officeDocument/2006/relationships" ref="N604" r:id="rId618"/>
    <hyperlink xmlns:r="http://schemas.openxmlformats.org/officeDocument/2006/relationships" ref="N605" r:id="rId619"/>
    <hyperlink xmlns:r="http://schemas.openxmlformats.org/officeDocument/2006/relationships" ref="N606" r:id="rId620"/>
    <hyperlink xmlns:r="http://schemas.openxmlformats.org/officeDocument/2006/relationships" ref="N607" r:id="rId621"/>
    <hyperlink xmlns:r="http://schemas.openxmlformats.org/officeDocument/2006/relationships" ref="O608" r:id="rId622"/>
    <hyperlink xmlns:r="http://schemas.openxmlformats.org/officeDocument/2006/relationships" ref="O609" r:id="rId623"/>
    <hyperlink xmlns:r="http://schemas.openxmlformats.org/officeDocument/2006/relationships" ref="N610" r:id="rId624"/>
    <hyperlink xmlns:r="http://schemas.openxmlformats.org/officeDocument/2006/relationships" ref="N611" r:id="rId625"/>
    <hyperlink xmlns:r="http://schemas.openxmlformats.org/officeDocument/2006/relationships" ref="O612" r:id="rId626"/>
    <hyperlink xmlns:r="http://schemas.openxmlformats.org/officeDocument/2006/relationships" ref="N613" r:id="rId627"/>
    <hyperlink xmlns:r="http://schemas.openxmlformats.org/officeDocument/2006/relationships" ref="O614" r:id="rId628"/>
    <hyperlink xmlns:r="http://schemas.openxmlformats.org/officeDocument/2006/relationships" ref="O615" r:id="rId629"/>
    <hyperlink xmlns:r="http://schemas.openxmlformats.org/officeDocument/2006/relationships" ref="N616" r:id="rId630"/>
    <hyperlink xmlns:r="http://schemas.openxmlformats.org/officeDocument/2006/relationships" ref="O616" r:id="rId631"/>
    <hyperlink xmlns:r="http://schemas.openxmlformats.org/officeDocument/2006/relationships" ref="N617" r:id="rId632"/>
    <hyperlink xmlns:r="http://schemas.openxmlformats.org/officeDocument/2006/relationships" ref="O617" r:id="rId633"/>
    <hyperlink xmlns:r="http://schemas.openxmlformats.org/officeDocument/2006/relationships" ref="O618" r:id="rId634"/>
    <hyperlink xmlns:r="http://schemas.openxmlformats.org/officeDocument/2006/relationships" ref="O619" r:id="rId635"/>
    <hyperlink xmlns:r="http://schemas.openxmlformats.org/officeDocument/2006/relationships" ref="O620" r:id="rId636"/>
    <hyperlink xmlns:r="http://schemas.openxmlformats.org/officeDocument/2006/relationships" ref="O621" r:id="rId637"/>
    <hyperlink xmlns:r="http://schemas.openxmlformats.org/officeDocument/2006/relationships" ref="O622" r:id="rId638"/>
    <hyperlink xmlns:r="http://schemas.openxmlformats.org/officeDocument/2006/relationships" ref="O623" r:id="rId639"/>
    <hyperlink xmlns:r="http://schemas.openxmlformats.org/officeDocument/2006/relationships" ref="O624" r:id="rId640"/>
    <hyperlink xmlns:r="http://schemas.openxmlformats.org/officeDocument/2006/relationships" ref="O625" r:id="rId641"/>
    <hyperlink xmlns:r="http://schemas.openxmlformats.org/officeDocument/2006/relationships" ref="O626" r:id="rId642"/>
    <hyperlink xmlns:r="http://schemas.openxmlformats.org/officeDocument/2006/relationships" ref="O627" r:id="rId643"/>
    <hyperlink xmlns:r="http://schemas.openxmlformats.org/officeDocument/2006/relationships" ref="O628" r:id="rId644"/>
    <hyperlink xmlns:r="http://schemas.openxmlformats.org/officeDocument/2006/relationships" ref="O629" r:id="rId645"/>
    <hyperlink xmlns:r="http://schemas.openxmlformats.org/officeDocument/2006/relationships" ref="O630" r:id="rId646"/>
    <hyperlink xmlns:r="http://schemas.openxmlformats.org/officeDocument/2006/relationships" ref="O631" r:id="rId647"/>
    <hyperlink xmlns:r="http://schemas.openxmlformats.org/officeDocument/2006/relationships" ref="O632" r:id="rId648"/>
    <hyperlink xmlns:r="http://schemas.openxmlformats.org/officeDocument/2006/relationships" ref="O633" r:id="rId649"/>
    <hyperlink xmlns:r="http://schemas.openxmlformats.org/officeDocument/2006/relationships" ref="O634" r:id="rId650"/>
    <hyperlink xmlns:r="http://schemas.openxmlformats.org/officeDocument/2006/relationships" ref="O635" r:id="rId651"/>
    <hyperlink xmlns:r="http://schemas.openxmlformats.org/officeDocument/2006/relationships" ref="O636" r:id="rId652"/>
    <hyperlink xmlns:r="http://schemas.openxmlformats.org/officeDocument/2006/relationships" ref="O637" r:id="rId653"/>
    <hyperlink xmlns:r="http://schemas.openxmlformats.org/officeDocument/2006/relationships" ref="O638" r:id="rId654"/>
    <hyperlink xmlns:r="http://schemas.openxmlformats.org/officeDocument/2006/relationships" ref="O639" r:id="rId655"/>
    <hyperlink xmlns:r="http://schemas.openxmlformats.org/officeDocument/2006/relationships" ref="O640" r:id="rId656"/>
    <hyperlink xmlns:r="http://schemas.openxmlformats.org/officeDocument/2006/relationships" ref="O641" r:id="rId657"/>
    <hyperlink xmlns:r="http://schemas.openxmlformats.org/officeDocument/2006/relationships" ref="O642" r:id="rId658"/>
    <hyperlink xmlns:r="http://schemas.openxmlformats.org/officeDocument/2006/relationships" ref="O643" r:id="rId659"/>
    <hyperlink xmlns:r="http://schemas.openxmlformats.org/officeDocument/2006/relationships" ref="O644" r:id="rId660"/>
    <hyperlink xmlns:r="http://schemas.openxmlformats.org/officeDocument/2006/relationships" ref="O645" r:id="rId661"/>
    <hyperlink xmlns:r="http://schemas.openxmlformats.org/officeDocument/2006/relationships" ref="O646" r:id="rId662"/>
    <hyperlink xmlns:r="http://schemas.openxmlformats.org/officeDocument/2006/relationships" ref="O647" r:id="rId663"/>
    <hyperlink xmlns:r="http://schemas.openxmlformats.org/officeDocument/2006/relationships" ref="O648" r:id="rId664"/>
    <hyperlink xmlns:r="http://schemas.openxmlformats.org/officeDocument/2006/relationships" ref="O649" r:id="rId665"/>
    <hyperlink xmlns:r="http://schemas.openxmlformats.org/officeDocument/2006/relationships" ref="O650" r:id="rId666"/>
    <hyperlink xmlns:r="http://schemas.openxmlformats.org/officeDocument/2006/relationships" ref="O651" r:id="rId667"/>
    <hyperlink xmlns:r="http://schemas.openxmlformats.org/officeDocument/2006/relationships" ref="O652" r:id="rId668"/>
    <hyperlink xmlns:r="http://schemas.openxmlformats.org/officeDocument/2006/relationships" ref="O653" r:id="rId669"/>
    <hyperlink xmlns:r="http://schemas.openxmlformats.org/officeDocument/2006/relationships" ref="O654" r:id="rId670"/>
    <hyperlink xmlns:r="http://schemas.openxmlformats.org/officeDocument/2006/relationships" ref="O655" r:id="rId671"/>
    <hyperlink xmlns:r="http://schemas.openxmlformats.org/officeDocument/2006/relationships" ref="O656" r:id="rId672"/>
    <hyperlink xmlns:r="http://schemas.openxmlformats.org/officeDocument/2006/relationships" ref="O657" r:id="rId673"/>
    <hyperlink xmlns:r="http://schemas.openxmlformats.org/officeDocument/2006/relationships" ref="O658" r:id="rId674"/>
    <hyperlink xmlns:r="http://schemas.openxmlformats.org/officeDocument/2006/relationships" ref="O659" r:id="rId675"/>
    <hyperlink xmlns:r="http://schemas.openxmlformats.org/officeDocument/2006/relationships" ref="O660" r:id="rId676"/>
    <hyperlink xmlns:r="http://schemas.openxmlformats.org/officeDocument/2006/relationships" ref="O661" r:id="rId677"/>
    <hyperlink xmlns:r="http://schemas.openxmlformats.org/officeDocument/2006/relationships" ref="O662" r:id="rId678"/>
    <hyperlink xmlns:r="http://schemas.openxmlformats.org/officeDocument/2006/relationships" ref="O663" r:id="rId679"/>
    <hyperlink xmlns:r="http://schemas.openxmlformats.org/officeDocument/2006/relationships" ref="O664" r:id="rId680"/>
    <hyperlink xmlns:r="http://schemas.openxmlformats.org/officeDocument/2006/relationships" ref="O665" r:id="rId681"/>
    <hyperlink xmlns:r="http://schemas.openxmlformats.org/officeDocument/2006/relationships" ref="O666" r:id="rId682"/>
    <hyperlink xmlns:r="http://schemas.openxmlformats.org/officeDocument/2006/relationships" ref="O667" r:id="rId683"/>
    <hyperlink xmlns:r="http://schemas.openxmlformats.org/officeDocument/2006/relationships" ref="O668" r:id="rId684"/>
    <hyperlink xmlns:r="http://schemas.openxmlformats.org/officeDocument/2006/relationships" ref="O669" r:id="rId685"/>
    <hyperlink xmlns:r="http://schemas.openxmlformats.org/officeDocument/2006/relationships" ref="O670" r:id="rId686"/>
    <hyperlink xmlns:r="http://schemas.openxmlformats.org/officeDocument/2006/relationships" ref="O671" r:id="rId687"/>
    <hyperlink xmlns:r="http://schemas.openxmlformats.org/officeDocument/2006/relationships" ref="O672" r:id="rId688"/>
    <hyperlink xmlns:r="http://schemas.openxmlformats.org/officeDocument/2006/relationships" ref="O673" r:id="rId689"/>
    <hyperlink xmlns:r="http://schemas.openxmlformats.org/officeDocument/2006/relationships" ref="O674" r:id="rId690"/>
    <hyperlink xmlns:r="http://schemas.openxmlformats.org/officeDocument/2006/relationships" ref="O675" r:id="rId691"/>
    <hyperlink xmlns:r="http://schemas.openxmlformats.org/officeDocument/2006/relationships" ref="O676" r:id="rId692"/>
    <hyperlink xmlns:r="http://schemas.openxmlformats.org/officeDocument/2006/relationships" ref="O677" r:id="rId693"/>
    <hyperlink xmlns:r="http://schemas.openxmlformats.org/officeDocument/2006/relationships" ref="O678" r:id="rId694"/>
    <hyperlink xmlns:r="http://schemas.openxmlformats.org/officeDocument/2006/relationships" ref="O679" r:id="rId695"/>
    <hyperlink xmlns:r="http://schemas.openxmlformats.org/officeDocument/2006/relationships" ref="O680" r:id="rId696"/>
    <hyperlink xmlns:r="http://schemas.openxmlformats.org/officeDocument/2006/relationships" ref="O681" r:id="rId697"/>
    <hyperlink xmlns:r="http://schemas.openxmlformats.org/officeDocument/2006/relationships" ref="O682" r:id="rId698"/>
    <hyperlink xmlns:r="http://schemas.openxmlformats.org/officeDocument/2006/relationships" ref="O683" r:id="rId699"/>
    <hyperlink xmlns:r="http://schemas.openxmlformats.org/officeDocument/2006/relationships" ref="N684" r:id="rId700"/>
    <hyperlink xmlns:r="http://schemas.openxmlformats.org/officeDocument/2006/relationships" ref="N685" r:id="rId701"/>
    <hyperlink xmlns:r="http://schemas.openxmlformats.org/officeDocument/2006/relationships" ref="O686" r:id="rId702"/>
    <hyperlink xmlns:r="http://schemas.openxmlformats.org/officeDocument/2006/relationships" ref="N687" r:id="rId703"/>
    <hyperlink xmlns:r="http://schemas.openxmlformats.org/officeDocument/2006/relationships" ref="O688" r:id="rId704"/>
    <hyperlink xmlns:r="http://schemas.openxmlformats.org/officeDocument/2006/relationships" ref="N689" r:id="rId705"/>
    <hyperlink xmlns:r="http://schemas.openxmlformats.org/officeDocument/2006/relationships" ref="N690" r:id="rId706"/>
    <hyperlink xmlns:r="http://schemas.openxmlformats.org/officeDocument/2006/relationships" ref="O691" r:id="rId707"/>
    <hyperlink xmlns:r="http://schemas.openxmlformats.org/officeDocument/2006/relationships" ref="O692" r:id="rId708"/>
    <hyperlink xmlns:r="http://schemas.openxmlformats.org/officeDocument/2006/relationships" ref="O693" r:id="rId709"/>
    <hyperlink xmlns:r="http://schemas.openxmlformats.org/officeDocument/2006/relationships" ref="O694" r:id="rId710"/>
    <hyperlink xmlns:r="http://schemas.openxmlformats.org/officeDocument/2006/relationships" ref="O695" r:id="rId711"/>
    <hyperlink xmlns:r="http://schemas.openxmlformats.org/officeDocument/2006/relationships" ref="O696" r:id="rId712"/>
    <hyperlink xmlns:r="http://schemas.openxmlformats.org/officeDocument/2006/relationships" ref="N697" r:id="rId713"/>
    <hyperlink xmlns:r="http://schemas.openxmlformats.org/officeDocument/2006/relationships" ref="N698" r:id="rId714"/>
    <hyperlink xmlns:r="http://schemas.openxmlformats.org/officeDocument/2006/relationships" ref="N699" r:id="rId715"/>
    <hyperlink xmlns:r="http://schemas.openxmlformats.org/officeDocument/2006/relationships" ref="N700" r:id="rId716"/>
    <hyperlink xmlns:r="http://schemas.openxmlformats.org/officeDocument/2006/relationships" ref="N701" r:id="rId717"/>
    <hyperlink xmlns:r="http://schemas.openxmlformats.org/officeDocument/2006/relationships" ref="N702" r:id="rId718"/>
    <hyperlink xmlns:r="http://schemas.openxmlformats.org/officeDocument/2006/relationships" ref="N703" r:id="rId719"/>
    <hyperlink xmlns:r="http://schemas.openxmlformats.org/officeDocument/2006/relationships" ref="N704" r:id="rId720"/>
    <hyperlink xmlns:r="http://schemas.openxmlformats.org/officeDocument/2006/relationships" ref="N705" r:id="rId721"/>
    <hyperlink xmlns:r="http://schemas.openxmlformats.org/officeDocument/2006/relationships" ref="N706" r:id="rId722"/>
    <hyperlink xmlns:r="http://schemas.openxmlformats.org/officeDocument/2006/relationships" ref="N707" r:id="rId723"/>
    <hyperlink xmlns:r="http://schemas.openxmlformats.org/officeDocument/2006/relationships" ref="N708" r:id="rId724"/>
    <hyperlink xmlns:r="http://schemas.openxmlformats.org/officeDocument/2006/relationships" ref="N709" r:id="rId725"/>
    <hyperlink xmlns:r="http://schemas.openxmlformats.org/officeDocument/2006/relationships" ref="N710" r:id="rId726"/>
    <hyperlink xmlns:r="http://schemas.openxmlformats.org/officeDocument/2006/relationships" ref="N711" r:id="rId727"/>
    <hyperlink xmlns:r="http://schemas.openxmlformats.org/officeDocument/2006/relationships" ref="N712" r:id="rId728"/>
    <hyperlink xmlns:r="http://schemas.openxmlformats.org/officeDocument/2006/relationships" ref="N713" r:id="rId729"/>
    <hyperlink xmlns:r="http://schemas.openxmlformats.org/officeDocument/2006/relationships" ref="N714" r:id="rId730"/>
    <hyperlink xmlns:r="http://schemas.openxmlformats.org/officeDocument/2006/relationships" ref="N715" r:id="rId731"/>
    <hyperlink xmlns:r="http://schemas.openxmlformats.org/officeDocument/2006/relationships" ref="N716" r:id="rId732"/>
    <hyperlink xmlns:r="http://schemas.openxmlformats.org/officeDocument/2006/relationships" ref="N717" r:id="rId733"/>
    <hyperlink xmlns:r="http://schemas.openxmlformats.org/officeDocument/2006/relationships" ref="N718" r:id="rId734"/>
    <hyperlink xmlns:r="http://schemas.openxmlformats.org/officeDocument/2006/relationships" ref="N719" r:id="rId735"/>
    <hyperlink xmlns:r="http://schemas.openxmlformats.org/officeDocument/2006/relationships" ref="N720" r:id="rId736"/>
    <hyperlink xmlns:r="http://schemas.openxmlformats.org/officeDocument/2006/relationships" ref="N721" r:id="rId737"/>
    <hyperlink xmlns:r="http://schemas.openxmlformats.org/officeDocument/2006/relationships" ref="N722" r:id="rId738"/>
    <hyperlink xmlns:r="http://schemas.openxmlformats.org/officeDocument/2006/relationships" ref="N723" r:id="rId739"/>
    <hyperlink xmlns:r="http://schemas.openxmlformats.org/officeDocument/2006/relationships" ref="N724" r:id="rId740"/>
    <hyperlink xmlns:r="http://schemas.openxmlformats.org/officeDocument/2006/relationships" ref="N725" r:id="rId741"/>
    <hyperlink xmlns:r="http://schemas.openxmlformats.org/officeDocument/2006/relationships" ref="N726" r:id="rId742"/>
    <hyperlink xmlns:r="http://schemas.openxmlformats.org/officeDocument/2006/relationships" ref="O727" r:id="rId743"/>
    <hyperlink xmlns:r="http://schemas.openxmlformats.org/officeDocument/2006/relationships" ref="N728" r:id="rId744"/>
    <hyperlink xmlns:r="http://schemas.openxmlformats.org/officeDocument/2006/relationships" ref="O729" r:id="rId745"/>
    <hyperlink xmlns:r="http://schemas.openxmlformats.org/officeDocument/2006/relationships" ref="O730" r:id="rId746"/>
    <hyperlink xmlns:r="http://schemas.openxmlformats.org/officeDocument/2006/relationships" ref="O731" r:id="rId747"/>
    <hyperlink xmlns:r="http://schemas.openxmlformats.org/officeDocument/2006/relationships" ref="O732" r:id="rId748"/>
    <hyperlink xmlns:r="http://schemas.openxmlformats.org/officeDocument/2006/relationships" ref="O733" r:id="rId749"/>
    <hyperlink xmlns:r="http://schemas.openxmlformats.org/officeDocument/2006/relationships" ref="O734" r:id="rId750"/>
    <hyperlink xmlns:r="http://schemas.openxmlformats.org/officeDocument/2006/relationships" ref="O735" r:id="rId751"/>
    <hyperlink xmlns:r="http://schemas.openxmlformats.org/officeDocument/2006/relationships" ref="O736" r:id="rId752"/>
    <hyperlink xmlns:r="http://schemas.openxmlformats.org/officeDocument/2006/relationships" ref="O737" r:id="rId753"/>
    <hyperlink xmlns:r="http://schemas.openxmlformats.org/officeDocument/2006/relationships" ref="O738" r:id="rId754"/>
    <hyperlink xmlns:r="http://schemas.openxmlformats.org/officeDocument/2006/relationships" ref="O739" r:id="rId755"/>
    <hyperlink xmlns:r="http://schemas.openxmlformats.org/officeDocument/2006/relationships" ref="O740" r:id="rId756"/>
    <hyperlink xmlns:r="http://schemas.openxmlformats.org/officeDocument/2006/relationships" ref="O741" r:id="rId757"/>
    <hyperlink xmlns:r="http://schemas.openxmlformats.org/officeDocument/2006/relationships" ref="O742" r:id="rId758"/>
    <hyperlink xmlns:r="http://schemas.openxmlformats.org/officeDocument/2006/relationships" ref="O743" r:id="rId759"/>
    <hyperlink xmlns:r="http://schemas.openxmlformats.org/officeDocument/2006/relationships" ref="O744" r:id="rId760"/>
    <hyperlink xmlns:r="http://schemas.openxmlformats.org/officeDocument/2006/relationships" ref="O745" r:id="rId761"/>
    <hyperlink xmlns:r="http://schemas.openxmlformats.org/officeDocument/2006/relationships" ref="O746" r:id="rId762"/>
    <hyperlink xmlns:r="http://schemas.openxmlformats.org/officeDocument/2006/relationships" ref="O747" r:id="rId763"/>
    <hyperlink xmlns:r="http://schemas.openxmlformats.org/officeDocument/2006/relationships" ref="O748" r:id="rId764"/>
    <hyperlink xmlns:r="http://schemas.openxmlformats.org/officeDocument/2006/relationships" ref="O749" r:id="rId765"/>
    <hyperlink xmlns:r="http://schemas.openxmlformats.org/officeDocument/2006/relationships" ref="O750" r:id="rId766"/>
    <hyperlink xmlns:r="http://schemas.openxmlformats.org/officeDocument/2006/relationships" ref="O751" r:id="rId767"/>
    <hyperlink xmlns:r="http://schemas.openxmlformats.org/officeDocument/2006/relationships" ref="O752" r:id="rId768"/>
    <hyperlink xmlns:r="http://schemas.openxmlformats.org/officeDocument/2006/relationships" ref="O753" r:id="rId769"/>
    <hyperlink xmlns:r="http://schemas.openxmlformats.org/officeDocument/2006/relationships" ref="O754" r:id="rId770"/>
    <hyperlink xmlns:r="http://schemas.openxmlformats.org/officeDocument/2006/relationships" ref="O755" r:id="rId771"/>
    <hyperlink xmlns:r="http://schemas.openxmlformats.org/officeDocument/2006/relationships" ref="O756" r:id="rId772"/>
    <hyperlink xmlns:r="http://schemas.openxmlformats.org/officeDocument/2006/relationships" ref="O757" r:id="rId773"/>
    <hyperlink xmlns:r="http://schemas.openxmlformats.org/officeDocument/2006/relationships" ref="O758" r:id="rId774"/>
    <hyperlink xmlns:r="http://schemas.openxmlformats.org/officeDocument/2006/relationships" ref="O759" r:id="rId775"/>
    <hyperlink xmlns:r="http://schemas.openxmlformats.org/officeDocument/2006/relationships" ref="O760" r:id="rId776"/>
    <hyperlink xmlns:r="http://schemas.openxmlformats.org/officeDocument/2006/relationships" ref="O761" r:id="rId777"/>
    <hyperlink xmlns:r="http://schemas.openxmlformats.org/officeDocument/2006/relationships" ref="O762" r:id="rId778"/>
    <hyperlink xmlns:r="http://schemas.openxmlformats.org/officeDocument/2006/relationships" ref="O763" r:id="rId779"/>
    <hyperlink xmlns:r="http://schemas.openxmlformats.org/officeDocument/2006/relationships" ref="O764" r:id="rId780"/>
    <hyperlink xmlns:r="http://schemas.openxmlformats.org/officeDocument/2006/relationships" ref="O765" r:id="rId781"/>
    <hyperlink xmlns:r="http://schemas.openxmlformats.org/officeDocument/2006/relationships" ref="O766" r:id="rId782"/>
    <hyperlink xmlns:r="http://schemas.openxmlformats.org/officeDocument/2006/relationships" ref="O767" r:id="rId783"/>
    <hyperlink xmlns:r="http://schemas.openxmlformats.org/officeDocument/2006/relationships" ref="O768" r:id="rId784"/>
    <hyperlink xmlns:r="http://schemas.openxmlformats.org/officeDocument/2006/relationships" ref="O769" r:id="rId785"/>
    <hyperlink xmlns:r="http://schemas.openxmlformats.org/officeDocument/2006/relationships" ref="O770" r:id="rId786"/>
    <hyperlink xmlns:r="http://schemas.openxmlformats.org/officeDocument/2006/relationships" ref="O771" r:id="rId787"/>
    <hyperlink xmlns:r="http://schemas.openxmlformats.org/officeDocument/2006/relationships" ref="O772" r:id="rId788"/>
    <hyperlink xmlns:r="http://schemas.openxmlformats.org/officeDocument/2006/relationships" ref="O773" r:id="rId789"/>
    <hyperlink xmlns:r="http://schemas.openxmlformats.org/officeDocument/2006/relationships" ref="O774" r:id="rId790"/>
    <hyperlink xmlns:r="http://schemas.openxmlformats.org/officeDocument/2006/relationships" ref="O775" r:id="rId791"/>
    <hyperlink xmlns:r="http://schemas.openxmlformats.org/officeDocument/2006/relationships" ref="O776" r:id="rId792"/>
    <hyperlink xmlns:r="http://schemas.openxmlformats.org/officeDocument/2006/relationships" ref="O777" r:id="rId793"/>
    <hyperlink xmlns:r="http://schemas.openxmlformats.org/officeDocument/2006/relationships" ref="O778" r:id="rId794"/>
    <hyperlink xmlns:r="http://schemas.openxmlformats.org/officeDocument/2006/relationships" ref="O779" r:id="rId795"/>
    <hyperlink xmlns:r="http://schemas.openxmlformats.org/officeDocument/2006/relationships" ref="O780" r:id="rId796"/>
    <hyperlink xmlns:r="http://schemas.openxmlformats.org/officeDocument/2006/relationships" ref="O781" r:id="rId797"/>
    <hyperlink xmlns:r="http://schemas.openxmlformats.org/officeDocument/2006/relationships" ref="O782" r:id="rId798"/>
    <hyperlink xmlns:r="http://schemas.openxmlformats.org/officeDocument/2006/relationships" ref="O783" r:id="rId799"/>
    <hyperlink xmlns:r="http://schemas.openxmlformats.org/officeDocument/2006/relationships" ref="O784" r:id="rId800"/>
    <hyperlink xmlns:r="http://schemas.openxmlformats.org/officeDocument/2006/relationships" ref="O785" r:id="rId801"/>
    <hyperlink xmlns:r="http://schemas.openxmlformats.org/officeDocument/2006/relationships" ref="O786" r:id="rId802"/>
    <hyperlink xmlns:r="http://schemas.openxmlformats.org/officeDocument/2006/relationships" ref="O787" r:id="rId803"/>
    <hyperlink xmlns:r="http://schemas.openxmlformats.org/officeDocument/2006/relationships" ref="O788" r:id="rId804"/>
    <hyperlink xmlns:r="http://schemas.openxmlformats.org/officeDocument/2006/relationships" ref="O789" r:id="rId805"/>
    <hyperlink xmlns:r="http://schemas.openxmlformats.org/officeDocument/2006/relationships" ref="O790" r:id="rId806"/>
    <hyperlink xmlns:r="http://schemas.openxmlformats.org/officeDocument/2006/relationships" ref="O791" r:id="rId807"/>
    <hyperlink xmlns:r="http://schemas.openxmlformats.org/officeDocument/2006/relationships" ref="O792" r:id="rId808"/>
    <hyperlink xmlns:r="http://schemas.openxmlformats.org/officeDocument/2006/relationships" ref="O793" r:id="rId809"/>
    <hyperlink xmlns:r="http://schemas.openxmlformats.org/officeDocument/2006/relationships" ref="O794" r:id="rId810"/>
    <hyperlink xmlns:r="http://schemas.openxmlformats.org/officeDocument/2006/relationships" ref="O795" r:id="rId811"/>
    <hyperlink xmlns:r="http://schemas.openxmlformats.org/officeDocument/2006/relationships" ref="O796" r:id="rId812"/>
    <hyperlink xmlns:r="http://schemas.openxmlformats.org/officeDocument/2006/relationships" ref="O797" r:id="rId813"/>
    <hyperlink xmlns:r="http://schemas.openxmlformats.org/officeDocument/2006/relationships" ref="N798" r:id="rId814"/>
    <hyperlink xmlns:r="http://schemas.openxmlformats.org/officeDocument/2006/relationships" ref="O798" r:id="rId815"/>
    <hyperlink xmlns:r="http://schemas.openxmlformats.org/officeDocument/2006/relationships" ref="N799" r:id="rId816"/>
    <hyperlink xmlns:r="http://schemas.openxmlformats.org/officeDocument/2006/relationships" ref="O799" r:id="rId817"/>
    <hyperlink xmlns:r="http://schemas.openxmlformats.org/officeDocument/2006/relationships" ref="N800" r:id="rId818"/>
    <hyperlink xmlns:r="http://schemas.openxmlformats.org/officeDocument/2006/relationships" ref="N801" r:id="rId819"/>
    <hyperlink xmlns:r="http://schemas.openxmlformats.org/officeDocument/2006/relationships" ref="O802" r:id="rId820"/>
    <hyperlink xmlns:r="http://schemas.openxmlformats.org/officeDocument/2006/relationships" ref="N803" r:id="rId821"/>
    <hyperlink xmlns:r="http://schemas.openxmlformats.org/officeDocument/2006/relationships" ref="N804" r:id="rId822"/>
    <hyperlink xmlns:r="http://schemas.openxmlformats.org/officeDocument/2006/relationships" ref="N805" r:id="rId823"/>
    <hyperlink xmlns:r="http://schemas.openxmlformats.org/officeDocument/2006/relationships" ref="N806" r:id="rId824"/>
    <hyperlink xmlns:r="http://schemas.openxmlformats.org/officeDocument/2006/relationships" ref="O807" r:id="rId825"/>
    <hyperlink xmlns:r="http://schemas.openxmlformats.org/officeDocument/2006/relationships" ref="O808" r:id="rId826"/>
    <hyperlink xmlns:r="http://schemas.openxmlformats.org/officeDocument/2006/relationships" ref="O809" r:id="rId827"/>
    <hyperlink xmlns:r="http://schemas.openxmlformats.org/officeDocument/2006/relationships" ref="O810" r:id="rId828"/>
    <hyperlink xmlns:r="http://schemas.openxmlformats.org/officeDocument/2006/relationships" ref="O811" r:id="rId829"/>
    <hyperlink xmlns:r="http://schemas.openxmlformats.org/officeDocument/2006/relationships" ref="O812" r:id="rId830"/>
    <hyperlink xmlns:r="http://schemas.openxmlformats.org/officeDocument/2006/relationships" ref="O813" r:id="rId831"/>
    <hyperlink xmlns:r="http://schemas.openxmlformats.org/officeDocument/2006/relationships" ref="O814" r:id="rId832"/>
    <hyperlink xmlns:r="http://schemas.openxmlformats.org/officeDocument/2006/relationships" ref="O815" r:id="rId833"/>
    <hyperlink xmlns:r="http://schemas.openxmlformats.org/officeDocument/2006/relationships" ref="O816" r:id="rId834"/>
    <hyperlink xmlns:r="http://schemas.openxmlformats.org/officeDocument/2006/relationships" ref="O817" r:id="rId835"/>
    <hyperlink xmlns:r="http://schemas.openxmlformats.org/officeDocument/2006/relationships" ref="O818" r:id="rId836"/>
    <hyperlink xmlns:r="http://schemas.openxmlformats.org/officeDocument/2006/relationships" ref="O819" r:id="rId837"/>
    <hyperlink xmlns:r="http://schemas.openxmlformats.org/officeDocument/2006/relationships" ref="O820" r:id="rId838"/>
    <hyperlink xmlns:r="http://schemas.openxmlformats.org/officeDocument/2006/relationships" ref="O821" r:id="rId839"/>
    <hyperlink xmlns:r="http://schemas.openxmlformats.org/officeDocument/2006/relationships" ref="O822" r:id="rId840"/>
    <hyperlink xmlns:r="http://schemas.openxmlformats.org/officeDocument/2006/relationships" ref="O823" r:id="rId841"/>
    <hyperlink xmlns:r="http://schemas.openxmlformats.org/officeDocument/2006/relationships" ref="O824" r:id="rId842"/>
    <hyperlink xmlns:r="http://schemas.openxmlformats.org/officeDocument/2006/relationships" ref="O825" r:id="rId843"/>
    <hyperlink xmlns:r="http://schemas.openxmlformats.org/officeDocument/2006/relationships" ref="O826" r:id="rId844"/>
    <hyperlink xmlns:r="http://schemas.openxmlformats.org/officeDocument/2006/relationships" ref="O827" r:id="rId845"/>
    <hyperlink xmlns:r="http://schemas.openxmlformats.org/officeDocument/2006/relationships" ref="O828" r:id="rId846"/>
    <hyperlink xmlns:r="http://schemas.openxmlformats.org/officeDocument/2006/relationships" ref="O829" r:id="rId847"/>
    <hyperlink xmlns:r="http://schemas.openxmlformats.org/officeDocument/2006/relationships" ref="O830" r:id="rId848"/>
    <hyperlink xmlns:r="http://schemas.openxmlformats.org/officeDocument/2006/relationships" ref="O831" r:id="rId849"/>
    <hyperlink xmlns:r="http://schemas.openxmlformats.org/officeDocument/2006/relationships" ref="O832" r:id="rId850"/>
    <hyperlink xmlns:r="http://schemas.openxmlformats.org/officeDocument/2006/relationships" ref="O833" r:id="rId851"/>
    <hyperlink xmlns:r="http://schemas.openxmlformats.org/officeDocument/2006/relationships" ref="O834" r:id="rId852"/>
    <hyperlink xmlns:r="http://schemas.openxmlformats.org/officeDocument/2006/relationships" ref="O835" r:id="rId853"/>
    <hyperlink xmlns:r="http://schemas.openxmlformats.org/officeDocument/2006/relationships" ref="O836" r:id="rId854"/>
    <hyperlink xmlns:r="http://schemas.openxmlformats.org/officeDocument/2006/relationships" ref="O837" r:id="rId855"/>
    <hyperlink xmlns:r="http://schemas.openxmlformats.org/officeDocument/2006/relationships" ref="O838" r:id="rId856"/>
    <hyperlink xmlns:r="http://schemas.openxmlformats.org/officeDocument/2006/relationships" ref="O839" r:id="rId857"/>
    <hyperlink xmlns:r="http://schemas.openxmlformats.org/officeDocument/2006/relationships" ref="O840" r:id="rId858"/>
    <hyperlink xmlns:r="http://schemas.openxmlformats.org/officeDocument/2006/relationships" ref="O841" r:id="rId859"/>
    <hyperlink xmlns:r="http://schemas.openxmlformats.org/officeDocument/2006/relationships" ref="O842" r:id="rId860"/>
    <hyperlink xmlns:r="http://schemas.openxmlformats.org/officeDocument/2006/relationships" ref="O843" r:id="rId861"/>
    <hyperlink xmlns:r="http://schemas.openxmlformats.org/officeDocument/2006/relationships" ref="O844" r:id="rId862"/>
    <hyperlink xmlns:r="http://schemas.openxmlformats.org/officeDocument/2006/relationships" ref="O845" r:id="rId863"/>
    <hyperlink xmlns:r="http://schemas.openxmlformats.org/officeDocument/2006/relationships" ref="O846" r:id="rId864"/>
    <hyperlink xmlns:r="http://schemas.openxmlformats.org/officeDocument/2006/relationships" ref="O847" r:id="rId865"/>
    <hyperlink xmlns:r="http://schemas.openxmlformats.org/officeDocument/2006/relationships" ref="O848" r:id="rId866"/>
    <hyperlink xmlns:r="http://schemas.openxmlformats.org/officeDocument/2006/relationships" ref="O849" r:id="rId867"/>
    <hyperlink xmlns:r="http://schemas.openxmlformats.org/officeDocument/2006/relationships" ref="O850" r:id="rId868"/>
    <hyperlink xmlns:r="http://schemas.openxmlformats.org/officeDocument/2006/relationships" ref="O851" r:id="rId869"/>
    <hyperlink xmlns:r="http://schemas.openxmlformats.org/officeDocument/2006/relationships" ref="O852" r:id="rId870"/>
    <hyperlink xmlns:r="http://schemas.openxmlformats.org/officeDocument/2006/relationships" ref="O853" r:id="rId871"/>
    <hyperlink xmlns:r="http://schemas.openxmlformats.org/officeDocument/2006/relationships" ref="O854" r:id="rId872"/>
    <hyperlink xmlns:r="http://schemas.openxmlformats.org/officeDocument/2006/relationships" ref="O855" r:id="rId873"/>
    <hyperlink xmlns:r="http://schemas.openxmlformats.org/officeDocument/2006/relationships" ref="O856" r:id="rId874"/>
    <hyperlink xmlns:r="http://schemas.openxmlformats.org/officeDocument/2006/relationships" ref="O857" r:id="rId875"/>
    <hyperlink xmlns:r="http://schemas.openxmlformats.org/officeDocument/2006/relationships" ref="O858" r:id="rId876"/>
    <hyperlink xmlns:r="http://schemas.openxmlformats.org/officeDocument/2006/relationships" ref="O859" r:id="rId877"/>
    <hyperlink xmlns:r="http://schemas.openxmlformats.org/officeDocument/2006/relationships" ref="O860" r:id="rId878"/>
    <hyperlink xmlns:r="http://schemas.openxmlformats.org/officeDocument/2006/relationships" ref="O861" r:id="rId879"/>
    <hyperlink xmlns:r="http://schemas.openxmlformats.org/officeDocument/2006/relationships" ref="O862" r:id="rId880"/>
    <hyperlink xmlns:r="http://schemas.openxmlformats.org/officeDocument/2006/relationships" ref="O863" r:id="rId881"/>
    <hyperlink xmlns:r="http://schemas.openxmlformats.org/officeDocument/2006/relationships" ref="O864" r:id="rId882"/>
    <hyperlink xmlns:r="http://schemas.openxmlformats.org/officeDocument/2006/relationships" ref="O865" r:id="rId883"/>
    <hyperlink xmlns:r="http://schemas.openxmlformats.org/officeDocument/2006/relationships" ref="O866" r:id="rId884"/>
    <hyperlink xmlns:r="http://schemas.openxmlformats.org/officeDocument/2006/relationships" ref="O867" r:id="rId885"/>
    <hyperlink xmlns:r="http://schemas.openxmlformats.org/officeDocument/2006/relationships" ref="O868" r:id="rId886"/>
    <hyperlink xmlns:r="http://schemas.openxmlformats.org/officeDocument/2006/relationships" ref="O869" r:id="rId887"/>
    <hyperlink xmlns:r="http://schemas.openxmlformats.org/officeDocument/2006/relationships" ref="O870" r:id="rId888"/>
    <hyperlink xmlns:r="http://schemas.openxmlformats.org/officeDocument/2006/relationships" ref="O871" r:id="rId889"/>
    <hyperlink xmlns:r="http://schemas.openxmlformats.org/officeDocument/2006/relationships" ref="O872" r:id="rId890"/>
    <hyperlink xmlns:r="http://schemas.openxmlformats.org/officeDocument/2006/relationships" ref="O873" r:id="rId891"/>
    <hyperlink xmlns:r="http://schemas.openxmlformats.org/officeDocument/2006/relationships" ref="O874" r:id="rId892"/>
    <hyperlink xmlns:r="http://schemas.openxmlformats.org/officeDocument/2006/relationships" ref="O875" r:id="rId893"/>
    <hyperlink xmlns:r="http://schemas.openxmlformats.org/officeDocument/2006/relationships" ref="O876" r:id="rId894"/>
    <hyperlink xmlns:r="http://schemas.openxmlformats.org/officeDocument/2006/relationships" ref="O877" r:id="rId895"/>
    <hyperlink xmlns:r="http://schemas.openxmlformats.org/officeDocument/2006/relationships" ref="O878" r:id="rId896"/>
    <hyperlink xmlns:r="http://schemas.openxmlformats.org/officeDocument/2006/relationships" ref="O879" r:id="rId897"/>
    <hyperlink xmlns:r="http://schemas.openxmlformats.org/officeDocument/2006/relationships" ref="O880" r:id="rId898"/>
    <hyperlink xmlns:r="http://schemas.openxmlformats.org/officeDocument/2006/relationships" ref="N881" r:id="rId899"/>
    <hyperlink xmlns:r="http://schemas.openxmlformats.org/officeDocument/2006/relationships" ref="N882" r:id="rId900"/>
    <hyperlink xmlns:r="http://schemas.openxmlformats.org/officeDocument/2006/relationships" ref="O883" r:id="rId901"/>
    <hyperlink xmlns:r="http://schemas.openxmlformats.org/officeDocument/2006/relationships" ref="O884" r:id="rId902"/>
    <hyperlink xmlns:r="http://schemas.openxmlformats.org/officeDocument/2006/relationships" ref="O885" r:id="rId903"/>
    <hyperlink xmlns:r="http://schemas.openxmlformats.org/officeDocument/2006/relationships" ref="O886" r:id="rId904"/>
    <hyperlink xmlns:r="http://schemas.openxmlformats.org/officeDocument/2006/relationships" ref="N887" r:id="rId905"/>
    <hyperlink xmlns:r="http://schemas.openxmlformats.org/officeDocument/2006/relationships" ref="O888" r:id="rId906"/>
    <hyperlink xmlns:r="http://schemas.openxmlformats.org/officeDocument/2006/relationships" ref="O889" r:id="rId907"/>
    <hyperlink xmlns:r="http://schemas.openxmlformats.org/officeDocument/2006/relationships" ref="O890" r:id="rId908"/>
    <hyperlink xmlns:r="http://schemas.openxmlformats.org/officeDocument/2006/relationships" ref="O891" r:id="rId909"/>
    <hyperlink xmlns:r="http://schemas.openxmlformats.org/officeDocument/2006/relationships" ref="O892" r:id="rId910"/>
    <hyperlink xmlns:r="http://schemas.openxmlformats.org/officeDocument/2006/relationships" ref="O893" r:id="rId911"/>
    <hyperlink xmlns:r="http://schemas.openxmlformats.org/officeDocument/2006/relationships" ref="O894" r:id="rId912"/>
    <hyperlink xmlns:r="http://schemas.openxmlformats.org/officeDocument/2006/relationships" ref="O895" r:id="rId913"/>
    <hyperlink xmlns:r="http://schemas.openxmlformats.org/officeDocument/2006/relationships" ref="O896" r:id="rId914"/>
    <hyperlink xmlns:r="http://schemas.openxmlformats.org/officeDocument/2006/relationships" ref="O897" r:id="rId915"/>
    <hyperlink xmlns:r="http://schemas.openxmlformats.org/officeDocument/2006/relationships" ref="O898" r:id="rId916"/>
    <hyperlink xmlns:r="http://schemas.openxmlformats.org/officeDocument/2006/relationships" ref="O899" r:id="rId917"/>
    <hyperlink xmlns:r="http://schemas.openxmlformats.org/officeDocument/2006/relationships" ref="O900" r:id="rId9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5" t="inlineStr">
        <is>
          <t>Settings</t>
        </is>
      </c>
      <c r="B1" s="2" t="n"/>
    </row>
    <row r="2">
      <c r="A2" s="2" t="inlineStr">
        <is>
          <t>Discount (Reduced = Median Price x (1 - Discount))</t>
        </is>
      </c>
      <c r="B2" s="6" t="n">
        <v>0.3</v>
      </c>
    </row>
    <row r="3">
      <c r="A3" s="2" t="inlineStr">
        <is>
          <t>Kraken discount (Kraken Price = Median Price x (1 - Kraken discount))</t>
        </is>
      </c>
      <c r="B3" s="6" t="n">
        <v>0.3</v>
      </c>
    </row>
    <row r="4">
      <c r="A4" s="2" t="inlineStr">
        <is>
          <t>Edit the yellow cells only. Every "Reduced" and "Kraken Price" value on the other sheets recalculates from them.</t>
        </is>
      </c>
      <c r="B4" s="2" t="n"/>
    </row>
    <row r="5">
      <c r="A5" s="2" t="inlineStr">
        <is>
          <t>Data collected</t>
        </is>
      </c>
      <c r="B5" s="7" t="inlineStr">
        <is>
          <t>2026-10-14</t>
        </is>
      </c>
    </row>
    <row r="6">
      <c r="A6" s="2" t="inlineStr">
        <is>
          <t>Sources</t>
        </is>
      </c>
      <c r="B6" s="7" t="inlineStr">
        <is>
          <t>PriceCharting (ungraded/sealed sale price, USD) - https://www.pricecharting.com ; TCGplayer (Market, Median, Lowest listing, USD) - https://www.tcgplayer.com</t>
        </is>
      </c>
    </row>
    <row r="7">
      <c r="A7" s="2" t="inlineStr">
        <is>
          <t>Price</t>
        </is>
      </c>
      <c r="B7" s="7" t="inlineStr">
        <is>
          <t>PriceCharting price when available, otherwise TCGplayer Market (then Median, then Lowest).</t>
        </is>
      </c>
    </row>
    <row r="8">
      <c r="A8" s="2" t="inlineStr">
        <is>
          <t>Median Price</t>
        </is>
      </c>
      <c r="B8" s="7" t="inlineStr">
        <is>
          <t>MEDIAN of all price points found for the product (PriceCharting price, TCGplayer Market, Median and Lowest). Products found on both sites are merged into one row.</t>
        </is>
      </c>
    </row>
    <row r="9">
      <c r="A9" s="2" t="inlineStr">
        <is>
          <t>Categories</t>
        </is>
      </c>
      <c r="B9" s="7" t="inlineStr">
        <is>
          <t>Box = booster box / display. Pack = single boosters and blisters. Coffret = elite trainer boxes, collections, tins, bundles, gift sets. Decks, cases and accessories are on the "Other Sealed" sheet.</t>
        </is>
      </c>
    </row>
    <row r="10">
      <c r="A10" s="2" t="inlineStr">
        <is>
          <t>Scope</t>
        </is>
      </c>
      <c r="B10" s="7" t="inlineStr">
        <is>
          <t>Pokemon (English, Japanese, other languages as listed by the sites) and One Piece Card Game sealed products. Products with no price on either site were left out.</t>
        </is>
      </c>
    </row>
    <row r="11">
      <c r="A11" t="inlineStr">
        <is>
          <t>Kraken Price</t>
        </is>
      </c>
      <c r="B11" s="8" t="inlineStr">
        <is>
          <t>Median Price minus the Kraken discount (Settings!B3, 30% by default): the buy/offer price used by the shop.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2026-10-14T03:46:50Z</dcterms:created>
  <dcterms:modified xsi:type="dcterms:W3CDTF">2026-10-14T03:46:51Z</dcterms:modified>
</cp:coreProperties>
</file>